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 activeTab="1"/>
  </bookViews>
  <sheets>
    <sheet name="OLS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6" i="2" s="1"/>
  <c r="D2" i="1"/>
  <c r="D4" i="2" s="1"/>
  <c r="D5" i="2" l="1"/>
</calcChain>
</file>

<file path=xl/sharedStrings.xml><?xml version="1.0" encoding="utf-8"?>
<sst xmlns="http://schemas.openxmlformats.org/spreadsheetml/2006/main" count="88" uniqueCount="88">
  <si>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</si>
  <si>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</si>
  <si>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</si>
  <si>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</si>
  <si>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</si>
  <si>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</si>
  <si>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</si>
  <si>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</si>
  <si>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</si>
  <si>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</si>
  <si>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</si>
  <si>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</si>
  <si>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</si>
  <si>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</si>
  <si>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</si>
  <si>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</si>
  <si>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</si>
  <si>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</si>
  <si>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</si>
  <si>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</si>
  <si>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</si>
  <si>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</si>
  <si>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</si>
  <si>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</si>
  <si>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</si>
  <si>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</si>
  <si>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</si>
  <si>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</si>
  <si>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</si>
  <si>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</si>
  <si>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</si>
  <si>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</si>
  <si>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</si>
  <si>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</si>
  <si>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</si>
  <si>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</si>
  <si>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</si>
  <si>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</si>
  <si>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</si>
  <si>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</si>
  <si>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</si>
  <si>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</si>
  <si>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</si>
  <si>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</si>
  <si>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</si>
  <si>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</si>
  <si>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</si>
  <si>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</si>
  <si>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</si>
  <si>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</si>
  <si>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</si>
  <si>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</si>
  <si>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</si>
  <si>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</si>
  <si>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</si>
  <si>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</si>
  <si>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</si>
  <si>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</si>
  <si>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</si>
  <si>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</si>
  <si>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</si>
  <si>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</si>
  <si>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</si>
  <si>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</si>
  <si>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</si>
  <si>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</si>
  <si>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</si>
  <si>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</si>
  <si>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</si>
  <si>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</si>
  <si>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</si>
  <si>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</si>
  <si>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</si>
  <si>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</si>
  <si>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</si>
  <si>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</si>
  <si>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</si>
  <si>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</si>
  <si>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</si>
  <si>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</si>
  <si>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</si>
  <si>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</si>
  <si>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</si>
  <si>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</si>
  <si>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</si>
  <si>
    <t>NeweyWestLag</t>
    <phoneticPr fontId="2" type="noConversion"/>
  </si>
  <si>
    <t>t_NeweyWest</t>
    <phoneticPr fontId="2" type="noConversion"/>
  </si>
  <si>
    <t>p_NeweyWest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</si>
</sst>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4" borderId="12" xfId="0" applyFill="1" applyBorder="1"/>
    <xf numFmtId="0" fontId="3" fillId="7" borderId="10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  <xf numFmtId="177" fontId="0" fillId="4" borderId="0" xfId="0" applyNumberFormat="1" applyFill="1" applyBorder="1"/>
    <xf numFmtId="177" fontId="0" fillId="2" borderId="0" xfId="0" applyNumberFormat="1" applyFill="1" applyBorder="1"/>
    <xf numFmtId="177" fontId="0" fillId="2" borderId="8" xfId="0" applyNumberFormat="1" applyFill="1" applyBorder="1"/>
    <xf numFmtId="0" fontId="3" fillId="6" borderId="2" xfId="0" applyFont="1" applyFill="1" applyBorder="1"/>
    <xf numFmtId="0" fontId="3" fillId="6" borderId="3" xfId="0" applyFont="1" applyFill="1" applyBorder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workbookViewId="0">
      <selection activeCell="H13" sqref="H13"/>
    </sheetView>
  </sheetViews>
  <sheetFormatPr defaultRowHeight="17.399999999999999" x14ac:dyDescent="0.4"/>
  <cols>
    <col min="1" max="16384" width="8.796875" style="1"/>
  </cols>
  <sheetData>
    <row r="2" spans="3:69" x14ac:dyDescent="0.4">
      <c r="C2" s="10" t="s">
        <v>1</v>
      </c>
      <c r="D2" s="11">
        <f>COUNT(D6:D1048576)</f>
        <v>335</v>
      </c>
      <c r="H2" s="35" t="s">
        <v>85</v>
      </c>
      <c r="I2" s="36"/>
      <c r="J2" s="34">
        <v>3</v>
      </c>
    </row>
    <row r="3" spans="3:69" x14ac:dyDescent="0.4">
      <c r="C3" s="12" t="s">
        <v>2</v>
      </c>
      <c r="D3" s="13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-4.3076623881757925E-2</v>
      </c>
      <c r="E6" s="2">
        <v>1</v>
      </c>
      <c r="F6" s="3">
        <v>3.6074146507376392E-2</v>
      </c>
      <c r="G6" s="3">
        <v>-8.8979280538969974E-4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5.2038523636938283E-2</v>
      </c>
      <c r="E7" s="2">
        <v>2</v>
      </c>
      <c r="F7" s="3">
        <v>2.7329243521615032E-2</v>
      </c>
      <c r="G7" s="3">
        <v>-1.8447837150127211E-2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-3.7326407521088623E-2</v>
      </c>
      <c r="E8" s="2">
        <v>3</v>
      </c>
      <c r="F8" s="3">
        <v>2.7960296379141658E-2</v>
      </c>
      <c r="G8" s="3">
        <v>-1.2572909915748554E-2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-1.6164994425863943E-2</v>
      </c>
      <c r="E9" s="2">
        <v>4</v>
      </c>
      <c r="F9" s="3">
        <v>3.6311709506323897E-2</v>
      </c>
      <c r="G9" s="3">
        <v>-2.2315568390652851E-3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1.3495750708215182E-2</v>
      </c>
      <c r="E10" s="2">
        <v>5</v>
      </c>
      <c r="F10" s="3">
        <v>2.1278590176228018E-2</v>
      </c>
      <c r="G10" s="3">
        <v>-2.6312327325351825E-3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4.3783052515065979E-2</v>
      </c>
      <c r="E11" s="2">
        <v>6</v>
      </c>
      <c r="F11" s="3">
        <v>3.1776044056906816E-2</v>
      </c>
      <c r="G11" s="3">
        <v>-2.1105395066614019E-3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-2.0898272223829117E-2</v>
      </c>
      <c r="E12" s="2">
        <v>7</v>
      </c>
      <c r="F12" s="3">
        <v>-3.2025050706319114E-4</v>
      </c>
      <c r="G12" s="3">
        <v>2.7230667547918141E-2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7.5038837713060413E-2</v>
      </c>
      <c r="E13" s="2">
        <v>8</v>
      </c>
      <c r="F13" s="3">
        <v>4.0097529721648595E-2</v>
      </c>
      <c r="G13" s="3">
        <v>-1.1195470338437818E-2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7.7443647280313055E-3</v>
      </c>
      <c r="E14" s="2">
        <v>9</v>
      </c>
      <c r="F14" s="3">
        <v>-4.9793809140842304E-3</v>
      </c>
      <c r="G14" s="3">
        <v>-3.7740760020822384E-3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-5.9923656413467197E-2</v>
      </c>
      <c r="E15" s="2">
        <v>10</v>
      </c>
      <c r="F15" s="3">
        <v>4.1049011177987982E-2</v>
      </c>
      <c r="G15" s="3">
        <v>4.8334421946440997E-3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-5.1540411635801031E-2</v>
      </c>
      <c r="E16" s="2">
        <v>11</v>
      </c>
      <c r="F16" s="3">
        <v>1.7443877298181087E-2</v>
      </c>
      <c r="G16" s="3">
        <v>4.5501820072801902E-3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-4.6662287358144594E-3</v>
      </c>
      <c r="E17" s="2">
        <v>12</v>
      </c>
      <c r="F17" s="3">
        <v>3.2617342879872835E-2</v>
      </c>
      <c r="G17" s="3">
        <v>1.5012294551572269E-2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-2.9573746614778962E-2</v>
      </c>
      <c r="E18" s="2">
        <v>13</v>
      </c>
      <c r="F18" s="3">
        <v>6.9337442218797563E-3</v>
      </c>
      <c r="G18" s="3">
        <v>-4.5900803264056211E-3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2.5010846241337648E-2</v>
      </c>
      <c r="E19" s="2">
        <v>14</v>
      </c>
      <c r="F19" s="3">
        <v>7.9165560638947419E-3</v>
      </c>
      <c r="G19" s="3">
        <v>2.5618035096708347E-3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0.1221057929898417</v>
      </c>
      <c r="E20" s="2">
        <v>15</v>
      </c>
      <c r="F20" s="3">
        <v>1.343144848954303E-2</v>
      </c>
      <c r="G20" s="3">
        <v>-5.1105148843746395E-3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-7.9325109593230692E-2</v>
      </c>
      <c r="E21" s="2">
        <v>16</v>
      </c>
      <c r="F21" s="3">
        <v>2.2853386734335235E-2</v>
      </c>
      <c r="G21" s="3">
        <v>1.1814562732759715E-2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-9.4852118836439403E-2</v>
      </c>
      <c r="E22" s="2">
        <v>17</v>
      </c>
      <c r="F22" s="3">
        <v>2.2566953610712037E-3</v>
      </c>
      <c r="G22" s="3">
        <v>2.8810762787155886E-2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5.2359223419744527E-3</v>
      </c>
      <c r="E23" s="2">
        <v>18</v>
      </c>
      <c r="F23" s="3">
        <v>-4.5748027973696259E-2</v>
      </c>
      <c r="G23" s="3">
        <v>3.3308660251665234E-3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-4.8946708692847896E-2</v>
      </c>
      <c r="E24" s="2">
        <v>19</v>
      </c>
      <c r="F24" s="3">
        <v>1.8813969841393829E-2</v>
      </c>
      <c r="G24" s="3">
        <v>7.5003073896471317E-3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1.0467184480927427E-2</v>
      </c>
      <c r="E25" s="2">
        <v>20</v>
      </c>
      <c r="F25" s="3">
        <v>5.4172610009355804E-2</v>
      </c>
      <c r="G25" s="3">
        <v>2.1967293141322841E-3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-4.0624564691579934E-2</v>
      </c>
      <c r="E26" s="2">
        <v>21</v>
      </c>
      <c r="F26" s="3">
        <v>2.6130857982569866E-2</v>
      </c>
      <c r="G26" s="3">
        <v>1.2299074525085052E-2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-4.1064427988753871E-2</v>
      </c>
      <c r="E27" s="2">
        <v>22</v>
      </c>
      <c r="F27" s="3">
        <v>7.3376153813433209E-2</v>
      </c>
      <c r="G27" s="3">
        <v>-3.1276314206662992E-3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-0.10359541900671732</v>
      </c>
      <c r="E28" s="2">
        <v>23</v>
      </c>
      <c r="F28" s="3">
        <v>-2.1505376344086002E-2</v>
      </c>
      <c r="G28" s="3">
        <v>1.8341981416676534E-2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5.3161757931267539E-2</v>
      </c>
      <c r="E29" s="2">
        <v>24</v>
      </c>
      <c r="F29" s="3">
        <v>6.1317061317061272E-2</v>
      </c>
      <c r="G29" s="3">
        <v>2.0618556701030855E-2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-1.3574594657646211E-2</v>
      </c>
      <c r="E30" s="2">
        <v>25</v>
      </c>
      <c r="F30" s="3">
        <v>5.9275465554087248E-3</v>
      </c>
      <c r="G30" s="3">
        <v>3.0186926738651199E-3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1.1972861513902533E-3</v>
      </c>
      <c r="E31" s="2">
        <v>26</v>
      </c>
      <c r="F31" s="3">
        <v>-4.2613995599504406E-2</v>
      </c>
      <c r="G31" s="3">
        <v>3.8430373885866453E-2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3.822304898573825E-2</v>
      </c>
      <c r="E32" s="2">
        <v>27</v>
      </c>
      <c r="F32" s="3">
        <v>5.8405536770921529E-2</v>
      </c>
      <c r="G32" s="3">
        <v>-5.573514658343548E-3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7.6134408372793949E-2</v>
      </c>
      <c r="E33" s="2">
        <v>28</v>
      </c>
      <c r="F33" s="3">
        <v>5.8576883719769324E-2</v>
      </c>
      <c r="G33" s="3">
        <v>-3.3628516982409096E-4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-1.5024379930494103E-2</v>
      </c>
      <c r="E34" s="2">
        <v>29</v>
      </c>
      <c r="F34" s="3">
        <v>4.345263356438922E-2</v>
      </c>
      <c r="G34" s="3">
        <v>-4.1489123121775107E-3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-2.5865307217601274E-2</v>
      </c>
      <c r="E35" s="2">
        <v>30</v>
      </c>
      <c r="F35" s="3">
        <v>7.8123234742526471E-2</v>
      </c>
      <c r="G35" s="3">
        <v>4.3913973651614757E-3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-4.2348372169889292E-2</v>
      </c>
      <c r="E36" s="2">
        <v>31</v>
      </c>
      <c r="F36" s="3">
        <v>-5.7445849794087733E-2</v>
      </c>
      <c r="G36" s="3">
        <v>1.1210762331838486E-2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-6.9401901146152412E-2</v>
      </c>
      <c r="E37" s="2">
        <v>32</v>
      </c>
      <c r="F37" s="3">
        <v>5.3153523741759079E-2</v>
      </c>
      <c r="G37" s="3">
        <v>1.4190687361419041E-2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-0.27247299531764302</v>
      </c>
      <c r="E38" s="2">
        <v>33</v>
      </c>
      <c r="F38" s="3">
        <v>-3.4477662359597927E-2</v>
      </c>
      <c r="G38" s="3">
        <v>5.4984696108439035E-2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-0.13366893944221414</v>
      </c>
      <c r="E39" s="2">
        <v>34</v>
      </c>
      <c r="F39" s="3">
        <v>4.4586822942861426E-2</v>
      </c>
      <c r="G39" s="3">
        <v>0.20588540047663439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-7.7354974746236427E-2</v>
      </c>
      <c r="E40" s="2">
        <v>35</v>
      </c>
      <c r="F40" s="3">
        <v>1.5731630730583923E-2</v>
      </c>
      <c r="G40" s="3">
        <v>0.29996562983330488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0.50774627301958497</v>
      </c>
      <c r="E41" s="2">
        <v>36</v>
      </c>
      <c r="F41" s="3">
        <v>1.0150139628824384E-2</v>
      </c>
      <c r="G41" s="3">
        <v>3.9658933174697708E-2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-1.4804892664528113E-2</v>
      </c>
      <c r="E42" s="2">
        <v>37</v>
      </c>
      <c r="F42" s="3">
        <v>7.0449259395274799E-2</v>
      </c>
      <c r="G42" s="3">
        <v>4.2723631508678084E-2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-0.13943253783677412</v>
      </c>
      <c r="E43" s="2">
        <v>38</v>
      </c>
      <c r="F43" s="3">
        <v>4.994568014180345E-2</v>
      </c>
      <c r="G43" s="3">
        <v>-0.1593195536857509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-0.12435556294694827</v>
      </c>
      <c r="E44" s="2">
        <v>39</v>
      </c>
      <c r="F44" s="3">
        <v>9.0764692534603952E-3</v>
      </c>
      <c r="G44" s="3">
        <v>-2.9445894981142917E-2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-0.21174208252219751</v>
      </c>
      <c r="E45" s="2">
        <v>40</v>
      </c>
      <c r="F45" s="3">
        <v>-1.8826174949404195E-2</v>
      </c>
      <c r="G45" s="3">
        <v>5.4251980272007172E-2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-0.10285215191398367</v>
      </c>
      <c r="E46" s="2">
        <v>41</v>
      </c>
      <c r="F46" s="3">
        <v>3.9438220788031053E-2</v>
      </c>
      <c r="G46" s="3">
        <v>-1.8145732917493551E-2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0.15257821941721494</v>
      </c>
      <c r="E47" s="2">
        <v>42</v>
      </c>
      <c r="F47" s="3">
        <v>-1.1615395470260248E-2</v>
      </c>
      <c r="G47" s="3">
        <v>-0.10771007796708054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-9.6612588471732597E-2</v>
      </c>
      <c r="E48" s="2">
        <v>43</v>
      </c>
      <c r="F48" s="3">
        <v>-0.14579671089616042</v>
      </c>
      <c r="G48" s="3">
        <v>7.7508090614886616E-2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5.1586278050019807E-4</v>
      </c>
      <c r="E49" s="2">
        <v>44</v>
      </c>
      <c r="F49" s="3">
        <v>6.2395537355841579E-2</v>
      </c>
      <c r="G49" s="3">
        <v>3.1386094008109211E-2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0.30007733952049498</v>
      </c>
      <c r="E50" s="2">
        <v>45</v>
      </c>
      <c r="F50" s="3">
        <v>8.0294195730622242E-2</v>
      </c>
      <c r="G50" s="3">
        <v>-4.3535235876528744E-2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0.12006742018639693</v>
      </c>
      <c r="E51" s="2">
        <v>46</v>
      </c>
      <c r="F51" s="3">
        <v>5.9126034204993294E-2</v>
      </c>
      <c r="G51" s="3">
        <v>-5.3356675293042999E-2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0.24471098521731438</v>
      </c>
      <c r="E52" s="2">
        <v>47</v>
      </c>
      <c r="F52" s="3">
        <v>5.6375308302467175E-2</v>
      </c>
      <c r="G52" s="3">
        <v>-2.9508723968802775E-2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1.5947800732496464E-2</v>
      </c>
      <c r="E53" s="2">
        <v>48</v>
      </c>
      <c r="F53" s="3">
        <v>4.1009412396378231E-2</v>
      </c>
      <c r="G53" s="3">
        <v>-2.6429163214581664E-2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-8.9897275256811904E-2</v>
      </c>
      <c r="E54" s="2">
        <v>49</v>
      </c>
      <c r="F54" s="3">
        <v>-3.2282516957894525E-2</v>
      </c>
      <c r="G54" s="3">
        <v>3.9656199472385412E-2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0.19020882205899325</v>
      </c>
      <c r="E55" s="2">
        <v>50</v>
      </c>
      <c r="F55" s="3">
        <v>3.8794182487705164E-2</v>
      </c>
      <c r="G55" s="3">
        <v>2.4555946631743542E-3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0.21585511648195421</v>
      </c>
      <c r="E56" s="2">
        <v>51</v>
      </c>
      <c r="F56" s="3">
        <v>3.7943981902563095E-2</v>
      </c>
      <c r="G56" s="3">
        <v>-3.9438229770555999E-2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-2.2017300256447769E-2</v>
      </c>
      <c r="E57" s="2">
        <v>52</v>
      </c>
      <c r="F57" s="3">
        <v>-2.4970415973876281E-2</v>
      </c>
      <c r="G57" s="3">
        <v>8.4155049302956364E-3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0.19969566044400966</v>
      </c>
      <c r="E58" s="2">
        <v>53</v>
      </c>
      <c r="F58" s="3">
        <v>5.4438333435752551E-2</v>
      </c>
      <c r="G58" s="3">
        <v>-2.5625895641911756E-2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9.8210645526613849E-2</v>
      </c>
      <c r="E59" s="2">
        <v>54</v>
      </c>
      <c r="F59" s="3">
        <v>-3.2046098593293548E-2</v>
      </c>
      <c r="G59" s="3">
        <v>3.9103728696253892E-2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-3.2834220187270557E-2</v>
      </c>
      <c r="E60" s="2">
        <v>55</v>
      </c>
      <c r="F60" s="3">
        <v>-6.2541393220543195E-3</v>
      </c>
      <c r="G60" s="3">
        <v>-1.3487636333360919E-2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-0.10843604725551248</v>
      </c>
      <c r="E61" s="2">
        <v>56</v>
      </c>
      <c r="F61" s="3">
        <v>-2.855173771783015E-2</v>
      </c>
      <c r="G61" s="3">
        <v>2.8525613975862951E-2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-3.1930923963738866E-3</v>
      </c>
      <c r="E62" s="2">
        <v>57</v>
      </c>
      <c r="F62" s="3">
        <v>6.2539467221741418E-2</v>
      </c>
      <c r="G62" s="3">
        <v>-1.6000656437187177E-2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0.19573850343727117</v>
      </c>
      <c r="E63" s="2">
        <v>58</v>
      </c>
      <c r="F63" s="3">
        <v>1.906187405075821E-2</v>
      </c>
      <c r="G63" s="3">
        <v>-3.4773182121414337E-2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3.1515260971645365E-2</v>
      </c>
      <c r="E64" s="2">
        <v>59</v>
      </c>
      <c r="F64" s="3">
        <v>5.7843920772404189E-2</v>
      </c>
      <c r="G64" s="3">
        <v>-1.0453563714902692E-2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-8.1891310902953984E-2</v>
      </c>
      <c r="E65" s="2">
        <v>60</v>
      </c>
      <c r="F65" s="3">
        <v>-5.0903522205206664E-2</v>
      </c>
      <c r="G65" s="3">
        <v>-2.0342238519294731E-2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-0.12236725007416194</v>
      </c>
      <c r="E66" s="2">
        <v>61</v>
      </c>
      <c r="F66" s="3">
        <v>-2.0108142219927405E-2</v>
      </c>
      <c r="G66" s="3">
        <v>8.6445058372695005E-3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3.930563268065379E-2</v>
      </c>
      <c r="E67" s="2">
        <v>62</v>
      </c>
      <c r="F67" s="3">
        <v>9.6719895786068655E-2</v>
      </c>
      <c r="G67" s="3">
        <v>-2.0763385757200936E-2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-0.15744418890979639</v>
      </c>
      <c r="E68" s="2">
        <v>63</v>
      </c>
      <c r="F68" s="3">
        <v>-3.0795820042973876E-2</v>
      </c>
      <c r="G68" s="3">
        <v>1.8045655508436287E-3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8.9469113166711356E-3</v>
      </c>
      <c r="E69" s="2">
        <v>64</v>
      </c>
      <c r="F69" s="3">
        <v>-2.1914997624670529E-2</v>
      </c>
      <c r="G69" s="3">
        <v>2.1165450779068617E-2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0.12206919167076569</v>
      </c>
      <c r="E70" s="2">
        <v>65</v>
      </c>
      <c r="F70" s="3">
        <v>2.3933549204561366E-2</v>
      </c>
      <c r="G70" s="3">
        <v>-1.6757805609454945E-2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-0.14033998197803266</v>
      </c>
      <c r="E71" s="2">
        <v>66</v>
      </c>
      <c r="F71" s="3">
        <v>-1.6341262202667406E-2</v>
      </c>
      <c r="G71" s="3">
        <v>1.2558306422678633E-3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-2.4576115132371124E-2</v>
      </c>
      <c r="E72" s="2">
        <v>67</v>
      </c>
      <c r="F72" s="3">
        <v>6.069903482594019E-2</v>
      </c>
      <c r="G72" s="3">
        <v>-6.6296362659022945E-3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-0.10949435102088234</v>
      </c>
      <c r="E73" s="2">
        <v>68</v>
      </c>
      <c r="F73" s="3">
        <v>-5.3482947656950164E-2</v>
      </c>
      <c r="G73" s="3">
        <v>5.591630591630592E-3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-0.16101888392420338</v>
      </c>
      <c r="E74" s="2">
        <v>69</v>
      </c>
      <c r="F74" s="3">
        <v>-4.9494956526581202E-3</v>
      </c>
      <c r="G74" s="3">
        <v>1.9461883408071756E-2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-1.0204478308194709E-2</v>
      </c>
      <c r="E75" s="2">
        <v>70</v>
      </c>
      <c r="F75" s="3">
        <v>-8.0068560235063702E-2</v>
      </c>
      <c r="G75" s="3">
        <v>5.155274038884472E-2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-9.052883765685471E-3</v>
      </c>
      <c r="E76" s="2">
        <v>71</v>
      </c>
      <c r="F76" s="3">
        <v>4.0533860603064742E-3</v>
      </c>
      <c r="G76" s="3">
        <v>4.7435790178197879E-2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0.22450556854662906</v>
      </c>
      <c r="E77" s="2">
        <v>72</v>
      </c>
      <c r="F77" s="3">
        <v>3.4636592238010078E-2</v>
      </c>
      <c r="G77" s="3">
        <v>1.0782747603833798E-2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-6.4426858280332011E-2</v>
      </c>
      <c r="E78" s="2">
        <v>73</v>
      </c>
      <c r="F78" s="3">
        <v>-9.2290686012547418E-2</v>
      </c>
      <c r="G78" s="3">
        <v>-1.5645989727380405E-2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-9.4931672720982463E-2</v>
      </c>
      <c r="E79" s="2">
        <v>74</v>
      </c>
      <c r="F79" s="3">
        <v>-6.4204719583205727E-2</v>
      </c>
      <c r="G79" s="3">
        <v>5.4828610419844326E-2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0.10347463781965516</v>
      </c>
      <c r="E80" s="2">
        <v>75</v>
      </c>
      <c r="F80" s="3">
        <v>7.6814354537071416E-2</v>
      </c>
      <c r="G80" s="3">
        <v>8.1430745814308203E-3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6.027435222391575E-2</v>
      </c>
      <c r="E81" s="2">
        <v>76</v>
      </c>
      <c r="F81" s="3">
        <v>5.0901989659533076E-3</v>
      </c>
      <c r="G81" s="3">
        <v>-2.4005435192873792E-2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-2.7819524307370558E-2</v>
      </c>
      <c r="E82" s="2">
        <v>77</v>
      </c>
      <c r="F82" s="3">
        <v>-2.5003583316080213E-2</v>
      </c>
      <c r="G82" s="3">
        <v>7.2704772217493385E-3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-9.0030749584124492E-2</v>
      </c>
      <c r="E83" s="2">
        <v>78</v>
      </c>
      <c r="F83" s="3">
        <v>-1.0772447362833004E-2</v>
      </c>
      <c r="G83" s="3">
        <v>-6.910850034552718E-4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6.5737235712308717E-3</v>
      </c>
      <c r="E84" s="2">
        <v>79</v>
      </c>
      <c r="F84" s="3">
        <v>-6.4108385690579084E-2</v>
      </c>
      <c r="G84" s="3">
        <v>-1.3523897341324864E-2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-0.12003081946763039</v>
      </c>
      <c r="E85" s="2">
        <v>80</v>
      </c>
      <c r="F85" s="3">
        <v>-8.1723389615201314E-2</v>
      </c>
      <c r="G85" s="3">
        <v>1.7214519395544636E-2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0.1211849566377583</v>
      </c>
      <c r="E86" s="2">
        <v>81</v>
      </c>
      <c r="F86" s="3">
        <v>1.8099025880454089E-2</v>
      </c>
      <c r="G86" s="3">
        <v>-7.5044030936520789E-3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0.19724437998549682</v>
      </c>
      <c r="E87" s="2">
        <v>82</v>
      </c>
      <c r="F87" s="3">
        <v>7.5175979920360847E-2</v>
      </c>
      <c r="G87" s="3">
        <v>-1.7051153460381108E-2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7.7357933808569923E-2</v>
      </c>
      <c r="E88" s="2">
        <v>83</v>
      </c>
      <c r="F88" s="3">
        <v>7.5738294791345417E-3</v>
      </c>
      <c r="G88" s="3">
        <v>4.0894819466247956E-2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7.8376819950987553E-2</v>
      </c>
      <c r="E89" s="2">
        <v>84</v>
      </c>
      <c r="F89" s="3">
        <v>-1.5573827607832103E-2</v>
      </c>
      <c r="G89" s="3">
        <v>-8.5212276600558079E-3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9.6140735492667773E-2</v>
      </c>
      <c r="E90" s="2">
        <v>85</v>
      </c>
      <c r="F90" s="3">
        <v>-2.0766236064413413E-2</v>
      </c>
      <c r="G90" s="3">
        <v>9.8113781563735625E-3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9.2184051025012481E-2</v>
      </c>
      <c r="E91" s="2">
        <v>86</v>
      </c>
      <c r="F91" s="3">
        <v>3.6738861330225081E-2</v>
      </c>
      <c r="G91" s="3">
        <v>-5.2722753634104613E-4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-5.9447508876928956E-2</v>
      </c>
      <c r="E92" s="2">
        <v>87</v>
      </c>
      <c r="F92" s="3">
        <v>-6.1417652236815723E-2</v>
      </c>
      <c r="G92" s="3">
        <v>-2.6224566691785967E-2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-5.4538547379917923E-2</v>
      </c>
      <c r="E93" s="2">
        <v>88</v>
      </c>
      <c r="F93" s="3">
        <v>-9.0814545184414452E-3</v>
      </c>
      <c r="G93" s="3">
        <v>-4.5581179383996306E-2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-6.7403314917127033E-2</v>
      </c>
      <c r="E94" s="2">
        <v>89</v>
      </c>
      <c r="F94" s="3">
        <v>-7.2464718781041104E-2</v>
      </c>
      <c r="G94" s="3">
        <v>-2.3108732668450482E-2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-3.3296531667384777E-2</v>
      </c>
      <c r="E95" s="2">
        <v>90</v>
      </c>
      <c r="F95" s="3">
        <v>-7.8994958628423539E-2</v>
      </c>
      <c r="G95" s="3">
        <v>-6.4741035856573648E-3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2.564102564102555E-2</v>
      </c>
      <c r="E96" s="2">
        <v>91</v>
      </c>
      <c r="F96" s="3">
        <v>4.8814198898663452E-3</v>
      </c>
      <c r="G96" s="3">
        <v>6.5998329156224944E-3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-0.12218902770233575</v>
      </c>
      <c r="E97" s="2">
        <v>92</v>
      </c>
      <c r="F97" s="3">
        <v>-0.11002434311788412</v>
      </c>
      <c r="G97" s="3">
        <v>1.7096854510747717E-2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1.9337272980415321E-2</v>
      </c>
      <c r="E98" s="2">
        <v>93</v>
      </c>
      <c r="F98" s="3">
        <v>8.644882739672255E-2</v>
      </c>
      <c r="G98" s="3">
        <v>6.446348429212545E-3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9.9981788380987036E-2</v>
      </c>
      <c r="E99" s="2">
        <v>94</v>
      </c>
      <c r="F99" s="3">
        <v>5.7069635115606809E-2</v>
      </c>
      <c r="G99" s="3">
        <v>-2.08367115291066E-2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-0.13417494481236203</v>
      </c>
      <c r="E100" s="2">
        <v>95</v>
      </c>
      <c r="F100" s="3">
        <v>-6.0332582157618608E-2</v>
      </c>
      <c r="G100" s="3">
        <v>-6.0445474869585958E-3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-5.6871962393434727E-2</v>
      </c>
      <c r="E101" s="2">
        <v>96</v>
      </c>
      <c r="F101" s="3">
        <v>-2.7414698461048825E-2</v>
      </c>
      <c r="G101" s="3">
        <v>-2.4908363878707207E-2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-2.7759943229818007E-2</v>
      </c>
      <c r="E102" s="2">
        <v>97</v>
      </c>
      <c r="F102" s="3">
        <v>-1.7003622764987791E-2</v>
      </c>
      <c r="G102" s="3">
        <v>1.3925672789406152E-2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-6.9044019255165567E-2</v>
      </c>
      <c r="E103" s="2">
        <v>98</v>
      </c>
      <c r="F103" s="3">
        <v>8.3576056589194092E-3</v>
      </c>
      <c r="G103" s="3">
        <v>5.5695989214695096E-2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0.11881650177338066</v>
      </c>
      <c r="E104" s="2">
        <v>99</v>
      </c>
      <c r="F104" s="3">
        <v>8.1044117993822162E-2</v>
      </c>
      <c r="G104" s="3">
        <v>-3.1766302178944938E-2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5.6844915324935297E-2</v>
      </c>
      <c r="E105" s="2">
        <v>100</v>
      </c>
      <c r="F105" s="3">
        <v>5.0898660733760925E-2</v>
      </c>
      <c r="G105" s="3">
        <v>-5.358173275080369E-3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5.7639480913138197E-2</v>
      </c>
      <c r="E106" s="2">
        <v>101</v>
      </c>
      <c r="F106" s="3">
        <v>1.1322242862628284E-2</v>
      </c>
      <c r="G106" s="3">
        <v>-1.1188463451019426E-2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6.5066499485020968E-2</v>
      </c>
      <c r="E107" s="2">
        <v>102</v>
      </c>
      <c r="F107" s="3">
        <v>1.6223704463827593E-2</v>
      </c>
      <c r="G107" s="3">
        <v>-1.0979800519654637E-2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6.4399035766341539E-2</v>
      </c>
      <c r="E108" s="2">
        <v>103</v>
      </c>
      <c r="F108" s="3">
        <v>1.7873191222950391E-2</v>
      </c>
      <c r="G108" s="3">
        <v>-8.4745762711779804E-5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-8.1570042266317366E-2</v>
      </c>
      <c r="E109" s="2">
        <v>104</v>
      </c>
      <c r="F109" s="3">
        <v>-1.1944325949147294E-2</v>
      </c>
      <c r="G109" s="3">
        <v>-2.517162471395884E-2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0.12163092097717643</v>
      </c>
      <c r="E110" s="2">
        <v>105</v>
      </c>
      <c r="F110" s="3">
        <v>5.4961494824141255E-2</v>
      </c>
      <c r="G110" s="3">
        <v>2.3561119805251218E-2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1.766450227516736E-2</v>
      </c>
      <c r="E111" s="2">
        <v>106</v>
      </c>
      <c r="F111" s="3">
        <v>7.1285131006653124E-3</v>
      </c>
      <c r="G111" s="3">
        <v>2.1489849655992543E-2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1.8249642040744751E-2</v>
      </c>
      <c r="E112" s="2">
        <v>107</v>
      </c>
      <c r="F112" s="3">
        <v>5.0765450765450693E-2</v>
      </c>
      <c r="G112" s="3">
        <v>-3.9913520705138206E-3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4.6613462273809247E-2</v>
      </c>
      <c r="E113" s="2">
        <v>108</v>
      </c>
      <c r="F113" s="3">
        <v>1.7276422764227695E-2</v>
      </c>
      <c r="G113" s="3">
        <v>-2.0203706795792309E-2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4.1154979375368272E-2</v>
      </c>
      <c r="E114" s="2">
        <v>109</v>
      </c>
      <c r="F114" s="3">
        <v>1.2209029908144986E-2</v>
      </c>
      <c r="G114" s="3">
        <v>7.6687116564433389E-4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-3.3053360802336451E-3</v>
      </c>
      <c r="E115" s="2">
        <v>110</v>
      </c>
      <c r="F115" s="3">
        <v>-1.6358935839432598E-2</v>
      </c>
      <c r="G115" s="3">
        <v>-1.7794806300553523E-2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-2.0056785917092479E-2</v>
      </c>
      <c r="E116" s="2">
        <v>111</v>
      </c>
      <c r="F116" s="3">
        <v>-1.6790829419024988E-2</v>
      </c>
      <c r="G116" s="3">
        <v>1.2222607489597914E-2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-6.8378841963747661E-2</v>
      </c>
      <c r="E117" s="2">
        <v>112</v>
      </c>
      <c r="F117" s="3">
        <v>1.2083446220536587E-2</v>
      </c>
      <c r="G117" s="3">
        <v>-1.7127686905883399E-3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-2.2454717356688025E-2</v>
      </c>
      <c r="E118" s="2">
        <v>113</v>
      </c>
      <c r="F118" s="3">
        <v>1.7989078059749364E-2</v>
      </c>
      <c r="G118" s="3">
        <v>-1.1323668182208202E-2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-6.4202904083788259E-2</v>
      </c>
      <c r="E119" s="2">
        <v>114</v>
      </c>
      <c r="F119" s="3">
        <v>-3.4290522772693732E-2</v>
      </c>
      <c r="G119" s="3">
        <v>1.3709327548806938E-2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9.2787010090570332E-2</v>
      </c>
      <c r="E120" s="2">
        <v>115</v>
      </c>
      <c r="F120" s="3">
        <v>2.2873325345822426E-3</v>
      </c>
      <c r="G120" s="3">
        <v>-1.2411195754515103E-2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3.9224958622148698E-2</v>
      </c>
      <c r="E121" s="2">
        <v>116</v>
      </c>
      <c r="F121" s="3">
        <v>9.3639063971600045E-3</v>
      </c>
      <c r="G121" s="3">
        <v>-5.1135378748482507E-3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-2.9936893029491873E-4</v>
      </c>
      <c r="E122" s="2">
        <v>117</v>
      </c>
      <c r="F122" s="3">
        <v>1.4014247519245071E-2</v>
      </c>
      <c r="G122" s="3">
        <v>-1.9078316926561589E-2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5.1770399118393762E-2</v>
      </c>
      <c r="E123" s="2">
        <v>118</v>
      </c>
      <c r="F123" s="3">
        <v>3.8594938948858459E-2</v>
      </c>
      <c r="G123" s="3">
        <v>-6.9360568383658894E-2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2.0340295651777751E-2</v>
      </c>
      <c r="E124" s="2">
        <v>119</v>
      </c>
      <c r="F124" s="3">
        <v>3.2458128162750732E-2</v>
      </c>
      <c r="G124" s="3">
        <v>-3.912587078919838E-3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4.1052772568979545E-2</v>
      </c>
      <c r="E125" s="2">
        <v>120</v>
      </c>
      <c r="F125" s="3">
        <v>-2.5290448214403627E-2</v>
      </c>
      <c r="G125" s="3">
        <v>-1.6669860126460878E-2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8.4335799292377001E-2</v>
      </c>
      <c r="E126" s="2">
        <v>121</v>
      </c>
      <c r="F126" s="3">
        <v>1.8903383646414307E-2</v>
      </c>
      <c r="G126" s="3">
        <v>-1.7829306313328241E-2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-4.5166903970890737E-2</v>
      </c>
      <c r="E127" s="2">
        <v>122</v>
      </c>
      <c r="F127" s="3">
        <v>-1.9117647058823573E-2</v>
      </c>
      <c r="G127" s="3">
        <v>1.6069834341831069E-2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-5.6312650153259924E-2</v>
      </c>
      <c r="E128" s="2">
        <v>123</v>
      </c>
      <c r="F128" s="3">
        <v>-2.010858977291019E-2</v>
      </c>
      <c r="G128" s="3">
        <v>-2.1282827296690399E-2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6.4643915285855558E-2</v>
      </c>
      <c r="E129" s="2">
        <v>124</v>
      </c>
      <c r="F129" s="3">
        <v>2.9952024895189666E-2</v>
      </c>
      <c r="G129" s="3">
        <v>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3.9115243091701668E-2</v>
      </c>
      <c r="E130" s="2">
        <v>125</v>
      </c>
      <c r="F130" s="3">
        <v>-1.4267729752415192E-4</v>
      </c>
      <c r="G130" s="3">
        <v>2.1845386533665856E-2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0.10229527059196952</v>
      </c>
      <c r="E131" s="2">
        <v>126</v>
      </c>
      <c r="F131" s="3">
        <v>3.5968203604375137E-2</v>
      </c>
      <c r="G131" s="3">
        <v>3.8071065989846442E-3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-2.515994924817111E-2</v>
      </c>
      <c r="E132" s="2">
        <v>127</v>
      </c>
      <c r="F132" s="3">
        <v>-1.1222025960556881E-2</v>
      </c>
      <c r="G132" s="3">
        <v>2.6256928911796429E-3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0.12708962181422101</v>
      </c>
      <c r="E133" s="2">
        <v>128</v>
      </c>
      <c r="F133" s="3">
        <v>6.9489400408087043E-3</v>
      </c>
      <c r="G133" s="3">
        <v>6.7895247332687703E-3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-5.1514729609094201E-2</v>
      </c>
      <c r="E134" s="2">
        <v>129</v>
      </c>
      <c r="F134" s="3">
        <v>-1.7740741042146402E-2</v>
      </c>
      <c r="G134" s="3">
        <v>4.5279383429672748E-3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0.12030808817815242</v>
      </c>
      <c r="E135" s="2">
        <v>130</v>
      </c>
      <c r="F135" s="3">
        <v>3.518612107604735E-2</v>
      </c>
      <c r="G135" s="3">
        <v>-6.1379111920975005E-3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6.3147428782833748E-2</v>
      </c>
      <c r="E136" s="2">
        <v>131</v>
      </c>
      <c r="F136" s="3">
        <v>-9.5239619681797283E-4</v>
      </c>
      <c r="G136" s="3">
        <v>-2.2483836726816531E-2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1.4832858478870836E-2</v>
      </c>
      <c r="E137" s="2">
        <v>132</v>
      </c>
      <c r="F137" s="3">
        <v>2.5466838635253009E-2</v>
      </c>
      <c r="G137" s="3">
        <v>-4.1461006910167852E-2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-2.0173878256645406E-2</v>
      </c>
      <c r="E138" s="2">
        <v>133</v>
      </c>
      <c r="F138" s="3">
        <v>4.5309668145754323E-4</v>
      </c>
      <c r="G138" s="3">
        <v>-2.059732234809486E-3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-8.7416793648247282E-3</v>
      </c>
      <c r="E139" s="2">
        <v>134</v>
      </c>
      <c r="F139" s="3">
        <v>1.1064607311854768E-2</v>
      </c>
      <c r="G139" s="3">
        <v>7.1207430340556321E-3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4.4226243012650768E-2</v>
      </c>
      <c r="E140" s="2">
        <v>135</v>
      </c>
      <c r="F140" s="3">
        <v>1.2186928013716125E-2</v>
      </c>
      <c r="G140" s="3">
        <v>-3.0945793626396045E-2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-7.1865777295682998E-2</v>
      </c>
      <c r="E141" s="2">
        <v>136</v>
      </c>
      <c r="F141" s="3">
        <v>-3.091690129023883E-2</v>
      </c>
      <c r="G141" s="3">
        <v>1.797610235804159E-3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-1.7113151703726182E-2</v>
      </c>
      <c r="E142" s="2">
        <v>137</v>
      </c>
      <c r="F142" s="3">
        <v>8.6608035651192239E-5</v>
      </c>
      <c r="G142" s="3">
        <v>1.3616212792906923E-2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2.0615372736747517E-3</v>
      </c>
      <c r="E143" s="2">
        <v>138</v>
      </c>
      <c r="F143" s="3">
        <v>5.0858132577547011E-3</v>
      </c>
      <c r="G143" s="3">
        <v>-7.4976569821929573E-3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4.2317116395185872E-2</v>
      </c>
      <c r="E144" s="2">
        <v>139</v>
      </c>
      <c r="F144" s="3">
        <v>2.1274262528785837E-2</v>
      </c>
      <c r="G144" s="3">
        <v>6.8198510124855005E-3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1.3801617457900317E-2</v>
      </c>
      <c r="E145" s="2">
        <v>140</v>
      </c>
      <c r="F145" s="3">
        <v>2.4566274485741779E-2</v>
      </c>
      <c r="G145" s="3">
        <v>-1.5006252605252124E-2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-5.0021510707958239E-3</v>
      </c>
      <c r="E146" s="2">
        <v>141</v>
      </c>
      <c r="F146" s="3">
        <v>3.1508028596025195E-2</v>
      </c>
      <c r="G146" s="3">
        <v>-1.0579771476936228E-3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4.9584111978308032E-2</v>
      </c>
      <c r="E147" s="2">
        <v>142</v>
      </c>
      <c r="F147" s="3">
        <v>1.6466609576614388E-2</v>
      </c>
      <c r="G147" s="3">
        <v>-1.514509637788608E-2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1.5709986663967612E-3</v>
      </c>
      <c r="E148" s="2">
        <v>143</v>
      </c>
      <c r="F148" s="3">
        <v>1.2615751483260995E-2</v>
      </c>
      <c r="G148" s="3">
        <v>-3.2261533498223471E-4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-5.1747695997099941E-2</v>
      </c>
      <c r="E149" s="2">
        <v>144</v>
      </c>
      <c r="F149" s="3">
        <v>1.4059084819854739E-2</v>
      </c>
      <c r="G149" s="3">
        <v>1.2155765920826012E-2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4.1985546561978504E-2</v>
      </c>
      <c r="E150" s="2">
        <v>145</v>
      </c>
      <c r="F150" s="3">
        <v>-2.1846145288686225E-2</v>
      </c>
      <c r="G150" s="3">
        <v>-2.7633117228186288E-3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2.4842310243131438E-2</v>
      </c>
      <c r="E151" s="2">
        <v>146</v>
      </c>
      <c r="F151" s="3">
        <v>9.9799547916576969E-3</v>
      </c>
      <c r="G151" s="3">
        <v>2.1315144410103404E-3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6.1746583594368465E-2</v>
      </c>
      <c r="E152" s="2">
        <v>147</v>
      </c>
      <c r="F152" s="3">
        <v>4.3290683107413797E-2</v>
      </c>
      <c r="G152" s="3">
        <v>-1.1592045091991854E-2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0.10288281979458458</v>
      </c>
      <c r="E153" s="2">
        <v>148</v>
      </c>
      <c r="F153" s="3">
        <v>3.2549228600146973E-2</v>
      </c>
      <c r="G153" s="3">
        <v>5.3798149343653456E-4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2.5098329717621715E-2</v>
      </c>
      <c r="E154" s="2">
        <v>149</v>
      </c>
      <c r="F154" s="3">
        <v>-1.7816309730697366E-2</v>
      </c>
      <c r="G154" s="3">
        <v>-3.3336917948166844E-3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0.10878068364303739</v>
      </c>
      <c r="E155" s="2">
        <v>150</v>
      </c>
      <c r="F155" s="3">
        <v>-3.1981907074200899E-2</v>
      </c>
      <c r="G155" s="3">
        <v>-3.8843331894690136E-3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-3.1051017188494123E-2</v>
      </c>
      <c r="E156" s="2">
        <v>151</v>
      </c>
      <c r="F156" s="3">
        <v>1.2863592323073991E-2</v>
      </c>
      <c r="G156" s="3">
        <v>1.8089254766031182E-2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3.9098033353974992E-2</v>
      </c>
      <c r="E157" s="2">
        <v>152</v>
      </c>
      <c r="F157" s="3">
        <v>3.579400131615551E-2</v>
      </c>
      <c r="G157" s="3">
        <v>-2.0427705075007907E-2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6.0812338169413449E-2</v>
      </c>
      <c r="E158" s="2">
        <v>153</v>
      </c>
      <c r="F158" s="3">
        <v>1.4822335025380884E-2</v>
      </c>
      <c r="G158" s="3">
        <v>-1.4445530574562881E-2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-7.6930527641232982E-2</v>
      </c>
      <c r="E159" s="2">
        <v>154</v>
      </c>
      <c r="F159" s="3">
        <v>-4.4043423821141348E-2</v>
      </c>
      <c r="G159" s="3">
        <v>2.4465505840864044E-2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-4.6537250786987672E-3</v>
      </c>
      <c r="E160" s="2">
        <v>155</v>
      </c>
      <c r="F160" s="3">
        <v>-8.6352404229176338E-3</v>
      </c>
      <c r="G160" s="3">
        <v>9.2512908777968583E-3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-0.14361166604291753</v>
      </c>
      <c r="E161" s="2">
        <v>156</v>
      </c>
      <c r="F161" s="3">
        <v>-6.1157081077399811E-2</v>
      </c>
      <c r="G161" s="3">
        <v>6.0754636538051798E-3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5.3512076224240923E-2</v>
      </c>
      <c r="E162" s="2">
        <v>157</v>
      </c>
      <c r="F162" s="3">
        <v>-3.4761162090602316E-2</v>
      </c>
      <c r="G162" s="3">
        <v>-6.9922661298866817E-3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-4.4577651581542144E-3</v>
      </c>
      <c r="E163" s="2">
        <v>158</v>
      </c>
      <c r="F163" s="3">
        <v>-5.9595830546433914E-3</v>
      </c>
      <c r="G163" s="3">
        <v>5.8039048330310594E-2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7.129149818954339E-2</v>
      </c>
      <c r="E164" s="2">
        <v>159</v>
      </c>
      <c r="F164" s="3">
        <v>4.7546684811370588E-2</v>
      </c>
      <c r="G164" s="3">
        <v>8.0669557325803165E-3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1.4544199575999617E-2</v>
      </c>
      <c r="E165" s="2">
        <v>160</v>
      </c>
      <c r="F165" s="3">
        <v>1.0674153248796614E-2</v>
      </c>
      <c r="G165" s="3">
        <v>3.1709512853856259E-2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-9.5625317221196271E-2</v>
      </c>
      <c r="E166" s="2">
        <v>161</v>
      </c>
      <c r="F166" s="3">
        <v>-8.5962381639269392E-2</v>
      </c>
      <c r="G166" s="3">
        <v>1.1634671320535084E-2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-4.7912736130680811E-2</v>
      </c>
      <c r="E167" s="2">
        <v>162</v>
      </c>
      <c r="F167" s="3">
        <v>-9.8593749999998925E-3</v>
      </c>
      <c r="G167" s="3">
        <v>-3.3448341958980388E-2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-7.5520327089617312E-2</v>
      </c>
      <c r="E168" s="2">
        <v>163</v>
      </c>
      <c r="F168" s="3">
        <v>1.2190503242910378E-2</v>
      </c>
      <c r="G168" s="3">
        <v>7.2682201289043125E-2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-1.7758302583025909E-2</v>
      </c>
      <c r="E169" s="2">
        <v>164</v>
      </c>
      <c r="F169" s="3">
        <v>-9.0791453271283018E-2</v>
      </c>
      <c r="G169" s="3">
        <v>9.7892401552967412E-2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-0.23134400508266229</v>
      </c>
      <c r="E170" s="2">
        <v>165</v>
      </c>
      <c r="F170" s="3">
        <v>-0.16942453444905514</v>
      </c>
      <c r="G170" s="3">
        <v>8.7311610676096718E-2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-3.3232709826963469E-2</v>
      </c>
      <c r="E171" s="2">
        <v>166</v>
      </c>
      <c r="F171" s="3">
        <v>-7.4849032258064496E-2</v>
      </c>
      <c r="G171" s="3">
        <v>0.14813380827009448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4.4978486529686723E-2</v>
      </c>
      <c r="E172" s="2">
        <v>167</v>
      </c>
      <c r="F172" s="3">
        <v>7.8215656520574939E-3</v>
      </c>
      <c r="G172" s="3">
        <v>-0.15188507452620226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3.3473547537951065E-2</v>
      </c>
      <c r="E173" s="2">
        <v>168</v>
      </c>
      <c r="F173" s="3">
        <v>-8.5657348463880401E-2</v>
      </c>
      <c r="G173" s="3">
        <v>8.8270377733598471E-2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-8.5258710449096831E-2</v>
      </c>
      <c r="E174" s="2">
        <v>169</v>
      </c>
      <c r="F174" s="3">
        <v>-0.10993122487528451</v>
      </c>
      <c r="G174" s="3">
        <v>0.10807453416149082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0.1347374956492291</v>
      </c>
      <c r="E175" s="2">
        <v>170</v>
      </c>
      <c r="F175" s="3">
        <v>8.5404508291501591E-2</v>
      </c>
      <c r="G175" s="3">
        <v>-9.186230546030083E-2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0.13521131431034772</v>
      </c>
      <c r="E176" s="2">
        <v>171</v>
      </c>
      <c r="F176" s="3">
        <v>9.3925075513554779E-2</v>
      </c>
      <c r="G176" s="3">
        <v>-2.1131363009222248E-2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1.9374014137991669E-2</v>
      </c>
      <c r="E177" s="2">
        <v>172</v>
      </c>
      <c r="F177" s="3">
        <v>5.3081426656431674E-2</v>
      </c>
      <c r="G177" s="3">
        <v>-5.5712166172106725E-2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-4.1693829743032484E-3</v>
      </c>
      <c r="E178" s="2">
        <v>173</v>
      </c>
      <c r="F178" s="3">
        <v>1.9583523728705643E-4</v>
      </c>
      <c r="G178" s="3">
        <v>9.2701704768638482E-3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0.12029610019639292</v>
      </c>
      <c r="E179" s="2">
        <v>174</v>
      </c>
      <c r="F179" s="3">
        <v>7.4141756950789617E-2</v>
      </c>
      <c r="G179" s="3">
        <v>-3.4404919436444303E-2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2.2192398333001462E-2</v>
      </c>
      <c r="E180" s="2">
        <v>175</v>
      </c>
      <c r="F180" s="3">
        <v>3.3560173370599911E-2</v>
      </c>
      <c r="G180" s="3">
        <v>3.5469568722290568E-3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5.1066369318717442E-2</v>
      </c>
      <c r="E181" s="2">
        <v>176</v>
      </c>
      <c r="F181" s="3">
        <v>3.5723383825517763E-2</v>
      </c>
      <c r="G181" s="3">
        <v>-4.5144188288215981E-2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-5.5255388072725564E-2</v>
      </c>
      <c r="E182" s="2">
        <v>177</v>
      </c>
      <c r="F182" s="3">
        <v>-1.9761985847807084E-2</v>
      </c>
      <c r="G182" s="3">
        <v>1.0010936316984909E-2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-1.5872815036471533E-2</v>
      </c>
      <c r="E183" s="2">
        <v>178</v>
      </c>
      <c r="F183" s="3">
        <v>5.7363996950366314E-2</v>
      </c>
      <c r="G183" s="3">
        <v>-2.7652840246543242E-2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8.1749807148367326E-2</v>
      </c>
      <c r="E184" s="2">
        <v>179</v>
      </c>
      <c r="F184" s="3">
        <v>1.7770597738287375E-2</v>
      </c>
      <c r="G184" s="3">
        <v>1.7132088401550227E-4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-4.7742709936592576E-2</v>
      </c>
      <c r="E185" s="2">
        <v>180</v>
      </c>
      <c r="F185" s="3">
        <v>-3.6974262397991176E-2</v>
      </c>
      <c r="G185" s="3">
        <v>-9.5066803699896951E-3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-4.8988099324152046E-3</v>
      </c>
      <c r="E186" s="2">
        <v>181</v>
      </c>
      <c r="F186" s="3">
        <v>2.8513693463827261E-2</v>
      </c>
      <c r="G186" s="3">
        <v>1.6428880242109756E-3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6.1627513200968265E-2</v>
      </c>
      <c r="E187" s="2">
        <v>182</v>
      </c>
      <c r="F187" s="3">
        <v>5.8796367554255768E-2</v>
      </c>
      <c r="G187" s="3">
        <v>-2.3825966850828828E-2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2.8773961071565823E-2</v>
      </c>
      <c r="E188" s="2">
        <v>183</v>
      </c>
      <c r="F188" s="3">
        <v>1.4759327193589966E-2</v>
      </c>
      <c r="G188" s="3">
        <v>-1.3530244074991149E-2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-5.7597785893107267E-2</v>
      </c>
      <c r="E189" s="2">
        <v>184</v>
      </c>
      <c r="F189" s="3">
        <v>-8.1975916203894883E-2</v>
      </c>
      <c r="G189" s="3">
        <v>7.593007619901404E-2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3.4753998476770631E-2</v>
      </c>
      <c r="E190" s="2">
        <v>185</v>
      </c>
      <c r="F190" s="3">
        <v>-5.3882376699314394E-2</v>
      </c>
      <c r="G190" s="3">
        <v>8.4152641226462599E-3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3.5942035812493778E-2</v>
      </c>
      <c r="E191" s="2">
        <v>186</v>
      </c>
      <c r="F191" s="3">
        <v>6.8777832756061308E-2</v>
      </c>
      <c r="G191" s="3">
        <v>-1.9086176980913749E-2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-9.4240421069383684E-3</v>
      </c>
      <c r="E192" s="2">
        <v>187</v>
      </c>
      <c r="F192" s="3">
        <v>-4.7449164851125603E-2</v>
      </c>
      <c r="G192" s="3">
        <v>1.6004043126682799E-3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7.4629178023239096E-2</v>
      </c>
      <c r="E193" s="2">
        <v>188</v>
      </c>
      <c r="F193" s="3">
        <v>8.7551104037814742E-2</v>
      </c>
      <c r="G193" s="3">
        <v>-3.9609788915986766E-2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5.4143239303507951E-3</v>
      </c>
      <c r="E194" s="2">
        <v>189</v>
      </c>
      <c r="F194" s="3">
        <v>3.6855941114616098E-2</v>
      </c>
      <c r="G194" s="3">
        <v>-1.348511383537665E-2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1.1513847951353018E-2</v>
      </c>
      <c r="E195" s="2">
        <v>190</v>
      </c>
      <c r="F195" s="3">
        <v>-2.2902827780877377E-3</v>
      </c>
      <c r="G195" s="3">
        <v>2.7250133143972954E-2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7.6849571832849461E-2</v>
      </c>
      <c r="E196" s="2">
        <v>191</v>
      </c>
      <c r="F196" s="3">
        <v>6.5300072000338938E-2</v>
      </c>
      <c r="G196" s="3">
        <v>-1.5899075434200216E-2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9.1321306679668091E-3</v>
      </c>
      <c r="E197" s="2">
        <v>192</v>
      </c>
      <c r="F197" s="3">
        <v>2.2645590152984729E-2</v>
      </c>
      <c r="G197" s="3">
        <v>-2.1599789270348668E-2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-6.3017881559430444E-2</v>
      </c>
      <c r="E198" s="2">
        <v>193</v>
      </c>
      <c r="F198" s="3">
        <v>3.1956582589494076E-2</v>
      </c>
      <c r="G198" s="3">
        <v>1.2204971731131664E-2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8.6319806115608744E-2</v>
      </c>
      <c r="E199" s="2">
        <v>194</v>
      </c>
      <c r="F199" s="3">
        <v>-1.0473018791158362E-3</v>
      </c>
      <c r="G199" s="3">
        <v>-1.8352690841386687E-2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4.0660749038781141E-2</v>
      </c>
      <c r="E200" s="2">
        <v>195</v>
      </c>
      <c r="F200" s="3">
        <v>2.8495357625034856E-2</v>
      </c>
      <c r="G200" s="3">
        <v>-3.1520953757225523E-2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-2.2756299147950299E-2</v>
      </c>
      <c r="E201" s="2">
        <v>196</v>
      </c>
      <c r="F201" s="3">
        <v>-1.350092768460176E-2</v>
      </c>
      <c r="G201" s="3">
        <v>7.7403711647858753E-3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-1.9500856488072094E-2</v>
      </c>
      <c r="E202" s="2">
        <v>197</v>
      </c>
      <c r="F202" s="3">
        <v>-1.8257508177222714E-2</v>
      </c>
      <c r="G202" s="3">
        <v>-2.3135295206366813E-3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1.5480627793724944E-2</v>
      </c>
      <c r="E203" s="2">
        <v>198</v>
      </c>
      <c r="F203" s="3">
        <v>-2.1474436636782279E-2</v>
      </c>
      <c r="G203" s="3">
        <v>-2.365272238196825E-2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-0.11864748430768657</v>
      </c>
      <c r="E204" s="2">
        <v>199</v>
      </c>
      <c r="F204" s="3">
        <v>-5.6791097904478782E-2</v>
      </c>
      <c r="G204" s="3">
        <v>1.8145544366331201E-2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-5.8751881538846029E-2</v>
      </c>
      <c r="E205" s="2">
        <v>200</v>
      </c>
      <c r="F205" s="3">
        <v>-7.1762012979021961E-2</v>
      </c>
      <c r="G205" s="3">
        <v>0.10058785107772694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>
        <v>7.8761336987539732E-2</v>
      </c>
      <c r="E206" s="2">
        <v>201</v>
      </c>
      <c r="F206" s="3">
        <v>0.10772303830584562</v>
      </c>
      <c r="G206" s="3">
        <v>-6.3586265366680772E-2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>
        <v>-3.2225790060920967E-2</v>
      </c>
      <c r="E207" s="2">
        <v>202</v>
      </c>
      <c r="F207" s="3">
        <v>-5.0586451767333784E-3</v>
      </c>
      <c r="G207" s="3">
        <v>4.1466727025803563E-2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>
        <v>-1.178342742393812E-2</v>
      </c>
      <c r="E208" s="2">
        <v>203</v>
      </c>
      <c r="F208" s="3">
        <v>8.5327516520175006E-3</v>
      </c>
      <c r="G208" s="3">
        <v>2.608015300356481E-3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>
        <v>7.1231391107167585E-2</v>
      </c>
      <c r="E209" s="2">
        <v>204</v>
      </c>
      <c r="F209" s="3">
        <v>4.3583015267175673E-2</v>
      </c>
      <c r="G209" s="3">
        <v>-2.4538281453221122E-2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>
        <v>3.8071572101299189E-2</v>
      </c>
      <c r="E210" s="2">
        <v>205</v>
      </c>
      <c r="F210" s="3">
        <v>4.0589449943234213E-2</v>
      </c>
      <c r="G210" s="3">
        <v>1.3333333333334085E-3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>
        <v>-7.9842383942864137E-3</v>
      </c>
      <c r="E211" s="2">
        <v>206</v>
      </c>
      <c r="F211" s="3">
        <v>3.1332376545017748E-2</v>
      </c>
      <c r="G211" s="3">
        <v>1.0031069684864669E-2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>
        <v>-1.5913288713233054E-2</v>
      </c>
      <c r="E212" s="2">
        <v>207</v>
      </c>
      <c r="F212" s="3">
        <v>-7.497497284287169E-3</v>
      </c>
      <c r="G212" s="3">
        <v>-3.1640007031111805E-3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>
        <v>-6.9889353629433049E-2</v>
      </c>
      <c r="E213" s="2">
        <v>208</v>
      </c>
      <c r="F213" s="3">
        <v>-6.2650671359386623E-2</v>
      </c>
      <c r="G213" s="3">
        <v>3.8441192029624371E-2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>
        <v>5.7174784509648191E-3</v>
      </c>
      <c r="E214" s="2">
        <v>209</v>
      </c>
      <c r="F214" s="3">
        <v>3.9554921279372435E-2</v>
      </c>
      <c r="G214" s="3">
        <v>-2.0376974019358118E-2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>
        <v>1.5091612235101248E-2</v>
      </c>
      <c r="E215" s="2">
        <v>210</v>
      </c>
      <c r="F215" s="3">
        <v>1.2597639043871345E-2</v>
      </c>
      <c r="G215" s="3">
        <v>-1.5253943491072897E-2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>
        <v>1.2290182200755506E-2</v>
      </c>
      <c r="E216" s="2">
        <v>211</v>
      </c>
      <c r="F216" s="3">
        <v>1.9763361656468303E-2</v>
      </c>
      <c r="G216" s="3">
        <v>-1.4082027812005737E-3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>
        <v>4.7813261106911975E-2</v>
      </c>
      <c r="E217" s="2">
        <v>212</v>
      </c>
      <c r="F217" s="3">
        <v>2.4236090375236552E-2</v>
      </c>
      <c r="G217" s="3">
        <v>-1.4101886127269481E-2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>
        <v>-4.215488350424057E-2</v>
      </c>
      <c r="E218" s="2">
        <v>213</v>
      </c>
      <c r="F218" s="3">
        <v>-1.9789403541407791E-2</v>
      </c>
      <c r="G218" s="3">
        <v>-2.1902377972465636E-2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>
        <v>1.0899239563612051E-2</v>
      </c>
      <c r="E219" s="2">
        <v>214</v>
      </c>
      <c r="F219" s="3">
        <v>2.8467029231815655E-3</v>
      </c>
      <c r="G219" s="3">
        <v>-8.5915364226303303E-3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>
        <v>3.318847327849328E-2</v>
      </c>
      <c r="E220" s="2">
        <v>215</v>
      </c>
      <c r="F220" s="3">
        <v>7.0683105254980561E-3</v>
      </c>
      <c r="G220" s="3">
        <v>-1.2538028948096414E-2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>
        <v>-1.7580931874514816E-2</v>
      </c>
      <c r="E221" s="2">
        <v>216</v>
      </c>
      <c r="F221" s="3">
        <v>5.0428063581991145E-2</v>
      </c>
      <c r="G221" s="3">
        <v>1.0829987862944757E-2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>
        <v>3.2901108086893505E-2</v>
      </c>
      <c r="E222" s="2">
        <v>217</v>
      </c>
      <c r="F222" s="3">
        <v>1.1060603026480154E-2</v>
      </c>
      <c r="G222" s="3">
        <v>2.4937655860348684E-3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>
        <v>-1.065882387773931E-2</v>
      </c>
      <c r="E223" s="2">
        <v>218</v>
      </c>
      <c r="F223" s="3">
        <v>3.5987799403174314E-2</v>
      </c>
      <c r="G223" s="3">
        <v>2.4599226091763127E-2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>
        <v>-2.0420072921706445E-2</v>
      </c>
      <c r="E224" s="2">
        <v>219</v>
      </c>
      <c r="F224" s="3">
        <v>1.8085763992887971E-2</v>
      </c>
      <c r="G224" s="3">
        <v>-3.5967988490244185E-3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>
        <v>1.8890501285674155E-2</v>
      </c>
      <c r="E225" s="2">
        <v>220</v>
      </c>
      <c r="F225" s="3">
        <v>2.0762783477406455E-2</v>
      </c>
      <c r="G225" s="3">
        <v>1.8229401678548918E-2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>
        <v>-6.8828864845955851E-2</v>
      </c>
      <c r="E226" s="2">
        <v>221</v>
      </c>
      <c r="F226" s="3">
        <v>-1.499932545960736E-2</v>
      </c>
      <c r="G226" s="3">
        <v>1.8966586900647009E-2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>
        <v>2.7214863791511945E-2</v>
      </c>
      <c r="E227" s="2">
        <v>222</v>
      </c>
      <c r="F227" s="3">
        <v>4.9455885648828302E-2</v>
      </c>
      <c r="G227" s="3">
        <v>-3.1399495520570753E-2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>
        <v>6.4419052992898962E-3</v>
      </c>
      <c r="E228" s="2">
        <v>223</v>
      </c>
      <c r="F228" s="3">
        <v>-3.1292266805875268E-2</v>
      </c>
      <c r="G228" s="3">
        <v>-2.4245689655171265E-3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>
        <v>3.6649432089536749E-2</v>
      </c>
      <c r="E229" s="2">
        <v>224</v>
      </c>
      <c r="F229" s="3">
        <v>2.9749474883188354E-2</v>
      </c>
      <c r="G229" s="3">
        <v>-3.1776037447115102E-2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>
        <v>1.659021713003761E-2</v>
      </c>
      <c r="E230" s="2">
        <v>225</v>
      </c>
      <c r="F230" s="3">
        <v>4.4595759864410889E-2</v>
      </c>
      <c r="G230" s="3">
        <v>-1.3201933804388055E-2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>
        <v>7.2804653980858003E-3</v>
      </c>
      <c r="E231" s="2">
        <v>226</v>
      </c>
      <c r="F231" s="3">
        <v>2.804946087194149E-2</v>
      </c>
      <c r="G231" s="3">
        <v>6.5950631241729063E-4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>
        <v>-1.6397130379926295E-2</v>
      </c>
      <c r="E232" s="2">
        <v>227</v>
      </c>
      <c r="F232" s="3">
        <v>2.3562833299184183E-2</v>
      </c>
      <c r="G232" s="3">
        <v>-6.4024103191789861E-3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>
        <v>-3.489713325444721E-2</v>
      </c>
      <c r="E233" s="2">
        <v>228</v>
      </c>
      <c r="F233" s="3">
        <v>-3.5582895107013734E-2</v>
      </c>
      <c r="G233" s="3">
        <v>2.2647588363498672E-2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>
        <v>2.0008757695180623E-2</v>
      </c>
      <c r="E234" s="2">
        <v>229</v>
      </c>
      <c r="F234" s="3">
        <v>4.3117037568930705E-2</v>
      </c>
      <c r="G234" s="3">
        <v>-1.0656041512231318E-2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>
        <v>2.8383981737281072E-3</v>
      </c>
      <c r="E235" s="2">
        <v>230</v>
      </c>
      <c r="F235" s="3">
        <v>6.9267794240230884E-3</v>
      </c>
      <c r="G235" s="3">
        <v>1.0302519434297608E-3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>
        <v>-1.1996313475455822E-2</v>
      </c>
      <c r="E236" s="2">
        <v>231</v>
      </c>
      <c r="F236" s="3">
        <v>6.2061709207246185E-3</v>
      </c>
      <c r="G236" s="3">
        <v>-3.4711826347305297E-2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>
        <v>1.6908027872504228E-2</v>
      </c>
      <c r="E237" s="2">
        <v>232</v>
      </c>
      <c r="F237" s="3">
        <v>2.1030282120013677E-2</v>
      </c>
      <c r="G237" s="3">
        <v>-9.7896675390133359E-3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>
        <v>3.6341580783574301E-3</v>
      </c>
      <c r="E238" s="2">
        <v>233</v>
      </c>
      <c r="F238" s="3">
        <v>1.9058313448431896E-2</v>
      </c>
      <c r="G238" s="3">
        <v>-7.0477682067345837E-3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>
        <v>3.6914209798172948E-2</v>
      </c>
      <c r="E239" s="2">
        <v>234</v>
      </c>
      <c r="F239" s="3">
        <v>-1.5079863077291922E-2</v>
      </c>
      <c r="G239" s="3">
        <v>9.7594637223974434E-3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>
        <v>-3.6510413656243301E-3</v>
      </c>
      <c r="E240" s="2">
        <v>235</v>
      </c>
      <c r="F240" s="3">
        <v>3.7655321727690261E-2</v>
      </c>
      <c r="G240" s="3">
        <v>-1.0446158352045209E-2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>
        <v>-2.3422317189902064E-2</v>
      </c>
      <c r="E241" s="2">
        <v>236</v>
      </c>
      <c r="F241" s="3">
        <v>-1.5518850736508938E-2</v>
      </c>
      <c r="G241" s="3">
        <v>3.6503551696921654E-2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>
        <v>-2.7553227826482951E-2</v>
      </c>
      <c r="E242" s="2">
        <v>237</v>
      </c>
      <c r="F242" s="3">
        <v>2.3206644087046424E-2</v>
      </c>
      <c r="G242" s="3">
        <v>3.2362459546926292E-3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>
        <v>8.3230249996182337E-3</v>
      </c>
      <c r="E243" s="2">
        <v>238</v>
      </c>
      <c r="F243" s="3">
        <v>2.4533584400783015E-2</v>
      </c>
      <c r="G243" s="3">
        <v>4.4686907020872857E-2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>
        <v>-3.2911277375579306E-2</v>
      </c>
      <c r="E244" s="2">
        <v>239</v>
      </c>
      <c r="F244" s="3">
        <v>-4.1885120625277938E-3</v>
      </c>
      <c r="G244" s="3">
        <v>-1.7255471800925459E-3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>
        <v>1.7576830115003661E-2</v>
      </c>
      <c r="E245" s="2">
        <v>240</v>
      </c>
      <c r="F245" s="3">
        <v>-3.1040847054252363E-2</v>
      </c>
      <c r="G245" s="3">
        <v>-7.6419213973799582E-3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>
        <v>1.8745575243938717E-2</v>
      </c>
      <c r="E246" s="2">
        <v>241</v>
      </c>
      <c r="F246" s="3">
        <v>5.4892505726845675E-2</v>
      </c>
      <c r="G246" s="3">
        <v>7.700770077007757E-3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>
        <v>2.7812468526538403E-2</v>
      </c>
      <c r="E247" s="2">
        <v>242</v>
      </c>
      <c r="F247" s="3">
        <v>-1.7396056070325572E-2</v>
      </c>
      <c r="G247" s="3">
        <v>5.2765647743813204E-3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>
        <v>4.2204181222226023E-2</v>
      </c>
      <c r="E248" s="2">
        <v>243</v>
      </c>
      <c r="F248" s="3">
        <v>8.5207627098153882E-3</v>
      </c>
      <c r="G248" s="3">
        <v>-3.3393665158371166E-2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>
        <v>-5.8152380862835917E-3</v>
      </c>
      <c r="E249" s="2">
        <v>244</v>
      </c>
      <c r="F249" s="3">
        <v>1.0491438545008114E-2</v>
      </c>
      <c r="G249" s="3">
        <v>3.7356052804044637E-2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>
        <v>-1.9198032910913709E-2</v>
      </c>
      <c r="E250" s="2">
        <v>245</v>
      </c>
      <c r="F250" s="3">
        <v>-2.10117728564716E-2</v>
      </c>
      <c r="G250" s="3">
        <v>1.4530685920577602E-2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>
        <v>-2.1232282325715834E-2</v>
      </c>
      <c r="E251" s="2">
        <v>246</v>
      </c>
      <c r="F251" s="3">
        <v>1.9742039930008559E-2</v>
      </c>
      <c r="G251" s="3">
        <v>3.754114402633224E-2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>
        <v>-4.3676360483902776E-2</v>
      </c>
      <c r="E252" s="2">
        <v>247</v>
      </c>
      <c r="F252" s="3">
        <v>-6.258080462392579E-2</v>
      </c>
      <c r="G252" s="3">
        <v>8.5741232958929103E-3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>
        <v>1.0981256663696426E-2</v>
      </c>
      <c r="E253" s="2">
        <v>248</v>
      </c>
      <c r="F253" s="3">
        <v>-2.6442819620927094E-2</v>
      </c>
      <c r="G253" s="3">
        <v>1.5472243475303848E-2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>
        <v>3.3961514359515332E-2</v>
      </c>
      <c r="E254" s="2">
        <v>249</v>
      </c>
      <c r="F254" s="3">
        <v>8.2983078389400333E-2</v>
      </c>
      <c r="G254" s="3">
        <v>-4.3700293009627522E-2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>
        <v>-1.8477730639033796E-2</v>
      </c>
      <c r="E255" s="2">
        <v>250</v>
      </c>
      <c r="F255" s="3">
        <v>5.0496306555847248E-4</v>
      </c>
      <c r="G255" s="3">
        <v>7.0909568414603275E-3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>
        <v>-1.5391798069248064E-2</v>
      </c>
      <c r="E256" s="2">
        <v>251</v>
      </c>
      <c r="F256" s="3">
        <v>-1.7530198374358763E-2</v>
      </c>
      <c r="G256" s="3">
        <v>1.8776077885952702E-2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>
        <v>-2.5110767803152023E-2</v>
      </c>
      <c r="E257" s="2">
        <v>252</v>
      </c>
      <c r="F257" s="3">
        <v>-5.0735344481736222E-2</v>
      </c>
      <c r="G257" s="3">
        <v>3.1058020477815695E-2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>
        <v>2.4057822453271704E-3</v>
      </c>
      <c r="E258" s="2">
        <v>253</v>
      </c>
      <c r="F258" s="3">
        <v>-4.1283552550199776E-3</v>
      </c>
      <c r="G258" s="3">
        <v>2.2343594836147007E-2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>
        <v>4.1316665449270928E-2</v>
      </c>
      <c r="E259" s="2">
        <v>254</v>
      </c>
      <c r="F259" s="3">
        <v>6.5991108718941094E-2</v>
      </c>
      <c r="G259" s="3">
        <v>-6.6294317629917554E-2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>
        <v>-8.5176741739101391E-4</v>
      </c>
      <c r="E260" s="2">
        <v>255</v>
      </c>
      <c r="F260" s="3">
        <v>2.69936982337593E-3</v>
      </c>
      <c r="G260" s="3">
        <v>-8.3224967490246327E-3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>
        <v>-5.3907679963894894E-3</v>
      </c>
      <c r="E261" s="2">
        <v>256</v>
      </c>
      <c r="F261" s="3">
        <v>1.5329492083474561E-2</v>
      </c>
      <c r="G261" s="3">
        <v>4.0825246962146844E-2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>
        <v>-6.5796107693859573E-3</v>
      </c>
      <c r="E262" s="2">
        <v>257</v>
      </c>
      <c r="F262" s="3">
        <v>9.0607355409733081E-4</v>
      </c>
      <c r="G262" s="3">
        <v>-2.1753737611288293E-2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>
        <v>2.3264902174740643E-2</v>
      </c>
      <c r="E263" s="2">
        <v>258</v>
      </c>
      <c r="F263" s="3">
        <v>3.5609807228685897E-2</v>
      </c>
      <c r="G263" s="3">
        <v>-3.348501760109901E-2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>
        <v>9.1558831260942775E-3</v>
      </c>
      <c r="E264" s="2">
        <v>259</v>
      </c>
      <c r="F264" s="3">
        <v>-1.2191755612808164E-3</v>
      </c>
      <c r="G264" s="3">
        <v>-6.3960202540641609E-3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>
        <v>4.4135354975056718E-3</v>
      </c>
      <c r="E265" s="2">
        <v>260</v>
      </c>
      <c r="F265" s="3">
        <v>-1.2344825997834263E-3</v>
      </c>
      <c r="G265" s="3">
        <v>-1.9848010728654497E-2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>
        <v>-1.7341691010603677E-2</v>
      </c>
      <c r="E266" s="2">
        <v>261</v>
      </c>
      <c r="F266" s="3">
        <v>-1.9425625037472249E-2</v>
      </c>
      <c r="G266" s="3">
        <v>4.4604579038584502E-2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>
        <v>-1.2304612611356514E-2</v>
      </c>
      <c r="E267" s="2">
        <v>262</v>
      </c>
      <c r="F267" s="3">
        <v>3.4174446769983158E-2</v>
      </c>
      <c r="G267" s="3">
        <v>2.0345791128187241E-2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>
        <v>2.1668985822897113E-2</v>
      </c>
      <c r="E268" s="2">
        <v>263</v>
      </c>
      <c r="F268" s="3">
        <v>1.8200754044233047E-2</v>
      </c>
      <c r="G268" s="3">
        <v>3.4231921266581145E-2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>
        <v>2.0286608173859966E-2</v>
      </c>
      <c r="E269" s="2">
        <v>264</v>
      </c>
      <c r="F269" s="3">
        <v>1.7884341374735824E-2</v>
      </c>
      <c r="G269" s="3">
        <v>-4.1952834091849467E-2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>
        <v>1.1641685650304323E-2</v>
      </c>
      <c r="E270" s="2">
        <v>265</v>
      </c>
      <c r="F270" s="3">
        <v>3.7198260541408734E-2</v>
      </c>
      <c r="G270" s="3">
        <v>-2.2197270685783477E-2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>
        <v>3.2792449943584989E-2</v>
      </c>
      <c r="E271" s="2">
        <v>266</v>
      </c>
      <c r="F271" s="3">
        <v>-3.8923017041514463E-4</v>
      </c>
      <c r="G271" s="3">
        <v>-1.4133027117745778E-2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>
        <v>2.092832707628367E-2</v>
      </c>
      <c r="E272" s="2">
        <v>267</v>
      </c>
      <c r="F272" s="3">
        <v>9.0912169025529899E-3</v>
      </c>
      <c r="G272" s="3">
        <v>1.254367888182073E-2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>
        <v>6.4359039466047596E-2</v>
      </c>
      <c r="E273" s="2">
        <v>268</v>
      </c>
      <c r="F273" s="3">
        <v>1.1576210049492719E-2</v>
      </c>
      <c r="G273" s="3">
        <v>-5.4862401557382867E-3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>
        <v>1.8918964973715369E-2</v>
      </c>
      <c r="E274" s="2">
        <v>269</v>
      </c>
      <c r="F274" s="3">
        <v>4.8138319927024664E-3</v>
      </c>
      <c r="G274" s="3">
        <v>1.3969214342912872E-2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>
        <v>4.565618218990819E-3</v>
      </c>
      <c r="E275" s="2">
        <v>270</v>
      </c>
      <c r="F275" s="3">
        <v>1.9348768883515444E-2</v>
      </c>
      <c r="G275" s="3">
        <v>-1.7988767988768029E-2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>
        <v>-1.6448094027160964E-2</v>
      </c>
      <c r="E276" s="2">
        <v>271</v>
      </c>
      <c r="F276" s="3">
        <v>5.4649232886694321E-4</v>
      </c>
      <c r="G276" s="3">
        <v>3.3062282191047565E-3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>
        <v>1.3236345786838966E-2</v>
      </c>
      <c r="E277" s="2">
        <v>272</v>
      </c>
      <c r="F277" s="3">
        <v>1.9302894827342154E-2</v>
      </c>
      <c r="G277" s="3">
        <v>2.128607053794096E-2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>
        <v>5.3857429827895098E-2</v>
      </c>
      <c r="E278" s="2">
        <v>273</v>
      </c>
      <c r="F278" s="3">
        <v>2.2188174774546043E-2</v>
      </c>
      <c r="G278" s="3">
        <v>-1.8923868492195073E-2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>
        <v>-1.8649219514708104E-2</v>
      </c>
      <c r="E279" s="2">
        <v>274</v>
      </c>
      <c r="F279" s="3">
        <v>2.8082601368405458E-2</v>
      </c>
      <c r="G279" s="3">
        <v>-3.7866666666666604E-2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>
        <v>-3.5858938688484443E-3</v>
      </c>
      <c r="E280" s="2">
        <v>275</v>
      </c>
      <c r="F280" s="3">
        <v>9.8316198188534987E-3</v>
      </c>
      <c r="G280" s="3">
        <v>-1.0162601626016232E-2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>
        <v>4.0109585043911045E-2</v>
      </c>
      <c r="E281" s="2">
        <v>276</v>
      </c>
      <c r="F281" s="3">
        <v>5.6178724645703726E-2</v>
      </c>
      <c r="G281" s="3">
        <v>9.3335822288542758E-5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>
        <v>-5.4199169283760451E-2</v>
      </c>
      <c r="E282" s="2">
        <v>277</v>
      </c>
      <c r="F282" s="3">
        <v>-3.8947379604151844E-2</v>
      </c>
      <c r="G282" s="3">
        <v>-4.6663555762949116E-4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>
        <v>7.61732911475832E-3</v>
      </c>
      <c r="E283" s="2">
        <v>278</v>
      </c>
      <c r="F283" s="3">
        <v>-2.6884513768364315E-2</v>
      </c>
      <c r="G283" s="3">
        <v>-4.2016806722688926E-3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>
        <v>2.8427744955741518E-2</v>
      </c>
      <c r="E284" s="2">
        <v>279</v>
      </c>
      <c r="F284" s="3">
        <v>2.718801001185378E-3</v>
      </c>
      <c r="G284" s="3">
        <v>9.0951711204876329E-3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>
        <v>-3.6722085728597587E-2</v>
      </c>
      <c r="E285" s="2">
        <v>280</v>
      </c>
      <c r="F285" s="3">
        <v>2.1608353316591389E-2</v>
      </c>
      <c r="G285" s="3">
        <v>4.7388961159635645E-3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>
        <v>-3.9983326523621465E-2</v>
      </c>
      <c r="E286" s="2">
        <v>281</v>
      </c>
      <c r="F286" s="3">
        <v>4.8424002040461378E-3</v>
      </c>
      <c r="G286" s="3">
        <v>3.7362434107093501E-2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>
        <v>-1.3270969378323616E-2</v>
      </c>
      <c r="E287" s="2">
        <v>282</v>
      </c>
      <c r="F287" s="3">
        <v>3.6021586465418753E-2</v>
      </c>
      <c r="G287" s="3">
        <v>-4.4575198359633195E-3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>
        <v>1.2033495116021697E-2</v>
      </c>
      <c r="E288" s="2">
        <v>283</v>
      </c>
      <c r="F288" s="3">
        <v>3.0263218631604083E-2</v>
      </c>
      <c r="G288" s="3">
        <v>-7.0744156890839571E-3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>
        <v>8.6917963906874007E-3</v>
      </c>
      <c r="E289" s="2">
        <v>284</v>
      </c>
      <c r="F289" s="3">
        <v>4.2943009181395375E-3</v>
      </c>
      <c r="G289" s="3">
        <v>3.5173160173160856E-3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>
        <v>-0.13374760463835911</v>
      </c>
      <c r="E290" s="2">
        <v>285</v>
      </c>
      <c r="F290" s="3">
        <v>-6.9403358979814644E-2</v>
      </c>
      <c r="G290" s="3">
        <v>2.5074143974116891E-2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>
        <v>3.3093723672087849E-2</v>
      </c>
      <c r="E291" s="2">
        <v>286</v>
      </c>
      <c r="F291" s="3">
        <v>1.785938179914015E-2</v>
      </c>
      <c r="G291" s="3">
        <v>-1.648255304225843E-2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>
        <v>-2.6620756750569963E-2</v>
      </c>
      <c r="E292" s="2">
        <v>287</v>
      </c>
      <c r="F292" s="3">
        <v>-9.1776955767217339E-2</v>
      </c>
      <c r="G292" s="3">
        <v>-3.2982706364771408E-3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>
        <v>8.0258103711833062E-2</v>
      </c>
      <c r="E293" s="2">
        <v>288</v>
      </c>
      <c r="F293" s="3">
        <v>7.8684404731036883E-2</v>
      </c>
      <c r="G293" s="3">
        <v>-8.0493694660577209E-4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>
        <v>-4.2678640270312762E-3</v>
      </c>
      <c r="E294" s="2">
        <v>289</v>
      </c>
      <c r="F294" s="3">
        <v>2.9728930143116061E-2</v>
      </c>
      <c r="G294" s="3">
        <v>5.3705692803429628E-4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>
        <v>-2.4947163211019197E-2</v>
      </c>
      <c r="E295" s="2">
        <v>290</v>
      </c>
      <c r="F295" s="3">
        <v>1.7924287751078349E-2</v>
      </c>
      <c r="G295" s="3">
        <v>1.7892288423689395E-2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>
        <v>2.9392666781895338E-2</v>
      </c>
      <c r="E296" s="2">
        <v>291</v>
      </c>
      <c r="F296" s="3">
        <v>3.9313434942139347E-2</v>
      </c>
      <c r="G296" s="3">
        <v>1.7929337317630578E-2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>
        <v>-7.3448327501940081E-2</v>
      </c>
      <c r="E297" s="2">
        <v>292</v>
      </c>
      <c r="F297" s="3">
        <v>-6.5777726481161536E-2</v>
      </c>
      <c r="G297" s="3">
        <v>2.7456397858746318E-2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>
        <v>4.3531497644166084E-2</v>
      </c>
      <c r="E298" s="2">
        <v>293</v>
      </c>
      <c r="F298" s="3">
        <v>6.8930183208214979E-2</v>
      </c>
      <c r="G298" s="3">
        <v>-2.789915966386558E-2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>
        <v>-4.9783631055749011E-2</v>
      </c>
      <c r="E299" s="2">
        <v>294</v>
      </c>
      <c r="F299" s="3">
        <v>1.3128195366039375E-2</v>
      </c>
      <c r="G299" s="3">
        <v>2.1784232365145373E-2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>
        <v>-2.8035859820700892E-2</v>
      </c>
      <c r="E300" s="2">
        <v>295</v>
      </c>
      <c r="F300" s="3">
        <v>-1.8091652742267761E-2</v>
      </c>
      <c r="G300" s="3">
        <v>2.8087986463620984E-2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>
        <v>4.8409637207222467E-2</v>
      </c>
      <c r="E301" s="2">
        <v>296</v>
      </c>
      <c r="F301" s="3">
        <v>1.7181167690656807E-2</v>
      </c>
      <c r="G301" s="3">
        <v>-1.1438446346280551E-2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>
        <v>9.9028137951091555E-3</v>
      </c>
      <c r="E302" s="2">
        <v>297</v>
      </c>
      <c r="F302" s="3">
        <v>2.0431747482144935E-2</v>
      </c>
      <c r="G302" s="3">
        <v>-2.7386997419462156E-2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>
        <v>2.1502486224969086E-3</v>
      </c>
      <c r="E303" s="2">
        <v>298</v>
      </c>
      <c r="F303" s="3">
        <v>3.404706409091518E-2</v>
      </c>
      <c r="G303" s="3">
        <v>9.3289969188632416E-3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>
        <v>5.2544110040422254E-2</v>
      </c>
      <c r="E304" s="2">
        <v>299</v>
      </c>
      <c r="F304" s="3">
        <v>2.8589803182446305E-2</v>
      </c>
      <c r="G304" s="3">
        <v>-1.8231154074450973E-2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>
        <v>-3.5792452916042827E-2</v>
      </c>
      <c r="E305" s="2">
        <v>300</v>
      </c>
      <c r="F305" s="3">
        <v>-1.6280898111292741E-3</v>
      </c>
      <c r="G305" s="3">
        <v>2.2197270685783366E-2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>
        <v>-6.229324071146447E-2</v>
      </c>
      <c r="E306" s="2">
        <v>301</v>
      </c>
      <c r="F306" s="3">
        <v>-8.4110469009648137E-2</v>
      </c>
      <c r="G306" s="3">
        <v>2.7376425855513364E-2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>
        <v>-0.11694455488397137</v>
      </c>
      <c r="E307" s="2">
        <v>302</v>
      </c>
      <c r="F307" s="3">
        <v>-0.12511932083595656</v>
      </c>
      <c r="G307" s="3">
        <v>5.5103215724976451E-3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>
        <v>0.10994847946017416</v>
      </c>
      <c r="E308" s="2">
        <v>303</v>
      </c>
      <c r="F308" s="3">
        <v>0.12684410293315374</v>
      </c>
      <c r="G308" s="3">
        <v>2.1266154097825396E-3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>
        <v>4.2124504508205041E-2</v>
      </c>
      <c r="E309" s="2">
        <v>304</v>
      </c>
      <c r="F309" s="3">
        <v>4.528177501261843E-2</v>
      </c>
      <c r="G309" s="3">
        <v>1.1589944498857419E-2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>
        <v>3.8790894757587679E-2</v>
      </c>
      <c r="E310" s="2">
        <v>305</v>
      </c>
      <c r="F310" s="3">
        <v>1.8388403283502663E-2</v>
      </c>
      <c r="G310" s="3">
        <v>-3.1224786186864639E-2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>
        <v>6.6896548453041049E-2</v>
      </c>
      <c r="E311" s="2">
        <v>306</v>
      </c>
      <c r="F311" s="3">
        <v>5.5101296975444303E-2</v>
      </c>
      <c r="G311" s="3">
        <v>-7.7454818022819616E-3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>
        <v>3.4142893343469538E-2</v>
      </c>
      <c r="E312" s="2">
        <v>307</v>
      </c>
      <c r="F312" s="3">
        <v>7.0064687324219221E-2</v>
      </c>
      <c r="G312" s="3">
        <v>-5.2878965922446008E-3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>
        <v>7.39412854606325E-4</v>
      </c>
      <c r="E313" s="2">
        <v>308</v>
      </c>
      <c r="F313" s="3">
        <v>-3.9227954095494399E-2</v>
      </c>
      <c r="G313" s="3">
        <v>-9.7882035271283918E-3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>
        <v>-2.6092298175600992E-2</v>
      </c>
      <c r="E314" s="2">
        <v>309</v>
      </c>
      <c r="F314" s="3">
        <v>-2.7665774606006499E-2</v>
      </c>
      <c r="G314" s="3">
        <v>-3.4171282488282828E-2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>
        <v>0.14299450852391771</v>
      </c>
      <c r="E315" s="2">
        <v>310</v>
      </c>
      <c r="F315" s="3">
        <v>0.10754565805086314</v>
      </c>
      <c r="G315" s="3">
        <v>-2.5586730192341589E-2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>
        <v>0.10887417320768389</v>
      </c>
      <c r="E316" s="2">
        <v>311</v>
      </c>
      <c r="F316" s="3">
        <v>3.712140665943231E-2</v>
      </c>
      <c r="G316" s="3">
        <v>-1.4849692140528892E-2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>
        <v>3.5754679881815354E-2</v>
      </c>
      <c r="E317" s="2">
        <v>312</v>
      </c>
      <c r="F317" s="3">
        <v>-1.1136640158463607E-2</v>
      </c>
      <c r="G317" s="3">
        <v>2.4448529411764675E-2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>
        <v>1.2344559019692669E-2</v>
      </c>
      <c r="E318" s="2">
        <v>313</v>
      </c>
      <c r="F318" s="3">
        <v>2.6091474971999817E-2</v>
      </c>
      <c r="G318" s="3">
        <v>-5.5625336443565487E-3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>
        <v>1.6087223485288682E-2</v>
      </c>
      <c r="E319" s="2">
        <v>314</v>
      </c>
      <c r="F319" s="3">
        <v>4.2438634008107767E-2</v>
      </c>
      <c r="G319" s="3">
        <v>2.2645254420786687E-2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>
        <v>2.8235263374512432E-2</v>
      </c>
      <c r="E320" s="2">
        <v>315</v>
      </c>
      <c r="F320" s="3">
        <v>5.242531255584737E-2</v>
      </c>
      <c r="G320" s="3">
        <v>-2.3026025584472753E-2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>
        <v>1.7808924157999284E-2</v>
      </c>
      <c r="E321" s="2">
        <v>316</v>
      </c>
      <c r="F321" s="3">
        <v>5.4865025818131574E-3</v>
      </c>
      <c r="G321" s="3">
        <v>7.7659382337005312E-3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>
        <v>2.8952033758645523E-2</v>
      </c>
      <c r="E322" s="2">
        <v>317</v>
      </c>
      <c r="F322" s="3">
        <v>2.221397632316946E-2</v>
      </c>
      <c r="G322" s="3">
        <v>1.240143369175617E-2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>
        <v>-2.8622735600664861E-2</v>
      </c>
      <c r="E323" s="2">
        <v>318</v>
      </c>
      <c r="F323" s="3">
        <v>2.274810936591054E-2</v>
      </c>
      <c r="G323" s="3">
        <v>1.9516037669050634E-2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>
        <v>-9.5243448499848782E-4</v>
      </c>
      <c r="E324" s="2">
        <v>319</v>
      </c>
      <c r="F324" s="3">
        <v>2.8990321391681118E-2</v>
      </c>
      <c r="G324" s="3">
        <v>4.8702567085396886E-3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>
        <v>-4.0774926780171694E-2</v>
      </c>
      <c r="E325" s="2">
        <v>320</v>
      </c>
      <c r="F325" s="3">
        <v>-4.7569140421166334E-2</v>
      </c>
      <c r="G325" s="3">
        <v>2.3671706263499015E-2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>
        <v>-3.1979718588904027E-2</v>
      </c>
      <c r="E326" s="2">
        <v>321</v>
      </c>
      <c r="F326" s="3">
        <v>6.9143873301234615E-2</v>
      </c>
      <c r="G326" s="3">
        <v>-1.1140180605958339E-2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>
        <v>-4.4323185263979825E-2</v>
      </c>
      <c r="E327" s="2">
        <v>322</v>
      </c>
      <c r="F327" s="3">
        <v>-8.3337314184714906E-3</v>
      </c>
      <c r="G327" s="3">
        <v>1.8520099001450907E-2</v>
      </c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>
        <v>4.8833924501850978E-2</v>
      </c>
      <c r="E328" s="2">
        <v>323</v>
      </c>
      <c r="F328" s="3">
        <v>4.3612874972629889E-2</v>
      </c>
      <c r="G328" s="3">
        <v>-6.6197419138596114E-3</v>
      </c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>
        <v>-0.10555639514382142</v>
      </c>
      <c r="E329" s="2">
        <v>324</v>
      </c>
      <c r="F329" s="3">
        <v>-5.2585089106999772E-2</v>
      </c>
      <c r="G329" s="3">
        <v>1.4255588359342042E-2</v>
      </c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>
        <v>1.3456787342209342E-2</v>
      </c>
      <c r="E330" s="2">
        <v>325</v>
      </c>
      <c r="F330" s="3">
        <v>-3.1360520866782648E-2</v>
      </c>
      <c r="G330" s="3">
        <v>2.4950099800391534E-4</v>
      </c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>
        <v>2.1662134426011059E-2</v>
      </c>
      <c r="E331" s="2">
        <v>326</v>
      </c>
      <c r="F331" s="3">
        <v>3.5773238773280092E-2</v>
      </c>
      <c r="G331" s="3">
        <v>6.7348465951608816E-3</v>
      </c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>
        <v>-2.2700487734121366E-2</v>
      </c>
      <c r="E332" s="2">
        <v>327</v>
      </c>
      <c r="F332" s="3">
        <v>-8.7956719149039353E-2</v>
      </c>
      <c r="G332" s="3">
        <v>4.8397753551371103E-2</v>
      </c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>
        <v>-3.395113263204852E-3</v>
      </c>
      <c r="E333" s="2">
        <v>328</v>
      </c>
      <c r="F333" s="3">
        <v>5.3243883608722342E-5</v>
      </c>
      <c r="G333" s="3">
        <v>-1.8591460532535131E-2</v>
      </c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>
        <v>-0.13152388398674564</v>
      </c>
      <c r="E334" s="2">
        <v>329</v>
      </c>
      <c r="F334" s="3">
        <v>-8.3919993223866451E-2</v>
      </c>
      <c r="G334" s="3">
        <v>3.780703162626442E-2</v>
      </c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>
        <v>5.0955140956169931E-2</v>
      </c>
      <c r="E335" s="2">
        <v>330</v>
      </c>
      <c r="F335" s="3">
        <v>9.1116347632205885E-2</v>
      </c>
      <c r="G335" s="3">
        <v>8.5853507618531832E-3</v>
      </c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>
        <v>8.3826228839487538E-3</v>
      </c>
      <c r="E336" s="2">
        <v>331</v>
      </c>
      <c r="F336" s="3">
        <v>-4.2440119216810457E-2</v>
      </c>
      <c r="G336" s="3">
        <v>3.335889570552153E-2</v>
      </c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>
        <v>-0.12805566230456522</v>
      </c>
      <c r="E337" s="2">
        <v>332</v>
      </c>
      <c r="F337" s="3">
        <v>-9.3395701643489315E-2</v>
      </c>
      <c r="G337" s="3">
        <v>6.4786641929499122E-2</v>
      </c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>
        <v>6.4078237430932328E-2</v>
      </c>
      <c r="E338" s="2">
        <v>333</v>
      </c>
      <c r="F338" s="3">
        <v>7.9863454576893256E-2</v>
      </c>
      <c r="G338" s="3">
        <v>-1.0802899358795637E-2</v>
      </c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>
        <v>7.8008031007887224E-2</v>
      </c>
      <c r="E339" s="2">
        <v>334</v>
      </c>
      <c r="F339" s="3">
        <v>5.3752860293699856E-2</v>
      </c>
      <c r="G339" s="3">
        <v>-6.1861481011766362E-2</v>
      </c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>
        <v>-9.550136904304507E-2</v>
      </c>
      <c r="E340" s="2">
        <v>335</v>
      </c>
      <c r="F340" s="3">
        <v>-5.8971449299161094E-2</v>
      </c>
      <c r="G340" s="3">
        <v>-4.8216297408937292E-2</v>
      </c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mergeCells count="1">
    <mergeCell ref="H2:I2"/>
  </mergeCells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4"/>
  <sheetViews>
    <sheetView tabSelected="1" workbookViewId="0">
      <selection activeCell="I21" sqref="I21"/>
    </sheetView>
  </sheetViews>
  <sheetFormatPr defaultColWidth="12.69921875" defaultRowHeight="17.399999999999999" x14ac:dyDescent="0.4"/>
  <cols>
    <col min="1" max="6" width="12.69921875" style="1"/>
    <col min="7" max="7" width="12.69921875" style="33"/>
    <col min="8" max="8" width="12.69921875" style="40"/>
    <col min="9" max="9" width="12.69921875" style="41"/>
    <col min="10" max="11" width="12.69921875" style="4"/>
    <col min="12" max="16384" width="12.69921875" style="1"/>
  </cols>
  <sheetData>
    <row r="1" spans="1:11" x14ac:dyDescent="0.4">
      <c r="A1" s="9">
        <v>1</v>
      </c>
      <c r="B1" s="38" t="s">
        <v>74</v>
      </c>
      <c r="C1" s="38"/>
      <c r="D1" s="38"/>
      <c r="E1" s="38"/>
      <c r="F1" s="38"/>
      <c r="G1" s="1"/>
      <c r="H1" s="1"/>
      <c r="I1" s="1"/>
      <c r="J1" s="1"/>
      <c r="K1" s="1"/>
    </row>
    <row r="2" spans="1:11" x14ac:dyDescent="0.4">
      <c r="A2" s="9">
        <f>A1+1</f>
        <v>2</v>
      </c>
      <c r="B2" s="37" t="s">
        <v>7</v>
      </c>
      <c r="C2" s="37"/>
      <c r="D2" s="5" t="s">
        <v>8</v>
      </c>
      <c r="E2" s="6" t="s">
        <v>13</v>
      </c>
      <c r="F2" s="14">
        <v>0.28788758248615398</v>
      </c>
      <c r="G2" s="1"/>
      <c r="H2" s="1"/>
      <c r="I2" s="1"/>
      <c r="J2" s="1"/>
      <c r="K2" s="1"/>
    </row>
    <row r="3" spans="1:11" x14ac:dyDescent="0.4">
      <c r="A3" s="9">
        <f t="shared" ref="A3:A66" si="0">A2+1</f>
        <v>3</v>
      </c>
      <c r="B3" s="37" t="s">
        <v>9</v>
      </c>
      <c r="C3" s="37"/>
      <c r="D3" s="5" t="s">
        <v>75</v>
      </c>
      <c r="E3" s="6" t="s">
        <v>76</v>
      </c>
      <c r="F3" s="14">
        <v>0.28359774864570908</v>
      </c>
      <c r="G3" s="1"/>
      <c r="H3" s="1"/>
      <c r="I3" s="1"/>
      <c r="J3" s="1"/>
      <c r="K3" s="1"/>
    </row>
    <row r="4" spans="1:11" x14ac:dyDescent="0.4">
      <c r="A4" s="9">
        <f t="shared" si="0"/>
        <v>4</v>
      </c>
      <c r="B4" s="37" t="s">
        <v>10</v>
      </c>
      <c r="C4" s="37"/>
      <c r="D4" s="5">
        <f>OLS!D2</f>
        <v>335</v>
      </c>
      <c r="E4" s="6" t="s">
        <v>77</v>
      </c>
      <c r="F4" s="8">
        <v>67.109261848775944</v>
      </c>
      <c r="G4" s="1"/>
      <c r="H4" s="1"/>
      <c r="I4" s="1"/>
      <c r="J4" s="1"/>
      <c r="K4" s="1"/>
    </row>
    <row r="5" spans="1:11" x14ac:dyDescent="0.4">
      <c r="A5" s="9">
        <f t="shared" si="0"/>
        <v>5</v>
      </c>
      <c r="B5" s="37" t="s">
        <v>11</v>
      </c>
      <c r="C5" s="37"/>
      <c r="D5" s="5">
        <f>D4-OLS!D3-1</f>
        <v>332</v>
      </c>
      <c r="E5" s="6" t="s">
        <v>14</v>
      </c>
      <c r="F5" s="8">
        <v>-874.93889046965205</v>
      </c>
      <c r="G5" s="1"/>
      <c r="H5" s="1"/>
      <c r="I5" s="1"/>
      <c r="J5" s="1"/>
      <c r="K5" s="1"/>
    </row>
    <row r="6" spans="1:11" x14ac:dyDescent="0.4">
      <c r="A6" s="9">
        <f t="shared" si="0"/>
        <v>6</v>
      </c>
      <c r="B6" s="37" t="s">
        <v>12</v>
      </c>
      <c r="C6" s="37"/>
      <c r="D6" s="5">
        <f>OLS!D3</f>
        <v>2</v>
      </c>
      <c r="E6" s="6" t="s">
        <v>15</v>
      </c>
      <c r="F6" s="8">
        <v>-863.49649887417684</v>
      </c>
      <c r="G6" s="1"/>
      <c r="H6" s="1"/>
      <c r="I6" s="1"/>
      <c r="J6" s="1"/>
      <c r="K6" s="1"/>
    </row>
    <row r="7" spans="1:11" x14ac:dyDescent="0.4">
      <c r="A7" s="9">
        <f t="shared" si="0"/>
        <v>7</v>
      </c>
      <c r="C7" s="15" t="s">
        <v>83</v>
      </c>
      <c r="D7" s="5">
        <v>1.7326459495824158</v>
      </c>
      <c r="E7" s="6" t="s">
        <v>80</v>
      </c>
      <c r="F7" s="5">
        <v>1.5524052283866521</v>
      </c>
      <c r="G7" s="1"/>
      <c r="H7" s="1"/>
      <c r="I7" s="1"/>
      <c r="J7" s="1"/>
      <c r="K7" s="1"/>
    </row>
    <row r="8" spans="1:11" x14ac:dyDescent="0.4">
      <c r="A8" s="9">
        <f t="shared" si="0"/>
        <v>8</v>
      </c>
      <c r="C8" s="15" t="s">
        <v>82</v>
      </c>
      <c r="D8" s="5">
        <v>2178.0395652779612</v>
      </c>
      <c r="E8" s="15" t="s">
        <v>81</v>
      </c>
      <c r="F8" s="5">
        <v>15.099537489111302</v>
      </c>
      <c r="G8" s="1"/>
      <c r="H8" s="1"/>
      <c r="I8" s="1"/>
      <c r="J8" s="1"/>
      <c r="K8" s="1"/>
    </row>
    <row r="9" spans="1:11" x14ac:dyDescent="0.4">
      <c r="A9" s="9">
        <f t="shared" si="0"/>
        <v>9</v>
      </c>
      <c r="G9" s="1"/>
      <c r="H9" s="1"/>
      <c r="I9" s="1"/>
      <c r="J9" s="7" t="s">
        <v>78</v>
      </c>
      <c r="K9" s="7" t="s">
        <v>79</v>
      </c>
    </row>
    <row r="10" spans="1:11" x14ac:dyDescent="0.4">
      <c r="A10" s="9">
        <f t="shared" si="0"/>
        <v>10</v>
      </c>
      <c r="G10" s="1"/>
      <c r="H10" s="1"/>
      <c r="I10" s="1"/>
      <c r="J10" s="4">
        <v>2.9574236861099286E-2</v>
      </c>
      <c r="K10" s="4">
        <v>-7.2650860742857204E-2</v>
      </c>
    </row>
    <row r="11" spans="1:11" x14ac:dyDescent="0.4">
      <c r="A11" s="9">
        <f t="shared" si="0"/>
        <v>11</v>
      </c>
      <c r="D11" s="24" t="s">
        <v>4</v>
      </c>
      <c r="E11" s="25" t="s">
        <v>5</v>
      </c>
      <c r="F11" s="25" t="s">
        <v>6</v>
      </c>
      <c r="G11" s="26" t="s">
        <v>84</v>
      </c>
      <c r="H11" s="42" t="s">
        <v>86</v>
      </c>
      <c r="I11" s="43" t="s">
        <v>87</v>
      </c>
      <c r="J11" s="4">
        <v>2.8220344972616739E-2</v>
      </c>
      <c r="K11" s="4">
        <v>2.3818178664321545E-2</v>
      </c>
    </row>
    <row r="12" spans="1:11" x14ac:dyDescent="0.4">
      <c r="A12" s="9">
        <f t="shared" si="0"/>
        <v>12</v>
      </c>
      <c r="C12" s="27" t="s">
        <v>16</v>
      </c>
      <c r="D12" s="16">
        <v>3.3534706477950343E-4</v>
      </c>
      <c r="E12" s="17">
        <v>3.6408119504972125E-3</v>
      </c>
      <c r="F12" s="17">
        <v>9.2107768634880002E-2</v>
      </c>
      <c r="G12" s="30">
        <v>0.92666796823437037</v>
      </c>
      <c r="H12" s="39">
        <v>3.7031342567819606E-3</v>
      </c>
      <c r="I12" s="31">
        <v>0.92789870877898895</v>
      </c>
      <c r="J12" s="4">
        <v>2.6831476444743835E-2</v>
      </c>
      <c r="K12" s="4">
        <v>-6.4157883965832455E-2</v>
      </c>
    </row>
    <row r="13" spans="1:11" x14ac:dyDescent="0.4">
      <c r="A13" s="9">
        <f t="shared" si="0"/>
        <v>13</v>
      </c>
      <c r="C13" s="28" t="s">
        <v>17</v>
      </c>
      <c r="D13" s="18">
        <v>0.802564542195354</v>
      </c>
      <c r="E13" s="19">
        <v>8.6366783373837394E-2</v>
      </c>
      <c r="F13" s="19">
        <v>9.2925139833153771</v>
      </c>
      <c r="G13" s="31">
        <v>0</v>
      </c>
      <c r="H13" s="39">
        <v>7.2982511481400017E-2</v>
      </c>
      <c r="I13" s="31">
        <v>0</v>
      </c>
      <c r="J13" s="4">
        <v>3.0197767312145483E-2</v>
      </c>
      <c r="K13" s="4">
        <v>-4.6362761738009427E-2</v>
      </c>
    </row>
    <row r="14" spans="1:11" x14ac:dyDescent="0.4">
      <c r="A14" s="9">
        <f t="shared" si="0"/>
        <v>14</v>
      </c>
      <c r="C14" s="28" t="s">
        <v>18</v>
      </c>
      <c r="D14" s="18">
        <v>-0.32261321714485547</v>
      </c>
      <c r="E14" s="19">
        <v>0.10411454645835186</v>
      </c>
      <c r="F14" s="19">
        <v>-3.0986373001577445</v>
      </c>
      <c r="G14" s="31">
        <v>2.1101989035747781E-3</v>
      </c>
      <c r="H14" s="39">
        <v>0.15076330742839197</v>
      </c>
      <c r="I14" s="31">
        <v>3.3094212977957005E-2</v>
      </c>
      <c r="J14" s="4">
        <v>1.8261659505026524E-2</v>
      </c>
      <c r="K14" s="4">
        <v>-4.7659087968113419E-3</v>
      </c>
    </row>
    <row r="15" spans="1:11" x14ac:dyDescent="0.4">
      <c r="A15" s="9">
        <f t="shared" si="0"/>
        <v>15</v>
      </c>
      <c r="C15" s="28" t="s">
        <v>19</v>
      </c>
      <c r="D15" s="20"/>
      <c r="E15" s="21"/>
      <c r="F15" s="21"/>
      <c r="G15" s="31"/>
      <c r="H15" s="39"/>
      <c r="I15" s="31"/>
      <c r="J15" s="4">
        <v>2.6518561256245674E-2</v>
      </c>
      <c r="K15" s="4">
        <v>1.7264491258820305E-2</v>
      </c>
    </row>
    <row r="16" spans="1:11" x14ac:dyDescent="0.4">
      <c r="A16" s="9">
        <f t="shared" si="0"/>
        <v>16</v>
      </c>
      <c r="C16" s="28" t="s">
        <v>20</v>
      </c>
      <c r="D16" s="20"/>
      <c r="E16" s="21"/>
      <c r="F16" s="21"/>
      <c r="G16" s="31"/>
      <c r="H16" s="39"/>
      <c r="I16" s="31"/>
      <c r="J16" s="4">
        <v>-8.7066478994453807E-3</v>
      </c>
      <c r="K16" s="4">
        <v>-1.2191624324383737E-2</v>
      </c>
    </row>
    <row r="17" spans="1:11" x14ac:dyDescent="0.4">
      <c r="A17" s="9">
        <f t="shared" si="0"/>
        <v>17</v>
      </c>
      <c r="C17" s="28" t="s">
        <v>21</v>
      </c>
      <c r="D17" s="20"/>
      <c r="E17" s="21"/>
      <c r="F17" s="21"/>
      <c r="G17" s="31"/>
      <c r="H17" s="39"/>
      <c r="I17" s="31"/>
      <c r="J17" s="4">
        <v>3.6128009352332235E-2</v>
      </c>
      <c r="K17" s="4">
        <v>3.8910828360728178E-2</v>
      </c>
    </row>
    <row r="18" spans="1:11" x14ac:dyDescent="0.4">
      <c r="A18" s="9">
        <f t="shared" si="0"/>
        <v>18</v>
      </c>
      <c r="C18" s="28" t="s">
        <v>22</v>
      </c>
      <c r="D18" s="20"/>
      <c r="E18" s="21"/>
      <c r="F18" s="21"/>
      <c r="G18" s="31"/>
      <c r="H18" s="39"/>
      <c r="I18" s="31"/>
      <c r="J18" s="4">
        <v>-2.4433606981678446E-3</v>
      </c>
      <c r="K18" s="4">
        <v>1.0187725426199151E-2</v>
      </c>
    </row>
    <row r="19" spans="1:11" x14ac:dyDescent="0.4">
      <c r="A19" s="9">
        <f t="shared" si="0"/>
        <v>19</v>
      </c>
      <c r="C19" s="28" t="s">
        <v>23</v>
      </c>
      <c r="D19" s="20"/>
      <c r="E19" s="21"/>
      <c r="F19" s="21"/>
      <c r="G19" s="31"/>
      <c r="H19" s="39"/>
      <c r="I19" s="31"/>
      <c r="J19" s="4">
        <v>3.1720495592115566E-2</v>
      </c>
      <c r="K19" s="4">
        <v>-9.1644152005582763E-2</v>
      </c>
    </row>
    <row r="20" spans="1:11" x14ac:dyDescent="0.4">
      <c r="A20" s="9">
        <f t="shared" si="0"/>
        <v>20</v>
      </c>
      <c r="C20" s="28" t="s">
        <v>24</v>
      </c>
      <c r="D20" s="20"/>
      <c r="E20" s="21"/>
      <c r="F20" s="21"/>
      <c r="G20" s="31"/>
      <c r="H20" s="39"/>
      <c r="I20" s="31"/>
      <c r="J20" s="4">
        <v>1.2867235606742838E-2</v>
      </c>
      <c r="K20" s="4">
        <v>-6.4407647242543872E-2</v>
      </c>
    </row>
    <row r="21" spans="1:11" x14ac:dyDescent="0.4">
      <c r="A21" s="9">
        <f t="shared" si="0"/>
        <v>21</v>
      </c>
      <c r="C21" s="28" t="s">
        <v>25</v>
      </c>
      <c r="D21" s="20"/>
      <c r="E21" s="21"/>
      <c r="F21" s="21"/>
      <c r="G21" s="31"/>
      <c r="H21" s="39"/>
      <c r="I21" s="31"/>
      <c r="J21" s="4">
        <v>2.1669705278784621E-2</v>
      </c>
      <c r="K21" s="4">
        <v>-2.6335934014599081E-2</v>
      </c>
    </row>
    <row r="22" spans="1:11" x14ac:dyDescent="0.4">
      <c r="A22" s="9">
        <f t="shared" si="0"/>
        <v>22</v>
      </c>
      <c r="C22" s="28" t="s">
        <v>26</v>
      </c>
      <c r="D22" s="20"/>
      <c r="E22" s="21"/>
      <c r="F22" s="21"/>
      <c r="G22" s="31"/>
      <c r="H22" s="39"/>
      <c r="I22" s="31"/>
      <c r="J22" s="4">
        <v>7.3809449029671372E-3</v>
      </c>
      <c r="K22" s="4">
        <v>-3.6954691517746101E-2</v>
      </c>
    </row>
    <row r="23" spans="1:11" x14ac:dyDescent="0.4">
      <c r="A23" s="9">
        <f t="shared" si="0"/>
        <v>23</v>
      </c>
      <c r="C23" s="28" t="s">
        <v>27</v>
      </c>
      <c r="D23" s="20"/>
      <c r="E23" s="21"/>
      <c r="F23" s="21"/>
      <c r="G23" s="31"/>
      <c r="H23" s="39"/>
      <c r="I23" s="31"/>
      <c r="J23" s="4">
        <v>5.8624225860151504E-3</v>
      </c>
      <c r="K23" s="4">
        <v>1.9148423655322495E-2</v>
      </c>
    </row>
    <row r="24" spans="1:11" x14ac:dyDescent="0.4">
      <c r="A24" s="9">
        <f t="shared" si="0"/>
        <v>24</v>
      </c>
      <c r="C24" s="28" t="s">
        <v>28</v>
      </c>
      <c r="D24" s="20"/>
      <c r="E24" s="21"/>
      <c r="F24" s="21"/>
      <c r="G24" s="31"/>
      <c r="H24" s="39"/>
      <c r="I24" s="31"/>
      <c r="J24" s="4">
        <v>1.2763671020924855E-2</v>
      </c>
      <c r="K24" s="4">
        <v>0.10934212196891685</v>
      </c>
    </row>
    <row r="25" spans="1:11" x14ac:dyDescent="0.4">
      <c r="A25" s="9">
        <f t="shared" si="0"/>
        <v>25</v>
      </c>
      <c r="C25" s="28" t="s">
        <v>29</v>
      </c>
      <c r="D25" s="20"/>
      <c r="E25" s="21"/>
      <c r="F25" s="21"/>
      <c r="G25" s="31"/>
      <c r="H25" s="39"/>
      <c r="I25" s="31"/>
      <c r="J25" s="4">
        <v>1.4865130834459313E-2</v>
      </c>
      <c r="K25" s="4">
        <v>-9.4190240427690003E-2</v>
      </c>
    </row>
    <row r="26" spans="1:11" x14ac:dyDescent="0.4">
      <c r="A26" s="9">
        <f t="shared" si="0"/>
        <v>26</v>
      </c>
      <c r="C26" s="28" t="s">
        <v>30</v>
      </c>
      <c r="D26" s="20"/>
      <c r="E26" s="21"/>
      <c r="F26" s="21"/>
      <c r="G26" s="31"/>
      <c r="H26" s="39"/>
      <c r="I26" s="31"/>
      <c r="J26" s="4">
        <v>-7.1482421270496494E-3</v>
      </c>
      <c r="K26" s="4">
        <v>-8.7703876709389755E-2</v>
      </c>
    </row>
    <row r="27" spans="1:11" x14ac:dyDescent="0.4">
      <c r="A27" s="9">
        <f t="shared" si="0"/>
        <v>27</v>
      </c>
      <c r="C27" s="28" t="s">
        <v>31</v>
      </c>
      <c r="D27" s="20"/>
      <c r="E27" s="21"/>
      <c r="F27" s="21"/>
      <c r="G27" s="31"/>
      <c r="H27" s="39"/>
      <c r="I27" s="31"/>
      <c r="J27" s="4">
        <v>-3.745497946652776E-2</v>
      </c>
      <c r="K27" s="4">
        <v>4.2690901808502213E-2</v>
      </c>
    </row>
    <row r="28" spans="1:11" x14ac:dyDescent="0.4">
      <c r="A28" s="9">
        <f t="shared" si="0"/>
        <v>28</v>
      </c>
      <c r="C28" s="28" t="s">
        <v>32</v>
      </c>
      <c r="D28" s="20"/>
      <c r="E28" s="21"/>
      <c r="F28" s="21"/>
      <c r="G28" s="31"/>
      <c r="H28" s="39"/>
      <c r="I28" s="31"/>
      <c r="J28" s="4">
        <v>1.3015073860865544E-2</v>
      </c>
      <c r="K28" s="4">
        <v>-6.1961782553713443E-2</v>
      </c>
    </row>
    <row r="29" spans="1:11" x14ac:dyDescent="0.4">
      <c r="A29" s="9">
        <f t="shared" si="0"/>
        <v>29</v>
      </c>
      <c r="C29" s="28" t="s">
        <v>33</v>
      </c>
      <c r="D29" s="20"/>
      <c r="E29" s="21"/>
      <c r="F29" s="21"/>
      <c r="G29" s="31"/>
      <c r="H29" s="39"/>
      <c r="I29" s="31"/>
      <c r="J29" s="4">
        <v>4.3103669105236962E-2</v>
      </c>
      <c r="K29" s="4">
        <v>-3.2636484624309535E-2</v>
      </c>
    </row>
    <row r="30" spans="1:11" x14ac:dyDescent="0.4">
      <c r="A30" s="9">
        <f t="shared" si="0"/>
        <v>30</v>
      </c>
      <c r="C30" s="28" t="s">
        <v>34</v>
      </c>
      <c r="D30" s="20"/>
      <c r="E30" s="21"/>
      <c r="F30" s="21"/>
      <c r="G30" s="31"/>
      <c r="H30" s="39"/>
      <c r="I30" s="31"/>
      <c r="J30" s="4">
        <v>1.7339203138290477E-2</v>
      </c>
      <c r="K30" s="4">
        <v>-5.7963767829870408E-2</v>
      </c>
    </row>
    <row r="31" spans="1:11" x14ac:dyDescent="0.4">
      <c r="A31" s="9">
        <f t="shared" si="0"/>
        <v>31</v>
      </c>
      <c r="C31" s="28" t="s">
        <v>35</v>
      </c>
      <c r="D31" s="20"/>
      <c r="E31" s="21"/>
      <c r="F31" s="21"/>
      <c r="G31" s="31"/>
      <c r="H31" s="39"/>
      <c r="I31" s="31"/>
      <c r="J31" s="4">
        <v>6.0233461592777891E-2</v>
      </c>
      <c r="K31" s="4">
        <v>-0.10129788958153177</v>
      </c>
    </row>
    <row r="32" spans="1:11" x14ac:dyDescent="0.4">
      <c r="A32" s="9">
        <f t="shared" si="0"/>
        <v>32</v>
      </c>
      <c r="C32" s="28" t="s">
        <v>36</v>
      </c>
      <c r="D32" s="20"/>
      <c r="E32" s="21"/>
      <c r="F32" s="21"/>
      <c r="G32" s="31"/>
      <c r="H32" s="39"/>
      <c r="I32" s="31"/>
      <c r="J32" s="4">
        <v>-2.2841471089195847E-2</v>
      </c>
      <c r="K32" s="4">
        <v>-8.0753947917521468E-2</v>
      </c>
    </row>
    <row r="33" spans="1:11" x14ac:dyDescent="0.4">
      <c r="A33" s="9">
        <f t="shared" si="0"/>
        <v>33</v>
      </c>
      <c r="C33" s="28" t="s">
        <v>37</v>
      </c>
      <c r="D33" s="20"/>
      <c r="E33" s="21"/>
      <c r="F33" s="21"/>
      <c r="G33" s="31"/>
      <c r="H33" s="39"/>
      <c r="I33" s="31"/>
      <c r="J33" s="4">
        <v>4.2894427399268048E-2</v>
      </c>
      <c r="K33" s="4">
        <v>1.0267330531999491E-2</v>
      </c>
    </row>
    <row r="34" spans="1:11" x14ac:dyDescent="0.4">
      <c r="A34" s="9">
        <f t="shared" si="0"/>
        <v>34</v>
      </c>
      <c r="C34" s="28" t="s">
        <v>38</v>
      </c>
      <c r="D34" s="20"/>
      <c r="E34" s="21"/>
      <c r="F34" s="21"/>
      <c r="G34" s="31"/>
      <c r="H34" s="39"/>
      <c r="I34" s="31"/>
      <c r="J34" s="4">
        <v>4.1187155972755227E-3</v>
      </c>
      <c r="K34" s="4">
        <v>-1.7693310254921733E-2</v>
      </c>
    </row>
    <row r="35" spans="1:11" x14ac:dyDescent="0.4">
      <c r="A35" s="9">
        <f t="shared" si="0"/>
        <v>35</v>
      </c>
      <c r="C35" s="28" t="s">
        <v>39</v>
      </c>
      <c r="D35" s="20"/>
      <c r="E35" s="21"/>
      <c r="F35" s="21"/>
      <c r="G35" s="31"/>
      <c r="H35" s="39"/>
      <c r="I35" s="31"/>
      <c r="J35" s="4">
        <v>-4.6263281360050597E-2</v>
      </c>
      <c r="K35" s="4">
        <v>4.746056751144085E-2</v>
      </c>
    </row>
    <row r="36" spans="1:11" x14ac:dyDescent="0.4">
      <c r="A36" s="9">
        <f t="shared" si="0"/>
        <v>36</v>
      </c>
      <c r="C36" s="28" t="s">
        <v>40</v>
      </c>
      <c r="D36" s="20"/>
      <c r="E36" s="21"/>
      <c r="F36" s="21"/>
      <c r="G36" s="31"/>
      <c r="H36" s="39"/>
      <c r="I36" s="31"/>
      <c r="J36" s="4">
        <v>4.9007649439740272E-2</v>
      </c>
      <c r="K36" s="4">
        <v>-1.0784600454002022E-2</v>
      </c>
    </row>
    <row r="37" spans="1:11" x14ac:dyDescent="0.4">
      <c r="A37" s="9">
        <f t="shared" si="0"/>
        <v>37</v>
      </c>
      <c r="C37" s="28" t="s">
        <v>41</v>
      </c>
      <c r="D37" s="20"/>
      <c r="E37" s="21"/>
      <c r="F37" s="21"/>
      <c r="G37" s="31"/>
      <c r="H37" s="39"/>
      <c r="I37" s="31"/>
      <c r="J37" s="4">
        <v>4.7455566971081706E-2</v>
      </c>
      <c r="K37" s="4">
        <v>2.8678841401712243E-2</v>
      </c>
    </row>
    <row r="38" spans="1:11" x14ac:dyDescent="0.4">
      <c r="A38" s="9">
        <f t="shared" si="0"/>
        <v>38</v>
      </c>
      <c r="C38" s="28" t="s">
        <v>42</v>
      </c>
      <c r="D38" s="20"/>
      <c r="E38" s="21"/>
      <c r="F38" s="21"/>
      <c r="G38" s="31"/>
      <c r="H38" s="39"/>
      <c r="I38" s="31"/>
      <c r="J38" s="4">
        <v>3.6547383977249499E-2</v>
      </c>
      <c r="K38" s="4">
        <v>-5.1571763907743602E-2</v>
      </c>
    </row>
    <row r="39" spans="1:11" x14ac:dyDescent="0.4">
      <c r="A39" s="9">
        <f t="shared" si="0"/>
        <v>39</v>
      </c>
      <c r="C39" s="28" t="s">
        <v>43</v>
      </c>
      <c r="D39" s="20"/>
      <c r="E39" s="21"/>
      <c r="F39" s="21"/>
      <c r="G39" s="31"/>
      <c r="H39" s="39"/>
      <c r="I39" s="31"/>
      <c r="J39" s="4">
        <v>6.1617562358999255E-2</v>
      </c>
      <c r="K39" s="4">
        <v>-8.7482869576600536E-2</v>
      </c>
    </row>
    <row r="40" spans="1:11" x14ac:dyDescent="0.4">
      <c r="A40" s="9">
        <f t="shared" si="0"/>
        <v>40</v>
      </c>
      <c r="C40" s="28" t="s">
        <v>44</v>
      </c>
      <c r="D40" s="20"/>
      <c r="E40" s="21"/>
      <c r="F40" s="21"/>
      <c r="G40" s="31"/>
      <c r="H40" s="39"/>
      <c r="I40" s="31"/>
      <c r="J40" s="4">
        <v>-4.9385395178756369E-2</v>
      </c>
      <c r="K40" s="4">
        <v>7.0370230088670771E-3</v>
      </c>
    </row>
    <row r="41" spans="1:11" x14ac:dyDescent="0.4">
      <c r="A41" s="9">
        <f t="shared" si="0"/>
        <v>41</v>
      </c>
      <c r="C41" s="28" t="s">
        <v>45</v>
      </c>
      <c r="D41" s="20"/>
      <c r="E41" s="21"/>
      <c r="F41" s="21"/>
      <c r="G41" s="31"/>
      <c r="H41" s="39"/>
      <c r="I41" s="31"/>
      <c r="J41" s="4">
        <v>3.8416377209490017E-2</v>
      </c>
      <c r="K41" s="4">
        <v>-0.10781827835564242</v>
      </c>
    </row>
    <row r="42" spans="1:11" x14ac:dyDescent="0.4">
      <c r="A42" s="9">
        <f t="shared" si="0"/>
        <v>42</v>
      </c>
      <c r="C42" s="28" t="s">
        <v>46</v>
      </c>
      <c r="D42" s="20"/>
      <c r="E42" s="21"/>
      <c r="F42" s="21"/>
      <c r="G42" s="31"/>
      <c r="H42" s="39"/>
      <c r="I42" s="31"/>
      <c r="J42" s="4">
        <v>-4.5073991948092924E-2</v>
      </c>
      <c r="K42" s="4">
        <v>-0.2273990033695501</v>
      </c>
    </row>
    <row r="43" spans="1:11" x14ac:dyDescent="0.4">
      <c r="A43" s="9">
        <f t="shared" si="0"/>
        <v>43</v>
      </c>
      <c r="C43" s="28" t="s">
        <v>47</v>
      </c>
      <c r="D43" s="20"/>
      <c r="E43" s="21"/>
      <c r="F43" s="21"/>
      <c r="G43" s="31"/>
      <c r="H43" s="39"/>
      <c r="I43" s="31"/>
      <c r="J43" s="4">
        <v>-3.0302201203061589E-2</v>
      </c>
      <c r="K43" s="4">
        <v>-0.10336673823915254</v>
      </c>
    </row>
    <row r="44" spans="1:11" x14ac:dyDescent="0.4">
      <c r="A44" s="9">
        <f t="shared" si="0"/>
        <v>44</v>
      </c>
      <c r="C44" s="28" t="s">
        <v>48</v>
      </c>
      <c r="D44" s="20"/>
      <c r="E44" s="21"/>
      <c r="F44" s="21"/>
      <c r="G44" s="31"/>
      <c r="H44" s="39"/>
      <c r="I44" s="31"/>
      <c r="J44" s="4">
        <v>-8.3811880793348378E-2</v>
      </c>
      <c r="K44" s="4">
        <v>6.4569060471119516E-3</v>
      </c>
    </row>
    <row r="45" spans="1:11" x14ac:dyDescent="0.4">
      <c r="A45" s="9">
        <f t="shared" si="0"/>
        <v>45</v>
      </c>
      <c r="C45" s="28" t="s">
        <v>49</v>
      </c>
      <c r="D45" s="20"/>
      <c r="E45" s="21"/>
      <c r="F45" s="21"/>
      <c r="G45" s="31"/>
      <c r="H45" s="39"/>
      <c r="I45" s="31"/>
      <c r="J45" s="4">
        <v>-4.3130067908162002E-3</v>
      </c>
      <c r="K45" s="4">
        <v>0.51205927981040122</v>
      </c>
    </row>
    <row r="46" spans="1:11" x14ac:dyDescent="0.4">
      <c r="A46" s="9">
        <f t="shared" si="0"/>
        <v>46</v>
      </c>
      <c r="C46" s="28" t="s">
        <v>50</v>
      </c>
      <c r="D46" s="20"/>
      <c r="E46" s="21"/>
      <c r="F46" s="21"/>
      <c r="G46" s="31"/>
      <c r="H46" s="39"/>
      <c r="I46" s="31"/>
      <c r="J46" s="4">
        <v>4.3092216470224008E-2</v>
      </c>
      <c r="K46" s="4">
        <v>-5.7897109134752121E-2</v>
      </c>
    </row>
    <row r="47" spans="1:11" x14ac:dyDescent="0.4">
      <c r="A47" s="9">
        <f t="shared" si="0"/>
        <v>47</v>
      </c>
      <c r="C47" s="28" t="s">
        <v>51</v>
      </c>
      <c r="D47" s="20"/>
      <c r="E47" s="21"/>
      <c r="F47" s="21"/>
      <c r="G47" s="31"/>
      <c r="H47" s="39"/>
      <c r="I47" s="31"/>
      <c r="J47" s="4">
        <v>9.1818572751064184E-2</v>
      </c>
      <c r="K47" s="4">
        <v>-0.23125111058783832</v>
      </c>
    </row>
    <row r="48" spans="1:11" x14ac:dyDescent="0.4">
      <c r="A48" s="9">
        <f t="shared" si="0"/>
        <v>48</v>
      </c>
      <c r="C48" s="28" t="s">
        <v>52</v>
      </c>
      <c r="D48" s="20"/>
      <c r="E48" s="21"/>
      <c r="F48" s="21"/>
      <c r="G48" s="31"/>
      <c r="H48" s="39"/>
      <c r="I48" s="31"/>
      <c r="J48" s="4">
        <v>1.711943436750922E-2</v>
      </c>
      <c r="K48" s="4">
        <v>-0.14147499731445751</v>
      </c>
    </row>
    <row r="49" spans="1:11" x14ac:dyDescent="0.4">
      <c r="A49" s="9">
        <f t="shared" si="0"/>
        <v>49</v>
      </c>
      <c r="C49" s="28" t="s">
        <v>53</v>
      </c>
      <c r="D49" s="20"/>
      <c r="E49" s="21"/>
      <c r="F49" s="21"/>
      <c r="G49" s="31"/>
      <c r="H49" s="39"/>
      <c r="I49" s="31"/>
      <c r="J49" s="4">
        <v>-3.2276279306810179E-2</v>
      </c>
      <c r="K49" s="4">
        <v>-0.17946580321538733</v>
      </c>
    </row>
    <row r="50" spans="1:11" x14ac:dyDescent="0.4">
      <c r="A50" s="9">
        <f t="shared" si="0"/>
        <v>50</v>
      </c>
      <c r="C50" s="28" t="s">
        <v>54</v>
      </c>
      <c r="D50" s="20"/>
      <c r="E50" s="21"/>
      <c r="F50" s="21"/>
      <c r="G50" s="31"/>
      <c r="H50" s="39"/>
      <c r="I50" s="31"/>
      <c r="J50" s="4">
        <v>3.7841117950488834E-2</v>
      </c>
      <c r="K50" s="4">
        <v>-0.1406932698644725</v>
      </c>
    </row>
    <row r="51" spans="1:11" x14ac:dyDescent="0.4">
      <c r="A51" s="9">
        <f t="shared" si="0"/>
        <v>51</v>
      </c>
      <c r="C51" s="28" t="s">
        <v>55</v>
      </c>
      <c r="D51" s="20"/>
      <c r="E51" s="21"/>
      <c r="F51" s="21"/>
      <c r="G51" s="31"/>
      <c r="H51" s="39"/>
      <c r="I51" s="31"/>
      <c r="J51" s="4">
        <v>2.5761937288655168E-2</v>
      </c>
      <c r="K51" s="4">
        <v>0.12681628212855978</v>
      </c>
    </row>
    <row r="52" spans="1:11" x14ac:dyDescent="0.4">
      <c r="A52" s="9">
        <f t="shared" si="0"/>
        <v>52</v>
      </c>
      <c r="C52" s="28" t="s">
        <v>56</v>
      </c>
      <c r="D52" s="20"/>
      <c r="E52" s="21"/>
      <c r="F52" s="21"/>
      <c r="G52" s="31"/>
      <c r="H52" s="39"/>
      <c r="I52" s="31"/>
      <c r="J52" s="4">
        <v>-0.14168105793720942</v>
      </c>
      <c r="K52" s="4">
        <v>4.5068469465476824E-2</v>
      </c>
    </row>
    <row r="53" spans="1:11" x14ac:dyDescent="0.4">
      <c r="A53" s="9">
        <f t="shared" si="0"/>
        <v>53</v>
      </c>
      <c r="C53" s="28" t="s">
        <v>57</v>
      </c>
      <c r="D53" s="20"/>
      <c r="E53" s="21"/>
      <c r="F53" s="21"/>
      <c r="G53" s="31"/>
      <c r="H53" s="39"/>
      <c r="I53" s="31"/>
      <c r="J53" s="4">
        <v>4.0286224176236625E-2</v>
      </c>
      <c r="K53" s="4">
        <v>-3.9770361395736427E-2</v>
      </c>
    </row>
    <row r="54" spans="1:11" x14ac:dyDescent="0.4">
      <c r="A54" s="9">
        <f t="shared" si="0"/>
        <v>54</v>
      </c>
      <c r="C54" s="28" t="s">
        <v>58</v>
      </c>
      <c r="D54" s="20"/>
      <c r="E54" s="21"/>
      <c r="F54" s="21"/>
      <c r="G54" s="31"/>
      <c r="H54" s="39"/>
      <c r="I54" s="31"/>
      <c r="J54" s="4">
        <v>7.8821664007557551E-2</v>
      </c>
      <c r="K54" s="4">
        <v>0.22125567551293743</v>
      </c>
    </row>
    <row r="55" spans="1:11" x14ac:dyDescent="0.4">
      <c r="A55" s="9">
        <f t="shared" si="0"/>
        <v>55</v>
      </c>
      <c r="C55" s="28" t="s">
        <v>59</v>
      </c>
      <c r="D55" s="20"/>
      <c r="E55" s="21"/>
      <c r="F55" s="21"/>
      <c r="G55" s="31"/>
      <c r="H55" s="39"/>
      <c r="I55" s="31"/>
      <c r="J55" s="4">
        <v>6.500137431077882E-2</v>
      </c>
      <c r="K55" s="4">
        <v>5.5066045875618114E-2</v>
      </c>
    </row>
    <row r="56" spans="1:11" x14ac:dyDescent="0.4">
      <c r="A56" s="9">
        <f t="shared" si="0"/>
        <v>56</v>
      </c>
      <c r="C56" s="28" t="s">
        <v>60</v>
      </c>
      <c r="D56" s="20"/>
      <c r="E56" s="21"/>
      <c r="F56" s="21"/>
      <c r="G56" s="31"/>
      <c r="H56" s="39"/>
      <c r="I56" s="31"/>
      <c r="J56" s="4">
        <v>5.5100074937085977E-2</v>
      </c>
      <c r="K56" s="4">
        <v>0.18961091028022842</v>
      </c>
    </row>
    <row r="57" spans="1:11" x14ac:dyDescent="0.4">
      <c r="A57" s="9">
        <f t="shared" si="0"/>
        <v>57</v>
      </c>
      <c r="C57" s="28" t="s">
        <v>61</v>
      </c>
      <c r="D57" s="20"/>
      <c r="E57" s="21"/>
      <c r="F57" s="21"/>
      <c r="G57" s="31"/>
      <c r="H57" s="39"/>
      <c r="I57" s="31"/>
      <c r="J57" s="4">
        <v>4.1774444721481931E-2</v>
      </c>
      <c r="K57" s="4">
        <v>-2.5826643988985466E-2</v>
      </c>
    </row>
    <row r="58" spans="1:11" x14ac:dyDescent="0.4">
      <c r="A58" s="9">
        <f t="shared" si="0"/>
        <v>58</v>
      </c>
      <c r="C58" s="28" t="s">
        <v>62</v>
      </c>
      <c r="D58" s="20"/>
      <c r="E58" s="21"/>
      <c r="F58" s="21"/>
      <c r="G58" s="31"/>
      <c r="H58" s="39"/>
      <c r="I58" s="31"/>
      <c r="J58" s="4">
        <v>-3.8367070469971246E-2</v>
      </c>
      <c r="K58" s="4">
        <v>-5.1530204786840658E-2</v>
      </c>
    </row>
    <row r="59" spans="1:11" x14ac:dyDescent="0.4">
      <c r="A59" s="9">
        <f t="shared" si="0"/>
        <v>59</v>
      </c>
      <c r="C59" s="28" t="s">
        <v>63</v>
      </c>
      <c r="D59" s="20"/>
      <c r="E59" s="21"/>
      <c r="F59" s="21"/>
      <c r="G59" s="31"/>
      <c r="H59" s="39"/>
      <c r="I59" s="31"/>
      <c r="J59" s="4">
        <v>3.0677975078577203E-2</v>
      </c>
      <c r="K59" s="4">
        <v>0.15953084698041606</v>
      </c>
    </row>
    <row r="60" spans="1:11" x14ac:dyDescent="0.4">
      <c r="A60" s="9">
        <f t="shared" si="0"/>
        <v>60</v>
      </c>
      <c r="C60" s="28" t="s">
        <v>64</v>
      </c>
      <c r="D60" s="20"/>
      <c r="E60" s="21"/>
      <c r="F60" s="21"/>
      <c r="G60" s="31"/>
      <c r="H60" s="39"/>
      <c r="I60" s="31"/>
      <c r="J60" s="4">
        <v>4.3511135714255939E-2</v>
      </c>
      <c r="K60" s="4">
        <v>0.17234398076769827</v>
      </c>
    </row>
    <row r="61" spans="1:11" x14ac:dyDescent="0.4">
      <c r="A61" s="9">
        <f t="shared" si="0"/>
        <v>61</v>
      </c>
      <c r="C61" s="28" t="s">
        <v>65</v>
      </c>
      <c r="D61" s="20"/>
      <c r="E61" s="21"/>
      <c r="F61" s="21"/>
      <c r="G61" s="31"/>
      <c r="H61" s="39"/>
      <c r="I61" s="31"/>
      <c r="J61" s="4">
        <v>-2.2419976519183135E-2</v>
      </c>
      <c r="K61" s="4">
        <v>4.0267626273536583E-4</v>
      </c>
    </row>
    <row r="62" spans="1:11" x14ac:dyDescent="0.4">
      <c r="A62" s="9">
        <f t="shared" si="0"/>
        <v>62</v>
      </c>
      <c r="C62" s="28" t="s">
        <v>66</v>
      </c>
      <c r="D62" s="20"/>
      <c r="E62" s="21"/>
      <c r="F62" s="21"/>
      <c r="G62" s="31"/>
      <c r="H62" s="39"/>
      <c r="I62" s="31"/>
      <c r="J62" s="4">
        <v>5.2292875851777762E-2</v>
      </c>
      <c r="K62" s="4">
        <v>0.14740278459223188</v>
      </c>
    </row>
    <row r="63" spans="1:11" x14ac:dyDescent="0.4">
      <c r="A63" s="9">
        <f t="shared" si="0"/>
        <v>63</v>
      </c>
      <c r="C63" s="28" t="s">
        <v>67</v>
      </c>
      <c r="D63" s="20"/>
      <c r="E63" s="21"/>
      <c r="F63" s="21"/>
      <c r="G63" s="31"/>
      <c r="H63" s="39"/>
      <c r="I63" s="31"/>
      <c r="J63" s="4">
        <v>-3.7999095098952385E-2</v>
      </c>
      <c r="K63" s="4">
        <v>0.13620974062556623</v>
      </c>
    </row>
    <row r="64" spans="1:11" x14ac:dyDescent="0.4">
      <c r="A64" s="9">
        <f t="shared" si="0"/>
        <v>64</v>
      </c>
      <c r="C64" s="28" t="s">
        <v>68</v>
      </c>
      <c r="D64" s="20"/>
      <c r="E64" s="21"/>
      <c r="F64" s="21"/>
      <c r="G64" s="31"/>
      <c r="H64" s="39"/>
      <c r="I64" s="31"/>
      <c r="J64" s="4">
        <v>-3.3271364786557466E-4</v>
      </c>
      <c r="K64" s="4">
        <v>-3.2501506539404985E-2</v>
      </c>
    </row>
    <row r="65" spans="1:11" x14ac:dyDescent="0.4">
      <c r="A65" s="9">
        <f t="shared" si="0"/>
        <v>65</v>
      </c>
      <c r="C65" s="28" t="s">
        <v>69</v>
      </c>
      <c r="D65" s="20"/>
      <c r="E65" s="21"/>
      <c r="F65" s="21"/>
      <c r="G65" s="31"/>
      <c r="H65" s="39"/>
      <c r="I65" s="31"/>
      <c r="J65" s="4">
        <v>-3.1782005341398065E-2</v>
      </c>
      <c r="K65" s="4">
        <v>-7.6654041914114415E-2</v>
      </c>
    </row>
    <row r="66" spans="1:11" x14ac:dyDescent="0.4">
      <c r="A66" s="9">
        <f t="shared" si="0"/>
        <v>66</v>
      </c>
      <c r="C66" s="28" t="s">
        <v>70</v>
      </c>
      <c r="D66" s="20"/>
      <c r="E66" s="21"/>
      <c r="F66" s="21"/>
      <c r="G66" s="31"/>
      <c r="H66" s="39"/>
      <c r="I66" s="31"/>
      <c r="J66" s="4">
        <v>5.5689329194368246E-2</v>
      </c>
      <c r="K66" s="4">
        <v>-5.8882421590742133E-2</v>
      </c>
    </row>
    <row r="67" spans="1:11" x14ac:dyDescent="0.4">
      <c r="A67" s="9">
        <f t="shared" ref="A67:A69" si="1">A66+1</f>
        <v>67</v>
      </c>
      <c r="C67" s="28" t="s">
        <v>71</v>
      </c>
      <c r="D67" s="20"/>
      <c r="E67" s="21"/>
      <c r="F67" s="21"/>
      <c r="G67" s="31"/>
      <c r="H67" s="39"/>
      <c r="I67" s="31"/>
      <c r="J67" s="4">
        <v>2.6852019440265214E-2</v>
      </c>
      <c r="K67" s="4">
        <v>0.16888648399700595</v>
      </c>
    </row>
    <row r="68" spans="1:11" x14ac:dyDescent="0.4">
      <c r="A68" s="9">
        <f t="shared" si="1"/>
        <v>68</v>
      </c>
      <c r="C68" s="28" t="s">
        <v>72</v>
      </c>
      <c r="D68" s="20"/>
      <c r="E68" s="21"/>
      <c r="F68" s="21"/>
      <c r="G68" s="31"/>
      <c r="H68" s="39"/>
      <c r="I68" s="31"/>
      <c r="J68" s="4">
        <v>5.0131284678961885E-2</v>
      </c>
      <c r="K68" s="4">
        <v>-1.861602370731652E-2</v>
      </c>
    </row>
    <row r="69" spans="1:11" x14ac:dyDescent="0.4">
      <c r="A69" s="9">
        <f t="shared" si="1"/>
        <v>69</v>
      </c>
      <c r="C69" s="29" t="s">
        <v>73</v>
      </c>
      <c r="D69" s="22"/>
      <c r="E69" s="23"/>
      <c r="F69" s="23"/>
      <c r="G69" s="32"/>
      <c r="H69" s="39"/>
      <c r="I69" s="31"/>
      <c r="J69" s="4">
        <v>-3.3955339917335549E-2</v>
      </c>
      <c r="K69" s="4">
        <v>-4.7935970985618435E-2</v>
      </c>
    </row>
    <row r="70" spans="1:11" x14ac:dyDescent="0.4">
      <c r="J70" s="4">
        <v>-1.8591566729144599E-2</v>
      </c>
      <c r="K70" s="4">
        <v>-0.10377568334501734</v>
      </c>
    </row>
    <row r="71" spans="1:11" x14ac:dyDescent="0.4">
      <c r="J71" s="4">
        <v>8.4657848625458304E-2</v>
      </c>
      <c r="K71" s="4">
        <v>-4.5352215944804514E-2</v>
      </c>
    </row>
    <row r="72" spans="1:11" x14ac:dyDescent="0.4">
      <c r="J72" s="4">
        <v>-2.4962462847446774E-2</v>
      </c>
      <c r="K72" s="4">
        <v>-0.13248172606234962</v>
      </c>
    </row>
    <row r="73" spans="1:11" x14ac:dyDescent="0.4">
      <c r="J73" s="4">
        <v>-2.4081107139232883E-2</v>
      </c>
      <c r="K73" s="4">
        <v>3.3028018455904015E-2</v>
      </c>
    </row>
    <row r="74" spans="1:11" x14ac:dyDescent="0.4">
      <c r="J74" s="4">
        <v>2.4949854605202638E-2</v>
      </c>
      <c r="K74" s="4">
        <v>9.7119337065563055E-2</v>
      </c>
    </row>
    <row r="75" spans="1:11" x14ac:dyDescent="0.4">
      <c r="J75" s="4">
        <v>-1.3184718117489631E-2</v>
      </c>
      <c r="K75" s="4">
        <v>-0.12715526386054302</v>
      </c>
    </row>
    <row r="76" spans="1:11" x14ac:dyDescent="0.4">
      <c r="J76" s="4">
        <v>5.1189048445802986E-2</v>
      </c>
      <c r="K76" s="4">
        <v>-7.5765163578174116E-2</v>
      </c>
    </row>
    <row r="77" spans="1:11" x14ac:dyDescent="0.4">
      <c r="J77" s="4">
        <v>-4.4392104271030325E-2</v>
      </c>
      <c r="K77" s="4">
        <v>-6.5102246749852016E-2</v>
      </c>
    </row>
    <row r="78" spans="1:11" x14ac:dyDescent="0.4">
      <c r="J78" s="4">
        <v>-9.9156034657700686E-3</v>
      </c>
      <c r="K78" s="4">
        <v>-0.15110328045843333</v>
      </c>
    </row>
    <row r="79" spans="1:11" x14ac:dyDescent="0.4">
      <c r="J79" s="4">
        <v>-8.0556435753994238E-2</v>
      </c>
      <c r="K79" s="4">
        <v>7.0351957445799529E-2</v>
      </c>
    </row>
    <row r="80" spans="1:11" x14ac:dyDescent="0.4">
      <c r="J80" s="4">
        <v>-1.1714961884586357E-2</v>
      </c>
      <c r="K80" s="4">
        <v>2.6620781189008857E-3</v>
      </c>
    </row>
    <row r="81" spans="10:11" x14ac:dyDescent="0.4">
      <c r="J81" s="4">
        <v>2.4654790963351412E-2</v>
      </c>
      <c r="K81" s="4">
        <v>0.19985077758327766</v>
      </c>
    </row>
    <row r="82" spans="10:11" x14ac:dyDescent="0.4">
      <c r="J82" s="4">
        <v>-6.8686282022410228E-2</v>
      </c>
      <c r="K82" s="4">
        <v>4.2594237420782166E-3</v>
      </c>
    </row>
    <row r="83" spans="10:11" x14ac:dyDescent="0.4">
      <c r="J83" s="4">
        <v>-6.8881518713425002E-2</v>
      </c>
      <c r="K83" s="4">
        <v>-2.6050154007557461E-2</v>
      </c>
    </row>
    <row r="84" spans="10:11" x14ac:dyDescent="0.4">
      <c r="J84" s="4">
        <v>5.9356760859689939E-2</v>
      </c>
      <c r="K84" s="4">
        <v>4.4117876959965219E-2</v>
      </c>
    </row>
    <row r="85" spans="10:11" x14ac:dyDescent="0.4">
      <c r="J85" s="4">
        <v>1.2165030944108432E-2</v>
      </c>
      <c r="K85" s="4">
        <v>4.810932127980732E-2</v>
      </c>
    </row>
    <row r="86" spans="10:11" x14ac:dyDescent="0.4">
      <c r="J86" s="4">
        <v>-2.2077194379220746E-2</v>
      </c>
      <c r="K86" s="4">
        <v>-5.7423299281498114E-3</v>
      </c>
    </row>
    <row r="87" spans="10:11" x14ac:dyDescent="0.4">
      <c r="J87" s="4">
        <v>-8.0872840650108475E-3</v>
      </c>
      <c r="K87" s="4">
        <v>-8.1943465519113648E-2</v>
      </c>
    </row>
    <row r="88" spans="10:11" x14ac:dyDescent="0.4">
      <c r="J88" s="4">
        <v>-4.6752782118241708E-2</v>
      </c>
      <c r="K88" s="4">
        <v>5.3326505689472579E-2</v>
      </c>
    </row>
    <row r="89" spans="10:11" x14ac:dyDescent="0.4">
      <c r="J89" s="4">
        <v>-7.0806579192196253E-2</v>
      </c>
      <c r="K89" s="4">
        <v>-4.9224240275434136E-2</v>
      </c>
    </row>
    <row r="90" spans="10:11" x14ac:dyDescent="0.4">
      <c r="J90" s="4">
        <v>1.7282003109502904E-2</v>
      </c>
      <c r="K90" s="4">
        <v>0.1039029535282554</v>
      </c>
    </row>
    <row r="91" spans="10:11" x14ac:dyDescent="0.4">
      <c r="J91" s="4">
        <v>6.6169850447535206E-2</v>
      </c>
      <c r="K91" s="4">
        <v>0.13107452953796161</v>
      </c>
    </row>
    <row r="92" spans="10:11" x14ac:dyDescent="0.4">
      <c r="J92" s="4">
        <v>-6.7793752191975202E-3</v>
      </c>
      <c r="K92" s="4">
        <v>8.4137309027767448E-2</v>
      </c>
    </row>
    <row r="93" spans="10:11" x14ac:dyDescent="0.4">
      <c r="J93" s="4">
        <v>-9.4145940900953011E-3</v>
      </c>
      <c r="K93" s="4">
        <v>8.7791414041082858E-2</v>
      </c>
    </row>
    <row r="94" spans="10:11" x14ac:dyDescent="0.4">
      <c r="J94" s="4">
        <v>-1.9496177947029531E-2</v>
      </c>
      <c r="K94" s="4">
        <v>0.1156369134396973</v>
      </c>
    </row>
    <row r="95" spans="10:11" x14ac:dyDescent="0.4">
      <c r="J95" s="4">
        <v>2.9990745060716532E-2</v>
      </c>
      <c r="K95" s="4">
        <v>6.2193305964295953E-2</v>
      </c>
    </row>
    <row r="96" spans="10:11" x14ac:dyDescent="0.4">
      <c r="J96" s="4">
        <v>-4.0495891056707083E-2</v>
      </c>
      <c r="K96" s="4">
        <v>-1.8951617820221874E-2</v>
      </c>
    </row>
    <row r="97" spans="10:11" x14ac:dyDescent="0.4">
      <c r="J97" s="4">
        <v>7.7519845990464261E-3</v>
      </c>
      <c r="K97" s="4">
        <v>-6.229053197896435E-2</v>
      </c>
    </row>
    <row r="98" spans="10:11" x14ac:dyDescent="0.4">
      <c r="J98" s="4">
        <v>-5.0367084198732592E-2</v>
      </c>
      <c r="K98" s="4">
        <v>-1.7036230718394441E-2</v>
      </c>
    </row>
    <row r="99" spans="10:11" x14ac:dyDescent="0.4">
      <c r="J99" s="4">
        <v>-6.0974574356684193E-2</v>
      </c>
      <c r="K99" s="4">
        <v>2.7678042689299416E-2</v>
      </c>
    </row>
    <row r="100" spans="10:11" x14ac:dyDescent="0.4">
      <c r="J100" s="4">
        <v>2.1238082544258979E-3</v>
      </c>
      <c r="K100" s="4">
        <v>2.3517217386599652E-2</v>
      </c>
    </row>
    <row r="101" spans="10:11" x14ac:dyDescent="0.4">
      <c r="J101" s="4">
        <v>-9.3481960736739561E-2</v>
      </c>
      <c r="K101" s="4">
        <v>-2.870706696559619E-2</v>
      </c>
    </row>
    <row r="102" spans="10:11" x14ac:dyDescent="0.4">
      <c r="J102" s="4">
        <v>6.7636433442170366E-2</v>
      </c>
      <c r="K102" s="4">
        <v>-4.8299160461755045E-2</v>
      </c>
    </row>
    <row r="103" spans="10:11" x14ac:dyDescent="0.4">
      <c r="J103" s="4">
        <v>5.2859611185716755E-2</v>
      </c>
      <c r="K103" s="4">
        <v>4.712217719527028E-2</v>
      </c>
    </row>
    <row r="104" spans="10:11" x14ac:dyDescent="0.4">
      <c r="J104" s="4">
        <v>-4.6135393203060697E-2</v>
      </c>
      <c r="K104" s="4">
        <v>-8.8039551609301325E-2</v>
      </c>
    </row>
    <row r="105" spans="10:11" x14ac:dyDescent="0.4">
      <c r="J105" s="4">
        <v>-1.363095045031138E-2</v>
      </c>
      <c r="K105" s="4">
        <v>-4.3241011943123346E-2</v>
      </c>
    </row>
    <row r="106" spans="10:11" x14ac:dyDescent="0.4">
      <c r="J106" s="4">
        <v>-1.7803763754762315E-2</v>
      </c>
      <c r="K106" s="4">
        <v>-9.9561794750556917E-3</v>
      </c>
    </row>
    <row r="107" spans="10:11" x14ac:dyDescent="0.4">
      <c r="J107" s="4">
        <v>-1.0925397238338498E-2</v>
      </c>
      <c r="K107" s="4">
        <v>-5.8118622016827069E-2</v>
      </c>
    </row>
    <row r="108" spans="10:11" x14ac:dyDescent="0.4">
      <c r="J108" s="4">
        <v>7.5626711462862692E-2</v>
      </c>
      <c r="K108" s="4">
        <v>4.3189790310517964E-2</v>
      </c>
    </row>
    <row r="109" spans="10:11" x14ac:dyDescent="0.4">
      <c r="J109" s="4">
        <v>4.2913424933220243E-2</v>
      </c>
      <c r="K109" s="4">
        <v>1.3931490391715054E-2</v>
      </c>
    </row>
    <row r="110" spans="10:11" x14ac:dyDescent="0.4">
      <c r="J110" s="4">
        <v>1.3031723913290395E-2</v>
      </c>
      <c r="K110" s="4">
        <v>4.46077569998478E-2</v>
      </c>
    </row>
    <row r="111" spans="10:11" x14ac:dyDescent="0.4">
      <c r="J111" s="4">
        <v>1.6898145779758553E-2</v>
      </c>
      <c r="K111" s="4">
        <v>4.8168353705262415E-2</v>
      </c>
    </row>
    <row r="112" spans="10:11" x14ac:dyDescent="0.4">
      <c r="J112" s="4">
        <v>1.4707076699344544E-2</v>
      </c>
      <c r="K112" s="4">
        <v>4.9691959066996999E-2</v>
      </c>
    </row>
    <row r="113" spans="10:11" x14ac:dyDescent="0.4">
      <c r="J113" s="4">
        <v>-1.1300465926967693E-3</v>
      </c>
      <c r="K113" s="4">
        <v>-8.043999567362059E-2</v>
      </c>
    </row>
    <row r="114" spans="10:11" x14ac:dyDescent="0.4">
      <c r="J114" s="4">
        <v>3.684436533678128E-2</v>
      </c>
      <c r="K114" s="4">
        <v>8.4786555640395139E-2</v>
      </c>
    </row>
    <row r="115" spans="10:11" x14ac:dyDescent="0.4">
      <c r="J115" s="4">
        <v>-8.7647061553047627E-4</v>
      </c>
      <c r="K115" s="4">
        <v>1.8540972890697838E-2</v>
      </c>
    </row>
    <row r="116" spans="10:11" x14ac:dyDescent="0.4">
      <c r="J116" s="4">
        <v>4.2365560749920463E-2</v>
      </c>
      <c r="K116" s="4">
        <v>-2.4115918709175711E-2</v>
      </c>
    </row>
    <row r="117" spans="10:11" x14ac:dyDescent="0.4">
      <c r="J117" s="4">
        <v>2.071877423896723E-2</v>
      </c>
      <c r="K117" s="4">
        <v>2.5894688034842017E-2</v>
      </c>
    </row>
    <row r="118" spans="10:11" x14ac:dyDescent="0.4">
      <c r="J118" s="4">
        <v>9.8864787897751244E-3</v>
      </c>
      <c r="K118" s="4">
        <v>3.1268500585593148E-2</v>
      </c>
    </row>
    <row r="119" spans="10:11" x14ac:dyDescent="0.4">
      <c r="J119" s="4">
        <v>-7.0529150789067742E-3</v>
      </c>
      <c r="K119" s="4">
        <v>3.7475789986731291E-3</v>
      </c>
    </row>
    <row r="120" spans="10:11" x14ac:dyDescent="0.4">
      <c r="J120" s="4">
        <v>-1.7083551985098557E-2</v>
      </c>
      <c r="K120" s="4">
        <v>-2.9732339319939217E-3</v>
      </c>
    </row>
    <row r="121" spans="10:11" x14ac:dyDescent="0.4">
      <c r="J121" s="4">
        <v>1.0585654366402315E-2</v>
      </c>
      <c r="K121" s="4">
        <v>-7.8964496330149972E-2</v>
      </c>
    </row>
    <row r="122" spans="10:11" x14ac:dyDescent="0.4">
      <c r="J122" s="4">
        <v>1.8425908284461764E-2</v>
      </c>
      <c r="K122" s="4">
        <v>-4.088062564114979E-2</v>
      </c>
    </row>
    <row r="123" spans="10:11" x14ac:dyDescent="0.4">
      <c r="J123" s="4">
        <v>-3.1607820911340005E-2</v>
      </c>
      <c r="K123" s="4">
        <v>-3.2595083172448254E-2</v>
      </c>
    </row>
    <row r="124" spans="10:11" x14ac:dyDescent="0.4">
      <c r="J124" s="4">
        <v>6.175094844223729E-3</v>
      </c>
      <c r="K124" s="4">
        <v>8.6611915246346607E-2</v>
      </c>
    </row>
    <row r="125" spans="10:11" x14ac:dyDescent="0.4">
      <c r="J125" s="4">
        <v>9.50018122037323E-3</v>
      </c>
      <c r="K125" s="4">
        <v>2.9724777401775468E-2</v>
      </c>
    </row>
    <row r="126" spans="10:11" x14ac:dyDescent="0.4">
      <c r="J126" s="4">
        <v>1.7737602410661985E-2</v>
      </c>
      <c r="K126" s="4">
        <v>-1.8036971340956904E-2</v>
      </c>
    </row>
    <row r="127" spans="10:11" x14ac:dyDescent="0.4">
      <c r="J127" s="4">
        <v>5.3686912682575673E-2</v>
      </c>
      <c r="K127" s="4">
        <v>-1.9165135641819112E-3</v>
      </c>
    </row>
    <row r="128" spans="10:11" x14ac:dyDescent="0.4">
      <c r="J128" s="4">
        <v>2.7647342139125397E-2</v>
      </c>
      <c r="K128" s="4">
        <v>-7.3070464873476459E-3</v>
      </c>
    </row>
    <row r="129" spans="10:11" x14ac:dyDescent="0.4">
      <c r="J129" s="4">
        <v>-1.4583952723576359E-2</v>
      </c>
      <c r="K129" s="4">
        <v>5.5636725292555908E-2</v>
      </c>
    </row>
    <row r="130" spans="10:11" x14ac:dyDescent="0.4">
      <c r="J130" s="4">
        <v>2.1258502376111051E-2</v>
      </c>
      <c r="K130" s="4">
        <v>6.3077296916265957E-2</v>
      </c>
    </row>
    <row r="131" spans="10:11" x14ac:dyDescent="0.4">
      <c r="J131" s="4">
        <v>-2.0192139550840597E-2</v>
      </c>
      <c r="K131" s="4">
        <v>-2.497476442005014E-2</v>
      </c>
    </row>
    <row r="132" spans="10:11" x14ac:dyDescent="0.4">
      <c r="J132" s="4">
        <v>-8.9369726963867049E-3</v>
      </c>
      <c r="K132" s="4">
        <v>-4.7375677456873218E-2</v>
      </c>
    </row>
    <row r="133" spans="10:11" x14ac:dyDescent="0.4">
      <c r="J133" s="4">
        <v>2.4373780212611246E-2</v>
      </c>
      <c r="K133" s="4">
        <v>4.0270135073244312E-2</v>
      </c>
    </row>
    <row r="134" spans="10:11" x14ac:dyDescent="0.4">
      <c r="J134" s="4">
        <v>-6.8267711045884817E-3</v>
      </c>
      <c r="K134" s="4">
        <v>4.5942014196290147E-2</v>
      </c>
    </row>
    <row r="135" spans="10:11" x14ac:dyDescent="0.4">
      <c r="J135" s="4">
        <v>2.7973929016202274E-2</v>
      </c>
      <c r="K135" s="4">
        <v>7.4321341575767252E-2</v>
      </c>
    </row>
    <row r="136" spans="10:11" x14ac:dyDescent="0.4">
      <c r="J136" s="4">
        <v>-9.518136293617049E-3</v>
      </c>
      <c r="K136" s="4">
        <v>-1.5641812954554059E-2</v>
      </c>
    </row>
    <row r="137" spans="10:11" x14ac:dyDescent="0.4">
      <c r="J137" s="4">
        <v>3.7219295302897007E-3</v>
      </c>
      <c r="K137" s="4">
        <v>0.12336769228393131</v>
      </c>
    </row>
    <row r="138" spans="10:11" x14ac:dyDescent="0.4">
      <c r="J138" s="4">
        <v>-1.5363515403775271E-2</v>
      </c>
      <c r="K138" s="4">
        <v>-3.6151214205318929E-2</v>
      </c>
    </row>
    <row r="139" spans="10:11" x14ac:dyDescent="0.4">
      <c r="J139" s="4">
        <v>3.0554651494039735E-2</v>
      </c>
      <c r="K139" s="4">
        <v>8.9753436684112675E-2</v>
      </c>
    </row>
    <row r="140" spans="10:11" x14ac:dyDescent="0.4">
      <c r="J140" s="4">
        <v>6.8245705472896288E-3</v>
      </c>
      <c r="K140" s="4">
        <v>5.6322858235544115E-2</v>
      </c>
    </row>
    <row r="141" spans="10:11" x14ac:dyDescent="0.4">
      <c r="J141" s="4">
        <v>3.4149997580598626E-2</v>
      </c>
      <c r="K141" s="4">
        <v>-1.931713910172779E-2</v>
      </c>
    </row>
    <row r="142" spans="10:11" x14ac:dyDescent="0.4">
      <c r="J142" s="4">
        <v>1.3634832382325617E-3</v>
      </c>
      <c r="K142" s="4">
        <v>-2.1537361494877966E-2</v>
      </c>
    </row>
    <row r="143" spans="10:11" x14ac:dyDescent="0.4">
      <c r="J143" s="4">
        <v>6.918162747911084E-3</v>
      </c>
      <c r="K143" s="4">
        <v>-1.5659842112735814E-2</v>
      </c>
    </row>
    <row r="144" spans="10:11" x14ac:dyDescent="0.4">
      <c r="J144" s="4">
        <v>2.0099665405787712E-2</v>
      </c>
      <c r="K144" s="4">
        <v>2.4126577606863056E-2</v>
      </c>
    </row>
    <row r="145" spans="10:11" x14ac:dyDescent="0.4">
      <c r="J145" s="4">
        <v>-2.5057394486665274E-2</v>
      </c>
      <c r="K145" s="4">
        <v>-4.6808382809017723E-2</v>
      </c>
    </row>
    <row r="146" spans="10:11" x14ac:dyDescent="0.4">
      <c r="J146" s="4">
        <v>-3.987914611186299E-3</v>
      </c>
      <c r="K146" s="4">
        <v>-1.3125237092539883E-2</v>
      </c>
    </row>
    <row r="147" spans="10:11" x14ac:dyDescent="0.4">
      <c r="J147" s="4">
        <v>6.8358836937543258E-3</v>
      </c>
      <c r="K147" s="4">
        <v>-4.774346420079574E-3</v>
      </c>
    </row>
    <row r="148" spans="10:11" x14ac:dyDescent="0.4">
      <c r="J148" s="4">
        <v>1.5209141756151737E-2</v>
      </c>
      <c r="K148" s="4">
        <v>2.7107974639034135E-2</v>
      </c>
    </row>
    <row r="149" spans="10:11" x14ac:dyDescent="0.4">
      <c r="J149" s="4">
        <v>2.4892583331143019E-2</v>
      </c>
      <c r="K149" s="4">
        <v>-1.1090965873242702E-2</v>
      </c>
    </row>
    <row r="150" spans="10:11" x14ac:dyDescent="0.4">
      <c r="J150" s="4">
        <v>2.5963891021709765E-2</v>
      </c>
      <c r="K150" s="4">
        <v>-3.0966042092505589E-2</v>
      </c>
    </row>
    <row r="151" spans="10:11" x14ac:dyDescent="0.4">
      <c r="J151" s="4">
        <v>1.8436872307583389E-2</v>
      </c>
      <c r="K151" s="4">
        <v>3.1147239670724643E-2</v>
      </c>
    </row>
    <row r="152" spans="10:11" x14ac:dyDescent="0.4">
      <c r="J152" s="4">
        <v>1.0564381849512104E-2</v>
      </c>
      <c r="K152" s="4">
        <v>-8.993383183115343E-3</v>
      </c>
    </row>
    <row r="153" spans="10:11" x14ac:dyDescent="0.4">
      <c r="J153" s="4">
        <v>7.6970592863343963E-3</v>
      </c>
      <c r="K153" s="4">
        <v>-5.9444755283434333E-2</v>
      </c>
    </row>
    <row r="154" spans="10:11" x14ac:dyDescent="0.4">
      <c r="J154" s="4">
        <v>-1.6306113642695533E-2</v>
      </c>
      <c r="K154" s="4">
        <v>5.8291660204674037E-2</v>
      </c>
    </row>
    <row r="155" spans="10:11" x14ac:dyDescent="0.4">
      <c r="J155" s="4">
        <v>7.6572501820715271E-3</v>
      </c>
      <c r="K155" s="4">
        <v>1.7185060061059909E-2</v>
      </c>
    </row>
    <row r="156" spans="10:11" x14ac:dyDescent="0.4">
      <c r="J156" s="4">
        <v>3.8818661294620922E-2</v>
      </c>
      <c r="K156" s="4">
        <v>2.2927922299747543E-2</v>
      </c>
    </row>
    <row r="157" spans="10:11" x14ac:dyDescent="0.4">
      <c r="J157" s="4">
        <v>2.6284643874706429E-2</v>
      </c>
      <c r="K157" s="4">
        <v>7.659817591987815E-2</v>
      </c>
    </row>
    <row r="158" spans="10:11" x14ac:dyDescent="0.4">
      <c r="J158" s="4">
        <v>-1.2887898362953041E-2</v>
      </c>
      <c r="K158" s="4">
        <v>3.7986228080574752E-2</v>
      </c>
    </row>
    <row r="159" spans="10:11" x14ac:dyDescent="0.4">
      <c r="J159" s="4">
        <v>-2.4079060318043757E-2</v>
      </c>
      <c r="K159" s="4">
        <v>0.13285974396108113</v>
      </c>
    </row>
    <row r="160" spans="10:11" x14ac:dyDescent="0.4">
      <c r="J160" s="4">
        <v>4.8233774727128214E-3</v>
      </c>
      <c r="K160" s="4">
        <v>-3.5874394661206947E-2</v>
      </c>
    </row>
    <row r="161" spans="10:11" x14ac:dyDescent="0.4">
      <c r="J161" s="4">
        <v>3.5652590997554343E-2</v>
      </c>
      <c r="K161" s="4">
        <v>3.4454423564206499E-3</v>
      </c>
    </row>
    <row r="162" spans="10:11" x14ac:dyDescent="0.4">
      <c r="J162" s="4">
        <v>1.6891546680714575E-2</v>
      </c>
      <c r="K162" s="4">
        <v>4.3920791488698874E-2</v>
      </c>
    </row>
    <row r="163" spans="10:11" x14ac:dyDescent="0.4">
      <c r="J163" s="4">
        <v>-4.2905238759348152E-2</v>
      </c>
      <c r="K163" s="4">
        <v>-3.402528888188483E-2</v>
      </c>
    </row>
    <row r="164" spans="10:11" x14ac:dyDescent="0.4">
      <c r="J164" s="4">
        <v>-9.579579424815101E-3</v>
      </c>
      <c r="K164" s="4">
        <v>4.9258543461163339E-3</v>
      </c>
    </row>
    <row r="165" spans="10:11" x14ac:dyDescent="0.4">
      <c r="J165" s="4">
        <v>-5.0707182587108754E-2</v>
      </c>
      <c r="K165" s="4">
        <v>-9.2904483455808776E-2</v>
      </c>
    </row>
    <row r="166" spans="10:11" x14ac:dyDescent="0.4">
      <c r="J166" s="4">
        <v>-2.5306931603347488E-2</v>
      </c>
      <c r="K166" s="4">
        <v>7.8819007827588411E-2</v>
      </c>
    </row>
    <row r="167" spans="10:11" x14ac:dyDescent="0.4">
      <c r="J167" s="4">
        <v>-2.3171767083012811E-2</v>
      </c>
      <c r="K167" s="4">
        <v>1.8714001924858597E-2</v>
      </c>
    </row>
    <row r="168" spans="10:11" x14ac:dyDescent="0.4">
      <c r="J168" s="4">
        <v>3.5892123851871058E-2</v>
      </c>
      <c r="K168" s="4">
        <v>3.5399374337672332E-2</v>
      </c>
    </row>
    <row r="169" spans="10:11" x14ac:dyDescent="0.4">
      <c r="J169" s="4">
        <v>-1.3278639756557076E-3</v>
      </c>
      <c r="K169" s="4">
        <v>1.5872063551655324E-2</v>
      </c>
    </row>
    <row r="170" spans="10:11" x14ac:dyDescent="0.4">
      <c r="J170" s="4">
        <v>-7.2408511146703852E-2</v>
      </c>
      <c r="K170" s="4">
        <v>-2.3216806074492419E-2</v>
      </c>
    </row>
    <row r="171" spans="10:11" x14ac:dyDescent="0.4">
      <c r="J171" s="4">
        <v>3.2134394891201916E-3</v>
      </c>
      <c r="K171" s="4">
        <v>-5.1126175619801005E-2</v>
      </c>
    </row>
    <row r="172" spans="10:11" x14ac:dyDescent="0.4">
      <c r="J172" s="4">
        <v>-1.3329226067971316E-2</v>
      </c>
      <c r="K172" s="4">
        <v>-6.2191101021645996E-2</v>
      </c>
    </row>
    <row r="173" spans="10:11" x14ac:dyDescent="0.4">
      <c r="J173" s="4">
        <v>-0.1041120366641775</v>
      </c>
      <c r="K173" s="4">
        <v>8.6353734081151587E-2</v>
      </c>
    </row>
    <row r="174" spans="10:11" x14ac:dyDescent="0.4">
      <c r="J174" s="4">
        <v>-0.16380665647630208</v>
      </c>
      <c r="K174" s="4">
        <v>-6.7537348606360209E-2</v>
      </c>
    </row>
    <row r="175" spans="10:11" x14ac:dyDescent="0.4">
      <c r="J175" s="4">
        <v>-0.1075257566971137</v>
      </c>
      <c r="K175" s="4">
        <v>7.4293046870150231E-2</v>
      </c>
    </row>
    <row r="176" spans="10:11" x14ac:dyDescent="0.4">
      <c r="J176" s="4">
        <v>5.5612790850758181E-2</v>
      </c>
      <c r="K176" s="4">
        <v>-1.0634304321071458E-2</v>
      </c>
    </row>
    <row r="177" spans="10:11" x14ac:dyDescent="0.4">
      <c r="J177" s="4">
        <v>-9.6887394130030391E-2</v>
      </c>
      <c r="K177" s="4">
        <v>0.13036094166798146</v>
      </c>
    </row>
    <row r="178" spans="10:11" x14ac:dyDescent="0.4">
      <c r="J178" s="4">
        <v>-0.12275782925749787</v>
      </c>
      <c r="K178" s="4">
        <v>3.7499118808401039E-2</v>
      </c>
    </row>
    <row r="179" spans="10:11" x14ac:dyDescent="0.4">
      <c r="J179" s="4">
        <v>9.8513971062058864E-2</v>
      </c>
      <c r="K179" s="4">
        <v>3.6223524587170236E-2</v>
      </c>
    </row>
    <row r="180" spans="10:11" x14ac:dyDescent="0.4">
      <c r="J180" s="4">
        <v>8.2533539298040637E-2</v>
      </c>
      <c r="K180" s="4">
        <v>5.2677775012307082E-2</v>
      </c>
    </row>
    <row r="181" spans="10:11" x14ac:dyDescent="0.4">
      <c r="J181" s="4">
        <v>6.0910099111266984E-2</v>
      </c>
      <c r="K181" s="4">
        <v>-4.1536084973275315E-2</v>
      </c>
    </row>
    <row r="182" spans="10:11" x14ac:dyDescent="0.4">
      <c r="J182" s="4">
        <v>-2.4981620386837966E-3</v>
      </c>
      <c r="K182" s="4">
        <v>-1.6712209356194519E-3</v>
      </c>
    </row>
    <row r="183" spans="10:11" x14ac:dyDescent="0.4">
      <c r="J183" s="4">
        <v>7.0938374034550042E-2</v>
      </c>
      <c r="K183" s="4">
        <v>4.9357726161842877E-2</v>
      </c>
    </row>
    <row r="184" spans="10:11" x14ac:dyDescent="0.4">
      <c r="J184" s="4">
        <v>2.6125257074327862E-2</v>
      </c>
      <c r="K184" s="4">
        <v>-3.9328587413264005E-3</v>
      </c>
    </row>
    <row r="185" spans="10:11" x14ac:dyDescent="0.4">
      <c r="J185" s="4">
        <v>4.3569780069429541E-2</v>
      </c>
      <c r="K185" s="4">
        <v>7.4965892492879008E-3</v>
      </c>
    </row>
    <row r="186" spans="10:11" x14ac:dyDescent="0.4">
      <c r="J186" s="4">
        <v>-1.8754582431891629E-2</v>
      </c>
      <c r="K186" s="4">
        <v>-3.6500805640833939E-2</v>
      </c>
    </row>
    <row r="187" spans="10:11" x14ac:dyDescent="0.4">
      <c r="J187" s="4">
        <v>5.5294828770875978E-2</v>
      </c>
      <c r="K187" s="4">
        <v>-7.1167643807347511E-2</v>
      </c>
    </row>
    <row r="188" spans="10:11" x14ac:dyDescent="0.4">
      <c r="J188" s="4">
        <v>1.4542128321589562E-2</v>
      </c>
      <c r="K188" s="4">
        <v>6.7207678826777764E-2</v>
      </c>
    </row>
    <row r="189" spans="10:11" x14ac:dyDescent="0.4">
      <c r="J189" s="4">
        <v>-2.6271904171144955E-2</v>
      </c>
      <c r="K189" s="4">
        <v>-2.1470805765447621E-2</v>
      </c>
    </row>
    <row r="190" spans="10:11" x14ac:dyDescent="0.4">
      <c r="J190" s="4">
        <v>2.268940901497523E-2</v>
      </c>
      <c r="K190" s="4">
        <v>-2.7588218947390435E-2</v>
      </c>
    </row>
    <row r="191" spans="10:11" x14ac:dyDescent="0.4">
      <c r="J191" s="4">
        <v>5.5209798691043116E-2</v>
      </c>
      <c r="K191" s="4">
        <v>6.4177145099251487E-3</v>
      </c>
    </row>
    <row r="192" spans="10:11" x14ac:dyDescent="0.4">
      <c r="J192" s="4">
        <v>1.6545695306802485E-2</v>
      </c>
      <c r="K192" s="4">
        <v>1.2228265764763338E-2</v>
      </c>
    </row>
    <row r="193" spans="10:11" x14ac:dyDescent="0.4">
      <c r="J193" s="4">
        <v>-8.9951662755062042E-2</v>
      </c>
      <c r="K193" s="4">
        <v>3.2353876861954775E-2</v>
      </c>
    </row>
    <row r="194" spans="10:11" x14ac:dyDescent="0.4">
      <c r="J194" s="4">
        <v>-4.5623613355033954E-2</v>
      </c>
      <c r="K194" s="4">
        <v>8.0377611831804585E-2</v>
      </c>
    </row>
    <row r="195" spans="10:11" x14ac:dyDescent="0.4">
      <c r="J195" s="4">
        <v>6.169144988264514E-2</v>
      </c>
      <c r="K195" s="4">
        <v>-2.5749414070151362E-2</v>
      </c>
    </row>
    <row r="196" spans="10:11" x14ac:dyDescent="0.4">
      <c r="J196" s="4">
        <v>-3.8261981785558417E-2</v>
      </c>
      <c r="K196" s="4">
        <v>2.8837939678620049E-2</v>
      </c>
    </row>
    <row r="197" spans="10:11" x14ac:dyDescent="0.4">
      <c r="J197" s="4">
        <v>8.3379400228201228E-2</v>
      </c>
      <c r="K197" s="4">
        <v>-8.7502222049621325E-3</v>
      </c>
    </row>
    <row r="198" spans="10:11" x14ac:dyDescent="0.4">
      <c r="J198" s="4">
        <v>3.4265094530605757E-2</v>
      </c>
      <c r="K198" s="4">
        <v>-2.8850770600254962E-2</v>
      </c>
    </row>
    <row r="199" spans="10:11" x14ac:dyDescent="0.4">
      <c r="J199" s="4">
        <v>-1.0294005805717155E-2</v>
      </c>
      <c r="K199" s="4">
        <v>2.1807853757070172E-2</v>
      </c>
    </row>
    <row r="200" spans="10:11" x14ac:dyDescent="0.4">
      <c r="J200" s="4">
        <v>5.7872121330511242E-2</v>
      </c>
      <c r="K200" s="4">
        <v>1.897745050233822E-2</v>
      </c>
    </row>
    <row r="201" spans="10:11" x14ac:dyDescent="0.4">
      <c r="J201" s="4">
        <v>2.5478272264811423E-2</v>
      </c>
      <c r="K201" s="4">
        <v>-1.6346141596844613E-2</v>
      </c>
    </row>
    <row r="202" spans="10:11" x14ac:dyDescent="0.4">
      <c r="J202" s="4">
        <v>2.2045081945502434E-2</v>
      </c>
      <c r="K202" s="4">
        <v>-8.5062963504932879E-2</v>
      </c>
    </row>
    <row r="203" spans="10:11" x14ac:dyDescent="0.4">
      <c r="J203" s="4">
        <v>5.4156403472312518E-3</v>
      </c>
      <c r="K203" s="4">
        <v>8.0904165768377487E-2</v>
      </c>
    </row>
    <row r="204" spans="10:11" x14ac:dyDescent="0.4">
      <c r="J204" s="4">
        <v>3.337378701090124E-2</v>
      </c>
      <c r="K204" s="4">
        <v>7.2869620278799008E-3</v>
      </c>
    </row>
    <row r="205" spans="10:11" x14ac:dyDescent="0.4">
      <c r="J205" s="4">
        <v>-1.2997164824992333E-2</v>
      </c>
      <c r="K205" s="4">
        <v>-9.7591343229579651E-3</v>
      </c>
    </row>
    <row r="206" spans="10:11" x14ac:dyDescent="0.4">
      <c r="J206" s="4">
        <v>-1.3571106425488982E-2</v>
      </c>
      <c r="K206" s="4">
        <v>-5.9297500625831116E-3</v>
      </c>
    </row>
    <row r="207" spans="10:11" x14ac:dyDescent="0.4">
      <c r="J207" s="4">
        <v>-9.2685934816418968E-3</v>
      </c>
      <c r="K207" s="4">
        <v>2.4749221275366842E-2</v>
      </c>
    </row>
    <row r="208" spans="10:11" x14ac:dyDescent="0.4">
      <c r="J208" s="4">
        <v>-5.1097166870566861E-2</v>
      </c>
      <c r="K208" s="4">
        <v>-6.75503174371197E-2</v>
      </c>
    </row>
    <row r="209" spans="10:11" x14ac:dyDescent="0.4">
      <c r="J209" s="4">
        <v>-8.9709270270619423E-2</v>
      </c>
      <c r="K209" s="4">
        <v>3.0957388731773394E-2</v>
      </c>
    </row>
    <row r="210" spans="10:11" x14ac:dyDescent="0.4">
      <c r="J210" s="4">
        <v>0.10730380762277447</v>
      </c>
      <c r="K210" s="4">
        <v>-2.854247063523474E-2</v>
      </c>
    </row>
    <row r="211" spans="10:11" x14ac:dyDescent="0.4">
      <c r="J211" s="4">
        <v>-1.7102256395876266E-2</v>
      </c>
      <c r="K211" s="4">
        <v>-1.5123533665044701E-2</v>
      </c>
    </row>
    <row r="212" spans="10:11" x14ac:dyDescent="0.4">
      <c r="J212" s="4">
        <v>6.342050781636569E-3</v>
      </c>
      <c r="K212" s="4">
        <v>-1.812547820557469E-2</v>
      </c>
    </row>
    <row r="213" spans="10:11" x14ac:dyDescent="0.4">
      <c r="J213" s="4">
        <v>4.3229903683003071E-2</v>
      </c>
      <c r="K213" s="4">
        <v>2.8001487424164515E-2</v>
      </c>
    </row>
    <row r="214" spans="10:11" x14ac:dyDescent="0.4">
      <c r="J214" s="4">
        <v>3.2480849420239342E-2</v>
      </c>
      <c r="K214" s="4">
        <v>5.5907226810598468E-3</v>
      </c>
    </row>
    <row r="215" spans="10:11" x14ac:dyDescent="0.4">
      <c r="J215" s="4">
        <v>2.2245445840085701E-2</v>
      </c>
      <c r="K215" s="4">
        <v>-3.0229684234372115E-2</v>
      </c>
    </row>
    <row r="216" spans="10:11" x14ac:dyDescent="0.4">
      <c r="J216" s="4">
        <v>-4.6611299649160559E-3</v>
      </c>
      <c r="K216" s="4">
        <v>-1.1252158748316997E-2</v>
      </c>
    </row>
    <row r="217" spans="10:11" x14ac:dyDescent="0.4">
      <c r="J217" s="4">
        <v>-6.2347496944558489E-2</v>
      </c>
      <c r="K217" s="4">
        <v>-7.5418566848745594E-3</v>
      </c>
    </row>
    <row r="218" spans="10:11" x14ac:dyDescent="0.4">
      <c r="J218" s="4">
        <v>3.8654605496994565E-2</v>
      </c>
      <c r="K218" s="4">
        <v>-3.2937127046029746E-2</v>
      </c>
    </row>
    <row r="219" spans="10:11" x14ac:dyDescent="0.4">
      <c r="J219" s="4">
        <v>1.5366889260567281E-2</v>
      </c>
      <c r="K219" s="4">
        <v>-2.7527702546603292E-4</v>
      </c>
    </row>
    <row r="220" spans="10:11" x14ac:dyDescent="0.4">
      <c r="J220" s="4">
        <v>1.6651025194479651E-2</v>
      </c>
      <c r="K220" s="4">
        <v>-4.3608429937241448E-3</v>
      </c>
    </row>
    <row r="221" spans="10:11" x14ac:dyDescent="0.4">
      <c r="J221" s="4">
        <v>2.4335828692715267E-2</v>
      </c>
      <c r="K221" s="4">
        <v>2.3477432414196708E-2</v>
      </c>
    </row>
    <row r="222" spans="10:11" x14ac:dyDescent="0.4">
      <c r="J222" s="4">
        <v>-8.4809299079298024E-3</v>
      </c>
      <c r="K222" s="4">
        <v>-3.3673953596310771E-2</v>
      </c>
    </row>
    <row r="223" spans="10:11" x14ac:dyDescent="0.4">
      <c r="J223" s="4">
        <v>5.3917530986108669E-3</v>
      </c>
      <c r="K223" s="4">
        <v>5.5074864650011841E-3</v>
      </c>
    </row>
    <row r="224" spans="10:11" x14ac:dyDescent="0.4">
      <c r="J224" s="4">
        <v>1.0053056321371165E-2</v>
      </c>
      <c r="K224" s="4">
        <v>2.3135416957122117E-2</v>
      </c>
    </row>
    <row r="225" spans="10:11" x14ac:dyDescent="0.4">
      <c r="J225" s="4">
        <v>3.7313225601154083E-2</v>
      </c>
      <c r="K225" s="4">
        <v>-5.4894157475668899E-2</v>
      </c>
    </row>
    <row r="226" spans="10:11" x14ac:dyDescent="0.4">
      <c r="J226" s="4">
        <v>8.4076731306152591E-3</v>
      </c>
      <c r="K226" s="4">
        <v>2.4493434956278246E-2</v>
      </c>
    </row>
    <row r="227" spans="10:11" x14ac:dyDescent="0.4">
      <c r="J227" s="4">
        <v>2.1281843348668963E-2</v>
      </c>
      <c r="K227" s="4">
        <v>-3.1940667226408273E-2</v>
      </c>
    </row>
    <row r="228" spans="10:11" x14ac:dyDescent="0.4">
      <c r="J228" s="4">
        <v>1.6010714812091535E-2</v>
      </c>
      <c r="K228" s="4">
        <v>-3.643078773379798E-2</v>
      </c>
    </row>
    <row r="229" spans="10:11" x14ac:dyDescent="0.4">
      <c r="J229" s="4">
        <v>1.111777495888298E-2</v>
      </c>
      <c r="K229" s="4">
        <v>7.7727263267911746E-3</v>
      </c>
    </row>
    <row r="230" spans="10:11" x14ac:dyDescent="0.4">
      <c r="J230" s="4">
        <v>-1.7821451324224601E-2</v>
      </c>
      <c r="K230" s="4">
        <v>-5.100741352173125E-2</v>
      </c>
    </row>
    <row r="231" spans="10:11" x14ac:dyDescent="0.4">
      <c r="J231" s="4">
        <v>5.015677955601397E-2</v>
      </c>
      <c r="K231" s="4">
        <v>-2.2941915764502024E-2</v>
      </c>
    </row>
    <row r="232" spans="10:11" x14ac:dyDescent="0.4">
      <c r="J232" s="4">
        <v>-2.3996518724377598E-2</v>
      </c>
      <c r="K232" s="4">
        <v>3.0438424023667494E-2</v>
      </c>
    </row>
    <row r="233" spans="10:11" x14ac:dyDescent="0.4">
      <c r="J233" s="4">
        <v>3.4462590423886955E-2</v>
      </c>
      <c r="K233" s="4">
        <v>2.1868416656497941E-3</v>
      </c>
    </row>
    <row r="234" spans="10:11" x14ac:dyDescent="0.4">
      <c r="J234" s="4">
        <v>4.0385441001381417E-2</v>
      </c>
      <c r="K234" s="4">
        <v>-2.3795223871343807E-2</v>
      </c>
    </row>
    <row r="235" spans="10:11" x14ac:dyDescent="0.4">
      <c r="J235" s="4">
        <v>2.2634084335119441E-2</v>
      </c>
      <c r="K235" s="4">
        <v>-1.5353618937033641E-2</v>
      </c>
    </row>
    <row r="236" spans="10:11" x14ac:dyDescent="0.4">
      <c r="J236" s="4">
        <v>2.1311543774916453E-2</v>
      </c>
      <c r="K236" s="4">
        <v>-3.7708674154842747E-2</v>
      </c>
    </row>
    <row r="237" spans="10:11" x14ac:dyDescent="0.4">
      <c r="J237" s="4">
        <v>-3.5528634199286972E-2</v>
      </c>
      <c r="K237" s="4">
        <v>6.315009448397621E-4</v>
      </c>
    </row>
    <row r="238" spans="10:11" x14ac:dyDescent="0.4">
      <c r="J238" s="4">
        <v>3.8377332416398326E-2</v>
      </c>
      <c r="K238" s="4">
        <v>-1.8368574721217702E-2</v>
      </c>
    </row>
    <row r="239" spans="10:11" x14ac:dyDescent="0.4">
      <c r="J239" s="4">
        <v>5.5621617281691764E-3</v>
      </c>
      <c r="K239" s="4">
        <v>-2.7237635544410691E-3</v>
      </c>
    </row>
    <row r="240" spans="10:11" x14ac:dyDescent="0.4">
      <c r="J240" s="4">
        <v>1.6514693759434693E-2</v>
      </c>
      <c r="K240" s="4">
        <v>-2.8511007234890515E-2</v>
      </c>
    </row>
    <row r="241" spans="10:11" x14ac:dyDescent="0.4">
      <c r="J241" s="4">
        <v>2.0371781946207073E-2</v>
      </c>
      <c r="K241" s="4">
        <v>-3.4637540737028454E-3</v>
      </c>
    </row>
    <row r="242" spans="10:11" x14ac:dyDescent="0.4">
      <c r="J242" s="4">
        <v>1.7904576847401682E-2</v>
      </c>
      <c r="K242" s="4">
        <v>-1.4270418769044252E-2</v>
      </c>
    </row>
    <row r="243" spans="10:11" x14ac:dyDescent="0.4">
      <c r="J243" s="4">
        <v>-1.4915748331307056E-2</v>
      </c>
      <c r="K243" s="4">
        <v>5.1829958129480005E-2</v>
      </c>
    </row>
    <row r="244" spans="10:11" x14ac:dyDescent="0.4">
      <c r="J244" s="4">
        <v>3.3926241861139912E-2</v>
      </c>
      <c r="K244" s="4">
        <v>-3.7577283226764242E-2</v>
      </c>
    </row>
    <row r="245" spans="10:11" x14ac:dyDescent="0.4">
      <c r="J245" s="4">
        <v>-2.3896060522122266E-2</v>
      </c>
      <c r="K245" s="4">
        <v>4.7374333222020143E-4</v>
      </c>
    </row>
    <row r="246" spans="10:11" x14ac:dyDescent="0.4">
      <c r="J246" s="4">
        <v>1.7916121033475025E-2</v>
      </c>
      <c r="K246" s="4">
        <v>-4.5469348859957973E-2</v>
      </c>
    </row>
    <row r="247" spans="10:11" x14ac:dyDescent="0.4">
      <c r="J247" s="4">
        <v>5.6085451595481815E-3</v>
      </c>
      <c r="K247" s="4">
        <v>2.7144798400700523E-3</v>
      </c>
    </row>
    <row r="248" spans="10:11" x14ac:dyDescent="0.4">
      <c r="J248" s="4">
        <v>-2.4695198740579435E-3</v>
      </c>
      <c r="K248" s="4">
        <v>-3.0441757501521362E-2</v>
      </c>
    </row>
    <row r="249" spans="10:11" x14ac:dyDescent="0.4">
      <c r="J249" s="4">
        <v>-2.211155129349569E-2</v>
      </c>
      <c r="K249" s="4">
        <v>3.9688381408499354E-2</v>
      </c>
    </row>
    <row r="250" spans="10:11" x14ac:dyDescent="0.4">
      <c r="J250" s="4">
        <v>4.1905755584364941E-2</v>
      </c>
      <c r="K250" s="4">
        <v>-2.3160180340426224E-2</v>
      </c>
    </row>
    <row r="251" spans="10:11" x14ac:dyDescent="0.4">
      <c r="J251" s="4">
        <v>-1.5328400248642425E-2</v>
      </c>
      <c r="K251" s="4">
        <v>4.3140868775180828E-2</v>
      </c>
    </row>
    <row r="252" spans="10:11" x14ac:dyDescent="0.4">
      <c r="J252" s="4">
        <v>1.7947046837137926E-2</v>
      </c>
      <c r="K252" s="4">
        <v>2.4257134385088096E-2</v>
      </c>
    </row>
    <row r="253" spans="10:11" x14ac:dyDescent="0.4">
      <c r="J253" s="4">
        <v>-3.29615273732131E-3</v>
      </c>
      <c r="K253" s="4">
        <v>-2.5190853489622817E-3</v>
      </c>
    </row>
    <row r="254" spans="10:11" x14ac:dyDescent="0.4">
      <c r="J254" s="4">
        <v>-2.1215748130646386E-2</v>
      </c>
      <c r="K254" s="4">
        <v>2.0177152197326763E-3</v>
      </c>
    </row>
    <row r="255" spans="10:11" x14ac:dyDescent="0.4">
      <c r="J255" s="4">
        <v>4.0683390535758059E-3</v>
      </c>
      <c r="K255" s="4">
        <v>-2.5300621379291642E-2</v>
      </c>
    </row>
    <row r="256" spans="10:11" x14ac:dyDescent="0.4">
      <c r="J256" s="4">
        <v>-5.2655913249123054E-2</v>
      </c>
      <c r="K256" s="4">
        <v>8.9795527652202778E-3</v>
      </c>
    </row>
    <row r="257" spans="10:11" x14ac:dyDescent="0.4">
      <c r="J257" s="4">
        <v>-2.5878272602660447E-2</v>
      </c>
      <c r="K257" s="4">
        <v>3.6859529266356869E-2</v>
      </c>
    </row>
    <row r="258" spans="10:11" x14ac:dyDescent="0.4">
      <c r="J258" s="4">
        <v>8.1032915500338518E-2</v>
      </c>
      <c r="K258" s="4">
        <v>-4.7071401140823185E-2</v>
      </c>
    </row>
    <row r="259" spans="10:11" x14ac:dyDescent="0.4">
      <c r="J259" s="4">
        <v>-1.5470238829438376E-3</v>
      </c>
      <c r="K259" s="4">
        <v>-1.6930706756089958E-2</v>
      </c>
    </row>
    <row r="260" spans="10:11" x14ac:dyDescent="0.4">
      <c r="J260" s="4">
        <v>-1.9791179460281055E-2</v>
      </c>
      <c r="K260" s="4">
        <v>4.3993813910329915E-3</v>
      </c>
    </row>
    <row r="261" spans="10:11" x14ac:dyDescent="0.4">
      <c r="J261" s="4">
        <v>-5.0402769356827637E-2</v>
      </c>
      <c r="K261" s="4">
        <v>2.5292001553675614E-2</v>
      </c>
    </row>
    <row r="262" spans="10:11" x14ac:dyDescent="0.4">
      <c r="J262" s="4">
        <v>-1.0186263493155955E-2</v>
      </c>
      <c r="K262" s="4">
        <v>1.2592045738483125E-2</v>
      </c>
    </row>
    <row r="263" spans="10:11" x14ac:dyDescent="0.4">
      <c r="J263" s="4">
        <v>7.46848941117709E-2</v>
      </c>
      <c r="K263" s="4">
        <v>-3.3368228662499971E-2</v>
      </c>
    </row>
    <row r="264" spans="10:11" x14ac:dyDescent="0.4">
      <c r="J264" s="4">
        <v>5.1867130221735979E-3</v>
      </c>
      <c r="K264" s="4">
        <v>-6.0384804395646119E-3</v>
      </c>
    </row>
    <row r="265" spans="10:11" x14ac:dyDescent="0.4">
      <c r="J265" s="4">
        <v>-5.3251040235086262E-4</v>
      </c>
      <c r="K265" s="4">
        <v>-4.8582575940386268E-3</v>
      </c>
    </row>
    <row r="266" spans="10:11" x14ac:dyDescent="0.4">
      <c r="J266" s="4">
        <v>8.0805728476217049E-3</v>
      </c>
      <c r="K266" s="4">
        <v>-1.4660183617007662E-2</v>
      </c>
    </row>
    <row r="267" spans="10:11" x14ac:dyDescent="0.4">
      <c r="J267" s="4">
        <v>3.9717224955377273E-2</v>
      </c>
      <c r="K267" s="4">
        <v>-1.645232278063663E-2</v>
      </c>
    </row>
    <row r="268" spans="10:11" x14ac:dyDescent="0.4">
      <c r="J268" s="4">
        <v>1.4203206596716963E-3</v>
      </c>
      <c r="K268" s="4">
        <v>7.7355624664225808E-3</v>
      </c>
    </row>
    <row r="269" spans="10:11" x14ac:dyDescent="0.4">
      <c r="J269" s="4">
        <v>5.7478256973330219E-3</v>
      </c>
      <c r="K269" s="4">
        <v>-1.3342901998273501E-3</v>
      </c>
    </row>
    <row r="270" spans="10:11" x14ac:dyDescent="0.4">
      <c r="J270" s="4">
        <v>-2.9644997543307749E-2</v>
      </c>
      <c r="K270" s="4">
        <v>1.2303306532704072E-2</v>
      </c>
    </row>
    <row r="271" spans="10:11" x14ac:dyDescent="0.4">
      <c r="J271" s="4">
        <v>2.1198725160288784E-2</v>
      </c>
      <c r="K271" s="4">
        <v>-3.3503337771645297E-2</v>
      </c>
    </row>
    <row r="272" spans="10:11" x14ac:dyDescent="0.4">
      <c r="J272" s="4">
        <v>3.8989566530384968E-3</v>
      </c>
      <c r="K272" s="4">
        <v>1.7770029169858616E-2</v>
      </c>
    </row>
    <row r="273" spans="10:11" x14ac:dyDescent="0.4">
      <c r="J273" s="4">
        <v>2.8223224087375716E-2</v>
      </c>
      <c r="K273" s="4">
        <v>-7.9366159135157502E-3</v>
      </c>
    </row>
    <row r="274" spans="10:11" x14ac:dyDescent="0.4">
      <c r="J274" s="4">
        <v>3.7350484914434504E-2</v>
      </c>
      <c r="K274" s="4">
        <v>-2.570879926413018E-2</v>
      </c>
    </row>
    <row r="275" spans="10:11" x14ac:dyDescent="0.4">
      <c r="J275" s="4">
        <v>4.5824660777031029E-3</v>
      </c>
      <c r="K275" s="4">
        <v>2.8209983865881888E-2</v>
      </c>
    </row>
    <row r="276" spans="10:11" x14ac:dyDescent="0.4">
      <c r="J276" s="4">
        <v>3.5848787972794392E-3</v>
      </c>
      <c r="K276" s="4">
        <v>1.734344827900423E-2</v>
      </c>
    </row>
    <row r="277" spans="10:11" x14ac:dyDescent="0.4">
      <c r="J277" s="4">
        <v>1.1395936370179905E-2</v>
      </c>
      <c r="K277" s="4">
        <v>5.2963103095867693E-2</v>
      </c>
    </row>
    <row r="278" spans="10:11" x14ac:dyDescent="0.4">
      <c r="J278" s="4">
        <v>-3.0789524594507321E-4</v>
      </c>
      <c r="K278" s="4">
        <v>1.9226860219660441E-2</v>
      </c>
    </row>
    <row r="279" spans="10:11" x14ac:dyDescent="0.4">
      <c r="J279" s="4">
        <v>2.1667397219150633E-2</v>
      </c>
      <c r="K279" s="4">
        <v>-1.7101779000159814E-2</v>
      </c>
    </row>
    <row r="280" spans="10:11" x14ac:dyDescent="0.4">
      <c r="J280" s="4">
        <v>-2.926904918706169E-4</v>
      </c>
      <c r="K280" s="4">
        <v>-1.6155403535290349E-2</v>
      </c>
    </row>
    <row r="281" spans="10:11" x14ac:dyDescent="0.4">
      <c r="J281" s="4">
        <v>8.9599983183129665E-3</v>
      </c>
      <c r="K281" s="4">
        <v>4.276347468525999E-3</v>
      </c>
    </row>
    <row r="282" spans="10:11" x14ac:dyDescent="0.4">
      <c r="J282" s="4">
        <v>2.424787948995677E-2</v>
      </c>
      <c r="K282" s="4">
        <v>2.9609550337938328E-2</v>
      </c>
    </row>
    <row r="283" spans="10:11" x14ac:dyDescent="0.4">
      <c r="J283" s="4">
        <v>3.5089734331553629E-2</v>
      </c>
      <c r="K283" s="4">
        <v>-5.3738953846261733E-2</v>
      </c>
    </row>
    <row r="284" spans="10:11" x14ac:dyDescent="0.4">
      <c r="J284" s="4">
        <v>1.1504446128867064E-2</v>
      </c>
      <c r="K284" s="4">
        <v>-1.5090339997715509E-2</v>
      </c>
    </row>
    <row r="285" spans="10:11" x14ac:dyDescent="0.4">
      <c r="J285" s="4">
        <v>4.5392288121274202E-2</v>
      </c>
      <c r="K285" s="4">
        <v>-5.2827030773631573E-3</v>
      </c>
    </row>
    <row r="286" spans="10:11" x14ac:dyDescent="0.4">
      <c r="J286" s="4">
        <v>-3.0771896018454255E-2</v>
      </c>
      <c r="K286" s="4">
        <v>-2.3427273265306196E-2</v>
      </c>
    </row>
    <row r="287" spans="10:11" x14ac:dyDescent="0.4">
      <c r="J287" s="4">
        <v>-1.9885692700776468E-2</v>
      </c>
      <c r="K287" s="4">
        <v>2.7503021815534788E-2</v>
      </c>
    </row>
    <row r="288" spans="10:11" x14ac:dyDescent="0.4">
      <c r="J288" s="4">
        <v>-4.1686207004737854E-4</v>
      </c>
      <c r="K288" s="4">
        <v>2.8844607025788897E-2</v>
      </c>
    </row>
    <row r="289" spans="10:11" x14ac:dyDescent="0.4">
      <c r="J289" s="4">
        <v>1.6148614730218867E-2</v>
      </c>
      <c r="K289" s="4">
        <v>-5.287070045881645E-2</v>
      </c>
    </row>
    <row r="290" spans="10:11" x14ac:dyDescent="0.4">
      <c r="J290" s="4">
        <v>-7.831929299985628E-3</v>
      </c>
      <c r="K290" s="4">
        <v>-3.2151397223635837E-2</v>
      </c>
    </row>
    <row r="291" spans="10:11" x14ac:dyDescent="0.4">
      <c r="J291" s="4">
        <v>3.0683049930315801E-2</v>
      </c>
      <c r="K291" s="4">
        <v>-4.3954019308639417E-2</v>
      </c>
    </row>
    <row r="292" spans="10:11" x14ac:dyDescent="0.4">
      <c r="J292" s="4">
        <v>2.6905833276086158E-2</v>
      </c>
      <c r="K292" s="4">
        <v>-1.4872338160064461E-2</v>
      </c>
    </row>
    <row r="293" spans="10:11" x14ac:dyDescent="0.4">
      <c r="J293" s="4">
        <v>2.6470680791337775E-3</v>
      </c>
      <c r="K293" s="4">
        <v>6.0447283115536233E-3</v>
      </c>
    </row>
    <row r="294" spans="10:11" x14ac:dyDescent="0.4">
      <c r="J294" s="4">
        <v>-6.3454578216318391E-2</v>
      </c>
      <c r="K294" s="4">
        <v>-7.0293026422040716E-2</v>
      </c>
    </row>
    <row r="295" spans="10:11" x14ac:dyDescent="0.4">
      <c r="J295" s="4">
        <v>1.9986143106022175E-2</v>
      </c>
      <c r="K295" s="4">
        <v>1.3107580566065674E-2</v>
      </c>
    </row>
    <row r="296" spans="10:11" x14ac:dyDescent="0.4">
      <c r="J296" s="4">
        <v>-7.2257517723572237E-2</v>
      </c>
      <c r="K296" s="4">
        <v>4.5636760973002274E-2</v>
      </c>
    </row>
    <row r="297" spans="10:11" x14ac:dyDescent="0.4">
      <c r="J297" s="4">
        <v>6.3744343623601318E-2</v>
      </c>
      <c r="K297" s="4">
        <v>1.6513760088231744E-2</v>
      </c>
    </row>
    <row r="298" spans="10:11" x14ac:dyDescent="0.4">
      <c r="J298" s="4">
        <v>2.4021470611704031E-2</v>
      </c>
      <c r="K298" s="4">
        <v>-2.8289334638735307E-2</v>
      </c>
    </row>
    <row r="299" spans="10:11" x14ac:dyDescent="0.4">
      <c r="J299" s="4">
        <v>8.9484561274514006E-3</v>
      </c>
      <c r="K299" s="4">
        <v>-3.3895619338470601E-2</v>
      </c>
    </row>
    <row r="300" spans="10:11" x14ac:dyDescent="0.4">
      <c r="J300" s="4">
        <v>2.6102674787928284E-2</v>
      </c>
      <c r="K300" s="4">
        <v>3.2899919939670536E-3</v>
      </c>
    </row>
    <row r="301" spans="10:11" x14ac:dyDescent="0.4">
      <c r="J301" s="4">
        <v>-6.131332071964439E-2</v>
      </c>
      <c r="K301" s="4">
        <v>-1.213500678229569E-2</v>
      </c>
    </row>
    <row r="302" spans="10:11" x14ac:dyDescent="0.4">
      <c r="J302" s="4">
        <v>6.4656905649520091E-2</v>
      </c>
      <c r="K302" s="4">
        <v>-2.1125408005354007E-2</v>
      </c>
    </row>
    <row r="303" spans="10:11" x14ac:dyDescent="0.4">
      <c r="J303" s="4">
        <v>3.8436898822254281E-3</v>
      </c>
      <c r="K303" s="4">
        <v>-5.362732093797444E-2</v>
      </c>
    </row>
    <row r="304" spans="10:11" x14ac:dyDescent="0.4">
      <c r="J304" s="4">
        <v>-2.324592761202586E-2</v>
      </c>
      <c r="K304" s="4">
        <v>-4.7899322086750323E-3</v>
      </c>
    </row>
    <row r="305" spans="10:11" x14ac:dyDescent="0.4">
      <c r="J305" s="4">
        <v>1.7814537021725477E-2</v>
      </c>
      <c r="K305" s="4">
        <v>3.0595100185496989E-2</v>
      </c>
    </row>
    <row r="306" spans="10:11" x14ac:dyDescent="0.4">
      <c r="J306" s="4">
        <v>2.5568550474468772E-2</v>
      </c>
      <c r="K306" s="4">
        <v>-1.5665736679359617E-2</v>
      </c>
    </row>
    <row r="307" spans="10:11" x14ac:dyDescent="0.4">
      <c r="J307" s="4">
        <v>2.4650655761271806E-2</v>
      </c>
      <c r="K307" s="4">
        <v>-2.2500407138774898E-2</v>
      </c>
    </row>
    <row r="308" spans="10:11" x14ac:dyDescent="0.4">
      <c r="J308" s="4">
        <v>2.9162120635576966E-2</v>
      </c>
      <c r="K308" s="4">
        <v>2.3381989404845288E-2</v>
      </c>
    </row>
    <row r="309" spans="10:11" x14ac:dyDescent="0.4">
      <c r="J309" s="4">
        <v>-8.1324329969181472E-3</v>
      </c>
      <c r="K309" s="4">
        <v>-2.766001991912468E-2</v>
      </c>
    </row>
    <row r="310" spans="10:11" x14ac:dyDescent="0.4">
      <c r="J310" s="4">
        <v>-7.6000729808960027E-2</v>
      </c>
      <c r="K310" s="4">
        <v>1.3707489097495557E-2</v>
      </c>
    </row>
    <row r="311" spans="10:11" x14ac:dyDescent="0.4">
      <c r="J311" s="4">
        <v>-0.10185868595172975</v>
      </c>
      <c r="K311" s="4">
        <v>-1.508586893224162E-2</v>
      </c>
    </row>
    <row r="312" spans="10:11" x14ac:dyDescent="0.4">
      <c r="J312" s="4">
        <v>0.10144985222652661</v>
      </c>
      <c r="K312" s="4">
        <v>8.4986272336475543E-3</v>
      </c>
    </row>
    <row r="313" spans="10:11" x14ac:dyDescent="0.4">
      <c r="J313" s="4">
        <v>3.2937824816267919E-2</v>
      </c>
      <c r="K313" s="4">
        <v>9.1866796919371219E-3</v>
      </c>
    </row>
    <row r="314" spans="10:11" x14ac:dyDescent="0.4">
      <c r="J314" s="4">
        <v>2.5166756254112008E-2</v>
      </c>
      <c r="K314" s="4">
        <v>1.3624138503475672E-2</v>
      </c>
    </row>
    <row r="315" spans="10:11" x14ac:dyDescent="0.4">
      <c r="J315" s="4">
        <v>4.7056489048818324E-2</v>
      </c>
      <c r="K315" s="4">
        <v>1.9840059404222725E-2</v>
      </c>
    </row>
    <row r="316" spans="10:11" x14ac:dyDescent="0.4">
      <c r="J316" s="4">
        <v>5.8272726102755468E-2</v>
      </c>
      <c r="K316" s="4">
        <v>-2.412983275928593E-2</v>
      </c>
    </row>
    <row r="317" spans="10:11" x14ac:dyDescent="0.4">
      <c r="J317" s="4">
        <v>-2.7989814125175809E-2</v>
      </c>
      <c r="K317" s="4">
        <v>2.8729226979782134E-2</v>
      </c>
    </row>
    <row r="318" spans="10:11" x14ac:dyDescent="0.4">
      <c r="J318" s="4">
        <v>-1.0844115288859367E-2</v>
      </c>
      <c r="K318" s="4">
        <v>-1.5248182886741625E-2</v>
      </c>
    </row>
    <row r="319" spans="10:11" x14ac:dyDescent="0.4">
      <c r="J319" s="4">
        <v>9.4902296227037275E-2</v>
      </c>
      <c r="K319" s="4">
        <v>4.8092212296880432E-2</v>
      </c>
    </row>
    <row r="320" spans="10:11" x14ac:dyDescent="0.4">
      <c r="J320" s="4">
        <v>3.4918378761121062E-2</v>
      </c>
      <c r="K320" s="4">
        <v>7.3955794446562834E-2</v>
      </c>
    </row>
    <row r="321" spans="10:11" x14ac:dyDescent="0.4">
      <c r="J321" s="4">
        <v>-1.6489944173582259E-2</v>
      </c>
      <c r="K321" s="4">
        <v>5.2244624055397614E-2</v>
      </c>
    </row>
    <row r="322" spans="10:11" x14ac:dyDescent="0.4">
      <c r="J322" s="4">
        <v>2.3069986605366438E-2</v>
      </c>
      <c r="K322" s="4">
        <v>-1.0725427585673769E-2</v>
      </c>
    </row>
    <row r="323" spans="10:11" x14ac:dyDescent="0.4">
      <c r="J323" s="4">
        <v>2.7089431557138936E-2</v>
      </c>
      <c r="K323" s="4">
        <v>-1.1002208071850254E-2</v>
      </c>
    </row>
    <row r="324" spans="10:11" x14ac:dyDescent="0.4">
      <c r="J324" s="4">
        <v>4.9838544227477993E-2</v>
      </c>
      <c r="K324" s="4">
        <v>-2.1603280852965562E-2</v>
      </c>
    </row>
    <row r="325" spans="10:11" x14ac:dyDescent="0.4">
      <c r="J325" s="4">
        <v>2.2332251798836433E-3</v>
      </c>
      <c r="K325" s="4">
        <v>1.5575698978115641E-2</v>
      </c>
    </row>
    <row r="326" spans="10:11" x14ac:dyDescent="0.4">
      <c r="J326" s="4">
        <v>1.4162630382416375E-2</v>
      </c>
      <c r="K326" s="4">
        <v>1.4789403376229148E-2</v>
      </c>
    </row>
    <row r="327" spans="10:11" x14ac:dyDescent="0.4">
      <c r="J327" s="4">
        <v>1.229604134550873E-2</v>
      </c>
      <c r="K327" s="4">
        <v>-4.0918776946173588E-2</v>
      </c>
    </row>
    <row r="328" spans="10:11" x14ac:dyDescent="0.4">
      <c r="J328" s="4">
        <v>2.2030741895526937E-2</v>
      </c>
      <c r="K328" s="4">
        <v>-2.2983176380525425E-2</v>
      </c>
    </row>
    <row r="329" spans="10:11" x14ac:dyDescent="0.4">
      <c r="J329" s="4">
        <v>-4.5478763652935808E-2</v>
      </c>
      <c r="K329" s="4">
        <v>4.7038368727641139E-3</v>
      </c>
    </row>
    <row r="330" spans="10:11" x14ac:dyDescent="0.4">
      <c r="J330" s="4">
        <v>5.9421737591261369E-2</v>
      </c>
      <c r="K330" s="4">
        <v>-9.1401456180165402E-2</v>
      </c>
    </row>
    <row r="331" spans="10:11" x14ac:dyDescent="0.4">
      <c r="J331" s="4">
        <v>-1.2327838996564408E-2</v>
      </c>
      <c r="K331" s="4">
        <v>-3.1995346267415417E-2</v>
      </c>
    </row>
    <row r="332" spans="10:11" x14ac:dyDescent="0.4">
      <c r="J332" s="4">
        <v>3.747311033651031E-2</v>
      </c>
      <c r="K332" s="4">
        <v>1.1360814165340669E-2</v>
      </c>
    </row>
    <row r="333" spans="10:11" x14ac:dyDescent="0.4">
      <c r="J333" s="4">
        <v>-4.6466622123581755E-2</v>
      </c>
      <c r="K333" s="4">
        <v>-5.9089773020239669E-2</v>
      </c>
    </row>
    <row r="334" spans="10:11" x14ac:dyDescent="0.4">
      <c r="J334" s="4">
        <v>-2.4913987327324652E-2</v>
      </c>
      <c r="K334" s="4">
        <v>3.8370774669533994E-2</v>
      </c>
    </row>
    <row r="335" spans="10:11" x14ac:dyDescent="0.4">
      <c r="J335" s="4">
        <v>2.6872929536660199E-2</v>
      </c>
      <c r="K335" s="4">
        <v>-5.2107951106491399E-3</v>
      </c>
    </row>
    <row r="336" spans="10:11" x14ac:dyDescent="0.4">
      <c r="J336" s="4">
        <v>-8.5869351947866282E-2</v>
      </c>
      <c r="K336" s="4">
        <v>6.3168864213744916E-2</v>
      </c>
    </row>
    <row r="337" spans="10:11" x14ac:dyDescent="0.4">
      <c r="J337" s="4">
        <v>6.3759296116754072E-3</v>
      </c>
      <c r="K337" s="4">
        <v>-9.7710428748802591E-3</v>
      </c>
    </row>
    <row r="338" spans="10:11" x14ac:dyDescent="0.4">
      <c r="J338" s="4">
        <v>-7.9212911981616563E-2</v>
      </c>
      <c r="K338" s="4">
        <v>-5.2310972005129075E-2</v>
      </c>
    </row>
    <row r="339" spans="10:11" x14ac:dyDescent="0.4">
      <c r="J339" s="4">
        <v>7.0692349259135062E-2</v>
      </c>
      <c r="K339" s="4">
        <v>-1.9737208302965131E-2</v>
      </c>
    </row>
    <row r="340" spans="10:11" x14ac:dyDescent="0.4">
      <c r="J340" s="4">
        <v>-4.4487608449134235E-2</v>
      </c>
      <c r="K340" s="4">
        <v>5.2870231333082988E-2</v>
      </c>
    </row>
    <row r="341" spans="10:11" x14ac:dyDescent="0.4">
      <c r="J341" s="4">
        <v>-9.5521758448628868E-2</v>
      </c>
      <c r="K341" s="4">
        <v>-3.2533903855936352E-2</v>
      </c>
    </row>
    <row r="342" spans="10:11" x14ac:dyDescent="0.4">
      <c r="J342" s="4">
        <v>6.791608204205643E-2</v>
      </c>
      <c r="K342" s="4">
        <v>-3.8378446111241027E-3</v>
      </c>
    </row>
    <row r="343" spans="10:11" x14ac:dyDescent="0.4">
      <c r="J343" s="4">
        <v>6.3432818184634893E-2</v>
      </c>
      <c r="K343" s="4">
        <v>1.4575212823252331E-2</v>
      </c>
    </row>
    <row r="344" spans="10:11" x14ac:dyDescent="0.4">
      <c r="J344" s="4">
        <v>-3.1437832318687832E-2</v>
      </c>
      <c r="K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2023-04-05T04:40:42Z</dcterms:modified>
</cp:coreProperties>
</file>