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임대선\Desktop\새 폴더\github5\OLS\"/>
    </mc:Choice>
  </mc:AlternateContent>
  <xr:revisionPtr revIDLastSave="0" documentId="13_ncr:1_{F8FDB654-F12C-4018-A3FC-F0B4B19F6F6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Logit" sheetId="1" r:id="rId1"/>
    <sheet name="Result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D3" i="1" l="1"/>
  <c r="D6" i="2" s="1"/>
  <c r="D2" i="1"/>
  <c r="D4" i="2" s="1"/>
  <c r="D5" i="2" s="1"/>
</calcChain>
</file>

<file path=xl/sharedStrings.xml><?xml version="1.0" encoding="utf-8"?>
<sst xmlns="http://schemas.openxmlformats.org/spreadsheetml/2006/main" count="80" uniqueCount="80">
  <si>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</si>
  <si>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</si>
  <si>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</si>
  <si>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</si>
  <si>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</si>
  <si>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</si>
  <si>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</si>
  <si>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</si>
  <si>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</si>
  <si>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</si>
  <si>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</si>
  <si>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</si>
  <si>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</si>
  <si>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</si>
  <si>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LL_Null</t>
    <phoneticPr fontId="2" type="noConversion"/>
  </si>
  <si>
    <t>converge</t>
    <phoneticPr fontId="2" type="noConversion"/>
  </si>
  <si>
    <t>MLE</t>
    <phoneticPr fontId="2" type="noConversion"/>
  </si>
  <si>
    <t>LL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</si>
  <si>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</si>
  <si>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</si>
  <si>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</si>
  <si>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</si>
  <si>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</si>
  <si>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</si>
  <si>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</si>
  <si>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</si>
  <si>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</si>
  <si>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</si>
  <si>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</si>
  <si>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</si>
  <si>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</si>
  <si>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</si>
  <si>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</si>
  <si>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</si>
  <si>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</si>
  <si>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</si>
  <si>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</si>
  <si>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</si>
  <si>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</si>
  <si>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</si>
  <si>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</si>
  <si>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</si>
  <si>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</si>
  <si>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</si>
  <si>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</si>
  <si>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</si>
  <si>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</si>
  <si>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</si>
  <si>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</si>
  <si>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</si>
  <si>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</si>
  <si>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</si>
  <si>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</si>
  <si>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</si>
  <si>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</si>
  <si>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</si>
  <si>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</si>
  <si>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</si>
  <si>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</si>
  <si>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</si>
  <si>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</si>
  <si>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</si>
  <si>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</si>
  <si>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</si>
  <si>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</si>
  <si>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</si>
  <si>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</si>
  <si>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</si>
  <si>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</si>
  <si>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</si>
  <si>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</si>
  <si>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</si>
  <si>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</si>
  <si>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</si>
  <si>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</si>
  <si>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</si>
  <si>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</si>
  <si>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</si>
  <si>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Logit Regression Result</t>
    <phoneticPr fontId="2" type="noConversion"/>
  </si>
  <si>
    <t>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</si>
</sst>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4" fillId="6" borderId="0" xfId="0" applyFont="1" applyFill="1"/>
    <xf numFmtId="176" fontId="0" fillId="4" borderId="0" xfId="0" applyNumberFormat="1" applyFill="1"/>
    <xf numFmtId="2" fontId="0" fillId="4" borderId="0" xfId="0" applyNumberFormat="1" applyFill="1" applyAlignment="1">
      <alignment horizontal="right"/>
    </xf>
    <xf numFmtId="0" fontId="5" fillId="2" borderId="0" xfId="0" applyFont="1" applyFill="1"/>
    <xf numFmtId="0" fontId="4" fillId="7" borderId="2" xfId="0" applyFont="1" applyFill="1" applyBorder="1"/>
    <xf numFmtId="0" fontId="0" fillId="4" borderId="3" xfId="0" applyFill="1" applyBorder="1"/>
    <xf numFmtId="0" fontId="4" fillId="7" borderId="4" xfId="0" applyFont="1" applyFill="1" applyBorder="1"/>
    <xf numFmtId="0" fontId="0" fillId="4" borderId="5" xfId="0" applyFill="1" applyBorder="1"/>
    <xf numFmtId="0" fontId="0" fillId="2" borderId="0" xfId="0" applyFill="1" applyAlignment="1">
      <alignment horizontal="center"/>
    </xf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0" fontId="6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175260</xdr:rowOff>
        </xdr:from>
        <xdr:to>
          <xdr:col>6</xdr:col>
          <xdr:colOff>274320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BQ3006"/>
  <sheetViews>
    <sheetView workbookViewId="0">
      <selection activeCell="F4" sqref="F4"/>
    </sheetView>
  </sheetViews>
  <sheetFormatPr defaultRowHeight="17.399999999999999" x14ac:dyDescent="0.4"/>
  <cols>
    <col min="1" max="16384" width="8.796875" style="1"/>
  </cols>
  <sheetData>
    <row r="2" spans="3:69" x14ac:dyDescent="0.4">
      <c r="C2" s="11" t="s">
        <v>1</v>
      </c>
      <c r="D2" s="12">
        <f>COUNT(D6:D1048576)</f>
        <v>200</v>
      </c>
    </row>
    <row r="3" spans="3:69" x14ac:dyDescent="0.4">
      <c r="C3" s="13" t="s">
        <v>2</v>
      </c>
      <c r="D3" s="14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1</v>
      </c>
      <c r="E6" s="2">
        <v>1</v>
      </c>
      <c r="F6" s="3">
        <v>0.7</v>
      </c>
      <c r="G6" s="3">
        <v>48000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0</v>
      </c>
      <c r="E7" s="2">
        <v>2</v>
      </c>
      <c r="F7" s="3">
        <v>1.9</v>
      </c>
      <c r="G7" s="3">
        <v>48000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1</v>
      </c>
      <c r="E8" s="2">
        <v>3</v>
      </c>
      <c r="F8" s="3">
        <v>2.5</v>
      </c>
      <c r="G8" s="3">
        <v>60000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0</v>
      </c>
      <c r="E9" s="2">
        <v>4</v>
      </c>
      <c r="F9" s="3">
        <v>4.2</v>
      </c>
      <c r="G9" s="3">
        <v>63000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0</v>
      </c>
      <c r="E10" s="2">
        <v>5</v>
      </c>
      <c r="F10" s="3">
        <v>6</v>
      </c>
      <c r="G10" s="3">
        <v>76000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0</v>
      </c>
      <c r="E11" s="2">
        <v>6</v>
      </c>
      <c r="F11" s="3">
        <v>6.5</v>
      </c>
      <c r="G11" s="3">
        <v>69000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0</v>
      </c>
      <c r="E12" s="2">
        <v>7</v>
      </c>
      <c r="F12" s="3">
        <v>7.5</v>
      </c>
      <c r="G12" s="3">
        <v>76000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0</v>
      </c>
      <c r="E13" s="2">
        <v>8</v>
      </c>
      <c r="F13" s="3">
        <v>8.1</v>
      </c>
      <c r="G13" s="3">
        <v>88000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1</v>
      </c>
      <c r="E14" s="2">
        <v>9</v>
      </c>
      <c r="F14" s="3">
        <v>8.6999999999999993</v>
      </c>
      <c r="G14" s="3">
        <v>83000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1</v>
      </c>
      <c r="E15" s="2">
        <v>10</v>
      </c>
      <c r="F15" s="3">
        <v>10</v>
      </c>
      <c r="G15" s="3">
        <v>83000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0</v>
      </c>
      <c r="E16" s="2">
        <v>11</v>
      </c>
      <c r="F16" s="3">
        <v>0.8</v>
      </c>
      <c r="G16" s="3">
        <v>43000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0</v>
      </c>
      <c r="E17" s="2">
        <v>12</v>
      </c>
      <c r="F17" s="3">
        <v>1.8</v>
      </c>
      <c r="G17" s="3">
        <v>60000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1</v>
      </c>
      <c r="E18" s="2">
        <v>13</v>
      </c>
      <c r="F18" s="3">
        <v>10</v>
      </c>
      <c r="G18" s="3">
        <v>79000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0</v>
      </c>
      <c r="E19" s="2">
        <v>14</v>
      </c>
      <c r="F19" s="3">
        <v>6.1</v>
      </c>
      <c r="G19" s="3">
        <v>76000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</v>
      </c>
      <c r="E20" s="2">
        <v>15</v>
      </c>
      <c r="F20" s="3">
        <v>1.4</v>
      </c>
      <c r="G20" s="3">
        <v>50000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0</v>
      </c>
      <c r="E21" s="2">
        <v>16</v>
      </c>
      <c r="F21" s="3">
        <v>9.1</v>
      </c>
      <c r="G21" s="3">
        <v>92000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0</v>
      </c>
      <c r="E22" s="2">
        <v>17</v>
      </c>
      <c r="F22" s="3">
        <v>5.8</v>
      </c>
      <c r="G22" s="3">
        <v>75000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0</v>
      </c>
      <c r="E23" s="2">
        <v>18</v>
      </c>
      <c r="F23" s="3">
        <v>5.2</v>
      </c>
      <c r="G23" s="3">
        <v>69000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0</v>
      </c>
      <c r="E24" s="2">
        <v>19</v>
      </c>
      <c r="F24" s="3">
        <v>1</v>
      </c>
      <c r="G24" s="3">
        <v>56000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0</v>
      </c>
      <c r="E25" s="2">
        <v>20</v>
      </c>
      <c r="F25" s="3">
        <v>6</v>
      </c>
      <c r="G25" s="3">
        <v>67000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0</v>
      </c>
      <c r="E26" s="2">
        <v>21</v>
      </c>
      <c r="F26" s="3">
        <v>4.9000000000000004</v>
      </c>
      <c r="G26" s="3">
        <v>74000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1</v>
      </c>
      <c r="E27" s="2">
        <v>22</v>
      </c>
      <c r="F27" s="3">
        <v>6.4</v>
      </c>
      <c r="G27" s="3">
        <v>63000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0</v>
      </c>
      <c r="E28" s="2">
        <v>23</v>
      </c>
      <c r="F28" s="3">
        <v>6.2</v>
      </c>
      <c r="G28" s="3">
        <v>82000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0</v>
      </c>
      <c r="E29" s="2">
        <v>24</v>
      </c>
      <c r="F29" s="3">
        <v>3.3</v>
      </c>
      <c r="G29" s="3">
        <v>58000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1</v>
      </c>
      <c r="E30" s="2">
        <v>25</v>
      </c>
      <c r="F30" s="3">
        <v>9.3000000000000007</v>
      </c>
      <c r="G30" s="3">
        <v>90000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</v>
      </c>
      <c r="E31" s="2">
        <v>26</v>
      </c>
      <c r="F31" s="3">
        <v>5.5</v>
      </c>
      <c r="G31" s="3">
        <v>57000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0</v>
      </c>
      <c r="E32" s="2">
        <v>27</v>
      </c>
      <c r="F32" s="3">
        <v>9.1</v>
      </c>
      <c r="G32" s="3">
        <v>102000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0</v>
      </c>
      <c r="E33" s="2">
        <v>28</v>
      </c>
      <c r="F33" s="3">
        <v>2.4</v>
      </c>
      <c r="G33" s="3">
        <v>54000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1</v>
      </c>
      <c r="E34" s="2">
        <v>29</v>
      </c>
      <c r="F34" s="3">
        <v>8.1999999999999993</v>
      </c>
      <c r="G34" s="3">
        <v>65000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0</v>
      </c>
      <c r="E35" s="2">
        <v>30</v>
      </c>
      <c r="F35" s="3">
        <v>5.3</v>
      </c>
      <c r="G35" s="3">
        <v>82000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0</v>
      </c>
      <c r="E36" s="2">
        <v>31</v>
      </c>
      <c r="F36" s="3">
        <v>9.8000000000000007</v>
      </c>
      <c r="G36" s="3">
        <v>107000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0</v>
      </c>
      <c r="E37" s="2">
        <v>32</v>
      </c>
      <c r="F37" s="3">
        <v>1.8</v>
      </c>
      <c r="G37" s="3">
        <v>64000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1</v>
      </c>
      <c r="E38" s="2">
        <v>33</v>
      </c>
      <c r="F38" s="3">
        <v>0.6</v>
      </c>
      <c r="G38" s="3">
        <v>46000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0</v>
      </c>
      <c r="E39" s="2">
        <v>34</v>
      </c>
      <c r="F39" s="3">
        <v>0.8</v>
      </c>
      <c r="G39" s="3">
        <v>48000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1</v>
      </c>
      <c r="E40" s="2">
        <v>35</v>
      </c>
      <c r="F40" s="3">
        <v>8.6</v>
      </c>
      <c r="G40" s="3">
        <v>84000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</v>
      </c>
      <c r="E41" s="2">
        <v>36</v>
      </c>
      <c r="F41" s="3">
        <v>0.6</v>
      </c>
      <c r="G41" s="3">
        <v>45000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1</v>
      </c>
      <c r="E42" s="2">
        <v>37</v>
      </c>
      <c r="F42" s="3">
        <v>0.5</v>
      </c>
      <c r="G42" s="3">
        <v>30000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0</v>
      </c>
      <c r="E43" s="2">
        <v>38</v>
      </c>
      <c r="F43" s="3">
        <v>7.3</v>
      </c>
      <c r="G43" s="3">
        <v>89000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1</v>
      </c>
      <c r="E44" s="2">
        <v>39</v>
      </c>
      <c r="F44" s="3">
        <v>2.5</v>
      </c>
      <c r="G44" s="3">
        <v>48000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0</v>
      </c>
      <c r="E45" s="2">
        <v>40</v>
      </c>
      <c r="F45" s="3">
        <v>5.6</v>
      </c>
      <c r="G45" s="3">
        <v>76000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0</v>
      </c>
      <c r="E46" s="2">
        <v>41</v>
      </c>
      <c r="F46" s="3">
        <v>7.4</v>
      </c>
      <c r="G46" s="3">
        <v>77000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</v>
      </c>
      <c r="E47" s="2">
        <v>42</v>
      </c>
      <c r="F47" s="3">
        <v>2.7</v>
      </c>
      <c r="G47" s="3">
        <v>56000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0</v>
      </c>
      <c r="E48" s="2">
        <v>43</v>
      </c>
      <c r="F48" s="3">
        <v>0.7</v>
      </c>
      <c r="G48" s="3">
        <v>48000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0</v>
      </c>
      <c r="E49" s="2">
        <v>44</v>
      </c>
      <c r="F49" s="3">
        <v>1.2</v>
      </c>
      <c r="G49" s="3">
        <v>42000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1</v>
      </c>
      <c r="E50" s="2">
        <v>45</v>
      </c>
      <c r="F50" s="3">
        <v>0.2</v>
      </c>
      <c r="G50" s="3">
        <v>32000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1</v>
      </c>
      <c r="E51" s="2">
        <v>46</v>
      </c>
      <c r="F51" s="3">
        <v>4.7</v>
      </c>
      <c r="G51" s="3">
        <v>56000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1</v>
      </c>
      <c r="E52" s="2">
        <v>47</v>
      </c>
      <c r="F52" s="3">
        <v>2.8</v>
      </c>
      <c r="G52" s="3">
        <v>44000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0</v>
      </c>
      <c r="E53" s="2">
        <v>48</v>
      </c>
      <c r="F53" s="3">
        <v>7.6</v>
      </c>
      <c r="G53" s="3">
        <v>78000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0</v>
      </c>
      <c r="E54" s="2">
        <v>49</v>
      </c>
      <c r="F54" s="3">
        <v>1.1000000000000001</v>
      </c>
      <c r="G54" s="3">
        <v>63000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1</v>
      </c>
      <c r="E55" s="2">
        <v>50</v>
      </c>
      <c r="F55" s="3">
        <v>8</v>
      </c>
      <c r="G55" s="3">
        <v>79000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</v>
      </c>
      <c r="E56" s="2">
        <v>51</v>
      </c>
      <c r="F56" s="3">
        <v>2.7</v>
      </c>
      <c r="G56" s="3">
        <v>56000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1</v>
      </c>
      <c r="E57" s="2">
        <v>52</v>
      </c>
      <c r="F57" s="3">
        <v>6</v>
      </c>
      <c r="G57" s="3">
        <v>52000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</v>
      </c>
      <c r="E58" s="2">
        <v>53</v>
      </c>
      <c r="F58" s="3">
        <v>4.5999999999999996</v>
      </c>
      <c r="G58" s="3">
        <v>56000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0</v>
      </c>
      <c r="E59" s="2">
        <v>54</v>
      </c>
      <c r="F59" s="3">
        <v>2.5</v>
      </c>
      <c r="G59" s="3">
        <v>51000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0</v>
      </c>
      <c r="E60" s="2">
        <v>55</v>
      </c>
      <c r="F60" s="3">
        <v>5.7</v>
      </c>
      <c r="G60" s="3">
        <v>71000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0</v>
      </c>
      <c r="E61" s="2">
        <v>56</v>
      </c>
      <c r="F61" s="3">
        <v>2.9</v>
      </c>
      <c r="G61" s="3">
        <v>65000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1</v>
      </c>
      <c r="E62" s="2">
        <v>57</v>
      </c>
      <c r="F62" s="3">
        <v>1.1000000000000001</v>
      </c>
      <c r="G62" s="3">
        <v>33000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</v>
      </c>
      <c r="E63" s="2">
        <v>58</v>
      </c>
      <c r="F63" s="3">
        <v>3</v>
      </c>
      <c r="G63" s="3">
        <v>62000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0</v>
      </c>
      <c r="E64" s="2">
        <v>59</v>
      </c>
      <c r="F64" s="3">
        <v>4</v>
      </c>
      <c r="G64" s="3">
        <v>71000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0</v>
      </c>
      <c r="E65" s="2">
        <v>60</v>
      </c>
      <c r="F65" s="3">
        <v>2.4</v>
      </c>
      <c r="G65" s="3">
        <v>61000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0</v>
      </c>
      <c r="E66" s="2">
        <v>61</v>
      </c>
      <c r="F66" s="3">
        <v>7.5</v>
      </c>
      <c r="G66" s="3">
        <v>75000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1</v>
      </c>
      <c r="E67" s="2">
        <v>62</v>
      </c>
      <c r="F67" s="3">
        <v>9.6999999999999993</v>
      </c>
      <c r="G67" s="3">
        <v>81000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0</v>
      </c>
      <c r="E68" s="2">
        <v>63</v>
      </c>
      <c r="F68" s="3">
        <v>3.2</v>
      </c>
      <c r="G68" s="3">
        <v>62000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0</v>
      </c>
      <c r="E69" s="2">
        <v>64</v>
      </c>
      <c r="F69" s="3">
        <v>7.9</v>
      </c>
      <c r="G69" s="3">
        <v>88000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1</v>
      </c>
      <c r="E70" s="2">
        <v>65</v>
      </c>
      <c r="F70" s="3">
        <v>4.7</v>
      </c>
      <c r="G70" s="3">
        <v>44000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0</v>
      </c>
      <c r="E71" s="2">
        <v>66</v>
      </c>
      <c r="F71" s="3">
        <v>2.5</v>
      </c>
      <c r="G71" s="3">
        <v>55000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0</v>
      </c>
      <c r="E72" s="2">
        <v>67</v>
      </c>
      <c r="F72" s="3">
        <v>1.6</v>
      </c>
      <c r="G72" s="3">
        <v>41000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1</v>
      </c>
      <c r="E73" s="2">
        <v>68</v>
      </c>
      <c r="F73" s="3">
        <v>6.7</v>
      </c>
      <c r="G73" s="3">
        <v>64000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1</v>
      </c>
      <c r="E74" s="2">
        <v>69</v>
      </c>
      <c r="F74" s="3">
        <v>6.9</v>
      </c>
      <c r="G74" s="3">
        <v>66000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1</v>
      </c>
      <c r="E75" s="2">
        <v>70</v>
      </c>
      <c r="F75" s="3">
        <v>7.9</v>
      </c>
      <c r="G75" s="3">
        <v>78000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0</v>
      </c>
      <c r="E76" s="2">
        <v>71</v>
      </c>
      <c r="F76" s="3">
        <v>8.1</v>
      </c>
      <c r="G76" s="3">
        <v>102000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1</v>
      </c>
      <c r="E77" s="2">
        <v>72</v>
      </c>
      <c r="F77" s="3">
        <v>5.3</v>
      </c>
      <c r="G77" s="3">
        <v>48000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1</v>
      </c>
      <c r="E78" s="2">
        <v>73</v>
      </c>
      <c r="F78" s="3">
        <v>8.5</v>
      </c>
      <c r="G78" s="3">
        <v>66000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0</v>
      </c>
      <c r="E79" s="2">
        <v>74</v>
      </c>
      <c r="F79" s="3">
        <v>0.2</v>
      </c>
      <c r="G79" s="3">
        <v>56000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</v>
      </c>
      <c r="E80" s="2">
        <v>75</v>
      </c>
      <c r="F80" s="3">
        <v>6</v>
      </c>
      <c r="G80" s="3">
        <v>69000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0</v>
      </c>
      <c r="E81" s="2">
        <v>76</v>
      </c>
      <c r="F81" s="3">
        <v>7.5</v>
      </c>
      <c r="G81" s="3">
        <v>77000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0</v>
      </c>
      <c r="E82" s="2">
        <v>77</v>
      </c>
      <c r="F82" s="3">
        <v>8</v>
      </c>
      <c r="G82" s="3">
        <v>86000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0</v>
      </c>
      <c r="E83" s="2">
        <v>78</v>
      </c>
      <c r="F83" s="3">
        <v>4.4000000000000004</v>
      </c>
      <c r="G83" s="3">
        <v>68000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0</v>
      </c>
      <c r="E84" s="2">
        <v>79</v>
      </c>
      <c r="F84" s="3">
        <v>4.9000000000000004</v>
      </c>
      <c r="G84" s="3">
        <v>75000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0</v>
      </c>
      <c r="E85" s="2">
        <v>80</v>
      </c>
      <c r="F85" s="3">
        <v>1.5</v>
      </c>
      <c r="G85" s="3">
        <v>60000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</v>
      </c>
      <c r="E86" s="2">
        <v>81</v>
      </c>
      <c r="F86" s="3">
        <v>2.2000000000000002</v>
      </c>
      <c r="G86" s="3">
        <v>50000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1</v>
      </c>
      <c r="E87" s="2">
        <v>82</v>
      </c>
      <c r="F87" s="3">
        <v>3.4</v>
      </c>
      <c r="G87" s="3">
        <v>49000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0</v>
      </c>
      <c r="E88" s="2">
        <v>83</v>
      </c>
      <c r="F88" s="3">
        <v>4.2</v>
      </c>
      <c r="G88" s="3">
        <v>70000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0</v>
      </c>
      <c r="E89" s="2">
        <v>84</v>
      </c>
      <c r="F89" s="3">
        <v>7.7</v>
      </c>
      <c r="G89" s="3">
        <v>98000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0</v>
      </c>
      <c r="E90" s="2">
        <v>85</v>
      </c>
      <c r="F90" s="3">
        <v>8.1999999999999993</v>
      </c>
      <c r="G90" s="3">
        <v>85000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0</v>
      </c>
      <c r="E91" s="2">
        <v>86</v>
      </c>
      <c r="F91" s="3">
        <v>5.4</v>
      </c>
      <c r="G91" s="3">
        <v>88000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0</v>
      </c>
      <c r="E92" s="2">
        <v>87</v>
      </c>
      <c r="F92" s="3">
        <v>0.1</v>
      </c>
      <c r="G92" s="3">
        <v>46000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0</v>
      </c>
      <c r="E93" s="2">
        <v>88</v>
      </c>
      <c r="F93" s="3">
        <v>1.5</v>
      </c>
      <c r="G93" s="3">
        <v>37000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0</v>
      </c>
      <c r="E94" s="2">
        <v>89</v>
      </c>
      <c r="F94" s="3">
        <v>6.3</v>
      </c>
      <c r="G94" s="3">
        <v>86000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0</v>
      </c>
      <c r="E95" s="2">
        <v>90</v>
      </c>
      <c r="F95" s="3">
        <v>3.7</v>
      </c>
      <c r="G95" s="3">
        <v>57000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0</v>
      </c>
      <c r="E96" s="2">
        <v>91</v>
      </c>
      <c r="F96" s="3">
        <v>8.4</v>
      </c>
      <c r="G96" s="3">
        <v>85000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0</v>
      </c>
      <c r="E97" s="2">
        <v>92</v>
      </c>
      <c r="F97" s="3">
        <v>2</v>
      </c>
      <c r="G97" s="3">
        <v>42000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</v>
      </c>
      <c r="E98" s="2">
        <v>93</v>
      </c>
      <c r="F98" s="3">
        <v>5.8</v>
      </c>
      <c r="G98" s="3">
        <v>69000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0</v>
      </c>
      <c r="E99" s="2">
        <v>94</v>
      </c>
      <c r="F99" s="3">
        <v>2.7</v>
      </c>
      <c r="G99" s="3">
        <v>64000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0</v>
      </c>
      <c r="E100" s="2">
        <v>95</v>
      </c>
      <c r="F100" s="3">
        <v>3.1</v>
      </c>
      <c r="G100" s="3">
        <v>63000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0</v>
      </c>
      <c r="E101" s="2">
        <v>96</v>
      </c>
      <c r="F101" s="3">
        <v>1.9</v>
      </c>
      <c r="G101" s="3">
        <v>48000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1</v>
      </c>
      <c r="E102" s="2">
        <v>97</v>
      </c>
      <c r="F102" s="3">
        <v>10</v>
      </c>
      <c r="G102" s="3">
        <v>72000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0</v>
      </c>
      <c r="E103" s="2">
        <v>98</v>
      </c>
      <c r="F103" s="3">
        <v>0.2</v>
      </c>
      <c r="G103" s="3">
        <v>45000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</v>
      </c>
      <c r="E104" s="2">
        <v>99</v>
      </c>
      <c r="F104" s="3">
        <v>8.6</v>
      </c>
      <c r="G104" s="3">
        <v>95000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0</v>
      </c>
      <c r="E105" s="2">
        <v>100</v>
      </c>
      <c r="F105" s="3">
        <v>1.5</v>
      </c>
      <c r="G105" s="3">
        <v>64000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0</v>
      </c>
      <c r="E106" s="2">
        <v>101</v>
      </c>
      <c r="F106" s="3">
        <v>9.8000000000000007</v>
      </c>
      <c r="G106" s="3">
        <v>95000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0</v>
      </c>
      <c r="E107" s="2">
        <v>102</v>
      </c>
      <c r="F107" s="3">
        <v>5.3</v>
      </c>
      <c r="G107" s="3">
        <v>65000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0</v>
      </c>
      <c r="E108" s="2">
        <v>103</v>
      </c>
      <c r="F108" s="3">
        <v>7.5</v>
      </c>
      <c r="G108" s="3">
        <v>80000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0</v>
      </c>
      <c r="E109" s="2">
        <v>104</v>
      </c>
      <c r="F109" s="3">
        <v>9.9</v>
      </c>
      <c r="G109" s="3">
        <v>91000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1</v>
      </c>
      <c r="E110" s="2">
        <v>105</v>
      </c>
      <c r="F110" s="3">
        <v>9.6999999999999993</v>
      </c>
      <c r="G110" s="3">
        <v>50000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0</v>
      </c>
      <c r="E111" s="2">
        <v>106</v>
      </c>
      <c r="F111" s="3">
        <v>2.8</v>
      </c>
      <c r="G111" s="3">
        <v>68000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0</v>
      </c>
      <c r="E112" s="2">
        <v>107</v>
      </c>
      <c r="F112" s="3">
        <v>3.6</v>
      </c>
      <c r="G112" s="3">
        <v>58000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0</v>
      </c>
      <c r="E113" s="2">
        <v>108</v>
      </c>
      <c r="F113" s="3">
        <v>3.9</v>
      </c>
      <c r="G113" s="3">
        <v>74000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0</v>
      </c>
      <c r="E114" s="2">
        <v>109</v>
      </c>
      <c r="F114" s="3">
        <v>4.4000000000000004</v>
      </c>
      <c r="G114" s="3">
        <v>76000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0</v>
      </c>
      <c r="E115" s="2">
        <v>110</v>
      </c>
      <c r="F115" s="3">
        <v>2.5</v>
      </c>
      <c r="G115" s="3">
        <v>49000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0</v>
      </c>
      <c r="E116" s="2">
        <v>111</v>
      </c>
      <c r="F116" s="3">
        <v>7.2</v>
      </c>
      <c r="G116" s="3">
        <v>81000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1</v>
      </c>
      <c r="E117" s="2">
        <v>112</v>
      </c>
      <c r="F117" s="3">
        <v>5.2</v>
      </c>
      <c r="G117" s="3">
        <v>60000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0</v>
      </c>
      <c r="E118" s="2">
        <v>113</v>
      </c>
      <c r="F118" s="3">
        <v>2.4</v>
      </c>
      <c r="G118" s="3">
        <v>62000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0</v>
      </c>
      <c r="E119" s="2">
        <v>114</v>
      </c>
      <c r="F119" s="3">
        <v>8.9</v>
      </c>
      <c r="G119" s="3">
        <v>94000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0</v>
      </c>
      <c r="E120" s="2">
        <v>115</v>
      </c>
      <c r="F120" s="3">
        <v>2.4</v>
      </c>
      <c r="G120" s="3">
        <v>63000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1</v>
      </c>
      <c r="E121" s="2">
        <v>116</v>
      </c>
      <c r="F121" s="3">
        <v>6.8</v>
      </c>
      <c r="G121" s="3">
        <v>69000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0</v>
      </c>
      <c r="E122" s="2">
        <v>117</v>
      </c>
      <c r="F122" s="3">
        <v>6.5</v>
      </c>
      <c r="G122" s="3">
        <v>77000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0</v>
      </c>
      <c r="E123" s="2">
        <v>118</v>
      </c>
      <c r="F123" s="3">
        <v>7</v>
      </c>
      <c r="G123" s="3">
        <v>86000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0</v>
      </c>
      <c r="E124" s="2">
        <v>119</v>
      </c>
      <c r="F124" s="3">
        <v>9.4</v>
      </c>
      <c r="G124" s="3">
        <v>94000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1</v>
      </c>
      <c r="E125" s="2">
        <v>120</v>
      </c>
      <c r="F125" s="3">
        <v>7.8</v>
      </c>
      <c r="G125" s="3">
        <v>72000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0</v>
      </c>
      <c r="E126" s="2">
        <v>121</v>
      </c>
      <c r="F126" s="3">
        <v>0.2</v>
      </c>
      <c r="G126" s="3">
        <v>53000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0</v>
      </c>
      <c r="E127" s="2">
        <v>122</v>
      </c>
      <c r="F127" s="3">
        <v>10</v>
      </c>
      <c r="G127" s="3">
        <v>97000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0</v>
      </c>
      <c r="E128" s="2">
        <v>123</v>
      </c>
      <c r="F128" s="3">
        <v>5.5</v>
      </c>
      <c r="G128" s="3">
        <v>65000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1</v>
      </c>
      <c r="E129" s="2">
        <v>124</v>
      </c>
      <c r="F129" s="3">
        <v>7.7</v>
      </c>
      <c r="G129" s="3">
        <v>71000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1</v>
      </c>
      <c r="E130" s="2">
        <v>125</v>
      </c>
      <c r="F130" s="3">
        <v>8.1</v>
      </c>
      <c r="G130" s="3">
        <v>66000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</v>
      </c>
      <c r="E131" s="2">
        <v>126</v>
      </c>
      <c r="F131" s="3">
        <v>9.8000000000000007</v>
      </c>
      <c r="G131" s="3">
        <v>91000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0</v>
      </c>
      <c r="E132" s="2">
        <v>127</v>
      </c>
      <c r="F132" s="3">
        <v>8</v>
      </c>
      <c r="G132" s="3">
        <v>84000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</v>
      </c>
      <c r="E133" s="2">
        <v>128</v>
      </c>
      <c r="F133" s="3">
        <v>2.7</v>
      </c>
      <c r="G133" s="3">
        <v>55000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0</v>
      </c>
      <c r="E134" s="2">
        <v>129</v>
      </c>
      <c r="F134" s="3">
        <v>2.8</v>
      </c>
      <c r="G134" s="3">
        <v>62000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</v>
      </c>
      <c r="E135" s="2">
        <v>130</v>
      </c>
      <c r="F135" s="3">
        <v>9.4</v>
      </c>
      <c r="G135" s="3">
        <v>79000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0</v>
      </c>
      <c r="E136" s="2">
        <v>131</v>
      </c>
      <c r="F136" s="3">
        <v>2.5</v>
      </c>
      <c r="G136" s="3">
        <v>57000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</v>
      </c>
      <c r="E137" s="2">
        <v>132</v>
      </c>
      <c r="F137" s="3">
        <v>7.4</v>
      </c>
      <c r="G137" s="3">
        <v>70000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0</v>
      </c>
      <c r="E138" s="2">
        <v>133</v>
      </c>
      <c r="F138" s="3">
        <v>2.1</v>
      </c>
      <c r="G138" s="3">
        <v>47000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1</v>
      </c>
      <c r="E139" s="2">
        <v>134</v>
      </c>
      <c r="F139" s="3">
        <v>5.3</v>
      </c>
      <c r="G139" s="3">
        <v>62000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0</v>
      </c>
      <c r="E140" s="2">
        <v>135</v>
      </c>
      <c r="F140" s="3">
        <v>6.3</v>
      </c>
      <c r="G140" s="3">
        <v>79000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1</v>
      </c>
      <c r="E141" s="2">
        <v>136</v>
      </c>
      <c r="F141" s="3">
        <v>6.8</v>
      </c>
      <c r="G141" s="3">
        <v>58000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0</v>
      </c>
      <c r="E142" s="2">
        <v>137</v>
      </c>
      <c r="F142" s="3">
        <v>5.7</v>
      </c>
      <c r="G142" s="3">
        <v>80000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0</v>
      </c>
      <c r="E143" s="2">
        <v>138</v>
      </c>
      <c r="F143" s="3">
        <v>2.2000000000000002</v>
      </c>
      <c r="G143" s="3">
        <v>61000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0</v>
      </c>
      <c r="E144" s="2">
        <v>139</v>
      </c>
      <c r="F144" s="3">
        <v>4.8</v>
      </c>
      <c r="G144" s="3">
        <v>62000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0</v>
      </c>
      <c r="E145" s="2">
        <v>140</v>
      </c>
      <c r="F145" s="3">
        <v>3.7</v>
      </c>
      <c r="G145" s="3">
        <v>64000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0</v>
      </c>
      <c r="E146" s="2">
        <v>141</v>
      </c>
      <c r="F146" s="3">
        <v>4.0999999999999996</v>
      </c>
      <c r="G146" s="3">
        <v>85000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0</v>
      </c>
      <c r="E147" s="2">
        <v>142</v>
      </c>
      <c r="F147" s="3">
        <v>2.2999999999999998</v>
      </c>
      <c r="G147" s="3">
        <v>51000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0</v>
      </c>
      <c r="E148" s="2">
        <v>143</v>
      </c>
      <c r="F148" s="3">
        <v>3.5</v>
      </c>
      <c r="G148" s="3">
        <v>58000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0</v>
      </c>
      <c r="E149" s="2">
        <v>144</v>
      </c>
      <c r="F149" s="3">
        <v>0.9</v>
      </c>
      <c r="G149" s="3">
        <v>43000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0</v>
      </c>
      <c r="E150" s="2">
        <v>145</v>
      </c>
      <c r="F150" s="3">
        <v>0.9</v>
      </c>
      <c r="G150" s="3">
        <v>54000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0</v>
      </c>
      <c r="E151" s="2">
        <v>146</v>
      </c>
      <c r="F151" s="3">
        <v>4.5</v>
      </c>
      <c r="G151" s="3">
        <v>74000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1</v>
      </c>
      <c r="E152" s="2">
        <v>147</v>
      </c>
      <c r="F152" s="3">
        <v>6.5</v>
      </c>
      <c r="G152" s="3">
        <v>55000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1</v>
      </c>
      <c r="E153" s="2">
        <v>148</v>
      </c>
      <c r="F153" s="3">
        <v>4.0999999999999996</v>
      </c>
      <c r="G153" s="3">
        <v>41000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0</v>
      </c>
      <c r="E154" s="2">
        <v>149</v>
      </c>
      <c r="F154" s="3">
        <v>7.1</v>
      </c>
      <c r="G154" s="3">
        <v>73000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</v>
      </c>
      <c r="E155" s="2">
        <v>150</v>
      </c>
      <c r="F155" s="3">
        <v>1.1000000000000001</v>
      </c>
      <c r="G155" s="3">
        <v>66000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1</v>
      </c>
      <c r="E156" s="2">
        <v>151</v>
      </c>
      <c r="F156" s="3">
        <v>9.1</v>
      </c>
      <c r="G156" s="3">
        <v>81000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1</v>
      </c>
      <c r="E157" s="2">
        <v>152</v>
      </c>
      <c r="F157" s="3">
        <v>8</v>
      </c>
      <c r="G157" s="3">
        <v>69000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1</v>
      </c>
      <c r="E158" s="2">
        <v>153</v>
      </c>
      <c r="F158" s="3">
        <v>7.3</v>
      </c>
      <c r="G158" s="3">
        <v>72000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0</v>
      </c>
      <c r="E159" s="2">
        <v>154</v>
      </c>
      <c r="F159" s="3">
        <v>3.3</v>
      </c>
      <c r="G159" s="3">
        <v>50000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0</v>
      </c>
      <c r="E160" s="2">
        <v>155</v>
      </c>
      <c r="F160" s="3">
        <v>3.9</v>
      </c>
      <c r="G160" s="3">
        <v>58000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0</v>
      </c>
      <c r="E161" s="2">
        <v>156</v>
      </c>
      <c r="F161" s="3">
        <v>2.6</v>
      </c>
      <c r="G161" s="3">
        <v>49000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0</v>
      </c>
      <c r="E162" s="2">
        <v>157</v>
      </c>
      <c r="F162" s="3">
        <v>1.6</v>
      </c>
      <c r="G162" s="3">
        <v>78000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0</v>
      </c>
      <c r="E163" s="2">
        <v>158</v>
      </c>
      <c r="F163" s="3">
        <v>0.7</v>
      </c>
      <c r="G163" s="3">
        <v>56000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1</v>
      </c>
      <c r="E164" s="2">
        <v>159</v>
      </c>
      <c r="F164" s="3">
        <v>2.1</v>
      </c>
      <c r="G164" s="3">
        <v>36000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0</v>
      </c>
      <c r="E165" s="2">
        <v>160</v>
      </c>
      <c r="F165" s="3">
        <v>7.5</v>
      </c>
      <c r="G165" s="3">
        <v>90000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1</v>
      </c>
      <c r="E166" s="2">
        <v>161</v>
      </c>
      <c r="F166" s="3">
        <v>4.8</v>
      </c>
      <c r="G166" s="3">
        <v>59000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0</v>
      </c>
      <c r="E167" s="2">
        <v>162</v>
      </c>
      <c r="F167" s="3">
        <v>8.9</v>
      </c>
      <c r="G167" s="3">
        <v>95000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0</v>
      </c>
      <c r="E168" s="2">
        <v>163</v>
      </c>
      <c r="F168" s="3">
        <v>6.2</v>
      </c>
      <c r="G168" s="3">
        <v>72000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0</v>
      </c>
      <c r="E169" s="2">
        <v>164</v>
      </c>
      <c r="F169" s="3">
        <v>6.3</v>
      </c>
      <c r="G169" s="3">
        <v>63000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0</v>
      </c>
      <c r="E170" s="2">
        <v>165</v>
      </c>
      <c r="F170" s="3">
        <v>9.1</v>
      </c>
      <c r="G170" s="3">
        <v>100000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1</v>
      </c>
      <c r="E171" s="2">
        <v>166</v>
      </c>
      <c r="F171" s="3">
        <v>7.3</v>
      </c>
      <c r="G171" s="3">
        <v>61000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0</v>
      </c>
      <c r="E172" s="2">
        <v>167</v>
      </c>
      <c r="F172" s="3">
        <v>5.6</v>
      </c>
      <c r="G172" s="3">
        <v>74000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0</v>
      </c>
      <c r="E173" s="2">
        <v>168</v>
      </c>
      <c r="F173" s="3">
        <v>0.5</v>
      </c>
      <c r="G173" s="3">
        <v>66000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0</v>
      </c>
      <c r="E174" s="2">
        <v>169</v>
      </c>
      <c r="F174" s="3">
        <v>1.1000000000000001</v>
      </c>
      <c r="G174" s="3">
        <v>59000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</v>
      </c>
      <c r="E175" s="2">
        <v>170</v>
      </c>
      <c r="F175" s="3">
        <v>5.0999999999999996</v>
      </c>
      <c r="G175" s="3">
        <v>61000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</v>
      </c>
      <c r="E176" s="2">
        <v>171</v>
      </c>
      <c r="F176" s="3">
        <v>6.2</v>
      </c>
      <c r="G176" s="3">
        <v>70000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</v>
      </c>
      <c r="E177" s="2">
        <v>172</v>
      </c>
      <c r="F177" s="3">
        <v>6.6</v>
      </c>
      <c r="G177" s="3">
        <v>56000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0</v>
      </c>
      <c r="E178" s="2">
        <v>173</v>
      </c>
      <c r="F178" s="3">
        <v>6.3</v>
      </c>
      <c r="G178" s="3">
        <v>76000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</v>
      </c>
      <c r="E179" s="2">
        <v>174</v>
      </c>
      <c r="F179" s="3">
        <v>6.5</v>
      </c>
      <c r="G179" s="3">
        <v>78000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0</v>
      </c>
      <c r="E180" s="2">
        <v>175</v>
      </c>
      <c r="F180" s="3">
        <v>5.0999999999999996</v>
      </c>
      <c r="G180" s="3">
        <v>59000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1</v>
      </c>
      <c r="E181" s="2">
        <v>176</v>
      </c>
      <c r="F181" s="3">
        <v>9.5</v>
      </c>
      <c r="G181" s="3">
        <v>74000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0</v>
      </c>
      <c r="E182" s="2">
        <v>177</v>
      </c>
      <c r="F182" s="3">
        <v>4.5</v>
      </c>
      <c r="G182" s="3">
        <v>64000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0</v>
      </c>
      <c r="E183" s="2">
        <v>178</v>
      </c>
      <c r="F183" s="3">
        <v>2</v>
      </c>
      <c r="G183" s="3">
        <v>54000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0</v>
      </c>
      <c r="E184" s="2">
        <v>179</v>
      </c>
      <c r="F184" s="3">
        <v>1</v>
      </c>
      <c r="G184" s="3">
        <v>52000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0</v>
      </c>
      <c r="E185" s="2">
        <v>180</v>
      </c>
      <c r="F185" s="3">
        <v>4</v>
      </c>
      <c r="G185" s="3">
        <v>69000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0</v>
      </c>
      <c r="E186" s="2">
        <v>181</v>
      </c>
      <c r="F186" s="3">
        <v>6.5</v>
      </c>
      <c r="G186" s="3">
        <v>76000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0</v>
      </c>
      <c r="E187" s="2">
        <v>182</v>
      </c>
      <c r="F187" s="3">
        <v>3</v>
      </c>
      <c r="G187" s="3">
        <v>60000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0</v>
      </c>
      <c r="E188" s="2">
        <v>183</v>
      </c>
      <c r="F188" s="3">
        <v>4.5</v>
      </c>
      <c r="G188" s="3">
        <v>63000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0</v>
      </c>
      <c r="E189" s="2">
        <v>184</v>
      </c>
      <c r="F189" s="3">
        <v>7.8</v>
      </c>
      <c r="G189" s="3">
        <v>70000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1</v>
      </c>
      <c r="E190" s="2">
        <v>185</v>
      </c>
      <c r="F190" s="3">
        <v>3.9</v>
      </c>
      <c r="G190" s="3">
        <v>60000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0</v>
      </c>
      <c r="E191" s="2">
        <v>186</v>
      </c>
      <c r="F191" s="3">
        <v>0.8</v>
      </c>
      <c r="G191" s="3">
        <v>51000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0</v>
      </c>
      <c r="E192" s="2">
        <v>187</v>
      </c>
      <c r="F192" s="3">
        <v>4.2</v>
      </c>
      <c r="G192" s="3">
        <v>78000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0</v>
      </c>
      <c r="E193" s="2">
        <v>188</v>
      </c>
      <c r="F193" s="3">
        <v>1.1000000000000001</v>
      </c>
      <c r="G193" s="3">
        <v>54000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0</v>
      </c>
      <c r="E194" s="2">
        <v>189</v>
      </c>
      <c r="F194" s="3">
        <v>6.2</v>
      </c>
      <c r="G194" s="3">
        <v>60000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0</v>
      </c>
      <c r="E195" s="2">
        <v>190</v>
      </c>
      <c r="F195" s="3">
        <v>2.9</v>
      </c>
      <c r="G195" s="3">
        <v>59000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0</v>
      </c>
      <c r="E196" s="2">
        <v>191</v>
      </c>
      <c r="F196" s="3">
        <v>2.1</v>
      </c>
      <c r="G196" s="3">
        <v>52000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0</v>
      </c>
      <c r="E197" s="2">
        <v>192</v>
      </c>
      <c r="F197" s="3">
        <v>8.1999999999999993</v>
      </c>
      <c r="G197" s="3">
        <v>87000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0</v>
      </c>
      <c r="E198" s="2">
        <v>193</v>
      </c>
      <c r="F198" s="3">
        <v>4.8</v>
      </c>
      <c r="G198" s="3">
        <v>73000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1</v>
      </c>
      <c r="E199" s="2">
        <v>194</v>
      </c>
      <c r="F199" s="3">
        <v>2.2000000000000002</v>
      </c>
      <c r="G199" s="3">
        <v>42000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0</v>
      </c>
      <c r="E200" s="2">
        <v>195</v>
      </c>
      <c r="F200" s="3">
        <v>9.1</v>
      </c>
      <c r="G200" s="3">
        <v>98000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0</v>
      </c>
      <c r="E201" s="2">
        <v>196</v>
      </c>
      <c r="F201" s="3">
        <v>6.5</v>
      </c>
      <c r="G201" s="3">
        <v>84000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0</v>
      </c>
      <c r="E202" s="2">
        <v>197</v>
      </c>
      <c r="F202" s="3">
        <v>6.9</v>
      </c>
      <c r="G202" s="3">
        <v>73000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0</v>
      </c>
      <c r="E203" s="2">
        <v>198</v>
      </c>
      <c r="F203" s="3">
        <v>5.0999999999999996</v>
      </c>
      <c r="G203" s="3">
        <v>72000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1</v>
      </c>
      <c r="E204" s="2">
        <v>199</v>
      </c>
      <c r="F204" s="3">
        <v>9.1</v>
      </c>
      <c r="G204" s="3">
        <v>69000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1</v>
      </c>
      <c r="E205" s="2">
        <v>200</v>
      </c>
      <c r="F205" s="3">
        <v>9.8000000000000007</v>
      </c>
      <c r="G205" s="3">
        <v>79000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est">
                <anchor moveWithCells="1" sizeWithCells="1">
                  <from>
                    <xdr:col>5</xdr:col>
                    <xdr:colOff>38100</xdr:colOff>
                    <xdr:row>0</xdr:row>
                    <xdr:rowOff>175260</xdr:rowOff>
                  </from>
                  <to>
                    <xdr:col>6</xdr:col>
                    <xdr:colOff>274320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9"/>
  <sheetViews>
    <sheetView tabSelected="1" workbookViewId="0">
      <selection activeCell="G12" sqref="G12"/>
    </sheetView>
  </sheetViews>
  <sheetFormatPr defaultColWidth="10.19921875" defaultRowHeight="17.399999999999999" x14ac:dyDescent="0.4"/>
  <cols>
    <col min="1" max="16384" width="10.19921875" style="1"/>
  </cols>
  <sheetData>
    <row r="1" spans="1:7" x14ac:dyDescent="0.4">
      <c r="A1" s="10">
        <v>1</v>
      </c>
      <c r="B1" s="18" t="s">
        <v>78</v>
      </c>
      <c r="C1" s="18"/>
      <c r="D1" s="18"/>
      <c r="E1" s="18"/>
      <c r="F1" s="18"/>
    </row>
    <row r="2" spans="1:7" x14ac:dyDescent="0.4">
      <c r="A2" s="10">
        <f>A1+1</f>
        <v>2</v>
      </c>
      <c r="B2" s="17" t="s">
        <v>7</v>
      </c>
      <c r="C2" s="17"/>
      <c r="D2" s="5" t="s">
        <v>8</v>
      </c>
      <c r="E2" s="6" t="s">
        <v>13</v>
      </c>
      <c r="F2" s="16">
        <v>0.49849370674944982</v>
      </c>
    </row>
    <row r="3" spans="1:7" x14ac:dyDescent="0.4">
      <c r="A3" s="10">
        <f t="shared" ref="A3:A66" si="0">A2+1</f>
        <v>3</v>
      </c>
      <c r="B3" s="17" t="s">
        <v>9</v>
      </c>
      <c r="C3" s="17"/>
      <c r="D3" s="5" t="s">
        <v>16</v>
      </c>
      <c r="E3" s="6" t="s">
        <v>17</v>
      </c>
      <c r="F3" s="9">
        <v>-57.478330066433458</v>
      </c>
    </row>
    <row r="4" spans="1:7" x14ac:dyDescent="0.4">
      <c r="A4" s="10">
        <f t="shared" si="0"/>
        <v>4</v>
      </c>
      <c r="B4" s="17" t="s">
        <v>10</v>
      </c>
      <c r="C4" s="17"/>
      <c r="D4" s="5">
        <f>Logit!D2</f>
        <v>200</v>
      </c>
      <c r="E4" s="6" t="s">
        <v>14</v>
      </c>
      <c r="F4" s="9">
        <v>-114.61138342628446</v>
      </c>
    </row>
    <row r="5" spans="1:7" x14ac:dyDescent="0.4">
      <c r="A5" s="10">
        <f t="shared" si="0"/>
        <v>5</v>
      </c>
      <c r="B5" s="17" t="s">
        <v>11</v>
      </c>
      <c r="C5" s="17"/>
      <c r="D5" s="5">
        <f>D4-Logit!D3-1</f>
        <v>197</v>
      </c>
      <c r="E5" s="6" t="s">
        <v>18</v>
      </c>
      <c r="F5" s="9">
        <v>120.95666013286692</v>
      </c>
    </row>
    <row r="6" spans="1:7" x14ac:dyDescent="0.4">
      <c r="A6" s="10">
        <f t="shared" si="0"/>
        <v>6</v>
      </c>
      <c r="B6" s="17" t="s">
        <v>12</v>
      </c>
      <c r="C6" s="17"/>
      <c r="D6" s="5">
        <f>Logit!D3</f>
        <v>2</v>
      </c>
      <c r="E6" s="6" t="s">
        <v>19</v>
      </c>
      <c r="F6" s="9">
        <v>130.85161223251103</v>
      </c>
    </row>
    <row r="7" spans="1:7" x14ac:dyDescent="0.4">
      <c r="A7" s="10">
        <f t="shared" si="0"/>
        <v>7</v>
      </c>
      <c r="E7" s="6" t="s">
        <v>15</v>
      </c>
      <c r="F7" s="5">
        <v>1.7712282973647575E-7</v>
      </c>
    </row>
    <row r="8" spans="1:7" x14ac:dyDescent="0.4">
      <c r="A8" s="10">
        <f t="shared" si="0"/>
        <v>8</v>
      </c>
      <c r="D8" s="15"/>
    </row>
    <row r="9" spans="1:7" x14ac:dyDescent="0.4">
      <c r="A9" s="10">
        <f t="shared" si="0"/>
        <v>9</v>
      </c>
    </row>
    <row r="10" spans="1:7" x14ac:dyDescent="0.4">
      <c r="A10" s="10">
        <f t="shared" si="0"/>
        <v>10</v>
      </c>
    </row>
    <row r="11" spans="1:7" x14ac:dyDescent="0.4">
      <c r="A11" s="10">
        <f t="shared" si="0"/>
        <v>11</v>
      </c>
      <c r="D11" s="7" t="s">
        <v>4</v>
      </c>
      <c r="E11" s="7" t="s">
        <v>5</v>
      </c>
      <c r="F11" s="7" t="s">
        <v>6</v>
      </c>
      <c r="G11" s="7" t="s">
        <v>79</v>
      </c>
    </row>
    <row r="12" spans="1:7" x14ac:dyDescent="0.4">
      <c r="A12" s="10">
        <f t="shared" si="0"/>
        <v>12</v>
      </c>
      <c r="C12" s="7" t="s">
        <v>20</v>
      </c>
      <c r="D12" s="8">
        <v>8.8500564545726625</v>
      </c>
      <c r="E12" s="8">
        <v>1.6343112111908726</v>
      </c>
      <c r="F12" s="8">
        <v>5.4151598508119498</v>
      </c>
      <c r="G12" s="4">
        <v>1.7712282973647575E-7</v>
      </c>
    </row>
    <row r="13" spans="1:7" x14ac:dyDescent="0.4">
      <c r="A13" s="10">
        <f t="shared" si="0"/>
        <v>13</v>
      </c>
      <c r="C13" s="7" t="s">
        <v>21</v>
      </c>
      <c r="D13" s="8">
        <v>1.5962818120163411</v>
      </c>
      <c r="E13" s="8">
        <v>0.24751297784252435</v>
      </c>
      <c r="F13" s="8">
        <v>6.449285309928058</v>
      </c>
      <c r="G13" s="4">
        <v>8.4971629732422116E-10</v>
      </c>
    </row>
    <row r="14" spans="1:7" x14ac:dyDescent="0.4">
      <c r="A14" s="10">
        <f t="shared" si="0"/>
        <v>14</v>
      </c>
      <c r="C14" s="7" t="s">
        <v>22</v>
      </c>
      <c r="D14" s="8">
        <v>-2.8399880200486333E-4</v>
      </c>
      <c r="E14" s="8">
        <v>4.3797801380512955E-5</v>
      </c>
      <c r="F14" s="8">
        <v>-6.4843164052345212</v>
      </c>
      <c r="G14" s="4">
        <v>7.0190275813786229E-10</v>
      </c>
    </row>
    <row r="15" spans="1:7" x14ac:dyDescent="0.4">
      <c r="A15" s="10">
        <f t="shared" si="0"/>
        <v>15</v>
      </c>
      <c r="C15" s="7" t="s">
        <v>23</v>
      </c>
      <c r="D15" s="4"/>
      <c r="E15" s="4"/>
      <c r="F15" s="4"/>
      <c r="G15" s="4"/>
    </row>
    <row r="16" spans="1:7" x14ac:dyDescent="0.4">
      <c r="A16" s="10">
        <f t="shared" si="0"/>
        <v>16</v>
      </c>
      <c r="C16" s="7" t="s">
        <v>24</v>
      </c>
      <c r="D16" s="4"/>
      <c r="E16" s="4"/>
      <c r="F16" s="4"/>
      <c r="G16" s="4"/>
    </row>
    <row r="17" spans="1:7" x14ac:dyDescent="0.4">
      <c r="A17" s="10">
        <f t="shared" si="0"/>
        <v>17</v>
      </c>
      <c r="C17" s="7" t="s">
        <v>25</v>
      </c>
      <c r="D17" s="4"/>
      <c r="E17" s="4"/>
      <c r="F17" s="4"/>
      <c r="G17" s="4"/>
    </row>
    <row r="18" spans="1:7" x14ac:dyDescent="0.4">
      <c r="A18" s="10">
        <f t="shared" si="0"/>
        <v>18</v>
      </c>
      <c r="C18" s="7" t="s">
        <v>26</v>
      </c>
      <c r="D18" s="4"/>
      <c r="E18" s="4"/>
      <c r="F18" s="4"/>
      <c r="G18" s="4"/>
    </row>
    <row r="19" spans="1:7" x14ac:dyDescent="0.4">
      <c r="A19" s="10">
        <f t="shared" si="0"/>
        <v>19</v>
      </c>
      <c r="C19" s="7" t="s">
        <v>27</v>
      </c>
      <c r="D19" s="4"/>
      <c r="E19" s="4"/>
      <c r="F19" s="4"/>
      <c r="G19" s="4"/>
    </row>
    <row r="20" spans="1:7" x14ac:dyDescent="0.4">
      <c r="A20" s="10">
        <f t="shared" si="0"/>
        <v>20</v>
      </c>
      <c r="C20" s="7" t="s">
        <v>28</v>
      </c>
      <c r="D20" s="4"/>
      <c r="E20" s="4"/>
      <c r="F20" s="4"/>
      <c r="G20" s="4"/>
    </row>
    <row r="21" spans="1:7" x14ac:dyDescent="0.4">
      <c r="A21" s="10">
        <f t="shared" si="0"/>
        <v>21</v>
      </c>
      <c r="C21" s="7" t="s">
        <v>29</v>
      </c>
      <c r="D21" s="4"/>
      <c r="E21" s="4"/>
      <c r="F21" s="4"/>
      <c r="G21" s="4"/>
    </row>
    <row r="22" spans="1:7" x14ac:dyDescent="0.4">
      <c r="A22" s="10">
        <f t="shared" si="0"/>
        <v>22</v>
      </c>
      <c r="C22" s="7" t="s">
        <v>30</v>
      </c>
      <c r="D22" s="4"/>
      <c r="E22" s="4"/>
      <c r="F22" s="4"/>
      <c r="G22" s="4"/>
    </row>
    <row r="23" spans="1:7" x14ac:dyDescent="0.4">
      <c r="A23" s="10">
        <f t="shared" si="0"/>
        <v>23</v>
      </c>
      <c r="C23" s="7" t="s">
        <v>31</v>
      </c>
      <c r="D23" s="4"/>
      <c r="E23" s="4"/>
      <c r="F23" s="4"/>
      <c r="G23" s="4"/>
    </row>
    <row r="24" spans="1:7" x14ac:dyDescent="0.4">
      <c r="A24" s="10">
        <f t="shared" si="0"/>
        <v>24</v>
      </c>
      <c r="C24" s="7" t="s">
        <v>32</v>
      </c>
      <c r="D24" s="4"/>
      <c r="E24" s="4"/>
      <c r="F24" s="4"/>
      <c r="G24" s="4"/>
    </row>
    <row r="25" spans="1:7" x14ac:dyDescent="0.4">
      <c r="A25" s="10">
        <f t="shared" si="0"/>
        <v>25</v>
      </c>
      <c r="C25" s="7" t="s">
        <v>33</v>
      </c>
      <c r="D25" s="4"/>
      <c r="E25" s="4"/>
      <c r="F25" s="4"/>
      <c r="G25" s="4"/>
    </row>
    <row r="26" spans="1:7" x14ac:dyDescent="0.4">
      <c r="A26" s="10">
        <f t="shared" si="0"/>
        <v>26</v>
      </c>
      <c r="C26" s="7" t="s">
        <v>34</v>
      </c>
      <c r="D26" s="4"/>
      <c r="E26" s="4"/>
      <c r="F26" s="4"/>
      <c r="G26" s="4"/>
    </row>
    <row r="27" spans="1:7" x14ac:dyDescent="0.4">
      <c r="A27" s="10">
        <f t="shared" si="0"/>
        <v>27</v>
      </c>
      <c r="C27" s="7" t="s">
        <v>35</v>
      </c>
      <c r="D27" s="4"/>
      <c r="E27" s="4"/>
      <c r="F27" s="4"/>
      <c r="G27" s="4"/>
    </row>
    <row r="28" spans="1:7" x14ac:dyDescent="0.4">
      <c r="A28" s="10">
        <f t="shared" si="0"/>
        <v>28</v>
      </c>
      <c r="C28" s="7" t="s">
        <v>36</v>
      </c>
      <c r="D28" s="4"/>
      <c r="E28" s="4"/>
      <c r="F28" s="4"/>
      <c r="G28" s="4"/>
    </row>
    <row r="29" spans="1:7" x14ac:dyDescent="0.4">
      <c r="A29" s="10">
        <f t="shared" si="0"/>
        <v>29</v>
      </c>
      <c r="C29" s="7" t="s">
        <v>37</v>
      </c>
      <c r="D29" s="4"/>
      <c r="E29" s="4"/>
      <c r="F29" s="4"/>
      <c r="G29" s="4"/>
    </row>
    <row r="30" spans="1:7" x14ac:dyDescent="0.4">
      <c r="A30" s="10">
        <f t="shared" si="0"/>
        <v>30</v>
      </c>
      <c r="C30" s="7" t="s">
        <v>38</v>
      </c>
      <c r="D30" s="4"/>
      <c r="E30" s="4"/>
      <c r="F30" s="4"/>
      <c r="G30" s="4"/>
    </row>
    <row r="31" spans="1:7" x14ac:dyDescent="0.4">
      <c r="A31" s="10">
        <f t="shared" si="0"/>
        <v>31</v>
      </c>
      <c r="C31" s="7" t="s">
        <v>39</v>
      </c>
      <c r="D31" s="4"/>
      <c r="E31" s="4"/>
      <c r="F31" s="4"/>
      <c r="G31" s="4"/>
    </row>
    <row r="32" spans="1:7" x14ac:dyDescent="0.4">
      <c r="A32" s="10">
        <f t="shared" si="0"/>
        <v>32</v>
      </c>
      <c r="C32" s="7" t="s">
        <v>40</v>
      </c>
      <c r="D32" s="4"/>
      <c r="E32" s="4"/>
      <c r="F32" s="4"/>
      <c r="G32" s="4"/>
    </row>
    <row r="33" spans="1:7" x14ac:dyDescent="0.4">
      <c r="A33" s="10">
        <f t="shared" si="0"/>
        <v>33</v>
      </c>
      <c r="C33" s="7" t="s">
        <v>41</v>
      </c>
      <c r="D33" s="4"/>
      <c r="E33" s="4"/>
      <c r="F33" s="4"/>
      <c r="G33" s="4"/>
    </row>
    <row r="34" spans="1:7" x14ac:dyDescent="0.4">
      <c r="A34" s="10">
        <f t="shared" si="0"/>
        <v>34</v>
      </c>
      <c r="C34" s="7" t="s">
        <v>42</v>
      </c>
      <c r="D34" s="4"/>
      <c r="E34" s="4"/>
      <c r="F34" s="4"/>
      <c r="G34" s="4"/>
    </row>
    <row r="35" spans="1:7" x14ac:dyDescent="0.4">
      <c r="A35" s="10">
        <f t="shared" si="0"/>
        <v>35</v>
      </c>
      <c r="C35" s="7" t="s">
        <v>43</v>
      </c>
      <c r="D35" s="4"/>
      <c r="E35" s="4"/>
      <c r="F35" s="4"/>
      <c r="G35" s="4"/>
    </row>
    <row r="36" spans="1:7" x14ac:dyDescent="0.4">
      <c r="A36" s="10">
        <f t="shared" si="0"/>
        <v>36</v>
      </c>
      <c r="C36" s="7" t="s">
        <v>44</v>
      </c>
      <c r="D36" s="4"/>
      <c r="E36" s="4"/>
      <c r="F36" s="4"/>
      <c r="G36" s="4"/>
    </row>
    <row r="37" spans="1:7" x14ac:dyDescent="0.4">
      <c r="A37" s="10">
        <f t="shared" si="0"/>
        <v>37</v>
      </c>
      <c r="C37" s="7" t="s">
        <v>45</v>
      </c>
      <c r="D37" s="4"/>
      <c r="E37" s="4"/>
      <c r="F37" s="4"/>
      <c r="G37" s="4"/>
    </row>
    <row r="38" spans="1:7" x14ac:dyDescent="0.4">
      <c r="A38" s="10">
        <f t="shared" si="0"/>
        <v>38</v>
      </c>
      <c r="C38" s="7" t="s">
        <v>46</v>
      </c>
      <c r="D38" s="4"/>
      <c r="E38" s="4"/>
      <c r="F38" s="4"/>
      <c r="G38" s="4"/>
    </row>
    <row r="39" spans="1:7" x14ac:dyDescent="0.4">
      <c r="A39" s="10">
        <f t="shared" si="0"/>
        <v>39</v>
      </c>
      <c r="C39" s="7" t="s">
        <v>47</v>
      </c>
      <c r="D39" s="4"/>
      <c r="E39" s="4"/>
      <c r="F39" s="4"/>
      <c r="G39" s="4"/>
    </row>
    <row r="40" spans="1:7" x14ac:dyDescent="0.4">
      <c r="A40" s="10">
        <f t="shared" si="0"/>
        <v>40</v>
      </c>
      <c r="C40" s="7" t="s">
        <v>48</v>
      </c>
      <c r="D40" s="4"/>
      <c r="E40" s="4"/>
      <c r="F40" s="4"/>
      <c r="G40" s="4"/>
    </row>
    <row r="41" spans="1:7" x14ac:dyDescent="0.4">
      <c r="A41" s="10">
        <f t="shared" si="0"/>
        <v>41</v>
      </c>
      <c r="C41" s="7" t="s">
        <v>49</v>
      </c>
      <c r="D41" s="4"/>
      <c r="E41" s="4"/>
      <c r="F41" s="4"/>
      <c r="G41" s="4"/>
    </row>
    <row r="42" spans="1:7" x14ac:dyDescent="0.4">
      <c r="A42" s="10">
        <f t="shared" si="0"/>
        <v>42</v>
      </c>
      <c r="C42" s="7" t="s">
        <v>50</v>
      </c>
      <c r="D42" s="4"/>
      <c r="E42" s="4"/>
      <c r="F42" s="4"/>
      <c r="G42" s="4"/>
    </row>
    <row r="43" spans="1:7" x14ac:dyDescent="0.4">
      <c r="A43" s="10">
        <f t="shared" si="0"/>
        <v>43</v>
      </c>
      <c r="C43" s="7" t="s">
        <v>51</v>
      </c>
      <c r="D43" s="4"/>
      <c r="E43" s="4"/>
      <c r="F43" s="4"/>
      <c r="G43" s="4"/>
    </row>
    <row r="44" spans="1:7" x14ac:dyDescent="0.4">
      <c r="A44" s="10">
        <f t="shared" si="0"/>
        <v>44</v>
      </c>
      <c r="C44" s="7" t="s">
        <v>52</v>
      </c>
      <c r="D44" s="4"/>
      <c r="E44" s="4"/>
      <c r="F44" s="4"/>
      <c r="G44" s="4"/>
    </row>
    <row r="45" spans="1:7" x14ac:dyDescent="0.4">
      <c r="A45" s="10">
        <f t="shared" si="0"/>
        <v>45</v>
      </c>
      <c r="C45" s="7" t="s">
        <v>53</v>
      </c>
      <c r="D45" s="4"/>
      <c r="E45" s="4"/>
      <c r="F45" s="4"/>
      <c r="G45" s="4"/>
    </row>
    <row r="46" spans="1:7" x14ac:dyDescent="0.4">
      <c r="A46" s="10">
        <f t="shared" si="0"/>
        <v>46</v>
      </c>
      <c r="C46" s="7" t="s">
        <v>54</v>
      </c>
      <c r="D46" s="4"/>
      <c r="E46" s="4"/>
      <c r="F46" s="4"/>
      <c r="G46" s="4"/>
    </row>
    <row r="47" spans="1:7" x14ac:dyDescent="0.4">
      <c r="A47" s="10">
        <f t="shared" si="0"/>
        <v>47</v>
      </c>
      <c r="C47" s="7" t="s">
        <v>55</v>
      </c>
      <c r="D47" s="4"/>
      <c r="E47" s="4"/>
      <c r="F47" s="4"/>
      <c r="G47" s="4"/>
    </row>
    <row r="48" spans="1:7" x14ac:dyDescent="0.4">
      <c r="A48" s="10">
        <f t="shared" si="0"/>
        <v>48</v>
      </c>
      <c r="C48" s="7" t="s">
        <v>56</v>
      </c>
      <c r="D48" s="4"/>
      <c r="E48" s="4"/>
      <c r="F48" s="4"/>
      <c r="G48" s="4"/>
    </row>
    <row r="49" spans="1:7" x14ac:dyDescent="0.4">
      <c r="A49" s="10">
        <f t="shared" si="0"/>
        <v>49</v>
      </c>
      <c r="C49" s="7" t="s">
        <v>57</v>
      </c>
      <c r="D49" s="4"/>
      <c r="E49" s="4"/>
      <c r="F49" s="4"/>
      <c r="G49" s="4"/>
    </row>
    <row r="50" spans="1:7" x14ac:dyDescent="0.4">
      <c r="A50" s="10">
        <f t="shared" si="0"/>
        <v>50</v>
      </c>
      <c r="C50" s="7" t="s">
        <v>58</v>
      </c>
      <c r="D50" s="4"/>
      <c r="E50" s="4"/>
      <c r="F50" s="4"/>
      <c r="G50" s="4"/>
    </row>
    <row r="51" spans="1:7" x14ac:dyDescent="0.4">
      <c r="A51" s="10">
        <f t="shared" si="0"/>
        <v>51</v>
      </c>
      <c r="C51" s="7" t="s">
        <v>59</v>
      </c>
      <c r="D51" s="4"/>
      <c r="E51" s="4"/>
      <c r="F51" s="4"/>
      <c r="G51" s="4"/>
    </row>
    <row r="52" spans="1:7" x14ac:dyDescent="0.4">
      <c r="A52" s="10">
        <f t="shared" si="0"/>
        <v>52</v>
      </c>
      <c r="C52" s="7" t="s">
        <v>60</v>
      </c>
      <c r="D52" s="4"/>
      <c r="E52" s="4"/>
      <c r="F52" s="4"/>
      <c r="G52" s="4"/>
    </row>
    <row r="53" spans="1:7" x14ac:dyDescent="0.4">
      <c r="A53" s="10">
        <f t="shared" si="0"/>
        <v>53</v>
      </c>
      <c r="C53" s="7" t="s">
        <v>61</v>
      </c>
      <c r="D53" s="4"/>
      <c r="E53" s="4"/>
      <c r="F53" s="4"/>
      <c r="G53" s="4"/>
    </row>
    <row r="54" spans="1:7" x14ac:dyDescent="0.4">
      <c r="A54" s="10">
        <f t="shared" si="0"/>
        <v>54</v>
      </c>
      <c r="C54" s="7" t="s">
        <v>62</v>
      </c>
      <c r="D54" s="4"/>
      <c r="E54" s="4"/>
      <c r="F54" s="4"/>
      <c r="G54" s="4"/>
    </row>
    <row r="55" spans="1:7" x14ac:dyDescent="0.4">
      <c r="A55" s="10">
        <f t="shared" si="0"/>
        <v>55</v>
      </c>
      <c r="C55" s="7" t="s">
        <v>63</v>
      </c>
      <c r="D55" s="4"/>
      <c r="E55" s="4"/>
      <c r="F55" s="4"/>
      <c r="G55" s="4"/>
    </row>
    <row r="56" spans="1:7" x14ac:dyDescent="0.4">
      <c r="A56" s="10">
        <f t="shared" si="0"/>
        <v>56</v>
      </c>
      <c r="C56" s="7" t="s">
        <v>64</v>
      </c>
      <c r="D56" s="4"/>
      <c r="E56" s="4"/>
      <c r="F56" s="4"/>
      <c r="G56" s="4"/>
    </row>
    <row r="57" spans="1:7" x14ac:dyDescent="0.4">
      <c r="A57" s="10">
        <f t="shared" si="0"/>
        <v>57</v>
      </c>
      <c r="C57" s="7" t="s">
        <v>65</v>
      </c>
      <c r="D57" s="4"/>
      <c r="E57" s="4"/>
      <c r="F57" s="4"/>
      <c r="G57" s="4"/>
    </row>
    <row r="58" spans="1:7" x14ac:dyDescent="0.4">
      <c r="A58" s="10">
        <f t="shared" si="0"/>
        <v>58</v>
      </c>
      <c r="C58" s="7" t="s">
        <v>66</v>
      </c>
      <c r="D58" s="4"/>
      <c r="E58" s="4"/>
      <c r="F58" s="4"/>
      <c r="G58" s="4"/>
    </row>
    <row r="59" spans="1:7" x14ac:dyDescent="0.4">
      <c r="A59" s="10">
        <f t="shared" si="0"/>
        <v>59</v>
      </c>
      <c r="C59" s="7" t="s">
        <v>67</v>
      </c>
      <c r="D59" s="4"/>
      <c r="E59" s="4"/>
      <c r="F59" s="4"/>
      <c r="G59" s="4"/>
    </row>
    <row r="60" spans="1:7" x14ac:dyDescent="0.4">
      <c r="A60" s="10">
        <f t="shared" si="0"/>
        <v>60</v>
      </c>
      <c r="C60" s="7" t="s">
        <v>68</v>
      </c>
      <c r="D60" s="4"/>
      <c r="E60" s="4"/>
      <c r="F60" s="4"/>
      <c r="G60" s="4"/>
    </row>
    <row r="61" spans="1:7" x14ac:dyDescent="0.4">
      <c r="A61" s="10">
        <f t="shared" si="0"/>
        <v>61</v>
      </c>
      <c r="C61" s="7" t="s">
        <v>69</v>
      </c>
      <c r="D61" s="4"/>
      <c r="E61" s="4"/>
      <c r="F61" s="4"/>
      <c r="G61" s="4"/>
    </row>
    <row r="62" spans="1:7" x14ac:dyDescent="0.4">
      <c r="A62" s="10">
        <f t="shared" si="0"/>
        <v>62</v>
      </c>
      <c r="C62" s="7" t="s">
        <v>70</v>
      </c>
      <c r="D62" s="4"/>
      <c r="E62" s="4"/>
      <c r="F62" s="4"/>
      <c r="G62" s="4"/>
    </row>
    <row r="63" spans="1:7" x14ac:dyDescent="0.4">
      <c r="A63" s="10">
        <f t="shared" si="0"/>
        <v>63</v>
      </c>
      <c r="C63" s="7" t="s">
        <v>71</v>
      </c>
      <c r="D63" s="4"/>
      <c r="E63" s="4"/>
      <c r="F63" s="4"/>
      <c r="G63" s="4"/>
    </row>
    <row r="64" spans="1:7" x14ac:dyDescent="0.4">
      <c r="A64" s="10">
        <f t="shared" si="0"/>
        <v>64</v>
      </c>
      <c r="C64" s="7" t="s">
        <v>72</v>
      </c>
      <c r="D64" s="4"/>
      <c r="E64" s="4"/>
      <c r="F64" s="4"/>
      <c r="G64" s="4"/>
    </row>
    <row r="65" spans="1:7" x14ac:dyDescent="0.4">
      <c r="A65" s="10">
        <f t="shared" si="0"/>
        <v>65</v>
      </c>
      <c r="C65" s="7" t="s">
        <v>73</v>
      </c>
      <c r="D65" s="4"/>
      <c r="E65" s="4"/>
      <c r="F65" s="4"/>
      <c r="G65" s="4"/>
    </row>
    <row r="66" spans="1:7" x14ac:dyDescent="0.4">
      <c r="A66" s="10">
        <f t="shared" si="0"/>
        <v>66</v>
      </c>
      <c r="C66" s="7" t="s">
        <v>74</v>
      </c>
      <c r="D66" s="4"/>
      <c r="E66" s="4"/>
      <c r="F66" s="4"/>
      <c r="G66" s="4"/>
    </row>
    <row r="67" spans="1:7" x14ac:dyDescent="0.4">
      <c r="A67" s="10">
        <f t="shared" ref="A67:A69" si="1">A66+1</f>
        <v>67</v>
      </c>
      <c r="C67" s="7" t="s">
        <v>75</v>
      </c>
      <c r="D67" s="4"/>
      <c r="E67" s="4"/>
      <c r="F67" s="4"/>
      <c r="G67" s="4"/>
    </row>
    <row r="68" spans="1:7" x14ac:dyDescent="0.4">
      <c r="A68" s="10">
        <f t="shared" si="1"/>
        <v>68</v>
      </c>
      <c r="C68" s="7" t="s">
        <v>76</v>
      </c>
      <c r="D68" s="4"/>
      <c r="E68" s="4"/>
      <c r="F68" s="4"/>
      <c r="G68" s="4"/>
    </row>
    <row r="69" spans="1:7" x14ac:dyDescent="0.4">
      <c r="A69" s="10">
        <f t="shared" si="1"/>
        <v>69</v>
      </c>
      <c r="C69" s="7" t="s">
        <v>77</v>
      </c>
      <c r="D69" s="4"/>
      <c r="E69" s="4"/>
      <c r="F69" s="4"/>
      <c r="G69" s="4"/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Logit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2023-03-07T12:37:19Z</dcterms:created>
  <dcterms:modified xsi:type="dcterms:W3CDTF">2025-11-23T12:30:07Z</dcterms:modified>
</cp:coreProperties>
</file>