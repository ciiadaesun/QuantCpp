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E8" i="1" l="1"/>
  <c r="C11" i="1"/>
  <c r="E7" i="1" l="1"/>
  <c r="F7" i="1" l="1"/>
  <c r="AX1" i="1" l="1"/>
  <c r="AY1" i="1" s="1"/>
  <c r="AZ1" i="1" s="1"/>
  <c r="BA1" i="1" s="1"/>
  <c r="BB1" i="1" s="1"/>
  <c r="BC1" i="1" s="1"/>
  <c r="F12" i="1" l="1"/>
  <c r="J7" i="1" l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
5: Down And In Barrier
6: Down And Out Barrier
7: Up And In Barrier
8: Up And Out Barrier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<sst xmlns="http://schemas.openxmlformats.org/spreadsheetml/2006/main" count="39" uniqueCount="37">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</sst>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  <numFmt numFmtId="189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10" fontId="6" fillId="3" borderId="5" xfId="1" applyNumberFormat="1" applyFont="1" applyFill="1" applyBorder="1" applyAlignment="1" applyProtection="1"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14" fontId="7" fillId="5" borderId="0" xfId="0" applyNumberFormat="1" applyFont="1" applyFill="1" applyProtection="1">
      <alignment vertical="center"/>
      <protection locked="0"/>
    </xf>
    <xf numFmtId="14" fontId="5" fillId="7" borderId="0" xfId="0" applyNumberFormat="1" applyFont="1" applyFill="1" applyBorder="1" applyAlignment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184" fontId="6" fillId="7" borderId="0" xfId="1" applyNumberFormat="1" applyFont="1" applyFill="1" applyBorder="1" applyAlignment="1" applyProtection="1">
      <protection locked="0"/>
    </xf>
    <xf numFmtId="184" fontId="8" fillId="7" borderId="0" xfId="1" applyNumberFormat="1" applyFont="1" applyFill="1" applyProtection="1">
      <alignment vertical="center"/>
      <protection locked="0"/>
    </xf>
    <xf numFmtId="189" fontId="6" fillId="7" borderId="0" xfId="1" applyNumberFormat="1" applyFont="1" applyFill="1" applyBorder="1" applyAlignment="1" applyProtection="1">
      <protection locked="0"/>
    </xf>
    <xf numFmtId="189" fontId="8" fillId="7" borderId="0" xfId="1" applyNumberFormat="1" applyFont="1" applyFill="1" applyProtection="1">
      <alignment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zoomScaleNormal="100" workbookViewId="0">
      <selection activeCell="I15" sqref="I15"/>
    </sheetView>
  </sheetViews>
  <sheetFormatPr defaultColWidth="10.59765625" defaultRowHeight="15.6" x14ac:dyDescent="0.4"/>
  <cols>
    <col min="1" max="1" width="10.8984375" style="57" bestFit="1" customWidth="1"/>
    <col min="2" max="2" width="10.59765625" style="61"/>
    <col min="3" max="3" width="10.8984375" style="57" bestFit="1" customWidth="1"/>
    <col min="4" max="4" width="10.59765625" style="61"/>
    <col min="5" max="5" width="10.59765625" style="21"/>
    <col min="6" max="6" width="10.8984375" style="57" bestFit="1" customWidth="1"/>
    <col min="7" max="7" width="10.59765625" style="59"/>
    <col min="8" max="8" width="10.8984375" style="57" bestFit="1" customWidth="1"/>
    <col min="9" max="9" width="10.59765625" style="17"/>
    <col min="10" max="16384" width="10.59765625" style="21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36" t="s">
        <v>28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</row>
    <row r="3" spans="1:55" s="1" customFormat="1" x14ac:dyDescent="0.4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37" t="s">
        <v>0</v>
      </c>
      <c r="B5" s="37"/>
      <c r="C5" s="39">
        <v>0</v>
      </c>
      <c r="D5" s="39"/>
      <c r="E5" s="11" t="str">
        <f>IF(C5=0,"매수","매도")</f>
        <v>매수</v>
      </c>
      <c r="F5" s="37" t="s">
        <v>6</v>
      </c>
      <c r="G5" s="37"/>
      <c r="H5" s="40">
        <v>1316</v>
      </c>
      <c r="I5" s="40"/>
      <c r="J5" s="1"/>
      <c r="K5" s="37" t="s">
        <v>18</v>
      </c>
      <c r="L5" s="37"/>
      <c r="M5" s="39">
        <v>0</v>
      </c>
      <c r="N5" s="39"/>
      <c r="O5" s="1">
        <v>26.830745311630494</v>
      </c>
      <c r="P5" s="1"/>
      <c r="Q5" s="52" t="s">
        <v>29</v>
      </c>
      <c r="R5" s="52"/>
      <c r="S5" s="51"/>
      <c r="T5" s="51"/>
      <c r="U5" s="51"/>
      <c r="V5" s="51"/>
    </row>
    <row r="6" spans="1:55" x14ac:dyDescent="0.4">
      <c r="A6" s="37" t="s">
        <v>2</v>
      </c>
      <c r="B6" s="37"/>
      <c r="C6" s="39">
        <v>1</v>
      </c>
      <c r="D6" s="39"/>
      <c r="E6" s="11" t="str">
        <f>IF(C6=0,"콜","풋")</f>
        <v>풋</v>
      </c>
      <c r="F6" s="37" t="s">
        <v>7</v>
      </c>
      <c r="G6" s="37"/>
      <c r="H6" s="40">
        <v>1447.6</v>
      </c>
      <c r="I6" s="40"/>
      <c r="J6" s="1"/>
      <c r="K6" s="37" t="s">
        <v>36</v>
      </c>
      <c r="L6" s="37"/>
      <c r="M6" s="39">
        <v>0</v>
      </c>
      <c r="N6" s="39"/>
      <c r="O6" s="1">
        <v>20.463546283968185</v>
      </c>
      <c r="P6" s="1">
        <f>(O5+O6)/2</f>
        <v>23.64714579779934</v>
      </c>
      <c r="Q6" s="1"/>
      <c r="R6" s="1"/>
      <c r="S6" s="51"/>
      <c r="T6" s="51"/>
      <c r="U6" s="51"/>
      <c r="V6" s="51"/>
    </row>
    <row r="7" spans="1:55" x14ac:dyDescent="0.4">
      <c r="A7" s="37" t="s">
        <v>1</v>
      </c>
      <c r="B7" s="37"/>
      <c r="C7" s="39">
        <v>0</v>
      </c>
      <c r="D7" s="39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바닐라</v>
      </c>
      <c r="F7" s="37" t="str">
        <f>IF(C7=2,"평균가격",IF(C7 &gt;= 5, "배리어수준",""))</f>
        <v/>
      </c>
      <c r="G7" s="37"/>
      <c r="H7" s="40">
        <v>1314</v>
      </c>
      <c r="I7" s="40"/>
      <c r="J7" s="11" t="str">
        <f>IF(F7="","입력필요X","")</f>
        <v>입력필요X</v>
      </c>
      <c r="K7" s="1"/>
      <c r="L7" s="1"/>
      <c r="M7" s="47" t="s">
        <v>20</v>
      </c>
      <c r="N7" s="47"/>
      <c r="O7" s="48">
        <v>156.54999420495164</v>
      </c>
      <c r="P7" s="48"/>
      <c r="Q7" s="1"/>
      <c r="R7" s="1"/>
      <c r="S7" s="1"/>
    </row>
    <row r="8" spans="1:55" x14ac:dyDescent="0.4">
      <c r="A8" s="37" t="s">
        <v>5</v>
      </c>
      <c r="B8" s="37"/>
      <c r="C8" s="38">
        <v>45168</v>
      </c>
      <c r="D8" s="39"/>
      <c r="E8" s="4">
        <f>(C10-C8)/365</f>
        <v>2</v>
      </c>
      <c r="F8" s="1">
        <v>0.167123287671233</v>
      </c>
      <c r="G8" s="1"/>
      <c r="H8" s="1"/>
      <c r="I8" s="1"/>
      <c r="K8" s="1"/>
      <c r="L8" s="1"/>
      <c r="M8" s="49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37" t="str">
        <f>IF(C7=2,"평균시작일",IF(OR(C7 = 3, C7 = 4), "행사시작일", ""))</f>
        <v/>
      </c>
      <c r="B9" s="37"/>
      <c r="C9" s="38">
        <v>45066</v>
      </c>
      <c r="D9" s="39"/>
      <c r="E9" s="11" t="str">
        <f>IF(A9="","입력필요X","")</f>
        <v>입력필요X</v>
      </c>
      <c r="F9" s="41" t="s">
        <v>14</v>
      </c>
      <c r="G9" s="41"/>
      <c r="H9" s="41"/>
      <c r="I9" s="41"/>
      <c r="K9" s="1"/>
      <c r="L9" s="1"/>
      <c r="M9" s="50"/>
      <c r="N9" s="14">
        <v>-0.83769547309999204</v>
      </c>
      <c r="O9" s="15">
        <v>1.1292534082899587E-3</v>
      </c>
      <c r="P9" s="15">
        <v>2.2136269192549687</v>
      </c>
      <c r="Q9" s="15">
        <v>-1.4960293578200392E-2</v>
      </c>
      <c r="R9" s="15">
        <v>-25.179144736090819</v>
      </c>
      <c r="S9" s="1"/>
    </row>
    <row r="10" spans="1:55" x14ac:dyDescent="0.4">
      <c r="A10" s="37" t="s">
        <v>4</v>
      </c>
      <c r="B10" s="37"/>
      <c r="C10" s="38">
        <v>45898</v>
      </c>
      <c r="D10" s="39"/>
      <c r="E10" s="27"/>
      <c r="F10" s="2" t="s">
        <v>15</v>
      </c>
      <c r="G10" s="12">
        <v>1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37" t="s">
        <v>3</v>
      </c>
      <c r="B11" s="37"/>
      <c r="C11" s="38">
        <f>C10</f>
        <v>45898</v>
      </c>
      <c r="D11" s="39"/>
      <c r="E11" s="27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1"/>
      <c r="F12" s="53" t="str">
        <f>IF(G10=2,"배당액입력(금액입력)","Dividend(%입력)")</f>
        <v>Dividend(%입력)</v>
      </c>
      <c r="G12" s="53"/>
      <c r="H12" s="54" t="s">
        <v>17</v>
      </c>
      <c r="I12" s="54"/>
      <c r="J12" s="21"/>
      <c r="K12" s="41" t="s">
        <v>11</v>
      </c>
      <c r="L12" s="41"/>
      <c r="M12" s="41"/>
      <c r="N12" s="41"/>
      <c r="AY12" s="34" t="s">
        <v>30</v>
      </c>
      <c r="AZ12" s="34"/>
      <c r="BA12" s="34"/>
      <c r="BB12" s="34"/>
      <c r="BC12" s="28"/>
    </row>
    <row r="13" spans="1:55" s="1" customFormat="1" ht="15.6" customHeight="1" x14ac:dyDescent="0.4">
      <c r="A13" s="41" t="s">
        <v>10</v>
      </c>
      <c r="B13" s="41"/>
      <c r="C13" s="41"/>
      <c r="D13" s="41"/>
      <c r="E13" s="21"/>
      <c r="F13" s="53"/>
      <c r="G13" s="53"/>
      <c r="H13" s="54"/>
      <c r="I13" s="54"/>
      <c r="J13" s="21"/>
      <c r="K13" s="44" t="s">
        <v>27</v>
      </c>
      <c r="L13" s="45"/>
      <c r="M13" s="45"/>
      <c r="N13" s="26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6" t="s">
        <v>19</v>
      </c>
      <c r="AF13" s="46"/>
      <c r="AG13" s="46"/>
      <c r="AH13" s="46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35"/>
      <c r="AZ13" s="35"/>
      <c r="BA13" s="35"/>
      <c r="BB13" s="35"/>
      <c r="BC13" s="28"/>
    </row>
    <row r="14" spans="1:55" ht="17.399999999999999" customHeight="1" x14ac:dyDescent="0.35">
      <c r="A14" s="53" t="s">
        <v>8</v>
      </c>
      <c r="B14" s="53"/>
      <c r="C14" s="54" t="s">
        <v>9</v>
      </c>
      <c r="D14" s="54"/>
      <c r="F14" s="56">
        <v>45169</v>
      </c>
      <c r="G14" s="58">
        <v>5.2999999999999999E-2</v>
      </c>
      <c r="H14" s="56">
        <v>45350</v>
      </c>
      <c r="I14" s="16"/>
      <c r="K14" s="42" t="s">
        <v>13</v>
      </c>
      <c r="L14" s="24" t="s">
        <v>12</v>
      </c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0"/>
      <c r="AE14" s="42" t="s">
        <v>13</v>
      </c>
      <c r="AF14" s="24" t="s">
        <v>12</v>
      </c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Y14" s="29" t="s">
        <v>31</v>
      </c>
      <c r="AZ14" s="29" t="s">
        <v>32</v>
      </c>
      <c r="BA14" s="29" t="s">
        <v>33</v>
      </c>
      <c r="BB14" s="29" t="s">
        <v>34</v>
      </c>
      <c r="BC14" s="29" t="s">
        <v>35</v>
      </c>
    </row>
    <row r="15" spans="1:55" x14ac:dyDescent="0.35">
      <c r="A15" s="53"/>
      <c r="B15" s="53"/>
      <c r="C15" s="54"/>
      <c r="D15" s="54"/>
      <c r="F15" s="56"/>
      <c r="G15" s="58"/>
      <c r="H15" s="56"/>
      <c r="I15" s="16"/>
      <c r="K15" s="43"/>
      <c r="L15" s="18">
        <v>0.33333333333333331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/>
      <c r="AE15" s="43"/>
      <c r="AF15" s="18">
        <v>0.33333333333333331</v>
      </c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Y15" s="28"/>
      <c r="AZ15" s="28"/>
      <c r="BA15" s="28"/>
      <c r="BB15" s="28"/>
      <c r="BC15" s="28"/>
    </row>
    <row r="16" spans="1:55" x14ac:dyDescent="0.35">
      <c r="A16" s="56">
        <v>45172</v>
      </c>
      <c r="B16" s="60">
        <v>3.5263000000000003E-2</v>
      </c>
      <c r="C16" s="56">
        <v>45172</v>
      </c>
      <c r="D16" s="60">
        <v>3.5263000000000003E-2</v>
      </c>
      <c r="E16" s="55"/>
      <c r="F16" s="56"/>
      <c r="G16" s="58"/>
      <c r="H16" s="56"/>
      <c r="I16" s="16"/>
      <c r="K16" s="18">
        <v>0.5</v>
      </c>
      <c r="L16" s="33">
        <v>5.6594111129641529E-2</v>
      </c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20"/>
      <c r="AE16" s="18">
        <v>0.5</v>
      </c>
      <c r="AF16" s="19">
        <v>5.6594111129641529E-2</v>
      </c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Y16" s="30">
        <v>0.33333333333333331</v>
      </c>
      <c r="AZ16" s="30">
        <v>0</v>
      </c>
      <c r="BA16" s="30">
        <v>0</v>
      </c>
      <c r="BB16" s="30">
        <v>0</v>
      </c>
      <c r="BC16" s="31">
        <v>0</v>
      </c>
    </row>
    <row r="17" spans="1:55" ht="17.399999999999999" x14ac:dyDescent="0.35">
      <c r="A17" s="56">
        <v>45173</v>
      </c>
      <c r="B17" s="60">
        <v>3.5270999999999997E-2</v>
      </c>
      <c r="C17" s="56">
        <v>45173</v>
      </c>
      <c r="D17" s="60">
        <v>3.5270999999999997E-2</v>
      </c>
      <c r="E17" s="55"/>
      <c r="F17" s="56"/>
      <c r="G17" s="58"/>
      <c r="H17" s="56"/>
      <c r="I17" s="16"/>
      <c r="K17" s="18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20"/>
      <c r="AE17" s="18">
        <v>0.6</v>
      </c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Y17" s="30"/>
      <c r="AZ17" s="30"/>
      <c r="BA17" s="30"/>
      <c r="BB17" s="30"/>
      <c r="BC17" s="32"/>
    </row>
    <row r="18" spans="1:55" x14ac:dyDescent="0.35">
      <c r="A18" s="56">
        <v>45264</v>
      </c>
      <c r="B18" s="60">
        <v>3.7902999999999999E-2</v>
      </c>
      <c r="C18" s="56">
        <v>45264</v>
      </c>
      <c r="D18" s="60">
        <v>3.7902999999999999E-2</v>
      </c>
      <c r="E18" s="55"/>
      <c r="F18" s="56"/>
      <c r="G18" s="58"/>
      <c r="H18" s="56"/>
      <c r="I18" s="16"/>
      <c r="K18" s="18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20"/>
      <c r="AE18" s="18">
        <v>0.7</v>
      </c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Y18" s="30"/>
      <c r="AZ18" s="30"/>
      <c r="BA18" s="30"/>
      <c r="BB18" s="30"/>
      <c r="BC18" s="28"/>
    </row>
    <row r="19" spans="1:55" x14ac:dyDescent="0.35">
      <c r="A19" s="56">
        <v>45356</v>
      </c>
      <c r="B19" s="60">
        <v>3.8933000000000002E-2</v>
      </c>
      <c r="C19" s="56">
        <v>45356</v>
      </c>
      <c r="D19" s="60">
        <v>3.8933000000000002E-2</v>
      </c>
      <c r="E19" s="55"/>
      <c r="F19" s="56"/>
      <c r="G19" s="58"/>
      <c r="H19" s="56"/>
      <c r="I19" s="16"/>
      <c r="K19" s="18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22"/>
      <c r="AE19" s="18">
        <v>0.8</v>
      </c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Y19" s="30"/>
      <c r="AZ19" s="30"/>
      <c r="BA19" s="30"/>
      <c r="BB19" s="30"/>
      <c r="BC19" s="28"/>
    </row>
    <row r="20" spans="1:55" x14ac:dyDescent="0.35">
      <c r="A20" s="56">
        <v>45446</v>
      </c>
      <c r="B20" s="60">
        <v>3.9302999999999998E-2</v>
      </c>
      <c r="C20" s="56">
        <v>45446</v>
      </c>
      <c r="D20" s="60">
        <v>3.9302999999999998E-2</v>
      </c>
      <c r="E20" s="55"/>
      <c r="F20" s="56"/>
      <c r="G20" s="58"/>
      <c r="H20" s="56"/>
      <c r="I20" s="16"/>
      <c r="K20" s="18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23"/>
      <c r="AE20" s="18">
        <v>0.9</v>
      </c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Y20" s="30"/>
      <c r="AZ20" s="30"/>
      <c r="BA20" s="30"/>
      <c r="BB20" s="30"/>
      <c r="BC20" s="28"/>
    </row>
    <row r="21" spans="1:55" x14ac:dyDescent="0.35">
      <c r="A21" s="56">
        <v>45538</v>
      </c>
      <c r="B21" s="60">
        <v>3.9365999999999998E-2</v>
      </c>
      <c r="C21" s="56">
        <v>45538</v>
      </c>
      <c r="D21" s="60">
        <v>3.9365999999999998E-2</v>
      </c>
      <c r="E21" s="55"/>
      <c r="F21" s="56"/>
      <c r="G21" s="58"/>
      <c r="H21" s="56"/>
      <c r="I21" s="16"/>
      <c r="K21" s="18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23"/>
      <c r="AE21" s="18">
        <v>1</v>
      </c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Y21" s="30"/>
      <c r="AZ21" s="30"/>
      <c r="BA21" s="30"/>
      <c r="BB21" s="30"/>
      <c r="BC21" s="28"/>
    </row>
    <row r="22" spans="1:55" x14ac:dyDescent="0.35">
      <c r="A22" s="56">
        <v>45720</v>
      </c>
      <c r="B22" s="60">
        <v>3.9529000000000002E-2</v>
      </c>
      <c r="C22" s="56">
        <v>45720</v>
      </c>
      <c r="D22" s="60">
        <v>3.9529000000000002E-2</v>
      </c>
      <c r="E22" s="55"/>
      <c r="F22" s="56"/>
      <c r="G22" s="58"/>
      <c r="H22" s="56"/>
      <c r="I22" s="16"/>
      <c r="K22" s="18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23"/>
      <c r="AE22" s="18">
        <v>1.1000000000000001</v>
      </c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Y22" s="30"/>
      <c r="AZ22" s="30"/>
      <c r="BA22" s="30"/>
      <c r="BB22" s="30"/>
      <c r="BC22" s="28"/>
    </row>
    <row r="23" spans="1:55" x14ac:dyDescent="0.35">
      <c r="A23" s="56">
        <v>45903</v>
      </c>
      <c r="B23" s="60">
        <v>3.9586000000000003E-2</v>
      </c>
      <c r="C23" s="56">
        <v>45903</v>
      </c>
      <c r="D23" s="60">
        <v>3.9586000000000003E-2</v>
      </c>
      <c r="E23" s="55"/>
      <c r="K23" s="18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23"/>
      <c r="AE23" s="18">
        <v>1.2</v>
      </c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Y23" s="30"/>
      <c r="AZ23" s="30"/>
      <c r="BA23" s="30"/>
      <c r="BB23" s="30"/>
      <c r="BC23" s="28"/>
    </row>
    <row r="24" spans="1:55" ht="17.399999999999999" x14ac:dyDescent="0.35">
      <c r="A24" s="56">
        <v>46270</v>
      </c>
      <c r="B24" s="60">
        <v>3.9591000000000001E-2</v>
      </c>
      <c r="C24" s="56">
        <v>46270</v>
      </c>
      <c r="D24" s="60">
        <v>3.9591000000000001E-2</v>
      </c>
      <c r="E24" s="55"/>
      <c r="K24" s="18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23"/>
      <c r="AE24" s="18">
        <v>1.3</v>
      </c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Y24" s="30"/>
      <c r="AZ24" s="30"/>
      <c r="BA24" s="30"/>
      <c r="BB24" s="30"/>
      <c r="BC24" s="32"/>
    </row>
    <row r="25" spans="1:55" ht="17.399999999999999" x14ac:dyDescent="0.35">
      <c r="A25" s="56">
        <v>46634</v>
      </c>
      <c r="B25" s="60">
        <v>3.9673E-2</v>
      </c>
      <c r="C25" s="56">
        <v>46634</v>
      </c>
      <c r="D25" s="60">
        <v>3.9673E-2</v>
      </c>
      <c r="E25" s="55"/>
      <c r="K25" s="18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20"/>
      <c r="AE25" s="18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Y25" s="30"/>
      <c r="AZ25" s="30"/>
      <c r="BA25" s="30"/>
      <c r="BB25" s="30"/>
      <c r="BC25" s="32"/>
    </row>
    <row r="26" spans="1:55" x14ac:dyDescent="0.35">
      <c r="A26" s="56">
        <v>46999</v>
      </c>
      <c r="B26" s="60">
        <v>3.9701E-2</v>
      </c>
      <c r="C26" s="56">
        <v>46999</v>
      </c>
      <c r="D26" s="60">
        <v>3.9701E-2</v>
      </c>
      <c r="E26" s="55"/>
      <c r="K26" s="18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20"/>
      <c r="AE26" s="18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Y26" s="30"/>
      <c r="AZ26" s="30"/>
      <c r="BA26" s="30"/>
      <c r="BB26" s="30"/>
      <c r="BC26" s="28"/>
    </row>
    <row r="27" spans="1:55" ht="17.399999999999999" x14ac:dyDescent="0.35">
      <c r="A27" s="57">
        <v>47364</v>
      </c>
      <c r="B27" s="61">
        <v>3.9782999999999999E-2</v>
      </c>
      <c r="C27" s="57">
        <v>47364</v>
      </c>
      <c r="D27" s="61">
        <v>3.9782999999999999E-2</v>
      </c>
      <c r="E27" s="55"/>
      <c r="K27" s="18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20"/>
      <c r="AE27" s="18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Y27" s="30"/>
      <c r="AZ27" s="30"/>
      <c r="BA27" s="30"/>
      <c r="BB27" s="30"/>
      <c r="BC27" s="32"/>
    </row>
    <row r="28" spans="1:55" x14ac:dyDescent="0.35">
      <c r="A28" s="57">
        <v>47729</v>
      </c>
      <c r="B28" s="61">
        <v>3.9837999999999998E-2</v>
      </c>
      <c r="C28" s="57">
        <v>47729</v>
      </c>
      <c r="D28" s="61">
        <v>3.9837999999999998E-2</v>
      </c>
      <c r="E28" s="55"/>
      <c r="K28" s="18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20"/>
      <c r="AE28" s="18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Y28" s="30"/>
      <c r="AZ28" s="30"/>
      <c r="BA28" s="30"/>
      <c r="BB28" s="30"/>
      <c r="BC28" s="28"/>
    </row>
    <row r="29" spans="1:55" x14ac:dyDescent="0.35">
      <c r="A29" s="57">
        <v>48094</v>
      </c>
      <c r="B29" s="61">
        <v>3.9923E-2</v>
      </c>
      <c r="C29" s="57">
        <v>48094</v>
      </c>
      <c r="D29" s="61">
        <v>3.9923E-2</v>
      </c>
      <c r="E29" s="55"/>
      <c r="K29" s="18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20"/>
      <c r="AE29" s="18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Y29" s="30"/>
      <c r="AZ29" s="30"/>
      <c r="BA29" s="30"/>
      <c r="BB29" s="30"/>
      <c r="BC29" s="28"/>
    </row>
    <row r="30" spans="1:55" x14ac:dyDescent="0.35">
      <c r="A30" s="57">
        <v>48461</v>
      </c>
      <c r="B30" s="61">
        <v>4.0037000000000003E-2</v>
      </c>
      <c r="C30" s="57">
        <v>48461</v>
      </c>
      <c r="D30" s="61">
        <v>4.0037000000000003E-2</v>
      </c>
      <c r="E30" s="55"/>
      <c r="K30" s="18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20"/>
      <c r="AE30" s="18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Y30" s="30"/>
      <c r="AZ30" s="30"/>
      <c r="BA30" s="30"/>
      <c r="BB30" s="30"/>
      <c r="BC30" s="28"/>
    </row>
    <row r="31" spans="1:55" x14ac:dyDescent="0.35">
      <c r="A31" s="57">
        <v>48825</v>
      </c>
      <c r="B31" s="61">
        <v>4.0153000000000001E-2</v>
      </c>
      <c r="C31" s="57">
        <v>48825</v>
      </c>
      <c r="D31" s="61">
        <v>4.0153000000000001E-2</v>
      </c>
      <c r="E31" s="55"/>
      <c r="K31" s="18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20"/>
      <c r="AE31" s="18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Y31" s="30"/>
      <c r="AZ31" s="30"/>
      <c r="BA31" s="30"/>
      <c r="BB31" s="30"/>
      <c r="BC31" s="28"/>
    </row>
    <row r="32" spans="1:55" x14ac:dyDescent="0.35">
      <c r="A32" s="57">
        <v>49555</v>
      </c>
      <c r="B32" s="61">
        <v>4.0266000000000003E-2</v>
      </c>
      <c r="C32" s="57">
        <v>49555</v>
      </c>
      <c r="D32" s="61">
        <v>4.0266000000000003E-2</v>
      </c>
      <c r="E32" s="55"/>
      <c r="K32" s="18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20"/>
      <c r="AE32" s="18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Y32" s="30"/>
      <c r="AZ32" s="30"/>
      <c r="BA32" s="30"/>
      <c r="BB32" s="30"/>
      <c r="BC32" s="28"/>
    </row>
    <row r="33" spans="1:55" x14ac:dyDescent="0.35">
      <c r="A33" s="57">
        <v>50652</v>
      </c>
      <c r="B33" s="61">
        <v>4.0155999999999997E-2</v>
      </c>
      <c r="C33" s="57">
        <v>50652</v>
      </c>
      <c r="D33" s="61">
        <v>4.0155999999999997E-2</v>
      </c>
      <c r="E33" s="55"/>
      <c r="K33" s="18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20"/>
      <c r="AE33" s="18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Y33" s="30"/>
      <c r="AZ33" s="30"/>
      <c r="BA33" s="30"/>
      <c r="BB33" s="30"/>
      <c r="BC33" s="28"/>
    </row>
    <row r="34" spans="1:55" x14ac:dyDescent="0.35">
      <c r="A34" s="57">
        <v>52479</v>
      </c>
      <c r="B34" s="61">
        <v>3.8306E-2</v>
      </c>
      <c r="C34" s="57">
        <v>52479</v>
      </c>
      <c r="D34" s="61">
        <v>3.8306E-2</v>
      </c>
      <c r="E34" s="55"/>
      <c r="K34" s="18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22"/>
      <c r="AE34" s="18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Y34" s="30"/>
      <c r="AZ34" s="30"/>
      <c r="BA34" s="30"/>
      <c r="BB34" s="30"/>
      <c r="BC34" s="28"/>
    </row>
    <row r="35" spans="1:55" x14ac:dyDescent="0.35">
      <c r="A35" s="57">
        <v>54306</v>
      </c>
      <c r="B35" s="61">
        <v>3.6707000000000004E-2</v>
      </c>
      <c r="C35" s="57">
        <v>54306</v>
      </c>
      <c r="D35" s="61">
        <v>3.6707000000000004E-2</v>
      </c>
      <c r="E35" s="55"/>
      <c r="K35" s="18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23"/>
      <c r="AE35" s="18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Y35" s="30"/>
      <c r="AZ35" s="30"/>
      <c r="BA35" s="30"/>
      <c r="BB35" s="30"/>
      <c r="BC35" s="28"/>
    </row>
    <row r="36" spans="1:55" x14ac:dyDescent="0.35">
      <c r="A36" s="57">
        <v>56130</v>
      </c>
      <c r="B36" s="61">
        <v>3.5825000000000003E-2</v>
      </c>
      <c r="C36" s="57">
        <v>56130</v>
      </c>
      <c r="D36" s="61">
        <v>3.5825000000000003E-2</v>
      </c>
      <c r="E36" s="55"/>
      <c r="K36" s="18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23"/>
      <c r="AE36" s="18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Y36" s="30"/>
      <c r="AZ36" s="30"/>
      <c r="BA36" s="30"/>
      <c r="BB36" s="30"/>
      <c r="BC36" s="28"/>
    </row>
    <row r="37" spans="1:55" x14ac:dyDescent="0.35">
      <c r="K37" s="18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23"/>
      <c r="AE37" s="18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Y37" s="30"/>
      <c r="AZ37" s="30"/>
      <c r="BA37" s="30"/>
      <c r="BB37" s="30"/>
      <c r="BC37" s="28"/>
    </row>
    <row r="38" spans="1:55" x14ac:dyDescent="0.35">
      <c r="K38" s="18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23"/>
      <c r="AE38" s="18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Y38" s="30"/>
      <c r="AZ38" s="30"/>
      <c r="BA38" s="30"/>
      <c r="BB38" s="30"/>
      <c r="BC38" s="28"/>
    </row>
    <row r="39" spans="1:55" x14ac:dyDescent="0.35">
      <c r="K39" s="18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23"/>
      <c r="AE39" s="18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Y39" s="30"/>
      <c r="AZ39" s="30"/>
      <c r="BA39" s="30"/>
      <c r="BB39" s="30"/>
      <c r="BC39" s="28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2024-11-17T13:53:40Z</dcterms:modified>
</cp:coreProperties>
</file>