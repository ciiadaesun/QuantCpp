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CreditMetrics\"/>
    </mc:Choice>
  </mc:AlternateContent>
  <bookViews>
    <workbookView xWindow="0" yWindow="0" windowWidth="23016" windowHeight="9084"/>
  </bookViews>
  <sheets>
    <sheet name="TM평활화작업" sheetId="1" r:id="rId1"/>
    <sheet name="PDCurve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5" i="2" l="1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AY8" i="2"/>
  <c r="AX8" i="2"/>
  <c r="AW8" i="2"/>
  <c r="BT8" i="2" s="1"/>
  <c r="CQ8" i="2" s="1"/>
  <c r="DN8" i="2" s="1"/>
  <c r="EK8" i="2" s="1"/>
  <c r="FH8" i="2" s="1"/>
  <c r="GE8" i="2" s="1"/>
  <c r="HB8" i="2" s="1"/>
  <c r="HY8" i="2" s="1"/>
  <c r="IV8" i="2" s="1"/>
  <c r="AV8" i="2"/>
  <c r="AU8" i="2"/>
  <c r="AT8" i="2"/>
  <c r="BQ8" i="2" s="1"/>
  <c r="CN8" i="2" s="1"/>
  <c r="DK8" i="2" s="1"/>
  <c r="EH8" i="2" s="1"/>
  <c r="FE8" i="2" s="1"/>
  <c r="GB8" i="2" s="1"/>
  <c r="GY8" i="2" s="1"/>
  <c r="HV8" i="2" s="1"/>
  <c r="IS8" i="2" s="1"/>
  <c r="AS8" i="2"/>
  <c r="AR8" i="2"/>
  <c r="AQ8" i="2"/>
  <c r="BN8" i="2" s="1"/>
  <c r="CK8" i="2" s="1"/>
  <c r="DH8" i="2" s="1"/>
  <c r="EE8" i="2" s="1"/>
  <c r="FB8" i="2" s="1"/>
  <c r="FY8" i="2" s="1"/>
  <c r="GV8" i="2" s="1"/>
  <c r="HS8" i="2" s="1"/>
  <c r="IP8" i="2" s="1"/>
  <c r="AP8" i="2"/>
  <c r="BM8" i="2" s="1"/>
  <c r="CJ8" i="2" s="1"/>
  <c r="DG8" i="2" s="1"/>
  <c r="ED8" i="2" s="1"/>
  <c r="FA8" i="2" s="1"/>
  <c r="FX8" i="2" s="1"/>
  <c r="GU8" i="2" s="1"/>
  <c r="HR8" i="2" s="1"/>
  <c r="IO8" i="2" s="1"/>
  <c r="BK8" i="2"/>
  <c r="CH8" i="2" s="1"/>
  <c r="DE8" i="2" s="1"/>
  <c r="EB8" i="2" s="1"/>
  <c r="EY8" i="2" s="1"/>
  <c r="FV8" i="2" s="1"/>
  <c r="GS8" i="2" s="1"/>
  <c r="HP8" i="2" s="1"/>
  <c r="IM8" i="2" s="1"/>
  <c r="BJ8" i="2"/>
  <c r="CG8" i="2" s="1"/>
  <c r="DD8" i="2" s="1"/>
  <c r="EA8" i="2" s="1"/>
  <c r="EX8" i="2" s="1"/>
  <c r="FU8" i="2" s="1"/>
  <c r="GR8" i="2" s="1"/>
  <c r="HO8" i="2" s="1"/>
  <c r="IL8" i="2" s="1"/>
  <c r="BI8" i="2"/>
  <c r="CF8" i="2" s="1"/>
  <c r="DC8" i="2" s="1"/>
  <c r="DZ8" i="2" s="1"/>
  <c r="EW8" i="2" s="1"/>
  <c r="FT8" i="2" s="1"/>
  <c r="GQ8" i="2" s="1"/>
  <c r="HN8" i="2" s="1"/>
  <c r="IK8" i="2" s="1"/>
  <c r="BH8" i="2"/>
  <c r="CE8" i="2" s="1"/>
  <c r="DB8" i="2" s="1"/>
  <c r="DY8" i="2" s="1"/>
  <c r="EV8" i="2" s="1"/>
  <c r="FS8" i="2" s="1"/>
  <c r="GP8" i="2" s="1"/>
  <c r="HM8" i="2" s="1"/>
  <c r="IJ8" i="2" s="1"/>
  <c r="BG8" i="2"/>
  <c r="CD8" i="2" s="1"/>
  <c r="DA8" i="2" s="1"/>
  <c r="DX8" i="2" s="1"/>
  <c r="EU8" i="2" s="1"/>
  <c r="FR8" i="2" s="1"/>
  <c r="GO8" i="2" s="1"/>
  <c r="HL8" i="2" s="1"/>
  <c r="II8" i="2" s="1"/>
  <c r="BD8" i="2"/>
  <c r="CA8" i="2" s="1"/>
  <c r="CX8" i="2" s="1"/>
  <c r="DU8" i="2" s="1"/>
  <c r="ER8" i="2" s="1"/>
  <c r="FO8" i="2" s="1"/>
  <c r="GL8" i="2" s="1"/>
  <c r="HI8" i="2" s="1"/>
  <c r="IF8" i="2" s="1"/>
  <c r="BC8" i="2"/>
  <c r="BZ8" i="2" s="1"/>
  <c r="CW8" i="2" s="1"/>
  <c r="DT8" i="2" s="1"/>
  <c r="EQ8" i="2" s="1"/>
  <c r="FN8" i="2" s="1"/>
  <c r="GK8" i="2" s="1"/>
  <c r="HH8" i="2" s="1"/>
  <c r="IE8" i="2" s="1"/>
  <c r="AE29" i="2"/>
  <c r="AE28" i="2"/>
  <c r="AE27" i="2"/>
  <c r="AE26" i="2"/>
  <c r="AE25" i="2"/>
  <c r="AE24" i="2"/>
  <c r="AE23" i="2"/>
  <c r="AE22" i="2"/>
  <c r="AE21" i="2"/>
  <c r="AE20" i="2"/>
  <c r="AE19" i="2"/>
  <c r="BV8" i="2"/>
  <c r="CS8" i="2" s="1"/>
  <c r="DP8" i="2" s="1"/>
  <c r="EM8" i="2" s="1"/>
  <c r="FJ8" i="2" s="1"/>
  <c r="GG8" i="2" s="1"/>
  <c r="HD8" i="2" s="1"/>
  <c r="IA8" i="2" s="1"/>
  <c r="IX8" i="2" s="1"/>
  <c r="BS8" i="2"/>
  <c r="CP8" i="2" s="1"/>
  <c r="DM8" i="2" s="1"/>
  <c r="EJ8" i="2" s="1"/>
  <c r="FG8" i="2" s="1"/>
  <c r="GD8" i="2" s="1"/>
  <c r="HA8" i="2" s="1"/>
  <c r="HX8" i="2" s="1"/>
  <c r="IU8" i="2" s="1"/>
  <c r="ID29" i="2"/>
  <c r="ID28" i="2"/>
  <c r="ID27" i="2"/>
  <c r="ID26" i="2"/>
  <c r="ID25" i="2"/>
  <c r="ID24" i="2"/>
  <c r="ID23" i="2"/>
  <c r="ID22" i="2"/>
  <c r="ID21" i="2"/>
  <c r="ID20" i="2"/>
  <c r="ID19" i="2"/>
  <c r="ID18" i="2"/>
  <c r="ID17" i="2"/>
  <c r="ID16" i="2"/>
  <c r="ID15" i="2"/>
  <c r="ID14" i="2"/>
  <c r="ID13" i="2"/>
  <c r="ID12" i="2"/>
  <c r="ID11" i="2"/>
  <c r="ID10" i="2"/>
  <c r="ID9" i="2"/>
  <c r="HG29" i="2"/>
  <c r="HG28" i="2"/>
  <c r="HG27" i="2"/>
  <c r="HG26" i="2"/>
  <c r="HG25" i="2"/>
  <c r="HG24" i="2"/>
  <c r="HG23" i="2"/>
  <c r="HG22" i="2"/>
  <c r="HG21" i="2"/>
  <c r="HG20" i="2"/>
  <c r="HG19" i="2"/>
  <c r="HG18" i="2"/>
  <c r="HG17" i="2"/>
  <c r="HG16" i="2"/>
  <c r="HG15" i="2"/>
  <c r="HG14" i="2"/>
  <c r="HG13" i="2"/>
  <c r="HG12" i="2"/>
  <c r="HG11" i="2"/>
  <c r="HG10" i="2"/>
  <c r="HG9" i="2"/>
  <c r="GJ29" i="2"/>
  <c r="GJ28" i="2"/>
  <c r="GJ27" i="2"/>
  <c r="GJ26" i="2"/>
  <c r="GJ25" i="2"/>
  <c r="GJ24" i="2"/>
  <c r="GJ23" i="2"/>
  <c r="GJ22" i="2"/>
  <c r="GJ21" i="2"/>
  <c r="GJ20" i="2"/>
  <c r="GJ19" i="2"/>
  <c r="GJ18" i="2"/>
  <c r="GJ17" i="2"/>
  <c r="GJ16" i="2"/>
  <c r="GJ15" i="2"/>
  <c r="GJ14" i="2"/>
  <c r="GJ13" i="2"/>
  <c r="GJ12" i="2"/>
  <c r="GJ11" i="2"/>
  <c r="GJ10" i="2"/>
  <c r="GJ9" i="2"/>
  <c r="FM29" i="2"/>
  <c r="FM28" i="2"/>
  <c r="FM27" i="2"/>
  <c r="FM26" i="2"/>
  <c r="FM25" i="2"/>
  <c r="FM24" i="2"/>
  <c r="FM23" i="2"/>
  <c r="FM22" i="2"/>
  <c r="FM21" i="2"/>
  <c r="FM20" i="2"/>
  <c r="FM19" i="2"/>
  <c r="FM18" i="2"/>
  <c r="FM17" i="2"/>
  <c r="FM16" i="2"/>
  <c r="FM15" i="2"/>
  <c r="FM14" i="2"/>
  <c r="FM13" i="2"/>
  <c r="FM12" i="2"/>
  <c r="FM11" i="2"/>
  <c r="FM10" i="2"/>
  <c r="FM9" i="2"/>
  <c r="EP29" i="2"/>
  <c r="EP28" i="2"/>
  <c r="EP27" i="2"/>
  <c r="EP26" i="2"/>
  <c r="EP25" i="2"/>
  <c r="EP24" i="2"/>
  <c r="EP23" i="2"/>
  <c r="EP22" i="2"/>
  <c r="EP21" i="2"/>
  <c r="EP20" i="2"/>
  <c r="EP19" i="2"/>
  <c r="EP18" i="2"/>
  <c r="EP17" i="2"/>
  <c r="EP16" i="2"/>
  <c r="EP15" i="2"/>
  <c r="EP14" i="2"/>
  <c r="EP13" i="2"/>
  <c r="EP12" i="2"/>
  <c r="EP11" i="2"/>
  <c r="EP10" i="2"/>
  <c r="EP9" i="2"/>
  <c r="DS29" i="2"/>
  <c r="DS28" i="2"/>
  <c r="DS27" i="2"/>
  <c r="DS26" i="2"/>
  <c r="DS25" i="2"/>
  <c r="DS24" i="2"/>
  <c r="DS23" i="2"/>
  <c r="DS22" i="2"/>
  <c r="DS21" i="2"/>
  <c r="DS20" i="2"/>
  <c r="DS19" i="2"/>
  <c r="DS18" i="2"/>
  <c r="DS17" i="2"/>
  <c r="DS16" i="2"/>
  <c r="DS15" i="2"/>
  <c r="DS14" i="2"/>
  <c r="DS13" i="2"/>
  <c r="DS12" i="2"/>
  <c r="DS11" i="2"/>
  <c r="DS10" i="2"/>
  <c r="DS9" i="2"/>
  <c r="CV29" i="2"/>
  <c r="CV28" i="2"/>
  <c r="CV27" i="2"/>
  <c r="CV26" i="2"/>
  <c r="CV25" i="2"/>
  <c r="CV24" i="2"/>
  <c r="CV23" i="2"/>
  <c r="CV22" i="2"/>
  <c r="CV21" i="2"/>
  <c r="CV20" i="2"/>
  <c r="CV19" i="2"/>
  <c r="CV18" i="2"/>
  <c r="CV17" i="2"/>
  <c r="CV16" i="2"/>
  <c r="CV15" i="2"/>
  <c r="CV14" i="2"/>
  <c r="CV13" i="2"/>
  <c r="CV12" i="2"/>
  <c r="CV11" i="2"/>
  <c r="CV10" i="2"/>
  <c r="CV9" i="2"/>
  <c r="CZ8" i="2"/>
  <c r="DW8" i="2" s="1"/>
  <c r="ET8" i="2" s="1"/>
  <c r="FQ8" i="2" s="1"/>
  <c r="GN8" i="2" s="1"/>
  <c r="HK8" i="2" s="1"/>
  <c r="IH8" i="2" s="1"/>
  <c r="CI8" i="2"/>
  <c r="DF8" i="2" s="1"/>
  <c r="EC8" i="2" s="1"/>
  <c r="EZ8" i="2" s="1"/>
  <c r="FW8" i="2" s="1"/>
  <c r="GT8" i="2" s="1"/>
  <c r="HQ8" i="2" s="1"/>
  <c r="IN8" i="2" s="1"/>
  <c r="BY29" i="2"/>
  <c r="BY28" i="2"/>
  <c r="BY27" i="2"/>
  <c r="BY26" i="2"/>
  <c r="BY25" i="2"/>
  <c r="BY24" i="2"/>
  <c r="BY23" i="2"/>
  <c r="BY22" i="2"/>
  <c r="BY21" i="2"/>
  <c r="BY20" i="2"/>
  <c r="BY19" i="2"/>
  <c r="BY18" i="2"/>
  <c r="BY17" i="2"/>
  <c r="BY16" i="2"/>
  <c r="BY15" i="2"/>
  <c r="BY14" i="2"/>
  <c r="BY13" i="2"/>
  <c r="BY12" i="2"/>
  <c r="BY11" i="2"/>
  <c r="BY10" i="2"/>
  <c r="BY9" i="2"/>
  <c r="BU8" i="2"/>
  <c r="CR8" i="2" s="1"/>
  <c r="DO8" i="2" s="1"/>
  <c r="EL8" i="2" s="1"/>
  <c r="FI8" i="2" s="1"/>
  <c r="GF8" i="2" s="1"/>
  <c r="HC8" i="2" s="1"/>
  <c r="HZ8" i="2" s="1"/>
  <c r="IW8" i="2" s="1"/>
  <c r="BR8" i="2"/>
  <c r="CO8" i="2" s="1"/>
  <c r="DL8" i="2" s="1"/>
  <c r="EI8" i="2" s="1"/>
  <c r="FF8" i="2" s="1"/>
  <c r="GC8" i="2" s="1"/>
  <c r="GZ8" i="2" s="1"/>
  <c r="HW8" i="2" s="1"/>
  <c r="IT8" i="2" s="1"/>
  <c r="BP8" i="2"/>
  <c r="CM8" i="2" s="1"/>
  <c r="DJ8" i="2" s="1"/>
  <c r="EG8" i="2" s="1"/>
  <c r="FD8" i="2" s="1"/>
  <c r="GA8" i="2" s="1"/>
  <c r="GX8" i="2" s="1"/>
  <c r="HU8" i="2" s="1"/>
  <c r="IR8" i="2" s="1"/>
  <c r="BO8" i="2"/>
  <c r="CL8" i="2" s="1"/>
  <c r="DI8" i="2" s="1"/>
  <c r="EF8" i="2" s="1"/>
  <c r="FC8" i="2" s="1"/>
  <c r="FZ8" i="2" s="1"/>
  <c r="GW8" i="2" s="1"/>
  <c r="HT8" i="2" s="1"/>
  <c r="IQ8" i="2" s="1"/>
  <c r="BL8" i="2"/>
  <c r="BF8" i="2"/>
  <c r="CC8" i="2" s="1"/>
  <c r="BE8" i="2"/>
  <c r="CB8" i="2" s="1"/>
  <c r="CY8" i="2" s="1"/>
  <c r="DV8" i="2" s="1"/>
  <c r="ES8" i="2" s="1"/>
  <c r="FP8" i="2" s="1"/>
  <c r="GM8" i="2" s="1"/>
  <c r="HJ8" i="2" s="1"/>
  <c r="IG8" i="2" s="1"/>
  <c r="BB29" i="2"/>
  <c r="BB28" i="2"/>
  <c r="BB27" i="2"/>
  <c r="BB26" i="2"/>
  <c r="BB25" i="2"/>
  <c r="BB24" i="2"/>
  <c r="BB23" i="2"/>
  <c r="BB22" i="2"/>
  <c r="BB21" i="2"/>
  <c r="BB20" i="2"/>
  <c r="BB19" i="2"/>
  <c r="BB18" i="2"/>
  <c r="BB17" i="2"/>
  <c r="BB16" i="2"/>
  <c r="BB15" i="2"/>
  <c r="BB14" i="2"/>
  <c r="BB13" i="2"/>
  <c r="BB12" i="2"/>
  <c r="BB11" i="2"/>
  <c r="BB10" i="2"/>
  <c r="BB9" i="2"/>
  <c r="D6" i="2" l="1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BF1" i="2" s="1"/>
  <c r="BG1" i="2" s="1"/>
  <c r="BH1" i="2" s="1"/>
  <c r="BI1" i="2" s="1"/>
  <c r="BJ1" i="2" s="1"/>
  <c r="BK1" i="2" s="1"/>
  <c r="BL1" i="2" s="1"/>
  <c r="BM1" i="2" s="1"/>
  <c r="BN1" i="2" s="1"/>
  <c r="BO1" i="2" s="1"/>
  <c r="BP1" i="2" s="1"/>
  <c r="BQ1" i="2" s="1"/>
  <c r="BR1" i="2" s="1"/>
  <c r="BS1" i="2" s="1"/>
  <c r="BT1" i="2" s="1"/>
  <c r="BU1" i="2" s="1"/>
  <c r="BV1" i="2" s="1"/>
  <c r="BW1" i="2" s="1"/>
  <c r="BX1" i="2" s="1"/>
  <c r="BY1" i="2" s="1"/>
  <c r="BZ1" i="2" s="1"/>
  <c r="CA1" i="2" s="1"/>
  <c r="CB1" i="2" s="1"/>
  <c r="CC1" i="2" s="1"/>
  <c r="CD1" i="2" s="1"/>
  <c r="CE1" i="2" s="1"/>
  <c r="CF1" i="2" s="1"/>
  <c r="CG1" i="2" s="1"/>
  <c r="CH1" i="2" s="1"/>
  <c r="CI1" i="2" s="1"/>
  <c r="CJ1" i="2" s="1"/>
  <c r="CK1" i="2" s="1"/>
  <c r="CL1" i="2" s="1"/>
  <c r="CM1" i="2" s="1"/>
  <c r="CN1" i="2" s="1"/>
  <c r="CO1" i="2" s="1"/>
  <c r="CP1" i="2" s="1"/>
  <c r="CQ1" i="2" s="1"/>
  <c r="CR1" i="2" s="1"/>
  <c r="CS1" i="2" s="1"/>
  <c r="CT1" i="2" s="1"/>
  <c r="CU1" i="2" s="1"/>
  <c r="CV1" i="2" s="1"/>
  <c r="CW1" i="2" s="1"/>
  <c r="CX1" i="2" s="1"/>
  <c r="CY1" i="2" s="1"/>
  <c r="CZ1" i="2" s="1"/>
  <c r="DA1" i="2" s="1"/>
  <c r="DB1" i="2" s="1"/>
  <c r="DC1" i="2" s="1"/>
  <c r="DD1" i="2" s="1"/>
  <c r="E36" i="1"/>
  <c r="F36" i="1" s="1"/>
  <c r="G36" i="1" s="1"/>
  <c r="H36" i="1" s="1"/>
  <c r="I36" i="1" s="1"/>
  <c r="J36" i="1" s="1"/>
  <c r="K36" i="1" s="1"/>
  <c r="L36" i="1" s="1"/>
  <c r="M36" i="1" s="1"/>
  <c r="N36" i="1" s="1"/>
  <c r="O36" i="1" s="1"/>
  <c r="E65" i="1"/>
  <c r="F65" i="1" s="1"/>
  <c r="G65" i="1" s="1"/>
  <c r="H65" i="1" s="1"/>
  <c r="I65" i="1" s="1"/>
  <c r="J65" i="1" s="1"/>
  <c r="K65" i="1" s="1"/>
  <c r="L65" i="1" s="1"/>
  <c r="M65" i="1" s="1"/>
  <c r="N65" i="1" s="1"/>
  <c r="O65" i="1" s="1"/>
  <c r="E94" i="1"/>
  <c r="F94" i="1" s="1"/>
  <c r="G94" i="1" s="1"/>
  <c r="H94" i="1" s="1"/>
  <c r="I94" i="1" s="1"/>
  <c r="J94" i="1" s="1"/>
  <c r="K94" i="1" s="1"/>
  <c r="L94" i="1" s="1"/>
  <c r="M94" i="1" s="1"/>
  <c r="N94" i="1" s="1"/>
  <c r="O94" i="1" s="1"/>
  <c r="E123" i="1"/>
  <c r="F123" i="1" s="1"/>
  <c r="G123" i="1" s="1"/>
  <c r="H123" i="1" s="1"/>
  <c r="I123" i="1" s="1"/>
  <c r="J123" i="1" s="1"/>
  <c r="K123" i="1" s="1"/>
  <c r="L123" i="1" s="1"/>
  <c r="M123" i="1" s="1"/>
  <c r="N123" i="1" s="1"/>
  <c r="O123" i="1" s="1"/>
  <c r="N135" i="1"/>
  <c r="M135" i="1"/>
  <c r="M134" i="1"/>
  <c r="L135" i="1"/>
  <c r="L134" i="1"/>
  <c r="L133" i="1"/>
  <c r="K135" i="1"/>
  <c r="K134" i="1"/>
  <c r="K133" i="1"/>
  <c r="K132" i="1"/>
  <c r="J135" i="1"/>
  <c r="J134" i="1"/>
  <c r="J133" i="1"/>
  <c r="J132" i="1"/>
  <c r="J131" i="1"/>
  <c r="I135" i="1"/>
  <c r="I134" i="1"/>
  <c r="I133" i="1"/>
  <c r="I132" i="1"/>
  <c r="I131" i="1"/>
  <c r="I130" i="1"/>
  <c r="H135" i="1"/>
  <c r="H134" i="1"/>
  <c r="H133" i="1"/>
  <c r="H132" i="1"/>
  <c r="H131" i="1"/>
  <c r="H130" i="1"/>
  <c r="H129" i="1"/>
  <c r="G135" i="1"/>
  <c r="G134" i="1"/>
  <c r="G133" i="1"/>
  <c r="G132" i="1"/>
  <c r="G131" i="1"/>
  <c r="G130" i="1"/>
  <c r="G129" i="1"/>
  <c r="G128" i="1"/>
  <c r="F135" i="1"/>
  <c r="F134" i="1"/>
  <c r="F133" i="1"/>
  <c r="F132" i="1"/>
  <c r="F131" i="1"/>
  <c r="F130" i="1"/>
  <c r="F129" i="1"/>
  <c r="F128" i="1"/>
  <c r="F127" i="1"/>
  <c r="E135" i="1"/>
  <c r="E134" i="1"/>
  <c r="E133" i="1"/>
  <c r="E132" i="1"/>
  <c r="E131" i="1"/>
  <c r="E130" i="1"/>
  <c r="E129" i="1"/>
  <c r="E128" i="1"/>
  <c r="E127" i="1"/>
  <c r="E126" i="1"/>
  <c r="D135" i="1"/>
  <c r="D134" i="1"/>
  <c r="D133" i="1"/>
  <c r="D132" i="1"/>
  <c r="D131" i="1"/>
  <c r="D130" i="1"/>
  <c r="D129" i="1"/>
  <c r="D128" i="1"/>
  <c r="D127" i="1"/>
  <c r="D126" i="1"/>
  <c r="D125" i="1"/>
  <c r="O134" i="1"/>
  <c r="O133" i="1"/>
  <c r="O132" i="1"/>
  <c r="O131" i="1"/>
  <c r="O130" i="1"/>
  <c r="O129" i="1"/>
  <c r="O128" i="1"/>
  <c r="O127" i="1"/>
  <c r="O126" i="1"/>
  <c r="O125" i="1"/>
  <c r="O124" i="1"/>
  <c r="N133" i="1"/>
  <c r="N132" i="1"/>
  <c r="N131" i="1"/>
  <c r="N130" i="1"/>
  <c r="N129" i="1"/>
  <c r="N128" i="1"/>
  <c r="N127" i="1"/>
  <c r="N126" i="1"/>
  <c r="N125" i="1"/>
  <c r="N124" i="1"/>
  <c r="M132" i="1"/>
  <c r="M131" i="1"/>
  <c r="M130" i="1"/>
  <c r="M129" i="1"/>
  <c r="M128" i="1"/>
  <c r="M127" i="1"/>
  <c r="M126" i="1"/>
  <c r="M125" i="1"/>
  <c r="M124" i="1"/>
  <c r="L131" i="1"/>
  <c r="L130" i="1"/>
  <c r="L129" i="1"/>
  <c r="L128" i="1"/>
  <c r="L127" i="1"/>
  <c r="L126" i="1"/>
  <c r="L125" i="1"/>
  <c r="L124" i="1"/>
  <c r="K130" i="1"/>
  <c r="K129" i="1"/>
  <c r="K128" i="1"/>
  <c r="K127" i="1"/>
  <c r="K126" i="1"/>
  <c r="K125" i="1"/>
  <c r="K124" i="1"/>
  <c r="J129" i="1"/>
  <c r="J128" i="1"/>
  <c r="J127" i="1"/>
  <c r="J126" i="1"/>
  <c r="J125" i="1"/>
  <c r="J124" i="1"/>
  <c r="I128" i="1"/>
  <c r="I127" i="1"/>
  <c r="I126" i="1"/>
  <c r="I125" i="1"/>
  <c r="I124" i="1"/>
  <c r="H127" i="1"/>
  <c r="H126" i="1"/>
  <c r="H125" i="1"/>
  <c r="H124" i="1"/>
  <c r="G126" i="1"/>
  <c r="G125" i="1"/>
  <c r="G124" i="1"/>
  <c r="F125" i="1"/>
  <c r="F124" i="1"/>
  <c r="E124" i="1"/>
  <c r="C128" i="1"/>
  <c r="C129" i="1" s="1"/>
  <c r="C130" i="1" s="1"/>
  <c r="C131" i="1" s="1"/>
  <c r="C132" i="1" s="1"/>
  <c r="C133" i="1" s="1"/>
  <c r="C134" i="1" s="1"/>
  <c r="C135" i="1" s="1"/>
  <c r="C127" i="1"/>
  <c r="C126" i="1"/>
  <c r="C125" i="1"/>
  <c r="N106" i="1"/>
  <c r="M106" i="1"/>
  <c r="L106" i="1"/>
  <c r="K106" i="1"/>
  <c r="J106" i="1"/>
  <c r="I106" i="1"/>
  <c r="H106" i="1"/>
  <c r="G106" i="1"/>
  <c r="F106" i="1"/>
  <c r="E106" i="1"/>
  <c r="D106" i="1"/>
  <c r="M105" i="1"/>
  <c r="L105" i="1"/>
  <c r="K105" i="1"/>
  <c r="J105" i="1"/>
  <c r="I105" i="1"/>
  <c r="H105" i="1"/>
  <c r="G105" i="1"/>
  <c r="F105" i="1"/>
  <c r="E105" i="1"/>
  <c r="D105" i="1"/>
  <c r="L104" i="1"/>
  <c r="K104" i="1"/>
  <c r="J104" i="1"/>
  <c r="I104" i="1"/>
  <c r="H104" i="1"/>
  <c r="G104" i="1"/>
  <c r="F104" i="1"/>
  <c r="E104" i="1"/>
  <c r="D104" i="1"/>
  <c r="K103" i="1"/>
  <c r="J103" i="1"/>
  <c r="I103" i="1"/>
  <c r="H103" i="1"/>
  <c r="G103" i="1"/>
  <c r="F103" i="1"/>
  <c r="E103" i="1"/>
  <c r="D103" i="1"/>
  <c r="J102" i="1"/>
  <c r="I102" i="1"/>
  <c r="H102" i="1"/>
  <c r="G102" i="1"/>
  <c r="F102" i="1"/>
  <c r="E102" i="1"/>
  <c r="D102" i="1"/>
  <c r="I101" i="1"/>
  <c r="H101" i="1"/>
  <c r="G101" i="1"/>
  <c r="F101" i="1"/>
  <c r="E101" i="1"/>
  <c r="D101" i="1"/>
  <c r="H100" i="1"/>
  <c r="G100" i="1"/>
  <c r="F100" i="1"/>
  <c r="E100" i="1"/>
  <c r="D100" i="1"/>
  <c r="G99" i="1"/>
  <c r="F99" i="1"/>
  <c r="E99" i="1"/>
  <c r="D99" i="1"/>
  <c r="F98" i="1"/>
  <c r="E98" i="1"/>
  <c r="D98" i="1"/>
  <c r="E97" i="1"/>
  <c r="D97" i="1"/>
  <c r="D96" i="1"/>
  <c r="O105" i="1"/>
  <c r="O104" i="1"/>
  <c r="N104" i="1"/>
  <c r="O103" i="1"/>
  <c r="N103" i="1"/>
  <c r="M103" i="1"/>
  <c r="O102" i="1"/>
  <c r="N102" i="1"/>
  <c r="M102" i="1"/>
  <c r="L102" i="1"/>
  <c r="O101" i="1"/>
  <c r="N101" i="1"/>
  <c r="M101" i="1"/>
  <c r="L101" i="1"/>
  <c r="K101" i="1"/>
  <c r="O100" i="1"/>
  <c r="N100" i="1"/>
  <c r="M100" i="1"/>
  <c r="L100" i="1"/>
  <c r="K100" i="1"/>
  <c r="J100" i="1"/>
  <c r="O99" i="1"/>
  <c r="N99" i="1"/>
  <c r="M99" i="1"/>
  <c r="L99" i="1"/>
  <c r="K99" i="1"/>
  <c r="J99" i="1"/>
  <c r="I99" i="1"/>
  <c r="O98" i="1"/>
  <c r="N98" i="1"/>
  <c r="M98" i="1"/>
  <c r="L98" i="1"/>
  <c r="K98" i="1"/>
  <c r="J98" i="1"/>
  <c r="I98" i="1"/>
  <c r="H98" i="1"/>
  <c r="O97" i="1"/>
  <c r="N97" i="1"/>
  <c r="M97" i="1"/>
  <c r="L97" i="1"/>
  <c r="K97" i="1"/>
  <c r="J97" i="1"/>
  <c r="I97" i="1"/>
  <c r="H97" i="1"/>
  <c r="G97" i="1"/>
  <c r="O96" i="1"/>
  <c r="N96" i="1"/>
  <c r="M96" i="1"/>
  <c r="L96" i="1"/>
  <c r="K96" i="1"/>
  <c r="J96" i="1"/>
  <c r="I96" i="1"/>
  <c r="H96" i="1"/>
  <c r="G96" i="1"/>
  <c r="F96" i="1"/>
  <c r="O95" i="1"/>
  <c r="N95" i="1"/>
  <c r="M95" i="1"/>
  <c r="L95" i="1"/>
  <c r="K95" i="1"/>
  <c r="J95" i="1"/>
  <c r="I95" i="1"/>
  <c r="H95" i="1"/>
  <c r="G95" i="1"/>
  <c r="F95" i="1"/>
  <c r="E95" i="1"/>
  <c r="C96" i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B163" i="1"/>
  <c r="CA163" i="1"/>
  <c r="BZ163" i="1"/>
  <c r="BY163" i="1"/>
  <c r="BX163" i="1"/>
  <c r="BW163" i="1"/>
  <c r="BV163" i="1"/>
  <c r="BU163" i="1"/>
  <c r="BT163" i="1"/>
  <c r="BS163" i="1"/>
  <c r="BR163" i="1"/>
  <c r="BM163" i="1"/>
  <c r="BL163" i="1"/>
  <c r="BK163" i="1"/>
  <c r="BJ163" i="1"/>
  <c r="BI163" i="1"/>
  <c r="BH163" i="1"/>
  <c r="BG163" i="1"/>
  <c r="BF163" i="1"/>
  <c r="BE163" i="1"/>
  <c r="BD163" i="1"/>
  <c r="BC163" i="1"/>
  <c r="CC162" i="1"/>
  <c r="CA162" i="1"/>
  <c r="BZ162" i="1"/>
  <c r="BY162" i="1"/>
  <c r="BX162" i="1"/>
  <c r="BW162" i="1"/>
  <c r="BV162" i="1"/>
  <c r="BU162" i="1"/>
  <c r="BT162" i="1"/>
  <c r="BS162" i="1"/>
  <c r="BR162" i="1"/>
  <c r="BN162" i="1"/>
  <c r="BL162" i="1"/>
  <c r="BK162" i="1"/>
  <c r="BJ162" i="1"/>
  <c r="BI162" i="1"/>
  <c r="BH162" i="1"/>
  <c r="BG162" i="1"/>
  <c r="BF162" i="1"/>
  <c r="BE162" i="1"/>
  <c r="BD162" i="1"/>
  <c r="BC162" i="1"/>
  <c r="CC161" i="1"/>
  <c r="CB161" i="1"/>
  <c r="BZ161" i="1"/>
  <c r="BY161" i="1"/>
  <c r="BX161" i="1"/>
  <c r="BW161" i="1"/>
  <c r="BV161" i="1"/>
  <c r="BU161" i="1"/>
  <c r="BT161" i="1"/>
  <c r="BS161" i="1"/>
  <c r="BR161" i="1"/>
  <c r="BN161" i="1"/>
  <c r="BM161" i="1"/>
  <c r="BK161" i="1"/>
  <c r="BJ161" i="1"/>
  <c r="BI161" i="1"/>
  <c r="BH161" i="1"/>
  <c r="BG161" i="1"/>
  <c r="BF161" i="1"/>
  <c r="BE161" i="1"/>
  <c r="BD161" i="1"/>
  <c r="BC161" i="1"/>
  <c r="CC160" i="1"/>
  <c r="CB160" i="1"/>
  <c r="CA160" i="1"/>
  <c r="BY160" i="1"/>
  <c r="BX160" i="1"/>
  <c r="BW160" i="1"/>
  <c r="BV160" i="1"/>
  <c r="BU160" i="1"/>
  <c r="BT160" i="1"/>
  <c r="BS160" i="1"/>
  <c r="BR160" i="1"/>
  <c r="BN160" i="1"/>
  <c r="BM160" i="1"/>
  <c r="BL160" i="1"/>
  <c r="BJ160" i="1"/>
  <c r="BI160" i="1"/>
  <c r="BH160" i="1"/>
  <c r="BG160" i="1"/>
  <c r="BF160" i="1"/>
  <c r="BE160" i="1"/>
  <c r="BD160" i="1"/>
  <c r="BC160" i="1"/>
  <c r="CC159" i="1"/>
  <c r="CB159" i="1"/>
  <c r="CA159" i="1"/>
  <c r="BZ159" i="1"/>
  <c r="BX159" i="1"/>
  <c r="BW159" i="1"/>
  <c r="BV159" i="1"/>
  <c r="BU159" i="1"/>
  <c r="BT159" i="1"/>
  <c r="BS159" i="1"/>
  <c r="BR159" i="1"/>
  <c r="BN159" i="1"/>
  <c r="BM159" i="1"/>
  <c r="BL159" i="1"/>
  <c r="BK159" i="1"/>
  <c r="BI159" i="1"/>
  <c r="BH159" i="1"/>
  <c r="BG159" i="1"/>
  <c r="BF159" i="1"/>
  <c r="BE159" i="1"/>
  <c r="BD159" i="1"/>
  <c r="BC159" i="1"/>
  <c r="CC158" i="1"/>
  <c r="CB158" i="1"/>
  <c r="CA158" i="1"/>
  <c r="BZ158" i="1"/>
  <c r="BY158" i="1"/>
  <c r="BW158" i="1"/>
  <c r="BV158" i="1"/>
  <c r="BU158" i="1"/>
  <c r="BT158" i="1"/>
  <c r="BS158" i="1"/>
  <c r="BR158" i="1"/>
  <c r="BN158" i="1"/>
  <c r="BM158" i="1"/>
  <c r="BL158" i="1"/>
  <c r="BK158" i="1"/>
  <c r="BJ158" i="1"/>
  <c r="BH158" i="1"/>
  <c r="BG158" i="1"/>
  <c r="BF158" i="1"/>
  <c r="BE158" i="1"/>
  <c r="BD158" i="1"/>
  <c r="BC158" i="1"/>
  <c r="CC157" i="1"/>
  <c r="CB157" i="1"/>
  <c r="CA157" i="1"/>
  <c r="BZ157" i="1"/>
  <c r="BY157" i="1"/>
  <c r="BX157" i="1"/>
  <c r="BV157" i="1"/>
  <c r="BU157" i="1"/>
  <c r="BT157" i="1"/>
  <c r="BS157" i="1"/>
  <c r="BR157" i="1"/>
  <c r="BN157" i="1"/>
  <c r="BM157" i="1"/>
  <c r="BL157" i="1"/>
  <c r="BK157" i="1"/>
  <c r="BJ157" i="1"/>
  <c r="BI157" i="1"/>
  <c r="BG157" i="1"/>
  <c r="BF157" i="1"/>
  <c r="BE157" i="1"/>
  <c r="BD157" i="1"/>
  <c r="BC157" i="1"/>
  <c r="CC156" i="1"/>
  <c r="CB156" i="1"/>
  <c r="CA156" i="1"/>
  <c r="BZ156" i="1"/>
  <c r="BY156" i="1"/>
  <c r="BX156" i="1"/>
  <c r="BW156" i="1"/>
  <c r="BU156" i="1"/>
  <c r="BT156" i="1"/>
  <c r="BS156" i="1"/>
  <c r="BR156" i="1"/>
  <c r="BN156" i="1"/>
  <c r="BM156" i="1"/>
  <c r="BL156" i="1"/>
  <c r="BK156" i="1"/>
  <c r="BJ156" i="1"/>
  <c r="BI156" i="1"/>
  <c r="BH156" i="1"/>
  <c r="BF156" i="1"/>
  <c r="BE156" i="1"/>
  <c r="BD156" i="1"/>
  <c r="BC156" i="1"/>
  <c r="CC155" i="1"/>
  <c r="CB155" i="1"/>
  <c r="CA155" i="1"/>
  <c r="BZ155" i="1"/>
  <c r="BY155" i="1"/>
  <c r="BX155" i="1"/>
  <c r="BW155" i="1"/>
  <c r="BV155" i="1"/>
  <c r="BT155" i="1"/>
  <c r="BS155" i="1"/>
  <c r="BR155" i="1"/>
  <c r="BN155" i="1"/>
  <c r="BM155" i="1"/>
  <c r="BL155" i="1"/>
  <c r="BK155" i="1"/>
  <c r="BJ155" i="1"/>
  <c r="BI155" i="1"/>
  <c r="BH155" i="1"/>
  <c r="BG155" i="1"/>
  <c r="BE155" i="1"/>
  <c r="BD155" i="1"/>
  <c r="BC155" i="1"/>
  <c r="CC154" i="1"/>
  <c r="CB154" i="1"/>
  <c r="CA154" i="1"/>
  <c r="BZ154" i="1"/>
  <c r="BY154" i="1"/>
  <c r="BX154" i="1"/>
  <c r="BW154" i="1"/>
  <c r="BV154" i="1"/>
  <c r="BU154" i="1"/>
  <c r="BS154" i="1"/>
  <c r="BR154" i="1"/>
  <c r="BN154" i="1"/>
  <c r="BM154" i="1"/>
  <c r="BL154" i="1"/>
  <c r="BK154" i="1"/>
  <c r="BJ154" i="1"/>
  <c r="BI154" i="1"/>
  <c r="BH154" i="1"/>
  <c r="BG154" i="1"/>
  <c r="BF154" i="1"/>
  <c r="BD154" i="1"/>
  <c r="BC154" i="1"/>
  <c r="CC153" i="1"/>
  <c r="CB153" i="1"/>
  <c r="CA153" i="1"/>
  <c r="BZ153" i="1"/>
  <c r="BY153" i="1"/>
  <c r="BX153" i="1"/>
  <c r="BW153" i="1"/>
  <c r="BV153" i="1"/>
  <c r="BU153" i="1"/>
  <c r="BT153" i="1"/>
  <c r="BR153" i="1"/>
  <c r="BN153" i="1"/>
  <c r="BM153" i="1"/>
  <c r="BL153" i="1"/>
  <c r="BK153" i="1"/>
  <c r="BJ153" i="1"/>
  <c r="BI153" i="1"/>
  <c r="BH153" i="1"/>
  <c r="BG153" i="1"/>
  <c r="BF153" i="1"/>
  <c r="BE153" i="1"/>
  <c r="BC153" i="1"/>
  <c r="CC152" i="1"/>
  <c r="CB152" i="1"/>
  <c r="CA152" i="1"/>
  <c r="BZ152" i="1"/>
  <c r="BY152" i="1"/>
  <c r="BX152" i="1"/>
  <c r="BW152" i="1"/>
  <c r="BV152" i="1"/>
  <c r="BU152" i="1"/>
  <c r="BT152" i="1"/>
  <c r="BS152" i="1"/>
  <c r="BN152" i="1"/>
  <c r="BM152" i="1"/>
  <c r="BL152" i="1"/>
  <c r="BK152" i="1"/>
  <c r="BJ152" i="1"/>
  <c r="BI152" i="1"/>
  <c r="BH152" i="1"/>
  <c r="BG152" i="1"/>
  <c r="BF152" i="1"/>
  <c r="BE152" i="1"/>
  <c r="BD152" i="1"/>
  <c r="CB134" i="1"/>
  <c r="CA134" i="1"/>
  <c r="BZ134" i="1"/>
  <c r="BY134" i="1"/>
  <c r="BX134" i="1"/>
  <c r="BW134" i="1"/>
  <c r="BV134" i="1"/>
  <c r="BU134" i="1"/>
  <c r="BT134" i="1"/>
  <c r="BS134" i="1"/>
  <c r="BR134" i="1"/>
  <c r="BM134" i="1"/>
  <c r="BL134" i="1"/>
  <c r="BK134" i="1"/>
  <c r="BJ134" i="1"/>
  <c r="BI134" i="1"/>
  <c r="BH134" i="1"/>
  <c r="BG134" i="1"/>
  <c r="BF134" i="1"/>
  <c r="BE134" i="1"/>
  <c r="BD134" i="1"/>
  <c r="BC134" i="1"/>
  <c r="CC133" i="1"/>
  <c r="CA133" i="1"/>
  <c r="BZ133" i="1"/>
  <c r="BY133" i="1"/>
  <c r="BX133" i="1"/>
  <c r="BW133" i="1"/>
  <c r="BV133" i="1"/>
  <c r="BU133" i="1"/>
  <c r="BT133" i="1"/>
  <c r="BS133" i="1"/>
  <c r="BR133" i="1"/>
  <c r="BN133" i="1"/>
  <c r="BL133" i="1"/>
  <c r="BK133" i="1"/>
  <c r="BJ133" i="1"/>
  <c r="BI133" i="1"/>
  <c r="BH133" i="1"/>
  <c r="BG133" i="1"/>
  <c r="BF133" i="1"/>
  <c r="BE133" i="1"/>
  <c r="BD133" i="1"/>
  <c r="BC133" i="1"/>
  <c r="CC132" i="1"/>
  <c r="CB132" i="1"/>
  <c r="BZ132" i="1"/>
  <c r="BY132" i="1"/>
  <c r="BX132" i="1"/>
  <c r="BW132" i="1"/>
  <c r="BV132" i="1"/>
  <c r="BU132" i="1"/>
  <c r="BT132" i="1"/>
  <c r="BS132" i="1"/>
  <c r="BR132" i="1"/>
  <c r="BN132" i="1"/>
  <c r="BM132" i="1"/>
  <c r="BK132" i="1"/>
  <c r="BJ132" i="1"/>
  <c r="BI132" i="1"/>
  <c r="BH132" i="1"/>
  <c r="BG132" i="1"/>
  <c r="BF132" i="1"/>
  <c r="BE132" i="1"/>
  <c r="BD132" i="1"/>
  <c r="BC132" i="1"/>
  <c r="CC131" i="1"/>
  <c r="CB131" i="1"/>
  <c r="CA131" i="1"/>
  <c r="BY131" i="1"/>
  <c r="BX131" i="1"/>
  <c r="BW131" i="1"/>
  <c r="BV131" i="1"/>
  <c r="BU131" i="1"/>
  <c r="BT131" i="1"/>
  <c r="BS131" i="1"/>
  <c r="BR131" i="1"/>
  <c r="BN131" i="1"/>
  <c r="BM131" i="1"/>
  <c r="BL131" i="1"/>
  <c r="BJ131" i="1"/>
  <c r="BI131" i="1"/>
  <c r="BH131" i="1"/>
  <c r="BG131" i="1"/>
  <c r="BF131" i="1"/>
  <c r="BE131" i="1"/>
  <c r="BD131" i="1"/>
  <c r="BC131" i="1"/>
  <c r="CC130" i="1"/>
  <c r="CB130" i="1"/>
  <c r="CA130" i="1"/>
  <c r="BZ130" i="1"/>
  <c r="BX130" i="1"/>
  <c r="BW130" i="1"/>
  <c r="BV130" i="1"/>
  <c r="BU130" i="1"/>
  <c r="BT130" i="1"/>
  <c r="BS130" i="1"/>
  <c r="BR130" i="1"/>
  <c r="BN130" i="1"/>
  <c r="BM130" i="1"/>
  <c r="BL130" i="1"/>
  <c r="BK130" i="1"/>
  <c r="BI130" i="1"/>
  <c r="BH130" i="1"/>
  <c r="BG130" i="1"/>
  <c r="BF130" i="1"/>
  <c r="BE130" i="1"/>
  <c r="BD130" i="1"/>
  <c r="BC130" i="1"/>
  <c r="CC129" i="1"/>
  <c r="CB129" i="1"/>
  <c r="CA129" i="1"/>
  <c r="BZ129" i="1"/>
  <c r="BY129" i="1"/>
  <c r="BW129" i="1"/>
  <c r="BV129" i="1"/>
  <c r="BU129" i="1"/>
  <c r="BT129" i="1"/>
  <c r="BS129" i="1"/>
  <c r="BR129" i="1"/>
  <c r="BN129" i="1"/>
  <c r="BM129" i="1"/>
  <c r="BL129" i="1"/>
  <c r="BK129" i="1"/>
  <c r="BJ129" i="1"/>
  <c r="BH129" i="1"/>
  <c r="BG129" i="1"/>
  <c r="BF129" i="1"/>
  <c r="BE129" i="1"/>
  <c r="BD129" i="1"/>
  <c r="BC129" i="1"/>
  <c r="CC128" i="1"/>
  <c r="CB128" i="1"/>
  <c r="CA128" i="1"/>
  <c r="BZ128" i="1"/>
  <c r="BY128" i="1"/>
  <c r="BX128" i="1"/>
  <c r="BV128" i="1"/>
  <c r="BU128" i="1"/>
  <c r="BT128" i="1"/>
  <c r="BS128" i="1"/>
  <c r="BR128" i="1"/>
  <c r="BN128" i="1"/>
  <c r="BM128" i="1"/>
  <c r="BL128" i="1"/>
  <c r="BK128" i="1"/>
  <c r="BJ128" i="1"/>
  <c r="BI128" i="1"/>
  <c r="BG128" i="1"/>
  <c r="BF128" i="1"/>
  <c r="BE128" i="1"/>
  <c r="BD128" i="1"/>
  <c r="BC128" i="1"/>
  <c r="CC127" i="1"/>
  <c r="CB127" i="1"/>
  <c r="CA127" i="1"/>
  <c r="BZ127" i="1"/>
  <c r="BY127" i="1"/>
  <c r="BX127" i="1"/>
  <c r="BW127" i="1"/>
  <c r="BU127" i="1"/>
  <c r="BT127" i="1"/>
  <c r="BS127" i="1"/>
  <c r="BR127" i="1"/>
  <c r="BN127" i="1"/>
  <c r="BM127" i="1"/>
  <c r="BL127" i="1"/>
  <c r="BK127" i="1"/>
  <c r="BJ127" i="1"/>
  <c r="BI127" i="1"/>
  <c r="BH127" i="1"/>
  <c r="BF127" i="1"/>
  <c r="BE127" i="1"/>
  <c r="BD127" i="1"/>
  <c r="BC127" i="1"/>
  <c r="CC126" i="1"/>
  <c r="CB126" i="1"/>
  <c r="CA126" i="1"/>
  <c r="BZ126" i="1"/>
  <c r="BY126" i="1"/>
  <c r="BX126" i="1"/>
  <c r="BW126" i="1"/>
  <c r="BV126" i="1"/>
  <c r="BT126" i="1"/>
  <c r="BS126" i="1"/>
  <c r="BR126" i="1"/>
  <c r="BN126" i="1"/>
  <c r="BM126" i="1"/>
  <c r="BL126" i="1"/>
  <c r="BK126" i="1"/>
  <c r="BJ126" i="1"/>
  <c r="BI126" i="1"/>
  <c r="BH126" i="1"/>
  <c r="BG126" i="1"/>
  <c r="BE126" i="1"/>
  <c r="BD126" i="1"/>
  <c r="BC126" i="1"/>
  <c r="CC125" i="1"/>
  <c r="CB125" i="1"/>
  <c r="CA125" i="1"/>
  <c r="BZ125" i="1"/>
  <c r="BY125" i="1"/>
  <c r="BX125" i="1"/>
  <c r="BW125" i="1"/>
  <c r="BV125" i="1"/>
  <c r="BU125" i="1"/>
  <c r="BS125" i="1"/>
  <c r="BR125" i="1"/>
  <c r="BN125" i="1"/>
  <c r="BM125" i="1"/>
  <c r="BL125" i="1"/>
  <c r="BK125" i="1"/>
  <c r="BJ125" i="1"/>
  <c r="BI125" i="1"/>
  <c r="BH125" i="1"/>
  <c r="BG125" i="1"/>
  <c r="BF125" i="1"/>
  <c r="BD125" i="1"/>
  <c r="BC125" i="1"/>
  <c r="CC124" i="1"/>
  <c r="CB124" i="1"/>
  <c r="CA124" i="1"/>
  <c r="BZ124" i="1"/>
  <c r="BY124" i="1"/>
  <c r="BX124" i="1"/>
  <c r="BW124" i="1"/>
  <c r="BV124" i="1"/>
  <c r="BU124" i="1"/>
  <c r="BT124" i="1"/>
  <c r="BR124" i="1"/>
  <c r="BN124" i="1"/>
  <c r="BM124" i="1"/>
  <c r="BL124" i="1"/>
  <c r="BK124" i="1"/>
  <c r="BJ124" i="1"/>
  <c r="BI124" i="1"/>
  <c r="BH124" i="1"/>
  <c r="BG124" i="1"/>
  <c r="BF124" i="1"/>
  <c r="BE124" i="1"/>
  <c r="BC124" i="1"/>
  <c r="CC123" i="1"/>
  <c r="CB123" i="1"/>
  <c r="CA123" i="1"/>
  <c r="BZ123" i="1"/>
  <c r="BY123" i="1"/>
  <c r="BX123" i="1"/>
  <c r="BW123" i="1"/>
  <c r="BV123" i="1"/>
  <c r="BU123" i="1"/>
  <c r="BT123" i="1"/>
  <c r="BS123" i="1"/>
  <c r="BN123" i="1"/>
  <c r="BM123" i="1"/>
  <c r="BL123" i="1"/>
  <c r="BK123" i="1"/>
  <c r="BJ123" i="1"/>
  <c r="BI123" i="1"/>
  <c r="BH123" i="1"/>
  <c r="BG123" i="1"/>
  <c r="BF123" i="1"/>
  <c r="BE123" i="1"/>
  <c r="BD123" i="1"/>
  <c r="CB105" i="1"/>
  <c r="CA105" i="1"/>
  <c r="BZ105" i="1"/>
  <c r="BY105" i="1"/>
  <c r="BX105" i="1"/>
  <c r="BW105" i="1"/>
  <c r="BV105" i="1"/>
  <c r="BU105" i="1"/>
  <c r="BT105" i="1"/>
  <c r="BS105" i="1"/>
  <c r="BR105" i="1"/>
  <c r="BM105" i="1"/>
  <c r="BL105" i="1"/>
  <c r="BK105" i="1"/>
  <c r="BJ105" i="1"/>
  <c r="BI105" i="1"/>
  <c r="BH105" i="1"/>
  <c r="BG105" i="1"/>
  <c r="BF105" i="1"/>
  <c r="BE105" i="1"/>
  <c r="BD105" i="1"/>
  <c r="BC105" i="1"/>
  <c r="CC104" i="1"/>
  <c r="CA104" i="1"/>
  <c r="BZ104" i="1"/>
  <c r="BY104" i="1"/>
  <c r="BX104" i="1"/>
  <c r="BW104" i="1"/>
  <c r="BV104" i="1"/>
  <c r="BU104" i="1"/>
  <c r="BT104" i="1"/>
  <c r="BS104" i="1"/>
  <c r="BR104" i="1"/>
  <c r="BN104" i="1"/>
  <c r="BL104" i="1"/>
  <c r="BK104" i="1"/>
  <c r="BJ104" i="1"/>
  <c r="BI104" i="1"/>
  <c r="BH104" i="1"/>
  <c r="BG104" i="1"/>
  <c r="BF104" i="1"/>
  <c r="BE104" i="1"/>
  <c r="BD104" i="1"/>
  <c r="BC104" i="1"/>
  <c r="CC103" i="1"/>
  <c r="CB103" i="1"/>
  <c r="BZ103" i="1"/>
  <c r="BY103" i="1"/>
  <c r="BX103" i="1"/>
  <c r="BW103" i="1"/>
  <c r="BV103" i="1"/>
  <c r="BU103" i="1"/>
  <c r="BT103" i="1"/>
  <c r="BS103" i="1"/>
  <c r="BR103" i="1"/>
  <c r="BN103" i="1"/>
  <c r="BM103" i="1"/>
  <c r="BK103" i="1"/>
  <c r="BJ103" i="1"/>
  <c r="BI103" i="1"/>
  <c r="BH103" i="1"/>
  <c r="BG103" i="1"/>
  <c r="BF103" i="1"/>
  <c r="BE103" i="1"/>
  <c r="BD103" i="1"/>
  <c r="BC103" i="1"/>
  <c r="CC102" i="1"/>
  <c r="CB102" i="1"/>
  <c r="CA102" i="1"/>
  <c r="BY102" i="1"/>
  <c r="BX102" i="1"/>
  <c r="BW102" i="1"/>
  <c r="BV102" i="1"/>
  <c r="BU102" i="1"/>
  <c r="BT102" i="1"/>
  <c r="BS102" i="1"/>
  <c r="BR102" i="1"/>
  <c r="BN102" i="1"/>
  <c r="BM102" i="1"/>
  <c r="BL102" i="1"/>
  <c r="BJ102" i="1"/>
  <c r="BI102" i="1"/>
  <c r="BH102" i="1"/>
  <c r="BG102" i="1"/>
  <c r="BF102" i="1"/>
  <c r="BE102" i="1"/>
  <c r="BD102" i="1"/>
  <c r="BC102" i="1"/>
  <c r="CC101" i="1"/>
  <c r="CB101" i="1"/>
  <c r="CA101" i="1"/>
  <c r="BZ101" i="1"/>
  <c r="BX101" i="1"/>
  <c r="BW101" i="1"/>
  <c r="BV101" i="1"/>
  <c r="BU101" i="1"/>
  <c r="BT101" i="1"/>
  <c r="BS101" i="1"/>
  <c r="BR101" i="1"/>
  <c r="BN101" i="1"/>
  <c r="BM101" i="1"/>
  <c r="BL101" i="1"/>
  <c r="BK101" i="1"/>
  <c r="BI101" i="1"/>
  <c r="BH101" i="1"/>
  <c r="BG101" i="1"/>
  <c r="BF101" i="1"/>
  <c r="BE101" i="1"/>
  <c r="BD101" i="1"/>
  <c r="BC101" i="1"/>
  <c r="CC100" i="1"/>
  <c r="CB100" i="1"/>
  <c r="CA100" i="1"/>
  <c r="BZ100" i="1"/>
  <c r="BY100" i="1"/>
  <c r="BW100" i="1"/>
  <c r="BV100" i="1"/>
  <c r="BU100" i="1"/>
  <c r="BT100" i="1"/>
  <c r="BS100" i="1"/>
  <c r="BR100" i="1"/>
  <c r="BN100" i="1"/>
  <c r="BM100" i="1"/>
  <c r="BL100" i="1"/>
  <c r="BK100" i="1"/>
  <c r="BJ100" i="1"/>
  <c r="BH100" i="1"/>
  <c r="BG100" i="1"/>
  <c r="BF100" i="1"/>
  <c r="BE100" i="1"/>
  <c r="BD100" i="1"/>
  <c r="BC100" i="1"/>
  <c r="CC99" i="1"/>
  <c r="CB99" i="1"/>
  <c r="CA99" i="1"/>
  <c r="BZ99" i="1"/>
  <c r="BY99" i="1"/>
  <c r="BX99" i="1"/>
  <c r="BV99" i="1"/>
  <c r="BU99" i="1"/>
  <c r="BT99" i="1"/>
  <c r="BS99" i="1"/>
  <c r="BR99" i="1"/>
  <c r="BN99" i="1"/>
  <c r="BM99" i="1"/>
  <c r="BL99" i="1"/>
  <c r="BK99" i="1"/>
  <c r="BJ99" i="1"/>
  <c r="BI99" i="1"/>
  <c r="BG99" i="1"/>
  <c r="BF99" i="1"/>
  <c r="BE99" i="1"/>
  <c r="BD99" i="1"/>
  <c r="BC99" i="1"/>
  <c r="CC98" i="1"/>
  <c r="CB98" i="1"/>
  <c r="CA98" i="1"/>
  <c r="BZ98" i="1"/>
  <c r="BY98" i="1"/>
  <c r="BX98" i="1"/>
  <c r="BW98" i="1"/>
  <c r="BU98" i="1"/>
  <c r="BT98" i="1"/>
  <c r="BS98" i="1"/>
  <c r="BR98" i="1"/>
  <c r="BN98" i="1"/>
  <c r="BM98" i="1"/>
  <c r="BL98" i="1"/>
  <c r="BK98" i="1"/>
  <c r="BJ98" i="1"/>
  <c r="BI98" i="1"/>
  <c r="BH98" i="1"/>
  <c r="BF98" i="1"/>
  <c r="BE98" i="1"/>
  <c r="BD98" i="1"/>
  <c r="BC98" i="1"/>
  <c r="CC97" i="1"/>
  <c r="CB97" i="1"/>
  <c r="CA97" i="1"/>
  <c r="BZ97" i="1"/>
  <c r="BY97" i="1"/>
  <c r="BX97" i="1"/>
  <c r="BW97" i="1"/>
  <c r="BV97" i="1"/>
  <c r="BT97" i="1"/>
  <c r="BS97" i="1"/>
  <c r="BR97" i="1"/>
  <c r="BN97" i="1"/>
  <c r="BM97" i="1"/>
  <c r="BL97" i="1"/>
  <c r="BK97" i="1"/>
  <c r="BJ97" i="1"/>
  <c r="BI97" i="1"/>
  <c r="BH97" i="1"/>
  <c r="BG97" i="1"/>
  <c r="BE97" i="1"/>
  <c r="BD97" i="1"/>
  <c r="BC97" i="1"/>
  <c r="CC96" i="1"/>
  <c r="CB96" i="1"/>
  <c r="CA96" i="1"/>
  <c r="BZ96" i="1"/>
  <c r="BY96" i="1"/>
  <c r="BX96" i="1"/>
  <c r="BW96" i="1"/>
  <c r="BV96" i="1"/>
  <c r="BU96" i="1"/>
  <c r="BS96" i="1"/>
  <c r="BR96" i="1"/>
  <c r="BN96" i="1"/>
  <c r="BM96" i="1"/>
  <c r="BL96" i="1"/>
  <c r="BK96" i="1"/>
  <c r="BJ96" i="1"/>
  <c r="BI96" i="1"/>
  <c r="BH96" i="1"/>
  <c r="BG96" i="1"/>
  <c r="BF96" i="1"/>
  <c r="BD96" i="1"/>
  <c r="BC96" i="1"/>
  <c r="CC95" i="1"/>
  <c r="CB95" i="1"/>
  <c r="CA95" i="1"/>
  <c r="BZ95" i="1"/>
  <c r="BY95" i="1"/>
  <c r="BX95" i="1"/>
  <c r="BW95" i="1"/>
  <c r="BV95" i="1"/>
  <c r="BU95" i="1"/>
  <c r="BT95" i="1"/>
  <c r="BR95" i="1"/>
  <c r="BN95" i="1"/>
  <c r="BM95" i="1"/>
  <c r="BL95" i="1"/>
  <c r="BK95" i="1"/>
  <c r="BJ95" i="1"/>
  <c r="BI95" i="1"/>
  <c r="BH95" i="1"/>
  <c r="BG95" i="1"/>
  <c r="BF95" i="1"/>
  <c r="BE95" i="1"/>
  <c r="BC95" i="1"/>
  <c r="CC94" i="1"/>
  <c r="CB94" i="1"/>
  <c r="CA94" i="1"/>
  <c r="BZ94" i="1"/>
  <c r="BY94" i="1"/>
  <c r="BX94" i="1"/>
  <c r="BW94" i="1"/>
  <c r="BV94" i="1"/>
  <c r="BU94" i="1"/>
  <c r="BT94" i="1"/>
  <c r="BS94" i="1"/>
  <c r="BN94" i="1"/>
  <c r="BM94" i="1"/>
  <c r="BL94" i="1"/>
  <c r="BK94" i="1"/>
  <c r="BJ94" i="1"/>
  <c r="BI94" i="1"/>
  <c r="BH94" i="1"/>
  <c r="BG94" i="1"/>
  <c r="BF94" i="1"/>
  <c r="BE94" i="1"/>
  <c r="BD94" i="1"/>
  <c r="CB76" i="1"/>
  <c r="CA76" i="1"/>
  <c r="BZ76" i="1"/>
  <c r="BY76" i="1"/>
  <c r="BX76" i="1"/>
  <c r="BW76" i="1"/>
  <c r="BV76" i="1"/>
  <c r="BU76" i="1"/>
  <c r="BT76" i="1"/>
  <c r="BS76" i="1"/>
  <c r="BR76" i="1"/>
  <c r="BM76" i="1"/>
  <c r="BL76" i="1"/>
  <c r="BK76" i="1"/>
  <c r="BJ76" i="1"/>
  <c r="BI76" i="1"/>
  <c r="BH76" i="1"/>
  <c r="BG76" i="1"/>
  <c r="BF76" i="1"/>
  <c r="BE76" i="1"/>
  <c r="BD76" i="1"/>
  <c r="BC76" i="1"/>
  <c r="CC75" i="1"/>
  <c r="CA75" i="1"/>
  <c r="BZ75" i="1"/>
  <c r="BY75" i="1"/>
  <c r="BX75" i="1"/>
  <c r="BW75" i="1"/>
  <c r="BV75" i="1"/>
  <c r="BU75" i="1"/>
  <c r="BT75" i="1"/>
  <c r="BS75" i="1"/>
  <c r="BR75" i="1"/>
  <c r="BN75" i="1"/>
  <c r="BL75" i="1"/>
  <c r="BK75" i="1"/>
  <c r="BJ75" i="1"/>
  <c r="BI75" i="1"/>
  <c r="BH75" i="1"/>
  <c r="BG75" i="1"/>
  <c r="BF75" i="1"/>
  <c r="BE75" i="1"/>
  <c r="BD75" i="1"/>
  <c r="BC75" i="1"/>
  <c r="CC74" i="1"/>
  <c r="CB74" i="1"/>
  <c r="BZ74" i="1"/>
  <c r="BY74" i="1"/>
  <c r="BX74" i="1"/>
  <c r="BW74" i="1"/>
  <c r="BV74" i="1"/>
  <c r="BU74" i="1"/>
  <c r="BT74" i="1"/>
  <c r="BS74" i="1"/>
  <c r="BR74" i="1"/>
  <c r="BN74" i="1"/>
  <c r="BM74" i="1"/>
  <c r="BK74" i="1"/>
  <c r="BJ74" i="1"/>
  <c r="BI74" i="1"/>
  <c r="BH74" i="1"/>
  <c r="BG74" i="1"/>
  <c r="BF74" i="1"/>
  <c r="BE74" i="1"/>
  <c r="BD74" i="1"/>
  <c r="BC74" i="1"/>
  <c r="CC73" i="1"/>
  <c r="CB73" i="1"/>
  <c r="CA73" i="1"/>
  <c r="BY73" i="1"/>
  <c r="BX73" i="1"/>
  <c r="BW73" i="1"/>
  <c r="BV73" i="1"/>
  <c r="BU73" i="1"/>
  <c r="BT73" i="1"/>
  <c r="BS73" i="1"/>
  <c r="BR73" i="1"/>
  <c r="BN73" i="1"/>
  <c r="BM73" i="1"/>
  <c r="BL73" i="1"/>
  <c r="BJ73" i="1"/>
  <c r="BI73" i="1"/>
  <c r="BH73" i="1"/>
  <c r="BG73" i="1"/>
  <c r="BF73" i="1"/>
  <c r="BE73" i="1"/>
  <c r="BD73" i="1"/>
  <c r="BC73" i="1"/>
  <c r="CC72" i="1"/>
  <c r="CB72" i="1"/>
  <c r="CA72" i="1"/>
  <c r="BZ72" i="1"/>
  <c r="BX72" i="1"/>
  <c r="BW72" i="1"/>
  <c r="BV72" i="1"/>
  <c r="BU72" i="1"/>
  <c r="BT72" i="1"/>
  <c r="BS72" i="1"/>
  <c r="BR72" i="1"/>
  <c r="BN72" i="1"/>
  <c r="BM72" i="1"/>
  <c r="BL72" i="1"/>
  <c r="BK72" i="1"/>
  <c r="BI72" i="1"/>
  <c r="BH72" i="1"/>
  <c r="BG72" i="1"/>
  <c r="BF72" i="1"/>
  <c r="BE72" i="1"/>
  <c r="BD72" i="1"/>
  <c r="BC72" i="1"/>
  <c r="CC71" i="1"/>
  <c r="CB71" i="1"/>
  <c r="CA71" i="1"/>
  <c r="BZ71" i="1"/>
  <c r="BY71" i="1"/>
  <c r="BW71" i="1"/>
  <c r="BV71" i="1"/>
  <c r="BU71" i="1"/>
  <c r="BT71" i="1"/>
  <c r="BS71" i="1"/>
  <c r="BR71" i="1"/>
  <c r="BN71" i="1"/>
  <c r="BM71" i="1"/>
  <c r="BL71" i="1"/>
  <c r="BK71" i="1"/>
  <c r="BJ71" i="1"/>
  <c r="BH71" i="1"/>
  <c r="BG71" i="1"/>
  <c r="BF71" i="1"/>
  <c r="BE71" i="1"/>
  <c r="BD71" i="1"/>
  <c r="BC71" i="1"/>
  <c r="CC70" i="1"/>
  <c r="CB70" i="1"/>
  <c r="CA70" i="1"/>
  <c r="BZ70" i="1"/>
  <c r="BY70" i="1"/>
  <c r="BX70" i="1"/>
  <c r="BV70" i="1"/>
  <c r="BU70" i="1"/>
  <c r="BT70" i="1"/>
  <c r="BS70" i="1"/>
  <c r="BR70" i="1"/>
  <c r="BN70" i="1"/>
  <c r="BM70" i="1"/>
  <c r="BL70" i="1"/>
  <c r="BK70" i="1"/>
  <c r="BJ70" i="1"/>
  <c r="BI70" i="1"/>
  <c r="BG70" i="1"/>
  <c r="BF70" i="1"/>
  <c r="BE70" i="1"/>
  <c r="BD70" i="1"/>
  <c r="BC70" i="1"/>
  <c r="CC69" i="1"/>
  <c r="CB69" i="1"/>
  <c r="CA69" i="1"/>
  <c r="BZ69" i="1"/>
  <c r="BY69" i="1"/>
  <c r="BX69" i="1"/>
  <c r="BW69" i="1"/>
  <c r="BU69" i="1"/>
  <c r="BT69" i="1"/>
  <c r="BS69" i="1"/>
  <c r="BR69" i="1"/>
  <c r="BN69" i="1"/>
  <c r="BM69" i="1"/>
  <c r="BL69" i="1"/>
  <c r="BK69" i="1"/>
  <c r="BJ69" i="1"/>
  <c r="BI69" i="1"/>
  <c r="BH69" i="1"/>
  <c r="BF69" i="1"/>
  <c r="BE69" i="1"/>
  <c r="BD69" i="1"/>
  <c r="BC69" i="1"/>
  <c r="CC68" i="1"/>
  <c r="CB68" i="1"/>
  <c r="CA68" i="1"/>
  <c r="BZ68" i="1"/>
  <c r="BY68" i="1"/>
  <c r="BX68" i="1"/>
  <c r="BW68" i="1"/>
  <c r="BV68" i="1"/>
  <c r="BT68" i="1"/>
  <c r="BS68" i="1"/>
  <c r="BR68" i="1"/>
  <c r="BN68" i="1"/>
  <c r="BM68" i="1"/>
  <c r="BL68" i="1"/>
  <c r="BK68" i="1"/>
  <c r="BJ68" i="1"/>
  <c r="BI68" i="1"/>
  <c r="BH68" i="1"/>
  <c r="BG68" i="1"/>
  <c r="BE68" i="1"/>
  <c r="BD68" i="1"/>
  <c r="BC68" i="1"/>
  <c r="CC67" i="1"/>
  <c r="CB67" i="1"/>
  <c r="CA67" i="1"/>
  <c r="BZ67" i="1"/>
  <c r="BY67" i="1"/>
  <c r="BX67" i="1"/>
  <c r="BW67" i="1"/>
  <c r="BV67" i="1"/>
  <c r="BU67" i="1"/>
  <c r="BS67" i="1"/>
  <c r="BR67" i="1"/>
  <c r="BN67" i="1"/>
  <c r="BM67" i="1"/>
  <c r="BL67" i="1"/>
  <c r="BK67" i="1"/>
  <c r="BJ67" i="1"/>
  <c r="BI67" i="1"/>
  <c r="BH67" i="1"/>
  <c r="BG67" i="1"/>
  <c r="BF67" i="1"/>
  <c r="BD67" i="1"/>
  <c r="BC67" i="1"/>
  <c r="CC66" i="1"/>
  <c r="CB66" i="1"/>
  <c r="CA66" i="1"/>
  <c r="BZ66" i="1"/>
  <c r="BY66" i="1"/>
  <c r="BX66" i="1"/>
  <c r="BW66" i="1"/>
  <c r="BV66" i="1"/>
  <c r="BU66" i="1"/>
  <c r="BT66" i="1"/>
  <c r="BR66" i="1"/>
  <c r="BN66" i="1"/>
  <c r="BM66" i="1"/>
  <c r="BL66" i="1"/>
  <c r="BK66" i="1"/>
  <c r="BJ66" i="1"/>
  <c r="BI66" i="1"/>
  <c r="BH66" i="1"/>
  <c r="BG66" i="1"/>
  <c r="BF66" i="1"/>
  <c r="BE66" i="1"/>
  <c r="BC66" i="1"/>
  <c r="CC65" i="1"/>
  <c r="CB65" i="1"/>
  <c r="CA65" i="1"/>
  <c r="BZ65" i="1"/>
  <c r="BY65" i="1"/>
  <c r="BX65" i="1"/>
  <c r="BW65" i="1"/>
  <c r="BV65" i="1"/>
  <c r="BU65" i="1"/>
  <c r="BT65" i="1"/>
  <c r="BS65" i="1"/>
  <c r="BN65" i="1"/>
  <c r="BM65" i="1"/>
  <c r="BL65" i="1"/>
  <c r="BK65" i="1"/>
  <c r="BJ65" i="1"/>
  <c r="BI65" i="1"/>
  <c r="BH65" i="1"/>
  <c r="BG65" i="1"/>
  <c r="BF65" i="1"/>
  <c r="BE65" i="1"/>
  <c r="BD65" i="1"/>
  <c r="CB47" i="1"/>
  <c r="CA47" i="1"/>
  <c r="BZ47" i="1"/>
  <c r="BY47" i="1"/>
  <c r="BX47" i="1"/>
  <c r="BW47" i="1"/>
  <c r="BV47" i="1"/>
  <c r="BU47" i="1"/>
  <c r="BT47" i="1"/>
  <c r="BS47" i="1"/>
  <c r="BR47" i="1"/>
  <c r="BM47" i="1"/>
  <c r="BL47" i="1"/>
  <c r="BK47" i="1"/>
  <c r="BJ47" i="1"/>
  <c r="BI47" i="1"/>
  <c r="BH47" i="1"/>
  <c r="BG47" i="1"/>
  <c r="BF47" i="1"/>
  <c r="BE47" i="1"/>
  <c r="BD47" i="1"/>
  <c r="BC47" i="1"/>
  <c r="CC46" i="1"/>
  <c r="CA46" i="1"/>
  <c r="BZ46" i="1"/>
  <c r="BY46" i="1"/>
  <c r="BX46" i="1"/>
  <c r="BW46" i="1"/>
  <c r="BV46" i="1"/>
  <c r="BU46" i="1"/>
  <c r="BT46" i="1"/>
  <c r="BS46" i="1"/>
  <c r="BR46" i="1"/>
  <c r="BN46" i="1"/>
  <c r="BL46" i="1"/>
  <c r="BK46" i="1"/>
  <c r="BJ46" i="1"/>
  <c r="BI46" i="1"/>
  <c r="BH46" i="1"/>
  <c r="BG46" i="1"/>
  <c r="BF46" i="1"/>
  <c r="BE46" i="1"/>
  <c r="BD46" i="1"/>
  <c r="BC46" i="1"/>
  <c r="CC45" i="1"/>
  <c r="CB45" i="1"/>
  <c r="BZ45" i="1"/>
  <c r="BY45" i="1"/>
  <c r="BX45" i="1"/>
  <c r="BW45" i="1"/>
  <c r="BV45" i="1"/>
  <c r="BU45" i="1"/>
  <c r="BT45" i="1"/>
  <c r="BS45" i="1"/>
  <c r="BR45" i="1"/>
  <c r="BN45" i="1"/>
  <c r="BM45" i="1"/>
  <c r="BK45" i="1"/>
  <c r="BJ45" i="1"/>
  <c r="BI45" i="1"/>
  <c r="BH45" i="1"/>
  <c r="BG45" i="1"/>
  <c r="BF45" i="1"/>
  <c r="BE45" i="1"/>
  <c r="BD45" i="1"/>
  <c r="BC45" i="1"/>
  <c r="CC44" i="1"/>
  <c r="CB44" i="1"/>
  <c r="CA44" i="1"/>
  <c r="BY44" i="1"/>
  <c r="BX44" i="1"/>
  <c r="BW44" i="1"/>
  <c r="BV44" i="1"/>
  <c r="BU44" i="1"/>
  <c r="BT44" i="1"/>
  <c r="BS44" i="1"/>
  <c r="BR44" i="1"/>
  <c r="BN44" i="1"/>
  <c r="BM44" i="1"/>
  <c r="BL44" i="1"/>
  <c r="BJ44" i="1"/>
  <c r="BI44" i="1"/>
  <c r="BH44" i="1"/>
  <c r="BG44" i="1"/>
  <c r="BF44" i="1"/>
  <c r="BE44" i="1"/>
  <c r="BD44" i="1"/>
  <c r="BC44" i="1"/>
  <c r="CC43" i="1"/>
  <c r="CB43" i="1"/>
  <c r="CA43" i="1"/>
  <c r="BZ43" i="1"/>
  <c r="BX43" i="1"/>
  <c r="BW43" i="1"/>
  <c r="BV43" i="1"/>
  <c r="BU43" i="1"/>
  <c r="BT43" i="1"/>
  <c r="BS43" i="1"/>
  <c r="BR43" i="1"/>
  <c r="BN43" i="1"/>
  <c r="BM43" i="1"/>
  <c r="BL43" i="1"/>
  <c r="BK43" i="1"/>
  <c r="BI43" i="1"/>
  <c r="BH43" i="1"/>
  <c r="BG43" i="1"/>
  <c r="BF43" i="1"/>
  <c r="BE43" i="1"/>
  <c r="BD43" i="1"/>
  <c r="BC43" i="1"/>
  <c r="CC42" i="1"/>
  <c r="CB42" i="1"/>
  <c r="CA42" i="1"/>
  <c r="BZ42" i="1"/>
  <c r="BY42" i="1"/>
  <c r="BW42" i="1"/>
  <c r="BV42" i="1"/>
  <c r="BU42" i="1"/>
  <c r="BT42" i="1"/>
  <c r="BS42" i="1"/>
  <c r="BR42" i="1"/>
  <c r="BN42" i="1"/>
  <c r="BM42" i="1"/>
  <c r="BL42" i="1"/>
  <c r="BK42" i="1"/>
  <c r="BJ42" i="1"/>
  <c r="BH42" i="1"/>
  <c r="BG42" i="1"/>
  <c r="BF42" i="1"/>
  <c r="BE42" i="1"/>
  <c r="BD42" i="1"/>
  <c r="BC42" i="1"/>
  <c r="CC41" i="1"/>
  <c r="CB41" i="1"/>
  <c r="CA41" i="1"/>
  <c r="BZ41" i="1"/>
  <c r="BY41" i="1"/>
  <c r="BX41" i="1"/>
  <c r="BV41" i="1"/>
  <c r="BU41" i="1"/>
  <c r="BT41" i="1"/>
  <c r="BS41" i="1"/>
  <c r="BR41" i="1"/>
  <c r="BN41" i="1"/>
  <c r="BM41" i="1"/>
  <c r="BL41" i="1"/>
  <c r="BK41" i="1"/>
  <c r="BJ41" i="1"/>
  <c r="BI41" i="1"/>
  <c r="BG41" i="1"/>
  <c r="BF41" i="1"/>
  <c r="BE41" i="1"/>
  <c r="BD41" i="1"/>
  <c r="BC41" i="1"/>
  <c r="CC40" i="1"/>
  <c r="CB40" i="1"/>
  <c r="CA40" i="1"/>
  <c r="BZ40" i="1"/>
  <c r="BY40" i="1"/>
  <c r="BX40" i="1"/>
  <c r="BW40" i="1"/>
  <c r="BU40" i="1"/>
  <c r="BT40" i="1"/>
  <c r="BS40" i="1"/>
  <c r="BR40" i="1"/>
  <c r="BN40" i="1"/>
  <c r="BM40" i="1"/>
  <c r="BL40" i="1"/>
  <c r="BK40" i="1"/>
  <c r="BJ40" i="1"/>
  <c r="BI40" i="1"/>
  <c r="BH40" i="1"/>
  <c r="BF40" i="1"/>
  <c r="BE40" i="1"/>
  <c r="BD40" i="1"/>
  <c r="BC40" i="1"/>
  <c r="CC39" i="1"/>
  <c r="CB39" i="1"/>
  <c r="CA39" i="1"/>
  <c r="BZ39" i="1"/>
  <c r="BY39" i="1"/>
  <c r="BX39" i="1"/>
  <c r="BW39" i="1"/>
  <c r="BV39" i="1"/>
  <c r="BT39" i="1"/>
  <c r="BS39" i="1"/>
  <c r="BR39" i="1"/>
  <c r="BN39" i="1"/>
  <c r="BM39" i="1"/>
  <c r="BL39" i="1"/>
  <c r="BK39" i="1"/>
  <c r="BJ39" i="1"/>
  <c r="BI39" i="1"/>
  <c r="BH39" i="1"/>
  <c r="BG39" i="1"/>
  <c r="BE39" i="1"/>
  <c r="BD39" i="1"/>
  <c r="BC39" i="1"/>
  <c r="CC38" i="1"/>
  <c r="CB38" i="1"/>
  <c r="CA38" i="1"/>
  <c r="BZ38" i="1"/>
  <c r="BY38" i="1"/>
  <c r="BX38" i="1"/>
  <c r="BW38" i="1"/>
  <c r="BV38" i="1"/>
  <c r="BU38" i="1"/>
  <c r="BS38" i="1"/>
  <c r="BR38" i="1"/>
  <c r="BN38" i="1"/>
  <c r="BM38" i="1"/>
  <c r="BL38" i="1"/>
  <c r="BK38" i="1"/>
  <c r="BJ38" i="1"/>
  <c r="BI38" i="1"/>
  <c r="BH38" i="1"/>
  <c r="BG38" i="1"/>
  <c r="BF38" i="1"/>
  <c r="BD38" i="1"/>
  <c r="BC38" i="1"/>
  <c r="CC37" i="1"/>
  <c r="CB37" i="1"/>
  <c r="CA37" i="1"/>
  <c r="BZ37" i="1"/>
  <c r="BY37" i="1"/>
  <c r="BX37" i="1"/>
  <c r="BW37" i="1"/>
  <c r="BV37" i="1"/>
  <c r="BU37" i="1"/>
  <c r="BT37" i="1"/>
  <c r="BR37" i="1"/>
  <c r="BN37" i="1"/>
  <c r="BM37" i="1"/>
  <c r="BL37" i="1"/>
  <c r="BK37" i="1"/>
  <c r="BJ37" i="1"/>
  <c r="BI37" i="1"/>
  <c r="BH37" i="1"/>
  <c r="BG37" i="1"/>
  <c r="BF37" i="1"/>
  <c r="BE37" i="1"/>
  <c r="BC37" i="1"/>
  <c r="CC36" i="1"/>
  <c r="CB36" i="1"/>
  <c r="CA36" i="1"/>
  <c r="BZ36" i="1"/>
  <c r="BY36" i="1"/>
  <c r="BX36" i="1"/>
  <c r="BW36" i="1"/>
  <c r="BV36" i="1"/>
  <c r="BU36" i="1"/>
  <c r="BT36" i="1"/>
  <c r="BS36" i="1"/>
  <c r="BN36" i="1"/>
  <c r="BM36" i="1"/>
  <c r="BL36" i="1"/>
  <c r="BK36" i="1"/>
  <c r="BJ36" i="1"/>
  <c r="BI36" i="1"/>
  <c r="BH36" i="1"/>
  <c r="BG36" i="1"/>
  <c r="BF36" i="1"/>
  <c r="BE36" i="1"/>
  <c r="BD36" i="1"/>
  <c r="CB18" i="1"/>
  <c r="CA18" i="1"/>
  <c r="CA17" i="1"/>
  <c r="BZ18" i="1"/>
  <c r="BZ17" i="1"/>
  <c r="BZ16" i="1"/>
  <c r="BY18" i="1"/>
  <c r="BY17" i="1"/>
  <c r="BY16" i="1"/>
  <c r="BY15" i="1"/>
  <c r="BX18" i="1"/>
  <c r="BX17" i="1"/>
  <c r="BX16" i="1"/>
  <c r="BX15" i="1"/>
  <c r="BX14" i="1"/>
  <c r="BW18" i="1"/>
  <c r="BW17" i="1"/>
  <c r="BW16" i="1"/>
  <c r="BW15" i="1"/>
  <c r="BW14" i="1"/>
  <c r="BW13" i="1"/>
  <c r="BV18" i="1"/>
  <c r="BV17" i="1"/>
  <c r="BV16" i="1"/>
  <c r="BV15" i="1"/>
  <c r="BV14" i="1"/>
  <c r="BV13" i="1"/>
  <c r="BV12" i="1"/>
  <c r="BU18" i="1"/>
  <c r="BU17" i="1"/>
  <c r="BU16" i="1"/>
  <c r="BU15" i="1"/>
  <c r="BU14" i="1"/>
  <c r="BU13" i="1"/>
  <c r="BU12" i="1"/>
  <c r="BU11" i="1"/>
  <c r="BT18" i="1"/>
  <c r="BT17" i="1"/>
  <c r="BT16" i="1"/>
  <c r="BT15" i="1"/>
  <c r="BT14" i="1"/>
  <c r="BT13" i="1"/>
  <c r="BT12" i="1"/>
  <c r="BT11" i="1"/>
  <c r="BT10" i="1"/>
  <c r="BS18" i="1"/>
  <c r="BS17" i="1"/>
  <c r="BS16" i="1"/>
  <c r="BS15" i="1"/>
  <c r="BS14" i="1"/>
  <c r="BS13" i="1"/>
  <c r="BS12" i="1"/>
  <c r="BS11" i="1"/>
  <c r="BS10" i="1"/>
  <c r="BS9" i="1"/>
  <c r="BR18" i="1"/>
  <c r="BR17" i="1"/>
  <c r="BR16" i="1"/>
  <c r="BR15" i="1"/>
  <c r="BR14" i="1"/>
  <c r="BR13" i="1"/>
  <c r="BR12" i="1"/>
  <c r="BR11" i="1"/>
  <c r="BR10" i="1"/>
  <c r="BR9" i="1"/>
  <c r="BR8" i="1"/>
  <c r="CC17" i="1"/>
  <c r="CC16" i="1"/>
  <c r="CB16" i="1"/>
  <c r="CC15" i="1"/>
  <c r="CB15" i="1"/>
  <c r="CA15" i="1"/>
  <c r="CC14" i="1"/>
  <c r="CB14" i="1"/>
  <c r="CA14" i="1"/>
  <c r="BZ14" i="1"/>
  <c r="CC13" i="1"/>
  <c r="CB13" i="1"/>
  <c r="CA13" i="1"/>
  <c r="BZ13" i="1"/>
  <c r="BY13" i="1"/>
  <c r="CC12" i="1"/>
  <c r="CB12" i="1"/>
  <c r="CA12" i="1"/>
  <c r="BZ12" i="1"/>
  <c r="BY12" i="1"/>
  <c r="BX12" i="1"/>
  <c r="CC11" i="1"/>
  <c r="CB11" i="1"/>
  <c r="CA11" i="1"/>
  <c r="BZ11" i="1"/>
  <c r="BY11" i="1"/>
  <c r="BX11" i="1"/>
  <c r="BW11" i="1"/>
  <c r="CC10" i="1"/>
  <c r="CB10" i="1"/>
  <c r="CA10" i="1"/>
  <c r="BZ10" i="1"/>
  <c r="BY10" i="1"/>
  <c r="BX10" i="1"/>
  <c r="BW10" i="1"/>
  <c r="BV10" i="1"/>
  <c r="CC9" i="1"/>
  <c r="CB9" i="1"/>
  <c r="CA9" i="1"/>
  <c r="BZ9" i="1"/>
  <c r="BY9" i="1"/>
  <c r="BX9" i="1"/>
  <c r="BW9" i="1"/>
  <c r="BV9" i="1"/>
  <c r="BU9" i="1"/>
  <c r="CC8" i="1"/>
  <c r="CB8" i="1"/>
  <c r="CA8" i="1"/>
  <c r="BZ8" i="1"/>
  <c r="BY8" i="1"/>
  <c r="BX8" i="1"/>
  <c r="BW8" i="1"/>
  <c r="BV8" i="1"/>
  <c r="BU8" i="1"/>
  <c r="BT8" i="1"/>
  <c r="CC7" i="1"/>
  <c r="CB7" i="1"/>
  <c r="CA7" i="1"/>
  <c r="BZ7" i="1"/>
  <c r="BY7" i="1"/>
  <c r="BX7" i="1"/>
  <c r="BW7" i="1"/>
  <c r="BV7" i="1"/>
  <c r="BU7" i="1"/>
  <c r="BT7" i="1"/>
  <c r="BS7" i="1"/>
  <c r="BM18" i="1"/>
  <c r="BL18" i="1"/>
  <c r="BK18" i="1"/>
  <c r="BJ18" i="1"/>
  <c r="BI18" i="1"/>
  <c r="BH18" i="1"/>
  <c r="BG18" i="1"/>
  <c r="BF18" i="1"/>
  <c r="BE18" i="1"/>
  <c r="BD18" i="1"/>
  <c r="BC18" i="1"/>
  <c r="BL17" i="1"/>
  <c r="BK17" i="1"/>
  <c r="BJ17" i="1"/>
  <c r="BI17" i="1"/>
  <c r="BH17" i="1"/>
  <c r="BG17" i="1"/>
  <c r="BF17" i="1"/>
  <c r="BE17" i="1"/>
  <c r="BD17" i="1"/>
  <c r="BC17" i="1"/>
  <c r="BK16" i="1"/>
  <c r="BJ16" i="1"/>
  <c r="BI16" i="1"/>
  <c r="BH16" i="1"/>
  <c r="BG16" i="1"/>
  <c r="BF16" i="1"/>
  <c r="BE16" i="1"/>
  <c r="BD16" i="1"/>
  <c r="BC16" i="1"/>
  <c r="BJ15" i="1"/>
  <c r="BI15" i="1"/>
  <c r="BH15" i="1"/>
  <c r="BG15" i="1"/>
  <c r="BF15" i="1"/>
  <c r="BE15" i="1"/>
  <c r="BD15" i="1"/>
  <c r="BC15" i="1"/>
  <c r="BI14" i="1"/>
  <c r="BH14" i="1"/>
  <c r="BG14" i="1"/>
  <c r="BF14" i="1"/>
  <c r="BE14" i="1"/>
  <c r="BD14" i="1"/>
  <c r="BC14" i="1"/>
  <c r="BH13" i="1"/>
  <c r="BG13" i="1"/>
  <c r="BF13" i="1"/>
  <c r="BE13" i="1"/>
  <c r="BD13" i="1"/>
  <c r="BC13" i="1"/>
  <c r="BG12" i="1"/>
  <c r="BF12" i="1"/>
  <c r="BE12" i="1"/>
  <c r="BD12" i="1"/>
  <c r="BC12" i="1"/>
  <c r="BF11" i="1"/>
  <c r="BE11" i="1"/>
  <c r="BD11" i="1"/>
  <c r="BC11" i="1"/>
  <c r="BE10" i="1"/>
  <c r="BD10" i="1"/>
  <c r="BC10" i="1"/>
  <c r="BD9" i="1"/>
  <c r="BC9" i="1"/>
  <c r="BC8" i="1"/>
  <c r="BN17" i="1"/>
  <c r="BN16" i="1"/>
  <c r="BM16" i="1"/>
  <c r="BN15" i="1"/>
  <c r="BM15" i="1"/>
  <c r="BL15" i="1"/>
  <c r="BN14" i="1"/>
  <c r="BM14" i="1"/>
  <c r="BL14" i="1"/>
  <c r="BK14" i="1"/>
  <c r="BN13" i="1"/>
  <c r="BM13" i="1"/>
  <c r="BL13" i="1"/>
  <c r="BK13" i="1"/>
  <c r="BJ13" i="1"/>
  <c r="BN12" i="1"/>
  <c r="BM12" i="1"/>
  <c r="BL12" i="1"/>
  <c r="BK12" i="1"/>
  <c r="BJ12" i="1"/>
  <c r="BI12" i="1"/>
  <c r="BN11" i="1"/>
  <c r="BM11" i="1"/>
  <c r="BL11" i="1"/>
  <c r="BK11" i="1"/>
  <c r="BJ11" i="1"/>
  <c r="BI11" i="1"/>
  <c r="BH11" i="1"/>
  <c r="BN10" i="1"/>
  <c r="BM10" i="1"/>
  <c r="BL10" i="1"/>
  <c r="BK10" i="1"/>
  <c r="BJ10" i="1"/>
  <c r="BI10" i="1"/>
  <c r="BH10" i="1"/>
  <c r="BG10" i="1"/>
  <c r="BN9" i="1"/>
  <c r="BM9" i="1"/>
  <c r="BL9" i="1"/>
  <c r="BK9" i="1"/>
  <c r="BJ9" i="1"/>
  <c r="BI9" i="1"/>
  <c r="BH9" i="1"/>
  <c r="BG9" i="1"/>
  <c r="BF9" i="1"/>
  <c r="BN8" i="1"/>
  <c r="BM8" i="1"/>
  <c r="BL8" i="1"/>
  <c r="BK8" i="1"/>
  <c r="BJ8" i="1"/>
  <c r="BI8" i="1"/>
  <c r="BH8" i="1"/>
  <c r="BG8" i="1"/>
  <c r="BF8" i="1"/>
  <c r="BE8" i="1"/>
  <c r="BN7" i="1"/>
  <c r="BM7" i="1"/>
  <c r="BL7" i="1"/>
  <c r="BK7" i="1"/>
  <c r="BJ7" i="1"/>
  <c r="BI7" i="1"/>
  <c r="BH7" i="1"/>
  <c r="BG7" i="1"/>
  <c r="BF7" i="1"/>
  <c r="BE7" i="1"/>
  <c r="BD7" i="1"/>
  <c r="C67" i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38" i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BY1" i="1"/>
  <c r="BZ1" i="1" s="1"/>
  <c r="CA1" i="1" s="1"/>
  <c r="CB1" i="1" s="1"/>
  <c r="CC1" i="1" s="1"/>
  <c r="CD1" i="1" s="1"/>
  <c r="CE1" i="1" s="1"/>
  <c r="CF1" i="1" s="1"/>
  <c r="CG1" i="1" s="1"/>
  <c r="CH1" i="1" s="1"/>
  <c r="CI1" i="1" s="1"/>
  <c r="CJ1" i="1" s="1"/>
  <c r="CK1" i="1" s="1"/>
  <c r="CL1" i="1" s="1"/>
  <c r="CM1" i="1" s="1"/>
  <c r="CN1" i="1" s="1"/>
  <c r="CO1" i="1" s="1"/>
  <c r="CP1" i="1" s="1"/>
  <c r="CQ1" i="1" s="1"/>
  <c r="CR1" i="1" s="1"/>
  <c r="CS1" i="1" s="1"/>
  <c r="CT1" i="1" s="1"/>
  <c r="CU1" i="1" s="1"/>
  <c r="CV1" i="1" s="1"/>
  <c r="CW1" i="1" s="1"/>
  <c r="CX1" i="1" s="1"/>
  <c r="CY1" i="1" s="1"/>
  <c r="CZ1" i="1" s="1"/>
  <c r="DA1" i="1" s="1"/>
  <c r="DB1" i="1" s="1"/>
  <c r="DC1" i="1" s="1"/>
  <c r="DD1" i="1" s="1"/>
  <c r="E6" i="1" l="1"/>
  <c r="F6" i="1" s="1"/>
  <c r="G6" i="1" s="1"/>
  <c r="H6" i="1" s="1"/>
  <c r="I6" i="1" s="1"/>
  <c r="J6" i="1" s="1"/>
  <c r="K6" i="1" s="1"/>
  <c r="L6" i="1" s="1"/>
  <c r="M6" i="1" s="1"/>
  <c r="N6" i="1" s="1"/>
  <c r="O6" i="1" s="1"/>
  <c r="C8" i="1"/>
  <c r="C9" i="1" s="1"/>
  <c r="C10" i="1" s="1"/>
  <c r="C11" i="1" s="1"/>
  <c r="C12" i="1" s="1"/>
  <c r="C13" i="1" s="1"/>
  <c r="C14" i="1" s="1"/>
  <c r="C15" i="1" s="1"/>
  <c r="C16" i="1" s="1"/>
  <c r="C17" i="1" s="1"/>
  <c r="C18" i="1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BV1" i="1" s="1"/>
  <c r="BW1" i="1" s="1"/>
  <c r="BX1" i="1" s="1"/>
</calcChain>
</file>

<file path=xl/sharedStrings.xml><?xml version="1.0" encoding="utf-8"?>
<sst xmlns="http://schemas.openxmlformats.org/spreadsheetml/2006/main" count="636" uniqueCount="271">
  <si>
    <t>AAA</t>
    <phoneticPr fontId="2" type="noConversion"/>
  </si>
  <si>
    <t>AA</t>
    <phoneticPr fontId="2" type="noConversion"/>
  </si>
  <si>
    <t>A1</t>
    <phoneticPr fontId="2" type="noConversion"/>
  </si>
  <si>
    <t>A2</t>
    <phoneticPr fontId="2" type="noConversion"/>
  </si>
  <si>
    <t>BBB1</t>
    <phoneticPr fontId="2" type="noConversion"/>
  </si>
  <si>
    <t>BBB2</t>
    <phoneticPr fontId="2" type="noConversion"/>
  </si>
  <si>
    <t>BB1</t>
    <phoneticPr fontId="2" type="noConversion"/>
  </si>
  <si>
    <t>BB2</t>
    <phoneticPr fontId="2" type="noConversion"/>
  </si>
  <si>
    <t>B1</t>
    <phoneticPr fontId="2" type="noConversion"/>
  </si>
  <si>
    <t>B2</t>
    <phoneticPr fontId="2" type="noConversion"/>
  </si>
  <si>
    <t>CCC</t>
    <phoneticPr fontId="2" type="noConversion"/>
  </si>
  <si>
    <t>CC</t>
    <phoneticPr fontId="2" type="noConversion"/>
  </si>
  <si>
    <t>부도</t>
    <phoneticPr fontId="2" type="noConversion"/>
  </si>
  <si>
    <t>SmoothingSameValue</t>
    <phoneticPr fontId="2" type="noConversion"/>
  </si>
  <si>
    <t>기존데이터와 큰차이 보정</t>
    <phoneticPr fontId="2" type="noConversion"/>
  </si>
  <si>
    <t>Diagonal보다 큰 값 보정</t>
    <phoneticPr fontId="2" type="noConversion"/>
  </si>
  <si>
    <t>Input</t>
    <phoneticPr fontId="2" type="noConversion"/>
  </si>
  <si>
    <t>Parallel Smoothing 1차 이후</t>
    <phoneticPr fontId="2" type="noConversion"/>
  </si>
  <si>
    <t>Parallel Smoothing 2차 이후</t>
    <phoneticPr fontId="2" type="noConversion"/>
  </si>
  <si>
    <t>Parallel Smoothing 3차 이후</t>
    <phoneticPr fontId="2" type="noConversion"/>
  </si>
  <si>
    <t>Vertical Smoothing 1차 이후</t>
    <phoneticPr fontId="2" type="noConversion"/>
  </si>
  <si>
    <t>Vertical Smoothing 2차 이후</t>
    <phoneticPr fontId="2" type="noConversion"/>
  </si>
  <si>
    <t>Vertical Smoothing 3차 이후</t>
    <phoneticPr fontId="2" type="noConversion"/>
  </si>
  <si>
    <t>Parallel Smoothing 1차 이후 Parallel 역전검증</t>
    <phoneticPr fontId="2" type="noConversion"/>
  </si>
  <si>
    <t>Parallel Smoothing 1차 이후 Vertical 역전검증</t>
    <phoneticPr fontId="2" type="noConversion"/>
  </si>
  <si>
    <t>Vertical Smoothing 1차 이후 Parallel 역전검증</t>
    <phoneticPr fontId="2" type="noConversion"/>
  </si>
  <si>
    <t>Vertical Smoothing 1차 이후 Vertical 역전검증</t>
    <phoneticPr fontId="2" type="noConversion"/>
  </si>
  <si>
    <t>Parallel Smoothing 2차 이후 Parallel 역전검증</t>
    <phoneticPr fontId="2" type="noConversion"/>
  </si>
  <si>
    <t>Parallel Smoothing 2차 이후 Vertical 역전검증</t>
    <phoneticPr fontId="2" type="noConversion"/>
  </si>
  <si>
    <t>Vertical Smoothing 2차 이후 Parallel 역전검증</t>
    <phoneticPr fontId="2" type="noConversion"/>
  </si>
  <si>
    <t>Vertical Smoothing 2차 이후 Vertical 역전검증</t>
    <phoneticPr fontId="2" type="noConversion"/>
  </si>
  <si>
    <t>Parallel Smoothing 3차 이후 Parallel 역전검증</t>
    <phoneticPr fontId="2" type="noConversion"/>
  </si>
  <si>
    <t>Parallel Smoothing 3차 이후 Vertical 역전검증</t>
    <phoneticPr fontId="2" type="noConversion"/>
  </si>
  <si>
    <t>Vertical Smoothing 3차 이후 Parallel 역전검증</t>
    <phoneticPr fontId="2" type="noConversion"/>
  </si>
  <si>
    <t>Vertical Smoothing 3차 이후 Vertical 역전검증</t>
    <phoneticPr fontId="2" type="noConversion"/>
  </si>
  <si>
    <t>Smoothing 이후 Parallel 역전검증</t>
    <phoneticPr fontId="2" type="noConversion"/>
  </si>
  <si>
    <t>Parallel Smoothing 1차 이후 합계보정</t>
    <phoneticPr fontId="2" type="noConversion"/>
  </si>
  <si>
    <t>Parallel Smoothing 3차 이후 합계보정</t>
    <phoneticPr fontId="2" type="noConversion"/>
  </si>
  <si>
    <t>Parallel Smoothing 3차 이후 합계보정</t>
    <phoneticPr fontId="2" type="noConversion"/>
  </si>
  <si>
    <t>Vertical Smoothing 2차 이후 합계보정</t>
    <phoneticPr fontId="2" type="noConversion"/>
  </si>
  <si>
    <t>Parallel Smoothing 2차 이후 합계보정</t>
    <phoneticPr fontId="2" type="noConversion"/>
  </si>
  <si>
    <t>Vertical Smoothing 1차 이후 합계보정</t>
    <phoneticPr fontId="2" type="noConversion"/>
  </si>
  <si>
    <t>Input</t>
    <phoneticPr fontId="2" type="noConversion"/>
  </si>
  <si>
    <t>OutPut</t>
    <phoneticPr fontId="2" type="noConversion"/>
  </si>
  <si>
    <t>신용등급개수</t>
    <phoneticPr fontId="2" type="noConversion"/>
  </si>
  <si>
    <t>신용등급</t>
    <phoneticPr fontId="2" type="noConversion"/>
  </si>
  <si>
    <t>InputPD</t>
    <phoneticPr fontId="2" type="noConversion"/>
  </si>
  <si>
    <t>바젤하한</t>
    <phoneticPr fontId="2" type="noConversion"/>
  </si>
  <si>
    <t>대표PD</t>
    <phoneticPr fontId="2" type="noConversion"/>
  </si>
  <si>
    <t>누적PD</t>
    <phoneticPr fontId="2" type="noConversion"/>
  </si>
  <si>
    <t>ForwardPD</t>
    <phoneticPr fontId="2" type="noConversion"/>
  </si>
  <si>
    <t>MarginalPD</t>
    <phoneticPr fontId="2" type="noConversion"/>
  </si>
  <si>
    <t>전이확률 행렬 또는 전이개수 행렬 입력</t>
    <phoneticPr fontId="2" type="noConversion"/>
  </si>
  <si>
    <t>1년차 누적 전이행렬</t>
    <phoneticPr fontId="2" type="noConversion"/>
  </si>
  <si>
    <t>2년차 누적 전이행렬</t>
    <phoneticPr fontId="2" type="noConversion"/>
  </si>
  <si>
    <t>3년차 누적 전이행렬</t>
    <phoneticPr fontId="2" type="noConversion"/>
  </si>
  <si>
    <t>4년차 누적 전이행렬</t>
    <phoneticPr fontId="2" type="noConversion"/>
  </si>
  <si>
    <t>5년차 누적 전이행렬</t>
    <phoneticPr fontId="2" type="noConversion"/>
  </si>
  <si>
    <t>6년차 누적 전이행렬</t>
    <phoneticPr fontId="2" type="noConversion"/>
  </si>
  <si>
    <t>7년차 누적 전이행렬</t>
    <phoneticPr fontId="2" type="noConversion"/>
  </si>
  <si>
    <t>8년차 누적 전이행렬</t>
    <phoneticPr fontId="2" type="noConversion"/>
  </si>
  <si>
    <t>9년차 누적 전이행렬</t>
    <phoneticPr fontId="2" type="noConversion"/>
  </si>
  <si>
    <t>10년차 누적 전이행렬</t>
    <phoneticPr fontId="2" type="noConversion"/>
  </si>
  <si>
    <t>QuarterlyMarginalPD</t>
    <phoneticPr fontId="2" type="noConversion"/>
  </si>
  <si>
    <t>QuarterlyCummPD</t>
    <phoneticPr fontId="2" type="noConversion"/>
  </si>
  <si>
    <t>Term개수 입력</t>
    <phoneticPr fontId="2" type="noConversion"/>
  </si>
  <si>
    <t>1Y</t>
    <phoneticPr fontId="2" type="noConversion"/>
  </si>
  <si>
    <t>0.25Y</t>
    <phoneticPr fontId="2" type="noConversion"/>
  </si>
  <si>
    <t>0.5Y</t>
    <phoneticPr fontId="2" type="noConversion"/>
  </si>
  <si>
    <t>0.75Y</t>
    <phoneticPr fontId="2" type="noConversion"/>
  </si>
  <si>
    <t>2Y</t>
    <phoneticPr fontId="2" type="noConversion"/>
  </si>
  <si>
    <t>1.25Y</t>
    <phoneticPr fontId="2" type="noConversion"/>
  </si>
  <si>
    <t>1.5Y</t>
    <phoneticPr fontId="2" type="noConversion"/>
  </si>
  <si>
    <t>1.75Y</t>
    <phoneticPr fontId="2" type="noConversion"/>
  </si>
  <si>
    <t>3Y</t>
    <phoneticPr fontId="2" type="noConversion"/>
  </si>
  <si>
    <t>2.25Y</t>
    <phoneticPr fontId="2" type="noConversion"/>
  </si>
  <si>
    <t>2.5Y</t>
    <phoneticPr fontId="2" type="noConversion"/>
  </si>
  <si>
    <t>2.75Y</t>
    <phoneticPr fontId="2" type="noConversion"/>
  </si>
  <si>
    <t>4Y</t>
    <phoneticPr fontId="2" type="noConversion"/>
  </si>
  <si>
    <t>3.25Y</t>
    <phoneticPr fontId="2" type="noConversion"/>
  </si>
  <si>
    <t>3.5Y</t>
    <phoneticPr fontId="2" type="noConversion"/>
  </si>
  <si>
    <t>3.75Y</t>
    <phoneticPr fontId="2" type="noConversion"/>
  </si>
  <si>
    <t>5Y</t>
    <phoneticPr fontId="2" type="noConversion"/>
  </si>
  <si>
    <t>4.25Y</t>
    <phoneticPr fontId="2" type="noConversion"/>
  </si>
  <si>
    <t>4.5Y</t>
    <phoneticPr fontId="2" type="noConversion"/>
  </si>
  <si>
    <t>4.75Y</t>
    <phoneticPr fontId="2" type="noConversion"/>
  </si>
  <si>
    <t>6Y</t>
    <phoneticPr fontId="2" type="noConversion"/>
  </si>
  <si>
    <t>5.25Y</t>
    <phoneticPr fontId="2" type="noConversion"/>
  </si>
  <si>
    <t>5.5Y</t>
    <phoneticPr fontId="2" type="noConversion"/>
  </si>
  <si>
    <t>5.75Y</t>
    <phoneticPr fontId="2" type="noConversion"/>
  </si>
  <si>
    <t>7Y</t>
    <phoneticPr fontId="2" type="noConversion"/>
  </si>
  <si>
    <t>6.25Y</t>
    <phoneticPr fontId="2" type="noConversion"/>
  </si>
  <si>
    <t>6.5Y</t>
    <phoneticPr fontId="2" type="noConversion"/>
  </si>
  <si>
    <t>6.75Y</t>
    <phoneticPr fontId="2" type="noConversion"/>
  </si>
  <si>
    <t>8Y</t>
    <phoneticPr fontId="2" type="noConversion"/>
  </si>
  <si>
    <t>7.25Y</t>
    <phoneticPr fontId="2" type="noConversion"/>
  </si>
  <si>
    <t>7.5Y</t>
    <phoneticPr fontId="2" type="noConversion"/>
  </si>
  <si>
    <t>7.75Y</t>
    <phoneticPr fontId="2" type="noConversion"/>
  </si>
  <si>
    <t>9Y</t>
    <phoneticPr fontId="2" type="noConversion"/>
  </si>
  <si>
    <t>8.5Y</t>
    <phoneticPr fontId="2" type="noConversion"/>
  </si>
  <si>
    <t>8.75Y</t>
    <phoneticPr fontId="2" type="noConversion"/>
  </si>
  <si>
    <t>10Y</t>
    <phoneticPr fontId="2" type="noConversion"/>
  </si>
  <si>
    <t>9.25Y</t>
    <phoneticPr fontId="2" type="noConversion"/>
  </si>
  <si>
    <t>9.5Y</t>
    <phoneticPr fontId="2" type="noConversion"/>
  </si>
  <si>
    <t>9.75Y</t>
    <phoneticPr fontId="2" type="noConversion"/>
  </si>
  <si>
    <t>11Y</t>
    <phoneticPr fontId="2" type="noConversion"/>
  </si>
  <si>
    <t>10.25Y</t>
    <phoneticPr fontId="2" type="noConversion"/>
  </si>
  <si>
    <t>10.5Y</t>
    <phoneticPr fontId="2" type="noConversion"/>
  </si>
  <si>
    <t>10.75Y</t>
    <phoneticPr fontId="2" type="noConversion"/>
  </si>
  <si>
    <t>12Y</t>
    <phoneticPr fontId="2" type="noConversion"/>
  </si>
  <si>
    <t>11.25Y</t>
    <phoneticPr fontId="2" type="noConversion"/>
  </si>
  <si>
    <t>11.5Y</t>
    <phoneticPr fontId="2" type="noConversion"/>
  </si>
  <si>
    <t>11.75Y</t>
    <phoneticPr fontId="2" type="noConversion"/>
  </si>
  <si>
    <t>13Y</t>
    <phoneticPr fontId="2" type="noConversion"/>
  </si>
  <si>
    <t>12.25Y</t>
    <phoneticPr fontId="2" type="noConversion"/>
  </si>
  <si>
    <t>12.5Y</t>
    <phoneticPr fontId="2" type="noConversion"/>
  </si>
  <si>
    <t>12.75Y</t>
    <phoneticPr fontId="2" type="noConversion"/>
  </si>
  <si>
    <t>14Y</t>
    <phoneticPr fontId="2" type="noConversion"/>
  </si>
  <si>
    <t>13.25Y</t>
    <phoneticPr fontId="2" type="noConversion"/>
  </si>
  <si>
    <t>13.5Y</t>
    <phoneticPr fontId="2" type="noConversion"/>
  </si>
  <si>
    <t>13.75Y</t>
    <phoneticPr fontId="2" type="noConversion"/>
  </si>
  <si>
    <t>15Y</t>
    <phoneticPr fontId="2" type="noConversion"/>
  </si>
  <si>
    <t>14.25Y</t>
    <phoneticPr fontId="2" type="noConversion"/>
  </si>
  <si>
    <t>14.5Y</t>
    <phoneticPr fontId="2" type="noConversion"/>
  </si>
  <si>
    <t>14.75Y</t>
    <phoneticPr fontId="2" type="noConversion"/>
  </si>
  <si>
    <t>16Y</t>
    <phoneticPr fontId="2" type="noConversion"/>
  </si>
  <si>
    <t>15.25Y</t>
    <phoneticPr fontId="2" type="noConversion"/>
  </si>
  <si>
    <t>15.5Y</t>
    <phoneticPr fontId="2" type="noConversion"/>
  </si>
  <si>
    <t>15.75Y</t>
    <phoneticPr fontId="2" type="noConversion"/>
  </si>
  <si>
    <t>17Y</t>
    <phoneticPr fontId="2" type="noConversion"/>
  </si>
  <si>
    <t>16.25Y</t>
    <phoneticPr fontId="2" type="noConversion"/>
  </si>
  <si>
    <t>16.5Y</t>
    <phoneticPr fontId="2" type="noConversion"/>
  </si>
  <si>
    <t>16.75Y</t>
    <phoneticPr fontId="2" type="noConversion"/>
  </si>
  <si>
    <t>18Y</t>
    <phoneticPr fontId="2" type="noConversion"/>
  </si>
  <si>
    <t>17.25Y</t>
    <phoneticPr fontId="2" type="noConversion"/>
  </si>
  <si>
    <t>17.5Y</t>
    <phoneticPr fontId="2" type="noConversion"/>
  </si>
  <si>
    <t>17.75Y</t>
    <phoneticPr fontId="2" type="noConversion"/>
  </si>
  <si>
    <t>19Y</t>
    <phoneticPr fontId="2" type="noConversion"/>
  </si>
  <si>
    <t>18.25Y</t>
    <phoneticPr fontId="2" type="noConversion"/>
  </si>
  <si>
    <t>18.5Y</t>
    <phoneticPr fontId="2" type="noConversion"/>
  </si>
  <si>
    <t>18.75Y</t>
    <phoneticPr fontId="2" type="noConversion"/>
  </si>
  <si>
    <t>20Y</t>
    <phoneticPr fontId="2" type="noConversion"/>
  </si>
  <si>
    <t>19.25Y</t>
    <phoneticPr fontId="2" type="noConversion"/>
  </si>
  <si>
    <t>19.5Y</t>
    <phoneticPr fontId="2" type="noConversion"/>
  </si>
  <si>
    <t>19.75Y</t>
    <phoneticPr fontId="2" type="noConversion"/>
  </si>
  <si>
    <t>21Y</t>
    <phoneticPr fontId="2" type="noConversion"/>
  </si>
  <si>
    <t>20.25Y</t>
    <phoneticPr fontId="2" type="noConversion"/>
  </si>
  <si>
    <t>20.5Y</t>
    <phoneticPr fontId="2" type="noConversion"/>
  </si>
  <si>
    <t>20.75Y</t>
    <phoneticPr fontId="2" type="noConversion"/>
  </si>
  <si>
    <t>22Y</t>
    <phoneticPr fontId="2" type="noConversion"/>
  </si>
  <si>
    <t>21.25Y</t>
    <phoneticPr fontId="2" type="noConversion"/>
  </si>
  <si>
    <t>21.5Y</t>
    <phoneticPr fontId="2" type="noConversion"/>
  </si>
  <si>
    <t>21.75Y</t>
    <phoneticPr fontId="2" type="noConversion"/>
  </si>
  <si>
    <t>23Y</t>
    <phoneticPr fontId="2" type="noConversion"/>
  </si>
  <si>
    <t>22.25Y</t>
    <phoneticPr fontId="2" type="noConversion"/>
  </si>
  <si>
    <t>22.5Y</t>
    <phoneticPr fontId="2" type="noConversion"/>
  </si>
  <si>
    <t>22.75Y</t>
    <phoneticPr fontId="2" type="noConversion"/>
  </si>
  <si>
    <t>24Y</t>
    <phoneticPr fontId="2" type="noConversion"/>
  </si>
  <si>
    <t>23.25Y</t>
    <phoneticPr fontId="2" type="noConversion"/>
  </si>
  <si>
    <t>23.5Y</t>
    <phoneticPr fontId="2" type="noConversion"/>
  </si>
  <si>
    <t>23.75Y</t>
    <phoneticPr fontId="2" type="noConversion"/>
  </si>
  <si>
    <t>25Y</t>
    <phoneticPr fontId="2" type="noConversion"/>
  </si>
  <si>
    <t>24.25Y</t>
    <phoneticPr fontId="2" type="noConversion"/>
  </si>
  <si>
    <t>24.5Y</t>
    <phoneticPr fontId="2" type="noConversion"/>
  </si>
  <si>
    <t>24.75Y</t>
    <phoneticPr fontId="2" type="noConversion"/>
  </si>
  <si>
    <t>26Y</t>
    <phoneticPr fontId="2" type="noConversion"/>
  </si>
  <si>
    <t>25.25Y</t>
    <phoneticPr fontId="2" type="noConversion"/>
  </si>
  <si>
    <t>25.5Y</t>
    <phoneticPr fontId="2" type="noConversion"/>
  </si>
  <si>
    <t>25.75Y</t>
    <phoneticPr fontId="2" type="noConversion"/>
  </si>
  <si>
    <t>27Y</t>
    <phoneticPr fontId="2" type="noConversion"/>
  </si>
  <si>
    <t>26.25Y</t>
    <phoneticPr fontId="2" type="noConversion"/>
  </si>
  <si>
    <t>26.5Y</t>
    <phoneticPr fontId="2" type="noConversion"/>
  </si>
  <si>
    <t>26.75Y</t>
    <phoneticPr fontId="2" type="noConversion"/>
  </si>
  <si>
    <t>28Y</t>
    <phoneticPr fontId="2" type="noConversion"/>
  </si>
  <si>
    <t>27.25Y</t>
    <phoneticPr fontId="2" type="noConversion"/>
  </si>
  <si>
    <t>27.5Y</t>
    <phoneticPr fontId="2" type="noConversion"/>
  </si>
  <si>
    <t>27.75Y</t>
    <phoneticPr fontId="2" type="noConversion"/>
  </si>
  <si>
    <t>29Y</t>
    <phoneticPr fontId="2" type="noConversion"/>
  </si>
  <si>
    <t>28.25Y</t>
    <phoneticPr fontId="2" type="noConversion"/>
  </si>
  <si>
    <t>28.5Y</t>
    <phoneticPr fontId="2" type="noConversion"/>
  </si>
  <si>
    <t>28.75Y</t>
    <phoneticPr fontId="2" type="noConversion"/>
  </si>
  <si>
    <t>30Y</t>
    <phoneticPr fontId="2" type="noConversion"/>
  </si>
  <si>
    <t>29.25Y</t>
    <phoneticPr fontId="2" type="noConversion"/>
  </si>
  <si>
    <t>29.5Y</t>
    <phoneticPr fontId="2" type="noConversion"/>
  </si>
  <si>
    <t>29.75Y</t>
    <phoneticPr fontId="2" type="noConversion"/>
  </si>
  <si>
    <t>31Y</t>
    <phoneticPr fontId="2" type="noConversion"/>
  </si>
  <si>
    <t>30.25Y</t>
    <phoneticPr fontId="2" type="noConversion"/>
  </si>
  <si>
    <t>30.5Y</t>
    <phoneticPr fontId="2" type="noConversion"/>
  </si>
  <si>
    <t>30.75Y</t>
    <phoneticPr fontId="2" type="noConversion"/>
  </si>
  <si>
    <t>32Y</t>
    <phoneticPr fontId="2" type="noConversion"/>
  </si>
  <si>
    <t>31.25Y</t>
    <phoneticPr fontId="2" type="noConversion"/>
  </si>
  <si>
    <t>31.5Y</t>
    <phoneticPr fontId="2" type="noConversion"/>
  </si>
  <si>
    <t>31.75Y</t>
    <phoneticPr fontId="2" type="noConversion"/>
  </si>
  <si>
    <t>33Y</t>
    <phoneticPr fontId="2" type="noConversion"/>
  </si>
  <si>
    <t>32.25Y</t>
    <phoneticPr fontId="2" type="noConversion"/>
  </si>
  <si>
    <t>32.5Y</t>
    <phoneticPr fontId="2" type="noConversion"/>
  </si>
  <si>
    <t>32.75Y</t>
    <phoneticPr fontId="2" type="noConversion"/>
  </si>
  <si>
    <t>34Y</t>
    <phoneticPr fontId="2" type="noConversion"/>
  </si>
  <si>
    <t>33.25Y</t>
    <phoneticPr fontId="2" type="noConversion"/>
  </si>
  <si>
    <t>33.5Y</t>
    <phoneticPr fontId="2" type="noConversion"/>
  </si>
  <si>
    <t>33.75Y</t>
    <phoneticPr fontId="2" type="noConversion"/>
  </si>
  <si>
    <t>35Y</t>
    <phoneticPr fontId="2" type="noConversion"/>
  </si>
  <si>
    <t>34.25Y</t>
    <phoneticPr fontId="2" type="noConversion"/>
  </si>
  <si>
    <t>34.5Y</t>
    <phoneticPr fontId="2" type="noConversion"/>
  </si>
  <si>
    <t>34.75Y</t>
    <phoneticPr fontId="2" type="noConversion"/>
  </si>
  <si>
    <t>36Y</t>
    <phoneticPr fontId="2" type="noConversion"/>
  </si>
  <si>
    <t>35.25Y</t>
    <phoneticPr fontId="2" type="noConversion"/>
  </si>
  <si>
    <t>35.5Y</t>
    <phoneticPr fontId="2" type="noConversion"/>
  </si>
  <si>
    <t>35.75Y</t>
    <phoneticPr fontId="2" type="noConversion"/>
  </si>
  <si>
    <t>37Y</t>
    <phoneticPr fontId="2" type="noConversion"/>
  </si>
  <si>
    <t>36.25Y</t>
    <phoneticPr fontId="2" type="noConversion"/>
  </si>
  <si>
    <t>36.5Y</t>
    <phoneticPr fontId="2" type="noConversion"/>
  </si>
  <si>
    <t>36.75Y</t>
    <phoneticPr fontId="2" type="noConversion"/>
  </si>
  <si>
    <t>38Y</t>
    <phoneticPr fontId="2" type="noConversion"/>
  </si>
  <si>
    <t>37.25Y</t>
    <phoneticPr fontId="2" type="noConversion"/>
  </si>
  <si>
    <t>37.5Y</t>
    <phoneticPr fontId="2" type="noConversion"/>
  </si>
  <si>
    <t>37.75Y</t>
    <phoneticPr fontId="2" type="noConversion"/>
  </si>
  <si>
    <t>39Y</t>
    <phoneticPr fontId="2" type="noConversion"/>
  </si>
  <si>
    <t>38.25Y</t>
    <phoneticPr fontId="2" type="noConversion"/>
  </si>
  <si>
    <t>38.5Y</t>
    <phoneticPr fontId="2" type="noConversion"/>
  </si>
  <si>
    <t>38.75Y</t>
    <phoneticPr fontId="2" type="noConversion"/>
  </si>
  <si>
    <t>40Y</t>
    <phoneticPr fontId="2" type="noConversion"/>
  </si>
  <si>
    <t>39.25Y</t>
    <phoneticPr fontId="2" type="noConversion"/>
  </si>
  <si>
    <t>39.5Y</t>
    <phoneticPr fontId="2" type="noConversion"/>
  </si>
  <si>
    <t>39.75Y</t>
    <phoneticPr fontId="2" type="noConversion"/>
  </si>
  <si>
    <t>41Y</t>
    <phoneticPr fontId="2" type="noConversion"/>
  </si>
  <si>
    <t>40.25Y</t>
    <phoneticPr fontId="2" type="noConversion"/>
  </si>
  <si>
    <t>40.5Y</t>
    <phoneticPr fontId="2" type="noConversion"/>
  </si>
  <si>
    <t>40.75Y</t>
    <phoneticPr fontId="2" type="noConversion"/>
  </si>
  <si>
    <t>42Y</t>
    <phoneticPr fontId="2" type="noConversion"/>
  </si>
  <si>
    <t>41.25Y</t>
    <phoneticPr fontId="2" type="noConversion"/>
  </si>
  <si>
    <t>41.5Y</t>
    <phoneticPr fontId="2" type="noConversion"/>
  </si>
  <si>
    <t>41.75Y</t>
    <phoneticPr fontId="2" type="noConversion"/>
  </si>
  <si>
    <t>43Y</t>
    <phoneticPr fontId="2" type="noConversion"/>
  </si>
  <si>
    <t>42.25Y</t>
    <phoneticPr fontId="2" type="noConversion"/>
  </si>
  <si>
    <t>42.5Y</t>
    <phoneticPr fontId="2" type="noConversion"/>
  </si>
  <si>
    <t>42.75Y</t>
    <phoneticPr fontId="2" type="noConversion"/>
  </si>
  <si>
    <t>44Y</t>
    <phoneticPr fontId="2" type="noConversion"/>
  </si>
  <si>
    <t>43.25Y</t>
    <phoneticPr fontId="2" type="noConversion"/>
  </si>
  <si>
    <t>43.5Y</t>
    <phoneticPr fontId="2" type="noConversion"/>
  </si>
  <si>
    <t>43.75Y</t>
    <phoneticPr fontId="2" type="noConversion"/>
  </si>
  <si>
    <t>45Y</t>
    <phoneticPr fontId="2" type="noConversion"/>
  </si>
  <si>
    <t>44.25Y</t>
    <phoneticPr fontId="2" type="noConversion"/>
  </si>
  <si>
    <t>44.5Y</t>
    <phoneticPr fontId="2" type="noConversion"/>
  </si>
  <si>
    <t>44.75Y</t>
    <phoneticPr fontId="2" type="noConversion"/>
  </si>
  <si>
    <t>46Y</t>
    <phoneticPr fontId="2" type="noConversion"/>
  </si>
  <si>
    <t>45.25Y</t>
    <phoneticPr fontId="2" type="noConversion"/>
  </si>
  <si>
    <t>45.5Y</t>
    <phoneticPr fontId="2" type="noConversion"/>
  </si>
  <si>
    <t>45.75Y</t>
    <phoneticPr fontId="2" type="noConversion"/>
  </si>
  <si>
    <t>47Y</t>
    <phoneticPr fontId="2" type="noConversion"/>
  </si>
  <si>
    <t>46.25Y</t>
    <phoneticPr fontId="2" type="noConversion"/>
  </si>
  <si>
    <t>46.5Y</t>
    <phoneticPr fontId="2" type="noConversion"/>
  </si>
  <si>
    <t>46.75Y</t>
    <phoneticPr fontId="2" type="noConversion"/>
  </si>
  <si>
    <t>48Y</t>
    <phoneticPr fontId="2" type="noConversion"/>
  </si>
  <si>
    <t>47.25Y</t>
    <phoneticPr fontId="2" type="noConversion"/>
  </si>
  <si>
    <t>47.5Y</t>
    <phoneticPr fontId="2" type="noConversion"/>
  </si>
  <si>
    <t>47.75Y</t>
    <phoneticPr fontId="2" type="noConversion"/>
  </si>
  <si>
    <t>49Y</t>
    <phoneticPr fontId="2" type="noConversion"/>
  </si>
  <si>
    <t>48.25Y</t>
    <phoneticPr fontId="2" type="noConversion"/>
  </si>
  <si>
    <t>48.5Y</t>
    <phoneticPr fontId="2" type="noConversion"/>
  </si>
  <si>
    <t>48.75Y</t>
    <phoneticPr fontId="2" type="noConversion"/>
  </si>
  <si>
    <t>50Y</t>
    <phoneticPr fontId="2" type="noConversion"/>
  </si>
  <si>
    <t>49.25Y</t>
    <phoneticPr fontId="2" type="noConversion"/>
  </si>
  <si>
    <t>49.5Y</t>
    <phoneticPr fontId="2" type="noConversion"/>
  </si>
  <si>
    <t>49.75Y</t>
    <phoneticPr fontId="2" type="noConversion"/>
  </si>
  <si>
    <t>8.25Y</t>
    <phoneticPr fontId="2" type="noConversion"/>
  </si>
  <si>
    <t>11Y</t>
    <phoneticPr fontId="2" type="noConversion"/>
  </si>
  <si>
    <t>10.5Y</t>
    <phoneticPr fontId="2" type="noConversion"/>
  </si>
  <si>
    <t>12Y</t>
    <phoneticPr fontId="2" type="noConversion"/>
  </si>
  <si>
    <t>13Y</t>
    <phoneticPr fontId="2" type="noConversion"/>
  </si>
  <si>
    <t>43.25Y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</si>
</sst>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_);[Red]\(0\)"/>
    <numFmt numFmtId="178" formatCode="0.000%"/>
  </numFmts>
  <fonts count="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1" xfId="0" applyFill="1" applyBorder="1">
      <alignment vertical="center"/>
    </xf>
    <xf numFmtId="10" fontId="0" fillId="3" borderId="1" xfId="1" applyNumberFormat="1" applyFont="1" applyFill="1" applyBorder="1">
      <alignment vertical="center"/>
    </xf>
    <xf numFmtId="176" fontId="0" fillId="3" borderId="1" xfId="1" applyNumberFormat="1" applyFont="1" applyFill="1" applyBorder="1">
      <alignment vertical="center"/>
    </xf>
    <xf numFmtId="0" fontId="0" fillId="3" borderId="1" xfId="1" applyNumberFormat="1" applyFont="1" applyFill="1" applyBorder="1">
      <alignment vertical="center"/>
    </xf>
    <xf numFmtId="0" fontId="0" fillId="6" borderId="1" xfId="1" applyNumberFormat="1" applyFont="1" applyFill="1" applyBorder="1">
      <alignment vertical="center"/>
    </xf>
    <xf numFmtId="0" fontId="0" fillId="6" borderId="0" xfId="0" applyFill="1">
      <alignment vertical="center"/>
    </xf>
    <xf numFmtId="0" fontId="0" fillId="10" borderId="0" xfId="0" applyFill="1">
      <alignment vertical="center"/>
    </xf>
    <xf numFmtId="0" fontId="0" fillId="12" borderId="1" xfId="0" applyFill="1" applyBorder="1">
      <alignment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3" fillId="4" borderId="2" xfId="0" applyFont="1" applyFill="1" applyBorder="1" applyAlignment="1">
      <alignment horizontal="left" vertical="center"/>
    </xf>
    <xf numFmtId="0" fontId="3" fillId="5" borderId="1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178" fontId="0" fillId="12" borderId="1" xfId="1" applyNumberFormat="1" applyFont="1" applyFill="1" applyBorder="1">
      <alignment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8" borderId="0" xfId="0" applyFont="1" applyFill="1">
      <alignment vertical="center"/>
    </xf>
    <xf numFmtId="0" fontId="0" fillId="12" borderId="0" xfId="0" applyFill="1">
      <alignment vertical="center"/>
    </xf>
    <xf numFmtId="0" fontId="3" fillId="9" borderId="0" xfId="0" applyFont="1" applyFill="1" applyAlignment="1">
      <alignment horizontal="center" vertical="center"/>
    </xf>
    <xf numFmtId="0" fontId="3" fillId="9" borderId="0" xfId="0" applyFont="1" applyFill="1">
      <alignment vertical="center"/>
    </xf>
    <xf numFmtId="0" fontId="3" fillId="9" borderId="0" xfId="0" applyFont="1" applyFill="1" applyAlignment="1">
      <alignment horizontal="left" vertical="center"/>
    </xf>
    <xf numFmtId="0" fontId="0" fillId="10" borderId="1" xfId="0" applyFill="1" applyBorder="1">
      <alignment vertical="center"/>
    </xf>
    <xf numFmtId="0" fontId="0" fillId="11" borderId="1" xfId="0" applyFill="1" applyBorder="1">
      <alignment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320040</xdr:colOff>
          <xdr:row>6</xdr:row>
          <xdr:rowOff>106680</xdr:rowOff>
        </xdr:from>
        <xdr:to>
          <xdr:col>35</xdr:col>
          <xdr:colOff>502920</xdr:colOff>
          <xdr:row>10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보정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(수평보정1)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198120</xdr:colOff>
          <xdr:row>35</xdr:row>
          <xdr:rowOff>114300</xdr:rowOff>
        </xdr:from>
        <xdr:to>
          <xdr:col>35</xdr:col>
          <xdr:colOff>335280</xdr:colOff>
          <xdr:row>38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보정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(수직보정1)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396240</xdr:colOff>
          <xdr:row>64</xdr:row>
          <xdr:rowOff>76200</xdr:rowOff>
        </xdr:from>
        <xdr:to>
          <xdr:col>35</xdr:col>
          <xdr:colOff>518160</xdr:colOff>
          <xdr:row>68</xdr:row>
          <xdr:rowOff>22860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보정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(수평보정2차)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289560</xdr:colOff>
          <xdr:row>93</xdr:row>
          <xdr:rowOff>68580</xdr:rowOff>
        </xdr:from>
        <xdr:to>
          <xdr:col>35</xdr:col>
          <xdr:colOff>464820</xdr:colOff>
          <xdr:row>96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보정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(수직보정2차)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236220</xdr:colOff>
          <xdr:row>122</xdr:row>
          <xdr:rowOff>68580</xdr:rowOff>
        </xdr:from>
        <xdr:to>
          <xdr:col>35</xdr:col>
          <xdr:colOff>411480</xdr:colOff>
          <xdr:row>125</xdr:row>
          <xdr:rowOff>99060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5차 보정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(수평보정3차)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182880</xdr:colOff>
          <xdr:row>151</xdr:row>
          <xdr:rowOff>121920</xdr:rowOff>
        </xdr:from>
        <xdr:to>
          <xdr:col>35</xdr:col>
          <xdr:colOff>525780</xdr:colOff>
          <xdr:row>155</xdr:row>
          <xdr:rowOff>53340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6차 보정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(수직보정3차)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198120</xdr:colOff>
          <xdr:row>18</xdr:row>
          <xdr:rowOff>205740</xdr:rowOff>
        </xdr:from>
        <xdr:to>
          <xdr:col>6</xdr:col>
          <xdr:colOff>236220</xdr:colOff>
          <xdr:row>34</xdr:row>
          <xdr:rowOff>22860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한번에 Smoothing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4</xdr:row>
          <xdr:rowOff>76200</xdr:rowOff>
        </xdr:from>
        <xdr:to>
          <xdr:col>6</xdr:col>
          <xdr:colOff>647700</xdr:colOff>
          <xdr:row>6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부도율커브산출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D163"/>
  <sheetViews>
    <sheetView tabSelected="1" topLeftCell="A4" workbookViewId="0">
      <selection activeCell="J32" sqref="J32"/>
    </sheetView>
  </sheetViews>
  <sheetFormatPr defaultRowHeight="17.399999999999999" x14ac:dyDescent="0.4"/>
  <cols>
    <col min="1" max="17" width="8.796875" style="1"/>
    <col min="18" max="32" width="8.796875" style="1" hidden="1" customWidth="1"/>
    <col min="33" max="33" width="8.796875" style="1" customWidth="1"/>
    <col min="34" max="16384" width="8.796875" style="1"/>
  </cols>
  <sheetData>
    <row r="1" spans="1:108" x14ac:dyDescent="0.4">
      <c r="A1" s="1">
        <v>1</v>
      </c>
      <c r="B1" s="1">
        <f>A1+1</f>
        <v>2</v>
      </c>
      <c r="C1" s="1">
        <f t="shared" ref="C1:BN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  <c r="AT1" s="1">
        <f t="shared" si="0"/>
        <v>46</v>
      </c>
      <c r="AU1" s="1">
        <f t="shared" si="0"/>
        <v>47</v>
      </c>
      <c r="AV1" s="1">
        <f t="shared" si="0"/>
        <v>48</v>
      </c>
      <c r="AW1" s="1">
        <f t="shared" si="0"/>
        <v>49</v>
      </c>
      <c r="AX1" s="1">
        <f t="shared" si="0"/>
        <v>50</v>
      </c>
      <c r="AY1" s="1">
        <f t="shared" si="0"/>
        <v>51</v>
      </c>
      <c r="AZ1" s="1">
        <f t="shared" si="0"/>
        <v>52</v>
      </c>
      <c r="BA1" s="1">
        <f t="shared" si="0"/>
        <v>53</v>
      </c>
      <c r="BB1" s="1">
        <f t="shared" si="0"/>
        <v>54</v>
      </c>
      <c r="BC1" s="1">
        <f t="shared" si="0"/>
        <v>55</v>
      </c>
      <c r="BD1" s="1">
        <f t="shared" si="0"/>
        <v>56</v>
      </c>
      <c r="BE1" s="1">
        <f t="shared" si="0"/>
        <v>57</v>
      </c>
      <c r="BF1" s="1">
        <f t="shared" si="0"/>
        <v>58</v>
      </c>
      <c r="BG1" s="1">
        <f t="shared" si="0"/>
        <v>59</v>
      </c>
      <c r="BH1" s="1">
        <f t="shared" si="0"/>
        <v>60</v>
      </c>
      <c r="BI1" s="1">
        <f t="shared" si="0"/>
        <v>61</v>
      </c>
      <c r="BJ1" s="1">
        <f t="shared" si="0"/>
        <v>62</v>
      </c>
      <c r="BK1" s="1">
        <f t="shared" si="0"/>
        <v>63</v>
      </c>
      <c r="BL1" s="1">
        <f t="shared" si="0"/>
        <v>64</v>
      </c>
      <c r="BM1" s="1">
        <f t="shared" si="0"/>
        <v>65</v>
      </c>
      <c r="BN1" s="1">
        <f t="shared" si="0"/>
        <v>66</v>
      </c>
      <c r="BO1" s="1">
        <f t="shared" ref="BO1:DD1" si="1">BN1+1</f>
        <v>67</v>
      </c>
      <c r="BP1" s="1">
        <f t="shared" si="1"/>
        <v>68</v>
      </c>
      <c r="BQ1" s="1">
        <f t="shared" si="1"/>
        <v>69</v>
      </c>
      <c r="BR1" s="1">
        <f t="shared" si="1"/>
        <v>70</v>
      </c>
      <c r="BS1" s="1">
        <f t="shared" si="1"/>
        <v>71</v>
      </c>
      <c r="BT1" s="1">
        <f t="shared" si="1"/>
        <v>72</v>
      </c>
      <c r="BU1" s="1">
        <f t="shared" si="1"/>
        <v>73</v>
      </c>
      <c r="BV1" s="1">
        <f t="shared" si="1"/>
        <v>74</v>
      </c>
      <c r="BW1" s="1">
        <f t="shared" si="1"/>
        <v>75</v>
      </c>
      <c r="BX1" s="1">
        <f t="shared" si="1"/>
        <v>76</v>
      </c>
      <c r="BY1" s="1">
        <f t="shared" si="1"/>
        <v>77</v>
      </c>
      <c r="BZ1" s="1">
        <f t="shared" si="1"/>
        <v>78</v>
      </c>
      <c r="CA1" s="1">
        <f t="shared" si="1"/>
        <v>79</v>
      </c>
      <c r="CB1" s="1">
        <f t="shared" si="1"/>
        <v>80</v>
      </c>
      <c r="CC1" s="1">
        <f t="shared" si="1"/>
        <v>81</v>
      </c>
      <c r="CD1" s="1">
        <f t="shared" si="1"/>
        <v>82</v>
      </c>
      <c r="CE1" s="1">
        <f t="shared" si="1"/>
        <v>83</v>
      </c>
      <c r="CF1" s="1">
        <f t="shared" si="1"/>
        <v>84</v>
      </c>
      <c r="CG1" s="1">
        <f t="shared" si="1"/>
        <v>85</v>
      </c>
      <c r="CH1" s="1">
        <f t="shared" si="1"/>
        <v>86</v>
      </c>
      <c r="CI1" s="1">
        <f t="shared" si="1"/>
        <v>87</v>
      </c>
      <c r="CJ1" s="1">
        <f t="shared" si="1"/>
        <v>88</v>
      </c>
      <c r="CK1" s="1">
        <f t="shared" si="1"/>
        <v>89</v>
      </c>
      <c r="CL1" s="1">
        <f t="shared" si="1"/>
        <v>90</v>
      </c>
      <c r="CM1" s="1">
        <f t="shared" si="1"/>
        <v>91</v>
      </c>
      <c r="CN1" s="1">
        <f t="shared" si="1"/>
        <v>92</v>
      </c>
      <c r="CO1" s="1">
        <f t="shared" si="1"/>
        <v>93</v>
      </c>
      <c r="CP1" s="1">
        <f t="shared" si="1"/>
        <v>94</v>
      </c>
      <c r="CQ1" s="1">
        <f t="shared" si="1"/>
        <v>95</v>
      </c>
      <c r="CR1" s="1">
        <f t="shared" si="1"/>
        <v>96</v>
      </c>
      <c r="CS1" s="1">
        <f t="shared" si="1"/>
        <v>97</v>
      </c>
      <c r="CT1" s="1">
        <f t="shared" si="1"/>
        <v>98</v>
      </c>
      <c r="CU1" s="1">
        <f t="shared" si="1"/>
        <v>99</v>
      </c>
      <c r="CV1" s="1">
        <f t="shared" si="1"/>
        <v>100</v>
      </c>
      <c r="CW1" s="1">
        <f t="shared" si="1"/>
        <v>101</v>
      </c>
      <c r="CX1" s="1">
        <f t="shared" si="1"/>
        <v>102</v>
      </c>
      <c r="CY1" s="1">
        <f t="shared" si="1"/>
        <v>103</v>
      </c>
      <c r="CZ1" s="1">
        <f t="shared" si="1"/>
        <v>104</v>
      </c>
      <c r="DA1" s="1">
        <f t="shared" si="1"/>
        <v>105</v>
      </c>
      <c r="DB1" s="1">
        <f t="shared" si="1"/>
        <v>106</v>
      </c>
      <c r="DC1" s="1">
        <f t="shared" si="1"/>
        <v>107</v>
      </c>
      <c r="DD1" s="1">
        <f t="shared" si="1"/>
        <v>108</v>
      </c>
    </row>
    <row r="4" spans="1:108" x14ac:dyDescent="0.4">
      <c r="C4" s="11" t="s">
        <v>16</v>
      </c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AH4" s="10" t="s">
        <v>13</v>
      </c>
      <c r="AI4" s="10"/>
      <c r="AJ4" s="4">
        <v>1</v>
      </c>
    </row>
    <row r="5" spans="1:108" x14ac:dyDescent="0.4"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AH5" s="10" t="s">
        <v>14</v>
      </c>
      <c r="AI5" s="10"/>
      <c r="AJ5" s="4">
        <v>1</v>
      </c>
      <c r="AL5" s="13" t="s">
        <v>17</v>
      </c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BB5" s="13" t="s">
        <v>23</v>
      </c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Q5" s="13" t="s">
        <v>24</v>
      </c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G5" s="13" t="s">
        <v>36</v>
      </c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</row>
    <row r="6" spans="1:108" x14ac:dyDescent="0.4">
      <c r="C6" s="2"/>
      <c r="D6" s="2">
        <v>1</v>
      </c>
      <c r="E6" s="2">
        <f>D6+1</f>
        <v>2</v>
      </c>
      <c r="F6" s="2">
        <f t="shared" ref="F6:O6" si="2">E6+1</f>
        <v>3</v>
      </c>
      <c r="G6" s="2">
        <f t="shared" si="2"/>
        <v>4</v>
      </c>
      <c r="H6" s="2">
        <f t="shared" si="2"/>
        <v>5</v>
      </c>
      <c r="I6" s="2">
        <f t="shared" si="2"/>
        <v>6</v>
      </c>
      <c r="J6" s="2">
        <f t="shared" si="2"/>
        <v>7</v>
      </c>
      <c r="K6" s="2">
        <f t="shared" si="2"/>
        <v>8</v>
      </c>
      <c r="L6" s="2">
        <f t="shared" si="2"/>
        <v>9</v>
      </c>
      <c r="M6" s="2">
        <f t="shared" si="2"/>
        <v>10</v>
      </c>
      <c r="N6" s="2">
        <f t="shared" si="2"/>
        <v>11</v>
      </c>
      <c r="O6" s="2">
        <f t="shared" si="2"/>
        <v>12</v>
      </c>
      <c r="P6" s="2" t="s">
        <v>12</v>
      </c>
      <c r="AH6" s="10" t="s">
        <v>15</v>
      </c>
      <c r="AI6" s="10"/>
      <c r="AJ6" s="4">
        <v>1</v>
      </c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</row>
    <row r="7" spans="1:108" x14ac:dyDescent="0.4">
      <c r="B7" s="2" t="s">
        <v>0</v>
      </c>
      <c r="C7" s="2">
        <v>1</v>
      </c>
      <c r="D7" s="3">
        <v>0.54679999999999995</v>
      </c>
      <c r="E7" s="3">
        <v>0.3906</v>
      </c>
      <c r="F7" s="3">
        <v>4.6899999999999997E-2</v>
      </c>
      <c r="G7" s="3"/>
      <c r="H7" s="3"/>
      <c r="I7" s="3">
        <v>1.5599999999999999E-2</v>
      </c>
      <c r="J7" s="3"/>
      <c r="K7" s="3"/>
      <c r="L7" s="3"/>
      <c r="M7" s="3"/>
      <c r="N7" s="3"/>
      <c r="O7" s="3"/>
      <c r="P7" s="3">
        <v>2.0000000000000001E-4</v>
      </c>
      <c r="AL7" s="2"/>
      <c r="AM7" s="3">
        <v>0.54679999999999995</v>
      </c>
      <c r="AN7" s="3">
        <v>0.3906</v>
      </c>
      <c r="AO7" s="3">
        <v>4.6899999999999997E-2</v>
      </c>
      <c r="AP7" s="3">
        <v>3.2495515278611262E-2</v>
      </c>
      <c r="AQ7" s="3">
        <v>2.2515106891736841E-2</v>
      </c>
      <c r="AR7" s="3">
        <v>1.5599999999999999E-2</v>
      </c>
      <c r="AS7" s="3">
        <v>0</v>
      </c>
      <c r="AT7" s="3">
        <v>0</v>
      </c>
      <c r="AU7" s="3">
        <v>0</v>
      </c>
      <c r="AV7" s="3">
        <v>0</v>
      </c>
      <c r="AW7" s="3">
        <v>0</v>
      </c>
      <c r="AX7" s="3">
        <v>0</v>
      </c>
      <c r="BB7" s="2"/>
      <c r="BC7" s="6"/>
      <c r="BD7" s="5" t="b">
        <f>IF(AN7&gt;AM7,FALSE,TRUE)</f>
        <v>1</v>
      </c>
      <c r="BE7" s="5" t="b">
        <f t="shared" ref="BE7:BN16" si="3">IF(AO7&gt;AN7,FALSE,TRUE)</f>
        <v>1</v>
      </c>
      <c r="BF7" s="5" t="b">
        <f t="shared" si="3"/>
        <v>1</v>
      </c>
      <c r="BG7" s="5" t="b">
        <f t="shared" si="3"/>
        <v>1</v>
      </c>
      <c r="BH7" s="5" t="b">
        <f t="shared" si="3"/>
        <v>1</v>
      </c>
      <c r="BI7" s="5" t="b">
        <f t="shared" si="3"/>
        <v>1</v>
      </c>
      <c r="BJ7" s="5" t="b">
        <f t="shared" si="3"/>
        <v>1</v>
      </c>
      <c r="BK7" s="5" t="b">
        <f t="shared" si="3"/>
        <v>1</v>
      </c>
      <c r="BL7" s="5" t="b">
        <f t="shared" si="3"/>
        <v>1</v>
      </c>
      <c r="BM7" s="5" t="b">
        <f t="shared" si="3"/>
        <v>1</v>
      </c>
      <c r="BN7" s="5" t="b">
        <f t="shared" si="3"/>
        <v>1</v>
      </c>
      <c r="BQ7" s="2"/>
      <c r="BR7" s="6"/>
      <c r="BS7" s="5" t="b">
        <f>IF(AN7&lt;=AN8,TRUE,FALSE)</f>
        <v>1</v>
      </c>
      <c r="BT7" s="5" t="b">
        <f t="shared" ref="BT7:CC7" si="4">IF(AO7&lt;=AO8,TRUE,FALSE)</f>
        <v>1</v>
      </c>
      <c r="BU7" s="5" t="b">
        <f t="shared" si="4"/>
        <v>1</v>
      </c>
      <c r="BV7" s="5" t="b">
        <f t="shared" si="4"/>
        <v>0</v>
      </c>
      <c r="BW7" s="5" t="b">
        <f t="shared" si="4"/>
        <v>0</v>
      </c>
      <c r="BX7" s="5" t="b">
        <f t="shared" si="4"/>
        <v>1</v>
      </c>
      <c r="BY7" s="5" t="b">
        <f t="shared" si="4"/>
        <v>1</v>
      </c>
      <c r="BZ7" s="5" t="b">
        <f t="shared" si="4"/>
        <v>1</v>
      </c>
      <c r="CA7" s="5" t="b">
        <f t="shared" si="4"/>
        <v>1</v>
      </c>
      <c r="CB7" s="5" t="b">
        <f t="shared" si="4"/>
        <v>1</v>
      </c>
      <c r="CC7" s="5" t="b">
        <f t="shared" si="4"/>
        <v>1</v>
      </c>
      <c r="CG7" s="2"/>
      <c r="CH7" s="3">
        <v>0.5182340840167593</v>
      </c>
      <c r="CI7" s="3">
        <v>0.37019428166961627</v>
      </c>
      <c r="CJ7" s="3">
        <v>4.4449851024846401E-2</v>
      </c>
      <c r="CK7" s="3">
        <v>3.079788514093583E-2</v>
      </c>
      <c r="CL7" s="3">
        <v>2.1338873073479637E-2</v>
      </c>
      <c r="CM7" s="3">
        <v>1.4785025074362555E-2</v>
      </c>
      <c r="CN7" s="3">
        <v>0</v>
      </c>
      <c r="CO7" s="3">
        <v>0</v>
      </c>
      <c r="CP7" s="3">
        <v>0</v>
      </c>
      <c r="CQ7" s="3">
        <v>0</v>
      </c>
      <c r="CR7" s="3">
        <v>0</v>
      </c>
      <c r="CS7" s="3">
        <v>0</v>
      </c>
    </row>
    <row r="8" spans="1:108" x14ac:dyDescent="0.4">
      <c r="B8" s="2" t="s">
        <v>1</v>
      </c>
      <c r="C8" s="2">
        <f>C7+1</f>
        <v>2</v>
      </c>
      <c r="D8" s="3">
        <v>8.8000000000000005E-3</v>
      </c>
      <c r="E8" s="3">
        <v>0.69</v>
      </c>
      <c r="F8" s="3">
        <v>0.1918</v>
      </c>
      <c r="G8" s="3">
        <v>6.7299999999999999E-2</v>
      </c>
      <c r="H8" s="3">
        <v>2.0899999999999998E-2</v>
      </c>
      <c r="I8" s="3">
        <v>1.35E-2</v>
      </c>
      <c r="J8" s="3">
        <v>5.5999999999999999E-3</v>
      </c>
      <c r="K8" s="3"/>
      <c r="L8" s="3">
        <v>5.0000000000000001E-4</v>
      </c>
      <c r="M8" s="3">
        <v>5.0000000000000001E-4</v>
      </c>
      <c r="N8" s="3">
        <v>5.0000000000000001E-4</v>
      </c>
      <c r="O8" s="3"/>
      <c r="P8" s="3">
        <v>6.9999999999999999E-4</v>
      </c>
      <c r="AL8" s="2"/>
      <c r="AM8" s="3">
        <v>8.8000000000000005E-3</v>
      </c>
      <c r="AN8" s="3">
        <v>0.69</v>
      </c>
      <c r="AO8" s="3">
        <v>0.1918</v>
      </c>
      <c r="AP8" s="3">
        <v>6.7299999999999999E-2</v>
      </c>
      <c r="AQ8" s="3">
        <v>2.0899999999999998E-2</v>
      </c>
      <c r="AR8" s="3">
        <v>1.35E-2</v>
      </c>
      <c r="AS8" s="3">
        <v>5.5999999999999999E-3</v>
      </c>
      <c r="AT8" s="3">
        <v>3.0611423190014617E-3</v>
      </c>
      <c r="AU8" s="3">
        <v>1.6733200530681511E-3</v>
      </c>
      <c r="AV8" s="3">
        <v>9.1469121922869447E-4</v>
      </c>
      <c r="AW8" s="3">
        <v>5.0000000000000001E-4</v>
      </c>
      <c r="AX8" s="3">
        <v>0</v>
      </c>
      <c r="BB8" s="2"/>
      <c r="BC8" s="5" t="b">
        <f>IF(AN8&lt;AM8,FALSE,TRUE)</f>
        <v>1</v>
      </c>
      <c r="BD8" s="6"/>
      <c r="BE8" s="5" t="b">
        <f t="shared" si="3"/>
        <v>1</v>
      </c>
      <c r="BF8" s="5" t="b">
        <f t="shared" si="3"/>
        <v>1</v>
      </c>
      <c r="BG8" s="5" t="b">
        <f t="shared" si="3"/>
        <v>1</v>
      </c>
      <c r="BH8" s="5" t="b">
        <f t="shared" si="3"/>
        <v>1</v>
      </c>
      <c r="BI8" s="5" t="b">
        <f t="shared" si="3"/>
        <v>1</v>
      </c>
      <c r="BJ8" s="5" t="b">
        <f t="shared" si="3"/>
        <v>1</v>
      </c>
      <c r="BK8" s="5" t="b">
        <f t="shared" si="3"/>
        <v>1</v>
      </c>
      <c r="BL8" s="5" t="b">
        <f t="shared" si="3"/>
        <v>1</v>
      </c>
      <c r="BM8" s="5" t="b">
        <f t="shared" si="3"/>
        <v>1</v>
      </c>
      <c r="BN8" s="5" t="b">
        <f t="shared" si="3"/>
        <v>1</v>
      </c>
      <c r="BQ8" s="2"/>
      <c r="BR8" s="5" t="b">
        <f>IF(AM7&gt;=AM8, TRUE, FALSE)</f>
        <v>1</v>
      </c>
      <c r="BS8" s="6"/>
      <c r="BT8" s="5" t="b">
        <f t="shared" ref="BT8" si="5">IF(AO8&lt;=AO9,TRUE,FALSE)</f>
        <v>1</v>
      </c>
      <c r="BU8" s="5" t="b">
        <f t="shared" ref="BU8:BU9" si="6">IF(AP8&lt;=AP9,TRUE,FALSE)</f>
        <v>1</v>
      </c>
      <c r="BV8" s="5" t="b">
        <f t="shared" ref="BV8:BV10" si="7">IF(AQ8&lt;=AQ9,TRUE,FALSE)</f>
        <v>1</v>
      </c>
      <c r="BW8" s="5" t="b">
        <f t="shared" ref="BW8:BW11" si="8">IF(AR8&lt;=AR9,TRUE,FALSE)</f>
        <v>1</v>
      </c>
      <c r="BX8" s="5" t="b">
        <f t="shared" ref="BX8:BX12" si="9">IF(AS8&lt;=AS9,TRUE,FALSE)</f>
        <v>1</v>
      </c>
      <c r="BY8" s="5" t="b">
        <f t="shared" ref="BY8:BY13" si="10">IF(AT8&lt;=AT9,TRUE,FALSE)</f>
        <v>1</v>
      </c>
      <c r="BZ8" s="5" t="b">
        <f t="shared" ref="BZ8:BZ14" si="11">IF(AU8&lt;=AU9,TRUE,FALSE)</f>
        <v>0</v>
      </c>
      <c r="CA8" s="5" t="b">
        <f t="shared" ref="CA8:CA15" si="12">IF(AV8&lt;=AV9,TRUE,FALSE)</f>
        <v>0</v>
      </c>
      <c r="CB8" s="5" t="b">
        <f t="shared" ref="CB8:CB16" si="13">IF(AW8&lt;=AW9,TRUE,FALSE)</f>
        <v>0</v>
      </c>
      <c r="CC8" s="5" t="b">
        <f t="shared" ref="CC8:CC17" si="14">IF(AX8&lt;=AX9,TRUE,FALSE)</f>
        <v>1</v>
      </c>
      <c r="CG8" s="2"/>
      <c r="CH8" s="3">
        <v>8.7583759904045159E-3</v>
      </c>
      <c r="CI8" s="3">
        <v>0.68673629924762669</v>
      </c>
      <c r="CJ8" s="3">
        <v>0.19089278579086202</v>
      </c>
      <c r="CK8" s="3">
        <v>6.6981670926616346E-2</v>
      </c>
      <c r="CL8" s="3">
        <v>2.080114297721072E-2</v>
      </c>
      <c r="CM8" s="3">
        <v>1.3436144985279652E-2</v>
      </c>
      <c r="CN8" s="3">
        <v>5.5735119938937821E-3</v>
      </c>
      <c r="CO8" s="3">
        <v>3.0466631124947269E-3</v>
      </c>
      <c r="CP8" s="3">
        <v>1.6654052473925572E-3</v>
      </c>
      <c r="CQ8" s="3">
        <v>9.1036472876436698E-4</v>
      </c>
      <c r="CR8" s="3">
        <v>4.9763499945480196E-4</v>
      </c>
      <c r="CS8" s="3">
        <v>0</v>
      </c>
    </row>
    <row r="9" spans="1:108" x14ac:dyDescent="0.4">
      <c r="B9" s="2" t="s">
        <v>2</v>
      </c>
      <c r="C9" s="2">
        <f t="shared" ref="C9:C18" si="15">C8+1</f>
        <v>3</v>
      </c>
      <c r="D9" s="3">
        <v>8.9999999999999998E-4</v>
      </c>
      <c r="E9" s="3">
        <v>0.15129999999999999</v>
      </c>
      <c r="F9" s="3">
        <v>0.5071</v>
      </c>
      <c r="G9" s="3">
        <v>0.2301</v>
      </c>
      <c r="H9" s="3">
        <v>6.6500000000000004E-2</v>
      </c>
      <c r="I9" s="3">
        <v>2.7400000000000001E-2</v>
      </c>
      <c r="J9" s="3">
        <v>9.5999999999999992E-3</v>
      </c>
      <c r="K9" s="3">
        <v>1.8E-3</v>
      </c>
      <c r="L9" s="3">
        <v>1.1999999999999999E-3</v>
      </c>
      <c r="M9" s="3">
        <v>2.0999999999999999E-3</v>
      </c>
      <c r="N9" s="3">
        <v>0</v>
      </c>
      <c r="O9" s="3">
        <v>0</v>
      </c>
      <c r="P9" s="3">
        <v>2E-3</v>
      </c>
      <c r="AL9" s="2"/>
      <c r="AM9" s="3">
        <v>8.9999999999999998E-4</v>
      </c>
      <c r="AN9" s="3">
        <v>0.15129999999999999</v>
      </c>
      <c r="AO9" s="3">
        <v>0.5071</v>
      </c>
      <c r="AP9" s="3">
        <v>0.2301</v>
      </c>
      <c r="AQ9" s="3">
        <v>6.6500000000000004E-2</v>
      </c>
      <c r="AR9" s="3">
        <v>2.7400000000000001E-2</v>
      </c>
      <c r="AS9" s="3">
        <v>9.5999999999999992E-3</v>
      </c>
      <c r="AT9" s="3">
        <v>5.7843414340205531E-3</v>
      </c>
      <c r="AU9" s="3">
        <v>1.1999999999999999E-3</v>
      </c>
      <c r="AV9" s="3">
        <v>7.9999999999999993E-4</v>
      </c>
      <c r="AW9" s="3">
        <v>0</v>
      </c>
      <c r="AX9" s="3">
        <v>0</v>
      </c>
      <c r="BB9" s="2"/>
      <c r="BC9" s="5" t="b">
        <f t="shared" ref="BC9:BD11" si="16">IF(AN9&lt;AM9,FALSE,TRUE)</f>
        <v>1</v>
      </c>
      <c r="BD9" s="5" t="b">
        <f t="shared" si="16"/>
        <v>1</v>
      </c>
      <c r="BE9" s="6"/>
      <c r="BF9" s="5" t="b">
        <f t="shared" si="3"/>
        <v>1</v>
      </c>
      <c r="BG9" s="5" t="b">
        <f t="shared" si="3"/>
        <v>1</v>
      </c>
      <c r="BH9" s="5" t="b">
        <f t="shared" si="3"/>
        <v>1</v>
      </c>
      <c r="BI9" s="5" t="b">
        <f t="shared" si="3"/>
        <v>1</v>
      </c>
      <c r="BJ9" s="5" t="b">
        <f t="shared" si="3"/>
        <v>1</v>
      </c>
      <c r="BK9" s="5" t="b">
        <f t="shared" si="3"/>
        <v>1</v>
      </c>
      <c r="BL9" s="5" t="b">
        <f t="shared" si="3"/>
        <v>1</v>
      </c>
      <c r="BM9" s="5" t="b">
        <f t="shared" si="3"/>
        <v>1</v>
      </c>
      <c r="BN9" s="5" t="b">
        <f t="shared" si="3"/>
        <v>1</v>
      </c>
      <c r="BQ9" s="2"/>
      <c r="BR9" s="5" t="b">
        <f t="shared" ref="BR9:BR18" si="17">IF(AM8&gt;=AM9, TRUE, FALSE)</f>
        <v>1</v>
      </c>
      <c r="BS9" s="5" t="b">
        <f t="shared" ref="BS9:BS18" si="18">IF(AN8&gt;=AN9, TRUE, FALSE)</f>
        <v>1</v>
      </c>
      <c r="BT9" s="6"/>
      <c r="BU9" s="5" t="b">
        <f t="shared" si="6"/>
        <v>1</v>
      </c>
      <c r="BV9" s="5" t="b">
        <f t="shared" si="7"/>
        <v>1</v>
      </c>
      <c r="BW9" s="5" t="b">
        <f t="shared" si="8"/>
        <v>1</v>
      </c>
      <c r="BX9" s="5" t="b">
        <f t="shared" si="9"/>
        <v>1</v>
      </c>
      <c r="BY9" s="5" t="b">
        <f t="shared" si="10"/>
        <v>1</v>
      </c>
      <c r="BZ9" s="5" t="b">
        <f t="shared" si="11"/>
        <v>1</v>
      </c>
      <c r="CA9" s="5" t="b">
        <f t="shared" si="12"/>
        <v>1</v>
      </c>
      <c r="CB9" s="5" t="b">
        <f t="shared" si="13"/>
        <v>1</v>
      </c>
      <c r="CC9" s="5" t="b">
        <f t="shared" si="14"/>
        <v>1</v>
      </c>
      <c r="CG9" s="2"/>
      <c r="CH9" s="3">
        <v>8.9758574488418949E-4</v>
      </c>
      <c r="CI9" s="3">
        <v>0.15089413688997541</v>
      </c>
      <c r="CJ9" s="3">
        <v>0.50573970136752511</v>
      </c>
      <c r="CK9" s="3">
        <v>0.22948275544205782</v>
      </c>
      <c r="CL9" s="3">
        <v>6.6321613371998461E-2</v>
      </c>
      <c r="CM9" s="3">
        <v>2.7326499344251996E-2</v>
      </c>
      <c r="CN9" s="3">
        <v>9.574247945431354E-3</v>
      </c>
      <c r="CO9" s="3">
        <v>5.7688249052442447E-3</v>
      </c>
      <c r="CP9" s="3">
        <v>1.1967809931789193E-3</v>
      </c>
      <c r="CQ9" s="3">
        <v>7.9785399545261287E-4</v>
      </c>
      <c r="CR9" s="3">
        <v>0</v>
      </c>
      <c r="CS9" s="3">
        <v>0</v>
      </c>
    </row>
    <row r="10" spans="1:108" x14ac:dyDescent="0.4">
      <c r="B10" s="2" t="s">
        <v>3</v>
      </c>
      <c r="C10" s="2">
        <f t="shared" si="15"/>
        <v>4</v>
      </c>
      <c r="D10" s="3">
        <v>0</v>
      </c>
      <c r="E10" s="3">
        <v>2.5000000000000001E-2</v>
      </c>
      <c r="F10" s="3">
        <v>0.153</v>
      </c>
      <c r="G10" s="3">
        <v>0.51390000000000002</v>
      </c>
      <c r="H10" s="3">
        <v>0.1978</v>
      </c>
      <c r="I10" s="3">
        <v>7.0199999999999999E-2</v>
      </c>
      <c r="J10" s="3">
        <v>2.1700000000000001E-2</v>
      </c>
      <c r="K10" s="3">
        <v>8.0999999999999996E-3</v>
      </c>
      <c r="L10" s="3">
        <v>3.0999999999999999E-3</v>
      </c>
      <c r="M10" s="3">
        <v>2.3999999999999998E-3</v>
      </c>
      <c r="N10" s="3">
        <v>5.9999999999999995E-4</v>
      </c>
      <c r="O10" s="3"/>
      <c r="P10" s="3">
        <v>4.3E-3</v>
      </c>
      <c r="AL10" s="2"/>
      <c r="AM10" s="3">
        <v>0</v>
      </c>
      <c r="AN10" s="3">
        <v>2.5000000000000001E-2</v>
      </c>
      <c r="AO10" s="3">
        <v>0.153</v>
      </c>
      <c r="AP10" s="3">
        <v>0.51390000000000002</v>
      </c>
      <c r="AQ10" s="3">
        <v>0.1978</v>
      </c>
      <c r="AR10" s="3">
        <v>7.0199999999999999E-2</v>
      </c>
      <c r="AS10" s="3">
        <v>2.1700000000000001E-2</v>
      </c>
      <c r="AT10" s="3">
        <v>8.0999999999999996E-3</v>
      </c>
      <c r="AU10" s="3">
        <v>3.0999999999999999E-3</v>
      </c>
      <c r="AV10" s="3">
        <v>2.3999999999999998E-3</v>
      </c>
      <c r="AW10" s="3">
        <v>5.9999999999999995E-4</v>
      </c>
      <c r="AX10" s="3">
        <v>0</v>
      </c>
      <c r="BB10" s="2"/>
      <c r="BC10" s="5" t="b">
        <f t="shared" si="16"/>
        <v>1</v>
      </c>
      <c r="BD10" s="5" t="b">
        <f t="shared" si="16"/>
        <v>1</v>
      </c>
      <c r="BE10" s="5" t="b">
        <f t="shared" ref="BE10:BE11" si="19">IF(AP10&lt;AO10,FALSE,TRUE)</f>
        <v>1</v>
      </c>
      <c r="BF10" s="6"/>
      <c r="BG10" s="5" t="b">
        <f t="shared" si="3"/>
        <v>1</v>
      </c>
      <c r="BH10" s="5" t="b">
        <f t="shared" si="3"/>
        <v>1</v>
      </c>
      <c r="BI10" s="5" t="b">
        <f t="shared" si="3"/>
        <v>1</v>
      </c>
      <c r="BJ10" s="5" t="b">
        <f t="shared" si="3"/>
        <v>1</v>
      </c>
      <c r="BK10" s="5" t="b">
        <f t="shared" si="3"/>
        <v>1</v>
      </c>
      <c r="BL10" s="5" t="b">
        <f t="shared" si="3"/>
        <v>1</v>
      </c>
      <c r="BM10" s="5" t="b">
        <f t="shared" si="3"/>
        <v>1</v>
      </c>
      <c r="BN10" s="5" t="b">
        <f t="shared" si="3"/>
        <v>1</v>
      </c>
      <c r="BQ10" s="2"/>
      <c r="BR10" s="5" t="b">
        <f t="shared" si="17"/>
        <v>1</v>
      </c>
      <c r="BS10" s="5" t="b">
        <f t="shared" si="18"/>
        <v>1</v>
      </c>
      <c r="BT10" s="5" t="b">
        <f t="shared" ref="BT10:BT18" si="20">IF(AO9&gt;=AO10, TRUE, FALSE)</f>
        <v>1</v>
      </c>
      <c r="BU10" s="6"/>
      <c r="BV10" s="5" t="b">
        <f t="shared" si="7"/>
        <v>1</v>
      </c>
      <c r="BW10" s="5" t="b">
        <f t="shared" si="8"/>
        <v>1</v>
      </c>
      <c r="BX10" s="5" t="b">
        <f t="shared" si="9"/>
        <v>1</v>
      </c>
      <c r="BY10" s="5" t="b">
        <f t="shared" si="10"/>
        <v>1</v>
      </c>
      <c r="BZ10" s="5" t="b">
        <f t="shared" si="11"/>
        <v>1</v>
      </c>
      <c r="CA10" s="5" t="b">
        <f t="shared" si="12"/>
        <v>1</v>
      </c>
      <c r="CB10" s="5" t="b">
        <f t="shared" si="13"/>
        <v>1</v>
      </c>
      <c r="CC10" s="5" t="b">
        <f t="shared" si="14"/>
        <v>1</v>
      </c>
      <c r="CG10" s="2"/>
      <c r="CH10" s="3">
        <v>0</v>
      </c>
      <c r="CI10" s="3">
        <v>2.4997489455713999E-2</v>
      </c>
      <c r="CJ10" s="3">
        <v>0.15298463546896968</v>
      </c>
      <c r="CK10" s="3">
        <v>0.51384839325165699</v>
      </c>
      <c r="CL10" s="3">
        <v>0.19778013657360918</v>
      </c>
      <c r="CM10" s="3">
        <v>7.0192950391644901E-2</v>
      </c>
      <c r="CN10" s="3">
        <v>2.1697820847559751E-2</v>
      </c>
      <c r="CO10" s="3">
        <v>8.0991865836513351E-3</v>
      </c>
      <c r="CP10" s="3">
        <v>3.0996886925085359E-3</v>
      </c>
      <c r="CQ10" s="3">
        <v>2.3997589877485436E-3</v>
      </c>
      <c r="CR10" s="3">
        <v>5.9993974693713591E-4</v>
      </c>
      <c r="CS10" s="3">
        <v>0</v>
      </c>
    </row>
    <row r="11" spans="1:108" x14ac:dyDescent="0.4">
      <c r="B11" s="2" t="s">
        <v>4</v>
      </c>
      <c r="C11" s="2">
        <f t="shared" si="15"/>
        <v>5</v>
      </c>
      <c r="D11" s="3">
        <v>0</v>
      </c>
      <c r="E11" s="3">
        <v>6.6E-3</v>
      </c>
      <c r="F11" s="3">
        <v>3.0800000000000001E-2</v>
      </c>
      <c r="G11" s="3">
        <v>0.1767</v>
      </c>
      <c r="H11" s="3">
        <v>0.4738</v>
      </c>
      <c r="I11" s="3">
        <v>0.2059</v>
      </c>
      <c r="J11" s="3">
        <v>6.4100000000000004E-2</v>
      </c>
      <c r="K11" s="3">
        <v>2.1600000000000001E-2</v>
      </c>
      <c r="L11" s="3">
        <v>7.1999999999999998E-3</v>
      </c>
      <c r="M11" s="3">
        <v>4.3E-3</v>
      </c>
      <c r="N11" s="3">
        <v>1.1999999999999999E-3</v>
      </c>
      <c r="O11" s="3">
        <v>1E-4</v>
      </c>
      <c r="P11" s="3">
        <v>7.7000000000000002E-3</v>
      </c>
      <c r="AL11" s="2"/>
      <c r="AM11" s="3">
        <v>0</v>
      </c>
      <c r="AN11" s="3">
        <v>6.6E-3</v>
      </c>
      <c r="AO11" s="3">
        <v>3.0800000000000001E-2</v>
      </c>
      <c r="AP11" s="3">
        <v>0.1767</v>
      </c>
      <c r="AQ11" s="3">
        <v>0.4738</v>
      </c>
      <c r="AR11" s="3">
        <v>0.2059</v>
      </c>
      <c r="AS11" s="3">
        <v>6.4100000000000004E-2</v>
      </c>
      <c r="AT11" s="3">
        <v>2.1600000000000001E-2</v>
      </c>
      <c r="AU11" s="3">
        <v>7.1999999999999998E-3</v>
      </c>
      <c r="AV11" s="3">
        <v>4.3E-3</v>
      </c>
      <c r="AW11" s="3">
        <v>1.1999999999999999E-3</v>
      </c>
      <c r="AX11" s="3">
        <v>1E-4</v>
      </c>
      <c r="BB11" s="2"/>
      <c r="BC11" s="5" t="b">
        <f t="shared" si="16"/>
        <v>1</v>
      </c>
      <c r="BD11" s="5" t="b">
        <f t="shared" si="16"/>
        <v>1</v>
      </c>
      <c r="BE11" s="5" t="b">
        <f t="shared" si="19"/>
        <v>1</v>
      </c>
      <c r="BF11" s="5" t="b">
        <f t="shared" ref="BF11" si="21">IF(AQ11&lt;AP11,FALSE,TRUE)</f>
        <v>1</v>
      </c>
      <c r="BG11" s="6"/>
      <c r="BH11" s="5" t="b">
        <f t="shared" si="3"/>
        <v>1</v>
      </c>
      <c r="BI11" s="5" t="b">
        <f t="shared" si="3"/>
        <v>1</v>
      </c>
      <c r="BJ11" s="5" t="b">
        <f t="shared" si="3"/>
        <v>1</v>
      </c>
      <c r="BK11" s="5" t="b">
        <f t="shared" si="3"/>
        <v>1</v>
      </c>
      <c r="BL11" s="5" t="b">
        <f t="shared" si="3"/>
        <v>1</v>
      </c>
      <c r="BM11" s="5" t="b">
        <f t="shared" si="3"/>
        <v>1</v>
      </c>
      <c r="BN11" s="5" t="b">
        <f t="shared" si="3"/>
        <v>1</v>
      </c>
      <c r="BQ11" s="2"/>
      <c r="BR11" s="5" t="b">
        <f t="shared" si="17"/>
        <v>1</v>
      </c>
      <c r="BS11" s="5" t="b">
        <f t="shared" si="18"/>
        <v>1</v>
      </c>
      <c r="BT11" s="5" t="b">
        <f t="shared" si="20"/>
        <v>1</v>
      </c>
      <c r="BU11" s="5" t="b">
        <f t="shared" ref="BU11:BU18" si="22">IF(AP10&gt;=AP11, TRUE, FALSE)</f>
        <v>1</v>
      </c>
      <c r="BV11" s="6"/>
      <c r="BW11" s="5" t="b">
        <f t="shared" si="8"/>
        <v>1</v>
      </c>
      <c r="BX11" s="5" t="b">
        <f t="shared" si="9"/>
        <v>1</v>
      </c>
      <c r="BY11" s="5" t="b">
        <f t="shared" si="10"/>
        <v>1</v>
      </c>
      <c r="BZ11" s="5" t="b">
        <f t="shared" si="11"/>
        <v>1</v>
      </c>
      <c r="CA11" s="5" t="b">
        <f t="shared" si="12"/>
        <v>1</v>
      </c>
      <c r="CB11" s="5" t="b">
        <f t="shared" si="13"/>
        <v>1</v>
      </c>
      <c r="CC11" s="5" t="b">
        <f t="shared" si="14"/>
        <v>1</v>
      </c>
      <c r="CG11" s="2"/>
      <c r="CH11" s="3">
        <v>0</v>
      </c>
      <c r="CI11" s="3">
        <v>6.6000000000000008E-3</v>
      </c>
      <c r="CJ11" s="3">
        <v>3.0800000000000004E-2</v>
      </c>
      <c r="CK11" s="3">
        <v>0.17670000000000002</v>
      </c>
      <c r="CL11" s="3">
        <v>0.47380000000000005</v>
      </c>
      <c r="CM11" s="3">
        <v>0.20590000000000003</v>
      </c>
      <c r="CN11" s="3">
        <v>6.4100000000000018E-2</v>
      </c>
      <c r="CO11" s="3">
        <v>2.1600000000000005E-2</v>
      </c>
      <c r="CP11" s="3">
        <v>7.2000000000000007E-3</v>
      </c>
      <c r="CQ11" s="3">
        <v>4.3E-3</v>
      </c>
      <c r="CR11" s="3">
        <v>1.2000000000000001E-3</v>
      </c>
      <c r="CS11" s="3">
        <v>1.0000000000000002E-4</v>
      </c>
    </row>
    <row r="12" spans="1:108" x14ac:dyDescent="0.4">
      <c r="B12" s="2" t="s">
        <v>5</v>
      </c>
      <c r="C12" s="2">
        <f t="shared" si="15"/>
        <v>6</v>
      </c>
      <c r="D12" s="3">
        <v>0</v>
      </c>
      <c r="E12" s="3">
        <v>2.0999999999999999E-3</v>
      </c>
      <c r="F12" s="3">
        <v>1.0800000000000001E-2</v>
      </c>
      <c r="G12" s="3">
        <v>4.9099999999999998E-2</v>
      </c>
      <c r="H12" s="3">
        <v>0.20730000000000001</v>
      </c>
      <c r="I12" s="3">
        <v>0.43469999999999998</v>
      </c>
      <c r="J12" s="3">
        <v>0.1797</v>
      </c>
      <c r="K12" s="3">
        <v>6.2100000000000002E-2</v>
      </c>
      <c r="L12" s="3">
        <v>1.7399999999999999E-2</v>
      </c>
      <c r="M12" s="3">
        <v>1.5599999999999999E-2</v>
      </c>
      <c r="N12" s="3">
        <v>3.8E-3</v>
      </c>
      <c r="O12" s="3">
        <v>1E-4</v>
      </c>
      <c r="P12" s="3">
        <v>1.72E-2</v>
      </c>
      <c r="AL12" s="2"/>
      <c r="AM12" s="3">
        <v>0</v>
      </c>
      <c r="AN12" s="3">
        <v>2.0999999999999999E-3</v>
      </c>
      <c r="AO12" s="3">
        <v>1.0800000000000001E-2</v>
      </c>
      <c r="AP12" s="3">
        <v>4.9099999999999998E-2</v>
      </c>
      <c r="AQ12" s="3">
        <v>0.20730000000000001</v>
      </c>
      <c r="AR12" s="3">
        <v>0.43469999999999998</v>
      </c>
      <c r="AS12" s="3">
        <v>0.1797</v>
      </c>
      <c r="AT12" s="3">
        <v>6.2100000000000002E-2</v>
      </c>
      <c r="AU12" s="3">
        <v>1.7399999999999999E-2</v>
      </c>
      <c r="AV12" s="3">
        <v>1.5599999999999999E-2</v>
      </c>
      <c r="AW12" s="3">
        <v>3.8E-3</v>
      </c>
      <c r="AX12" s="3">
        <v>1E-4</v>
      </c>
      <c r="BB12" s="2"/>
      <c r="BC12" s="5" t="b">
        <f t="shared" ref="BC12:BC18" si="23">IF(AN12&lt;AM12,FALSE,TRUE)</f>
        <v>1</v>
      </c>
      <c r="BD12" s="5" t="b">
        <f t="shared" ref="BD12:BD18" si="24">IF(AO12&lt;AN12,FALSE,TRUE)</f>
        <v>1</v>
      </c>
      <c r="BE12" s="5" t="b">
        <f t="shared" ref="BE12:BE18" si="25">IF(AP12&lt;AO12,FALSE,TRUE)</f>
        <v>1</v>
      </c>
      <c r="BF12" s="5" t="b">
        <f t="shared" ref="BF12:BG12" si="26">IF(AQ12&lt;AP12,FALSE,TRUE)</f>
        <v>1</v>
      </c>
      <c r="BG12" s="5" t="b">
        <f t="shared" si="26"/>
        <v>1</v>
      </c>
      <c r="BH12" s="6"/>
      <c r="BI12" s="5" t="b">
        <f t="shared" si="3"/>
        <v>1</v>
      </c>
      <c r="BJ12" s="5" t="b">
        <f t="shared" si="3"/>
        <v>1</v>
      </c>
      <c r="BK12" s="5" t="b">
        <f t="shared" si="3"/>
        <v>1</v>
      </c>
      <c r="BL12" s="5" t="b">
        <f t="shared" si="3"/>
        <v>1</v>
      </c>
      <c r="BM12" s="5" t="b">
        <f t="shared" si="3"/>
        <v>1</v>
      </c>
      <c r="BN12" s="5" t="b">
        <f t="shared" si="3"/>
        <v>1</v>
      </c>
      <c r="BQ12" s="2"/>
      <c r="BR12" s="5" t="b">
        <f t="shared" si="17"/>
        <v>1</v>
      </c>
      <c r="BS12" s="5" t="b">
        <f t="shared" si="18"/>
        <v>1</v>
      </c>
      <c r="BT12" s="5" t="b">
        <f t="shared" si="20"/>
        <v>1</v>
      </c>
      <c r="BU12" s="5" t="b">
        <f t="shared" si="22"/>
        <v>1</v>
      </c>
      <c r="BV12" s="5" t="b">
        <f t="shared" ref="BV12:BV18" si="27">IF(AQ11&gt;=AQ12, TRUE, FALSE)</f>
        <v>1</v>
      </c>
      <c r="BW12" s="6"/>
      <c r="BX12" s="5" t="b">
        <f t="shared" si="9"/>
        <v>1</v>
      </c>
      <c r="BY12" s="5" t="b">
        <f t="shared" si="10"/>
        <v>1</v>
      </c>
      <c r="BZ12" s="5" t="b">
        <f t="shared" si="11"/>
        <v>1</v>
      </c>
      <c r="CA12" s="5" t="b">
        <f t="shared" si="12"/>
        <v>1</v>
      </c>
      <c r="CB12" s="5" t="b">
        <f t="shared" si="13"/>
        <v>1</v>
      </c>
      <c r="CC12" s="5" t="b">
        <f t="shared" si="14"/>
        <v>1</v>
      </c>
      <c r="CG12" s="2"/>
      <c r="CH12" s="3">
        <v>0</v>
      </c>
      <c r="CI12" s="3">
        <v>2.1002136969573621E-3</v>
      </c>
      <c r="CJ12" s="3">
        <v>1.0801099012923579E-2</v>
      </c>
      <c r="CK12" s="3">
        <v>4.9104996438384042E-2</v>
      </c>
      <c r="CL12" s="3">
        <v>0.20732109494250539</v>
      </c>
      <c r="CM12" s="3">
        <v>0.43474423527017403</v>
      </c>
      <c r="CN12" s="3">
        <v>0.17971828635392287</v>
      </c>
      <c r="CO12" s="3">
        <v>6.2106319324310585E-2</v>
      </c>
      <c r="CP12" s="3">
        <v>1.7401770631932434E-2</v>
      </c>
      <c r="CQ12" s="3">
        <v>1.5601587463111835E-2</v>
      </c>
      <c r="CR12" s="3">
        <v>3.8003866897323704E-3</v>
      </c>
      <c r="CS12" s="3">
        <v>1.000101760455887E-4</v>
      </c>
    </row>
    <row r="13" spans="1:108" x14ac:dyDescent="0.4">
      <c r="B13" s="2" t="s">
        <v>6</v>
      </c>
      <c r="C13" s="2">
        <f t="shared" si="15"/>
        <v>7</v>
      </c>
      <c r="D13" s="3">
        <v>0</v>
      </c>
      <c r="E13" s="3">
        <v>1.1000000000000001E-3</v>
      </c>
      <c r="F13" s="3">
        <v>3.3E-3</v>
      </c>
      <c r="G13" s="3">
        <v>1.1900000000000001E-2</v>
      </c>
      <c r="H13" s="3">
        <v>5.9400000000000001E-2</v>
      </c>
      <c r="I13" s="3">
        <v>0.24210000000000001</v>
      </c>
      <c r="J13" s="3">
        <v>0.36580000000000001</v>
      </c>
      <c r="K13" s="3">
        <v>0.1741</v>
      </c>
      <c r="L13" s="3">
        <v>6.4199999999999993E-2</v>
      </c>
      <c r="M13" s="3">
        <v>3.3500000000000002E-2</v>
      </c>
      <c r="N13" s="3">
        <v>1.12E-2</v>
      </c>
      <c r="O13" s="3">
        <v>2.0000000000000001E-4</v>
      </c>
      <c r="P13" s="3">
        <v>3.3399999999999999E-2</v>
      </c>
      <c r="AL13" s="2"/>
      <c r="AM13" s="3">
        <v>0</v>
      </c>
      <c r="AN13" s="3">
        <v>1.1000000000000001E-3</v>
      </c>
      <c r="AO13" s="3">
        <v>3.3E-3</v>
      </c>
      <c r="AP13" s="3">
        <v>1.1900000000000001E-2</v>
      </c>
      <c r="AQ13" s="3">
        <v>5.9400000000000001E-2</v>
      </c>
      <c r="AR13" s="3">
        <v>0.24210000000000001</v>
      </c>
      <c r="AS13" s="3">
        <v>0.36580000000000001</v>
      </c>
      <c r="AT13" s="3">
        <v>0.1741</v>
      </c>
      <c r="AU13" s="3">
        <v>6.4199999999999993E-2</v>
      </c>
      <c r="AV13" s="3">
        <v>3.3500000000000002E-2</v>
      </c>
      <c r="AW13" s="3">
        <v>1.12E-2</v>
      </c>
      <c r="AX13" s="3">
        <v>2.0000000000000001E-4</v>
      </c>
      <c r="BB13" s="2"/>
      <c r="BC13" s="5" t="b">
        <f t="shared" si="23"/>
        <v>1</v>
      </c>
      <c r="BD13" s="5" t="b">
        <f t="shared" si="24"/>
        <v>1</v>
      </c>
      <c r="BE13" s="5" t="b">
        <f t="shared" si="25"/>
        <v>1</v>
      </c>
      <c r="BF13" s="5" t="b">
        <f t="shared" ref="BF13:BF18" si="28">IF(AQ13&lt;AP13,FALSE,TRUE)</f>
        <v>1</v>
      </c>
      <c r="BG13" s="5" t="b">
        <f t="shared" ref="BG13:BG18" si="29">IF(AR13&lt;AQ13,FALSE,TRUE)</f>
        <v>1</v>
      </c>
      <c r="BH13" s="5" t="b">
        <f t="shared" ref="BH13:BH18" si="30">IF(AS13&lt;AR13,FALSE,TRUE)</f>
        <v>1</v>
      </c>
      <c r="BI13" s="6"/>
      <c r="BJ13" s="5" t="b">
        <f t="shared" si="3"/>
        <v>1</v>
      </c>
      <c r="BK13" s="5" t="b">
        <f t="shared" si="3"/>
        <v>1</v>
      </c>
      <c r="BL13" s="5" t="b">
        <f t="shared" si="3"/>
        <v>1</v>
      </c>
      <c r="BM13" s="5" t="b">
        <f t="shared" si="3"/>
        <v>1</v>
      </c>
      <c r="BN13" s="5" t="b">
        <f t="shared" si="3"/>
        <v>1</v>
      </c>
      <c r="BQ13" s="2"/>
      <c r="BR13" s="5" t="b">
        <f t="shared" si="17"/>
        <v>1</v>
      </c>
      <c r="BS13" s="5" t="b">
        <f t="shared" si="18"/>
        <v>1</v>
      </c>
      <c r="BT13" s="5" t="b">
        <f t="shared" si="20"/>
        <v>1</v>
      </c>
      <c r="BU13" s="5" t="b">
        <f t="shared" si="22"/>
        <v>1</v>
      </c>
      <c r="BV13" s="5" t="b">
        <f t="shared" si="27"/>
        <v>1</v>
      </c>
      <c r="BW13" s="5" t="b">
        <f t="shared" ref="BW13:BW18" si="31">IF(AR12&gt;=AR13, TRUE, FALSE)</f>
        <v>1</v>
      </c>
      <c r="BX13" s="6"/>
      <c r="BY13" s="5" t="b">
        <f t="shared" si="10"/>
        <v>1</v>
      </c>
      <c r="BZ13" s="5" t="b">
        <f t="shared" si="11"/>
        <v>1</v>
      </c>
      <c r="CA13" s="5" t="b">
        <f t="shared" si="12"/>
        <v>1</v>
      </c>
      <c r="CB13" s="5" t="b">
        <f t="shared" si="13"/>
        <v>1</v>
      </c>
      <c r="CC13" s="5" t="b">
        <f t="shared" si="14"/>
        <v>1</v>
      </c>
      <c r="CG13" s="2"/>
      <c r="CH13" s="3">
        <v>0</v>
      </c>
      <c r="CI13" s="3">
        <v>1.0997724451799753E-3</v>
      </c>
      <c r="CJ13" s="3">
        <v>3.2993173355399257E-3</v>
      </c>
      <c r="CK13" s="3">
        <v>1.1897538270583367E-2</v>
      </c>
      <c r="CL13" s="3">
        <v>5.9387712039718661E-2</v>
      </c>
      <c r="CM13" s="3">
        <v>0.24204991725279273</v>
      </c>
      <c r="CN13" s="3">
        <v>0.36572432767894086</v>
      </c>
      <c r="CO13" s="3">
        <v>0.17406398427803063</v>
      </c>
      <c r="CP13" s="3">
        <v>6.4186719073231271E-2</v>
      </c>
      <c r="CQ13" s="3">
        <v>3.3493069921390159E-2</v>
      </c>
      <c r="CR13" s="3">
        <v>1.1197683078196111E-2</v>
      </c>
      <c r="CS13" s="3">
        <v>1.9995862639635912E-4</v>
      </c>
    </row>
    <row r="14" spans="1:108" x14ac:dyDescent="0.4">
      <c r="B14" s="2" t="s">
        <v>7</v>
      </c>
      <c r="C14" s="2">
        <f t="shared" si="15"/>
        <v>8</v>
      </c>
      <c r="D14" s="3">
        <v>0</v>
      </c>
      <c r="E14" s="3">
        <v>2.9999999999999997E-4</v>
      </c>
      <c r="F14" s="3">
        <v>1.2999999999999999E-3</v>
      </c>
      <c r="G14" s="3">
        <v>7.6E-3</v>
      </c>
      <c r="H14" s="3">
        <v>2.29E-2</v>
      </c>
      <c r="I14" s="3">
        <v>8.0399999999999999E-2</v>
      </c>
      <c r="J14" s="3">
        <v>0.22700000000000001</v>
      </c>
      <c r="K14" s="3">
        <v>0.34599999999999997</v>
      </c>
      <c r="L14" s="3">
        <v>0.16639999999999999</v>
      </c>
      <c r="M14" s="3">
        <v>6.4699999999999994E-2</v>
      </c>
      <c r="N14" s="3">
        <v>2.4799999999999999E-2</v>
      </c>
      <c r="O14" s="3">
        <v>5.0000000000000001E-4</v>
      </c>
      <c r="P14" s="3">
        <v>5.8099999999999999E-2</v>
      </c>
      <c r="AL14" s="2"/>
      <c r="AM14" s="3">
        <v>0</v>
      </c>
      <c r="AN14" s="3">
        <v>2.9999999999999997E-4</v>
      </c>
      <c r="AO14" s="3">
        <v>1.2999999999999999E-3</v>
      </c>
      <c r="AP14" s="3">
        <v>7.6E-3</v>
      </c>
      <c r="AQ14" s="3">
        <v>2.29E-2</v>
      </c>
      <c r="AR14" s="3">
        <v>8.0399999999999999E-2</v>
      </c>
      <c r="AS14" s="3">
        <v>0.22700000000000001</v>
      </c>
      <c r="AT14" s="3">
        <v>0.34599999999999997</v>
      </c>
      <c r="AU14" s="3">
        <v>0.16639999999999999</v>
      </c>
      <c r="AV14" s="3">
        <v>6.4699999999999994E-2</v>
      </c>
      <c r="AW14" s="3">
        <v>2.4799999999999999E-2</v>
      </c>
      <c r="AX14" s="3">
        <v>5.0000000000000001E-4</v>
      </c>
      <c r="BB14" s="2"/>
      <c r="BC14" s="5" t="b">
        <f t="shared" si="23"/>
        <v>1</v>
      </c>
      <c r="BD14" s="5" t="b">
        <f t="shared" si="24"/>
        <v>1</v>
      </c>
      <c r="BE14" s="5" t="b">
        <f t="shared" si="25"/>
        <v>1</v>
      </c>
      <c r="BF14" s="5" t="b">
        <f t="shared" si="28"/>
        <v>1</v>
      </c>
      <c r="BG14" s="5" t="b">
        <f t="shared" si="29"/>
        <v>1</v>
      </c>
      <c r="BH14" s="5" t="b">
        <f t="shared" si="30"/>
        <v>1</v>
      </c>
      <c r="BI14" s="5" t="b">
        <f t="shared" ref="BI14:BI18" si="32">IF(AT14&lt;AS14,FALSE,TRUE)</f>
        <v>1</v>
      </c>
      <c r="BJ14" s="6"/>
      <c r="BK14" s="5" t="b">
        <f t="shared" si="3"/>
        <v>1</v>
      </c>
      <c r="BL14" s="5" t="b">
        <f t="shared" si="3"/>
        <v>1</v>
      </c>
      <c r="BM14" s="5" t="b">
        <f t="shared" si="3"/>
        <v>1</v>
      </c>
      <c r="BN14" s="5" t="b">
        <f t="shared" si="3"/>
        <v>1</v>
      </c>
      <c r="BQ14" s="2"/>
      <c r="BR14" s="5" t="b">
        <f t="shared" si="17"/>
        <v>1</v>
      </c>
      <c r="BS14" s="5" t="b">
        <f t="shared" si="18"/>
        <v>1</v>
      </c>
      <c r="BT14" s="5" t="b">
        <f t="shared" si="20"/>
        <v>1</v>
      </c>
      <c r="BU14" s="5" t="b">
        <f t="shared" si="22"/>
        <v>1</v>
      </c>
      <c r="BV14" s="5" t="b">
        <f t="shared" si="27"/>
        <v>1</v>
      </c>
      <c r="BW14" s="5" t="b">
        <f t="shared" si="31"/>
        <v>1</v>
      </c>
      <c r="BX14" s="5" t="b">
        <f t="shared" ref="BX14:BX18" si="33">IF(AS13&gt;=AS14, TRUE, FALSE)</f>
        <v>1</v>
      </c>
      <c r="BY14" s="6"/>
      <c r="BZ14" s="5" t="b">
        <f t="shared" si="11"/>
        <v>1</v>
      </c>
      <c r="CA14" s="5" t="b">
        <f t="shared" si="12"/>
        <v>1</v>
      </c>
      <c r="CB14" s="5" t="b">
        <f t="shared" si="13"/>
        <v>1</v>
      </c>
      <c r="CC14" s="5" t="b">
        <f t="shared" si="14"/>
        <v>1</v>
      </c>
      <c r="CG14" s="2"/>
      <c r="CH14" s="3">
        <v>0</v>
      </c>
      <c r="CI14" s="3">
        <v>2.9999999999999997E-4</v>
      </c>
      <c r="CJ14" s="3">
        <v>1.2999999999999999E-3</v>
      </c>
      <c r="CK14" s="3">
        <v>7.6E-3</v>
      </c>
      <c r="CL14" s="3">
        <v>2.29E-2</v>
      </c>
      <c r="CM14" s="3">
        <v>8.0399999999999999E-2</v>
      </c>
      <c r="CN14" s="3">
        <v>0.22700000000000001</v>
      </c>
      <c r="CO14" s="3">
        <v>0.34599999999999997</v>
      </c>
      <c r="CP14" s="3">
        <v>0.16639999999999999</v>
      </c>
      <c r="CQ14" s="3">
        <v>6.4699999999999994E-2</v>
      </c>
      <c r="CR14" s="3">
        <v>2.4799999999999999E-2</v>
      </c>
      <c r="CS14" s="3">
        <v>5.0000000000000001E-4</v>
      </c>
    </row>
    <row r="15" spans="1:108" x14ac:dyDescent="0.4">
      <c r="B15" s="2" t="s">
        <v>8</v>
      </c>
      <c r="C15" s="2">
        <f t="shared" si="15"/>
        <v>9</v>
      </c>
      <c r="D15" s="3">
        <v>0</v>
      </c>
      <c r="E15" s="3">
        <v>0</v>
      </c>
      <c r="F15" s="3">
        <v>1.1000000000000001E-3</v>
      </c>
      <c r="G15" s="3">
        <v>2.2000000000000001E-3</v>
      </c>
      <c r="H15" s="3">
        <v>1.01E-2</v>
      </c>
      <c r="I15" s="3">
        <v>3.0700000000000002E-2</v>
      </c>
      <c r="J15" s="3">
        <v>0.1023</v>
      </c>
      <c r="K15" s="3">
        <v>0.19339999999999999</v>
      </c>
      <c r="L15" s="3">
        <v>0.34399999999999997</v>
      </c>
      <c r="M15" s="3">
        <v>0.15659999999999999</v>
      </c>
      <c r="N15" s="3">
        <v>6.8599999999999994E-2</v>
      </c>
      <c r="O15" s="3">
        <v>1.1000000000000001E-3</v>
      </c>
      <c r="P15" s="3">
        <v>8.9800000000000005E-2</v>
      </c>
      <c r="AL15" s="2"/>
      <c r="AM15" s="3">
        <v>0</v>
      </c>
      <c r="AN15" s="3">
        <v>0</v>
      </c>
      <c r="AO15" s="3">
        <v>1.1000000000000001E-3</v>
      </c>
      <c r="AP15" s="3">
        <v>2.2000000000000001E-3</v>
      </c>
      <c r="AQ15" s="3">
        <v>1.01E-2</v>
      </c>
      <c r="AR15" s="3">
        <v>3.0700000000000002E-2</v>
      </c>
      <c r="AS15" s="3">
        <v>0.1023</v>
      </c>
      <c r="AT15" s="3">
        <v>0.19339999999999999</v>
      </c>
      <c r="AU15" s="3">
        <v>0.34399999999999997</v>
      </c>
      <c r="AV15" s="3">
        <v>0.15659999999999999</v>
      </c>
      <c r="AW15" s="3">
        <v>6.8599999999999994E-2</v>
      </c>
      <c r="AX15" s="3">
        <v>1.1000000000000001E-3</v>
      </c>
      <c r="BB15" s="2"/>
      <c r="BC15" s="5" t="b">
        <f t="shared" si="23"/>
        <v>1</v>
      </c>
      <c r="BD15" s="5" t="b">
        <f t="shared" si="24"/>
        <v>1</v>
      </c>
      <c r="BE15" s="5" t="b">
        <f t="shared" si="25"/>
        <v>1</v>
      </c>
      <c r="BF15" s="5" t="b">
        <f t="shared" si="28"/>
        <v>1</v>
      </c>
      <c r="BG15" s="5" t="b">
        <f t="shared" si="29"/>
        <v>1</v>
      </c>
      <c r="BH15" s="5" t="b">
        <f t="shared" si="30"/>
        <v>1</v>
      </c>
      <c r="BI15" s="5" t="b">
        <f t="shared" si="32"/>
        <v>1</v>
      </c>
      <c r="BJ15" s="5" t="b">
        <f t="shared" ref="BJ15:BJ18" si="34">IF(AU15&lt;AT15,FALSE,TRUE)</f>
        <v>1</v>
      </c>
      <c r="BK15" s="6"/>
      <c r="BL15" s="5" t="b">
        <f t="shared" si="3"/>
        <v>1</v>
      </c>
      <c r="BM15" s="5" t="b">
        <f t="shared" si="3"/>
        <v>1</v>
      </c>
      <c r="BN15" s="5" t="b">
        <f t="shared" si="3"/>
        <v>1</v>
      </c>
      <c r="BQ15" s="2"/>
      <c r="BR15" s="5" t="b">
        <f t="shared" si="17"/>
        <v>1</v>
      </c>
      <c r="BS15" s="5" t="b">
        <f t="shared" si="18"/>
        <v>1</v>
      </c>
      <c r="BT15" s="5" t="b">
        <f t="shared" si="20"/>
        <v>1</v>
      </c>
      <c r="BU15" s="5" t="b">
        <f t="shared" si="22"/>
        <v>1</v>
      </c>
      <c r="BV15" s="5" t="b">
        <f t="shared" si="27"/>
        <v>1</v>
      </c>
      <c r="BW15" s="5" t="b">
        <f t="shared" si="31"/>
        <v>1</v>
      </c>
      <c r="BX15" s="5" t="b">
        <f t="shared" si="33"/>
        <v>1</v>
      </c>
      <c r="BY15" s="5" t="b">
        <f t="shared" ref="BY15:BY18" si="35">IF(AT14&gt;=AT15, TRUE, FALSE)</f>
        <v>1</v>
      </c>
      <c r="BZ15" s="6"/>
      <c r="CA15" s="5" t="b">
        <f t="shared" si="12"/>
        <v>1</v>
      </c>
      <c r="CB15" s="5" t="b">
        <f t="shared" si="13"/>
        <v>1</v>
      </c>
      <c r="CC15" s="5" t="b">
        <f t="shared" si="14"/>
        <v>1</v>
      </c>
      <c r="CG15" s="2"/>
      <c r="CH15" s="3">
        <v>0</v>
      </c>
      <c r="CI15" s="3">
        <v>0</v>
      </c>
      <c r="CJ15" s="3">
        <v>1.100120865838919E-3</v>
      </c>
      <c r="CK15" s="3">
        <v>2.200241731677838E-3</v>
      </c>
      <c r="CL15" s="3">
        <v>1.0101109768157346E-2</v>
      </c>
      <c r="CM15" s="3">
        <v>3.0703373255686194E-2</v>
      </c>
      <c r="CN15" s="3">
        <v>0.10231124052301947</v>
      </c>
      <c r="CO15" s="3">
        <v>0.19342125041204264</v>
      </c>
      <c r="CP15" s="3">
        <v>0.34403779804417095</v>
      </c>
      <c r="CQ15" s="3">
        <v>0.15661720690034064</v>
      </c>
      <c r="CR15" s="3">
        <v>6.860753763322712E-2</v>
      </c>
      <c r="CS15" s="3">
        <v>1.100120865838919E-3</v>
      </c>
    </row>
    <row r="16" spans="1:108" x14ac:dyDescent="0.4">
      <c r="B16" s="2" t="s">
        <v>9</v>
      </c>
      <c r="C16" s="2">
        <f t="shared" si="15"/>
        <v>10</v>
      </c>
      <c r="D16" s="3">
        <v>0</v>
      </c>
      <c r="E16" s="3">
        <v>1.4E-3</v>
      </c>
      <c r="F16" s="3">
        <v>4.7000000000000002E-3</v>
      </c>
      <c r="G16" s="3">
        <v>5.1999999999999998E-3</v>
      </c>
      <c r="H16" s="3">
        <v>1.6400000000000001E-2</v>
      </c>
      <c r="I16" s="3">
        <v>4.36E-2</v>
      </c>
      <c r="J16" s="3">
        <v>6.0499999999999998E-2</v>
      </c>
      <c r="K16" s="3">
        <v>7.2700000000000001E-2</v>
      </c>
      <c r="L16" s="3">
        <v>0.1341</v>
      </c>
      <c r="M16" s="3">
        <v>0.39989999999999998</v>
      </c>
      <c r="N16" s="3">
        <v>0.1177</v>
      </c>
      <c r="O16" s="3">
        <v>2.3E-3</v>
      </c>
      <c r="P16" s="3">
        <v>0.1416</v>
      </c>
      <c r="AL16" s="2"/>
      <c r="AM16" s="3">
        <v>0</v>
      </c>
      <c r="AN16" s="3">
        <v>1.4E-3</v>
      </c>
      <c r="AO16" s="3">
        <v>4.7000000000000002E-3</v>
      </c>
      <c r="AP16" s="3">
        <v>5.1999999999999998E-3</v>
      </c>
      <c r="AQ16" s="3">
        <v>1.6400000000000001E-2</v>
      </c>
      <c r="AR16" s="3">
        <v>4.36E-2</v>
      </c>
      <c r="AS16" s="3">
        <v>6.0499999999999998E-2</v>
      </c>
      <c r="AT16" s="3">
        <v>7.2700000000000001E-2</v>
      </c>
      <c r="AU16" s="3">
        <v>0.1341</v>
      </c>
      <c r="AV16" s="3">
        <v>0.39989999999999998</v>
      </c>
      <c r="AW16" s="3">
        <v>0.1177</v>
      </c>
      <c r="AX16" s="3">
        <v>2.3E-3</v>
      </c>
      <c r="BB16" s="2"/>
      <c r="BC16" s="5" t="b">
        <f t="shared" si="23"/>
        <v>1</v>
      </c>
      <c r="BD16" s="5" t="b">
        <f t="shared" si="24"/>
        <v>1</v>
      </c>
      <c r="BE16" s="5" t="b">
        <f t="shared" si="25"/>
        <v>1</v>
      </c>
      <c r="BF16" s="5" t="b">
        <f t="shared" si="28"/>
        <v>1</v>
      </c>
      <c r="BG16" s="5" t="b">
        <f t="shared" si="29"/>
        <v>1</v>
      </c>
      <c r="BH16" s="5" t="b">
        <f t="shared" si="30"/>
        <v>1</v>
      </c>
      <c r="BI16" s="5" t="b">
        <f t="shared" si="32"/>
        <v>1</v>
      </c>
      <c r="BJ16" s="5" t="b">
        <f t="shared" si="34"/>
        <v>1</v>
      </c>
      <c r="BK16" s="5" t="b">
        <f t="shared" ref="BK16:BK18" si="36">IF(AV16&lt;AU16,FALSE,TRUE)</f>
        <v>1</v>
      </c>
      <c r="BL16" s="6"/>
      <c r="BM16" s="5" t="b">
        <f t="shared" si="3"/>
        <v>1</v>
      </c>
      <c r="BN16" s="5" t="b">
        <f t="shared" si="3"/>
        <v>1</v>
      </c>
      <c r="BQ16" s="2"/>
      <c r="BR16" s="5" t="b">
        <f t="shared" si="17"/>
        <v>1</v>
      </c>
      <c r="BS16" s="5" t="b">
        <f t="shared" si="18"/>
        <v>0</v>
      </c>
      <c r="BT16" s="5" t="b">
        <f t="shared" si="20"/>
        <v>0</v>
      </c>
      <c r="BU16" s="5" t="b">
        <f t="shared" si="22"/>
        <v>0</v>
      </c>
      <c r="BV16" s="5" t="b">
        <f t="shared" si="27"/>
        <v>0</v>
      </c>
      <c r="BW16" s="5" t="b">
        <f t="shared" si="31"/>
        <v>0</v>
      </c>
      <c r="BX16" s="5" t="b">
        <f t="shared" si="33"/>
        <v>1</v>
      </c>
      <c r="BY16" s="5" t="b">
        <f t="shared" si="35"/>
        <v>1</v>
      </c>
      <c r="BZ16" s="5" t="b">
        <f t="shared" ref="BZ16:BZ18" si="37">IF(AU15&gt;=AU16, TRUE, FALSE)</f>
        <v>1</v>
      </c>
      <c r="CA16" s="6"/>
      <c r="CB16" s="5" t="b">
        <f t="shared" si="13"/>
        <v>1</v>
      </c>
      <c r="CC16" s="5" t="b">
        <f t="shared" si="14"/>
        <v>1</v>
      </c>
      <c r="CG16" s="2"/>
      <c r="CH16" s="3">
        <v>0</v>
      </c>
      <c r="CI16" s="3">
        <v>1.3998369248689577E-3</v>
      </c>
      <c r="CJ16" s="3">
        <v>4.6994525334886437E-3</v>
      </c>
      <c r="CK16" s="3">
        <v>5.1993942923704139E-3</v>
      </c>
      <c r="CL16" s="3">
        <v>1.6398089691322077E-2</v>
      </c>
      <c r="CM16" s="3">
        <v>4.3594921374490392E-2</v>
      </c>
      <c r="CN16" s="3">
        <v>6.0492952824694239E-2</v>
      </c>
      <c r="CO16" s="3">
        <v>7.2691531741409451E-2</v>
      </c>
      <c r="CP16" s="3">
        <v>0.13408437973209089</v>
      </c>
      <c r="CQ16" s="3">
        <v>0.39985341875364011</v>
      </c>
      <c r="CR16" s="3">
        <v>0.11768629004076879</v>
      </c>
      <c r="CS16" s="3">
        <v>2.2997320908561443E-3</v>
      </c>
    </row>
    <row r="17" spans="2:97" x14ac:dyDescent="0.4">
      <c r="B17" s="2" t="s">
        <v>10</v>
      </c>
      <c r="C17" s="2">
        <f t="shared" si="15"/>
        <v>11</v>
      </c>
      <c r="D17" s="3">
        <v>0</v>
      </c>
      <c r="E17" s="3">
        <v>1.2999999999999999E-3</v>
      </c>
      <c r="F17" s="3">
        <v>0</v>
      </c>
      <c r="G17" s="3">
        <v>6.9999999999999999E-4</v>
      </c>
      <c r="H17" s="3">
        <v>6.6E-3</v>
      </c>
      <c r="I17" s="3">
        <v>8.6E-3</v>
      </c>
      <c r="J17" s="3">
        <v>1.9800000000000002E-2</v>
      </c>
      <c r="K17" s="3">
        <v>3.3599999999999998E-2</v>
      </c>
      <c r="L17" s="3">
        <v>6.0600000000000001E-2</v>
      </c>
      <c r="M17" s="3">
        <v>8.6999999999999994E-2</v>
      </c>
      <c r="N17" s="3">
        <v>0.46529999999999999</v>
      </c>
      <c r="O17" s="3">
        <v>1.5800000000000002E-2</v>
      </c>
      <c r="P17" s="3">
        <v>0.30070000000000002</v>
      </c>
      <c r="AL17" s="2"/>
      <c r="AM17" s="3">
        <v>0</v>
      </c>
      <c r="AN17" s="3">
        <v>1.2999999999999999E-3</v>
      </c>
      <c r="AO17" s="3">
        <v>2.2343106042047056E-3</v>
      </c>
      <c r="AP17" s="3">
        <v>3.8401106738935355E-3</v>
      </c>
      <c r="AQ17" s="3">
        <v>6.6E-3</v>
      </c>
      <c r="AR17" s="3">
        <v>8.6E-3</v>
      </c>
      <c r="AS17" s="3">
        <v>1.9800000000000002E-2</v>
      </c>
      <c r="AT17" s="3">
        <v>3.3599999999999998E-2</v>
      </c>
      <c r="AU17" s="3">
        <v>6.0600000000000001E-2</v>
      </c>
      <c r="AV17" s="3">
        <v>8.6999999999999994E-2</v>
      </c>
      <c r="AW17" s="3">
        <v>0.46529999999999999</v>
      </c>
      <c r="AX17" s="3">
        <v>1.5800000000000002E-2</v>
      </c>
      <c r="BB17" s="2"/>
      <c r="BC17" s="5" t="b">
        <f t="shared" si="23"/>
        <v>1</v>
      </c>
      <c r="BD17" s="5" t="b">
        <f t="shared" si="24"/>
        <v>1</v>
      </c>
      <c r="BE17" s="5" t="b">
        <f t="shared" si="25"/>
        <v>1</v>
      </c>
      <c r="BF17" s="5" t="b">
        <f t="shared" si="28"/>
        <v>1</v>
      </c>
      <c r="BG17" s="5" t="b">
        <f t="shared" si="29"/>
        <v>1</v>
      </c>
      <c r="BH17" s="5" t="b">
        <f t="shared" si="30"/>
        <v>1</v>
      </c>
      <c r="BI17" s="5" t="b">
        <f t="shared" si="32"/>
        <v>1</v>
      </c>
      <c r="BJ17" s="5" t="b">
        <f t="shared" si="34"/>
        <v>1</v>
      </c>
      <c r="BK17" s="5" t="b">
        <f t="shared" si="36"/>
        <v>1</v>
      </c>
      <c r="BL17" s="5" t="b">
        <f t="shared" ref="BL17:BL18" si="38">IF(AW17&lt;AV17,FALSE,TRUE)</f>
        <v>1</v>
      </c>
      <c r="BM17" s="6"/>
      <c r="BN17" s="5" t="b">
        <f>IF(AX17&gt;AW17,FALSE,TRUE)</f>
        <v>1</v>
      </c>
      <c r="BQ17" s="2"/>
      <c r="BR17" s="5" t="b">
        <f t="shared" si="17"/>
        <v>1</v>
      </c>
      <c r="BS17" s="5" t="b">
        <f t="shared" si="18"/>
        <v>1</v>
      </c>
      <c r="BT17" s="5" t="b">
        <f t="shared" si="20"/>
        <v>1</v>
      </c>
      <c r="BU17" s="5" t="b">
        <f t="shared" si="22"/>
        <v>1</v>
      </c>
      <c r="BV17" s="5" t="b">
        <f t="shared" si="27"/>
        <v>1</v>
      </c>
      <c r="BW17" s="5" t="b">
        <f t="shared" si="31"/>
        <v>1</v>
      </c>
      <c r="BX17" s="5" t="b">
        <f t="shared" si="33"/>
        <v>1</v>
      </c>
      <c r="BY17" s="5" t="b">
        <f t="shared" si="35"/>
        <v>1</v>
      </c>
      <c r="BZ17" s="5" t="b">
        <f t="shared" si="37"/>
        <v>1</v>
      </c>
      <c r="CA17" s="5" t="b">
        <f t="shared" ref="CA17:CA18" si="39">IF(AV16&gt;=AV17, TRUE, FALSE)</f>
        <v>1</v>
      </c>
      <c r="CB17" s="6"/>
      <c r="CC17" s="5" t="b">
        <f t="shared" si="14"/>
        <v>1</v>
      </c>
      <c r="CG17" s="2"/>
      <c r="CH17" s="3">
        <v>0</v>
      </c>
      <c r="CI17" s="3">
        <v>1.2900851408103396E-3</v>
      </c>
      <c r="CJ17" s="3">
        <v>2.217269931107279E-3</v>
      </c>
      <c r="CK17" s="3">
        <v>3.8108228611209456E-3</v>
      </c>
      <c r="CL17" s="3">
        <v>6.5496630225755706E-3</v>
      </c>
      <c r="CM17" s="3">
        <v>8.5344093930530152E-3</v>
      </c>
      <c r="CN17" s="3">
        <v>1.9648989067726712E-2</v>
      </c>
      <c r="CO17" s="3">
        <v>3.3343739024021081E-2</v>
      </c>
      <c r="CP17" s="3">
        <v>6.0137815025466605E-2</v>
      </c>
      <c r="CQ17" s="3">
        <v>8.6336467115768881E-2</v>
      </c>
      <c r="CR17" s="3">
        <v>0.46175124309157772</v>
      </c>
      <c r="CS17" s="3">
        <v>1.5679496326771823E-2</v>
      </c>
    </row>
    <row r="18" spans="2:97" x14ac:dyDescent="0.4">
      <c r="B18" s="2" t="s">
        <v>11</v>
      </c>
      <c r="C18" s="2">
        <f t="shared" si="15"/>
        <v>12</v>
      </c>
      <c r="D18" s="3">
        <v>0</v>
      </c>
      <c r="E18" s="3">
        <v>0</v>
      </c>
      <c r="F18" s="3">
        <v>0</v>
      </c>
      <c r="G18" s="3">
        <v>6.0000000000000001E-3</v>
      </c>
      <c r="H18" s="3">
        <v>0</v>
      </c>
      <c r="I18" s="3">
        <v>0</v>
      </c>
      <c r="J18" s="3">
        <v>6.0000000000000001E-3</v>
      </c>
      <c r="K18" s="3">
        <v>6.0000000000000001E-3</v>
      </c>
      <c r="L18" s="3">
        <v>0.03</v>
      </c>
      <c r="M18" s="3">
        <v>1.7999999999999999E-2</v>
      </c>
      <c r="N18" s="3">
        <v>0.10199999999999999</v>
      </c>
      <c r="O18" s="3">
        <v>0.12</v>
      </c>
      <c r="P18" s="3">
        <v>0.71199999999999997</v>
      </c>
      <c r="AL18" s="2"/>
      <c r="AM18" s="3">
        <v>0</v>
      </c>
      <c r="AN18" s="3">
        <v>0</v>
      </c>
      <c r="AO18" s="3">
        <v>0</v>
      </c>
      <c r="AP18" s="3">
        <v>6.0000000000000001E-3</v>
      </c>
      <c r="AQ18" s="3">
        <v>6.0000000000000019E-3</v>
      </c>
      <c r="AR18" s="3">
        <v>6.0000000000000019E-3</v>
      </c>
      <c r="AS18" s="3">
        <v>6.0000000000000001E-3</v>
      </c>
      <c r="AT18" s="3">
        <v>2.1743389910330861E-2</v>
      </c>
      <c r="AU18" s="3">
        <v>0.03</v>
      </c>
      <c r="AV18" s="3">
        <v>5.5317266743757323E-2</v>
      </c>
      <c r="AW18" s="3">
        <v>0.10199999999999999</v>
      </c>
      <c r="AX18" s="3">
        <v>0.12</v>
      </c>
      <c r="BB18" s="2"/>
      <c r="BC18" s="5" t="b">
        <f t="shared" si="23"/>
        <v>1</v>
      </c>
      <c r="BD18" s="5" t="b">
        <f t="shared" si="24"/>
        <v>1</v>
      </c>
      <c r="BE18" s="5" t="b">
        <f t="shared" si="25"/>
        <v>1</v>
      </c>
      <c r="BF18" s="5" t="b">
        <f t="shared" si="28"/>
        <v>1</v>
      </c>
      <c r="BG18" s="5" t="b">
        <f t="shared" si="29"/>
        <v>1</v>
      </c>
      <c r="BH18" s="5" t="b">
        <f t="shared" si="30"/>
        <v>1</v>
      </c>
      <c r="BI18" s="5" t="b">
        <f t="shared" si="32"/>
        <v>1</v>
      </c>
      <c r="BJ18" s="5" t="b">
        <f t="shared" si="34"/>
        <v>1</v>
      </c>
      <c r="BK18" s="5" t="b">
        <f t="shared" si="36"/>
        <v>1</v>
      </c>
      <c r="BL18" s="5" t="b">
        <f t="shared" si="38"/>
        <v>1</v>
      </c>
      <c r="BM18" s="5" t="b">
        <f t="shared" ref="BM18" si="40">IF(AX18&lt;AW18,FALSE,TRUE)</f>
        <v>1</v>
      </c>
      <c r="BN18" s="6"/>
      <c r="BQ18" s="2"/>
      <c r="BR18" s="5" t="b">
        <f t="shared" si="17"/>
        <v>1</v>
      </c>
      <c r="BS18" s="5" t="b">
        <f t="shared" si="18"/>
        <v>1</v>
      </c>
      <c r="BT18" s="5" t="b">
        <f t="shared" si="20"/>
        <v>1</v>
      </c>
      <c r="BU18" s="5" t="b">
        <f t="shared" si="22"/>
        <v>0</v>
      </c>
      <c r="BV18" s="5" t="b">
        <f t="shared" si="27"/>
        <v>1</v>
      </c>
      <c r="BW18" s="5" t="b">
        <f t="shared" si="31"/>
        <v>1</v>
      </c>
      <c r="BX18" s="5" t="b">
        <f t="shared" si="33"/>
        <v>1</v>
      </c>
      <c r="BY18" s="5" t="b">
        <f t="shared" si="35"/>
        <v>1</v>
      </c>
      <c r="BZ18" s="5" t="b">
        <f t="shared" si="37"/>
        <v>1</v>
      </c>
      <c r="CA18" s="5" t="b">
        <f t="shared" si="39"/>
        <v>1</v>
      </c>
      <c r="CB18" s="5" t="b">
        <f>IF(AW17&gt;=AW18, TRUE, FALSE)</f>
        <v>1</v>
      </c>
      <c r="CC18" s="6"/>
      <c r="CG18" s="2"/>
      <c r="CH18" s="3">
        <v>0</v>
      </c>
      <c r="CI18" s="3">
        <v>0</v>
      </c>
      <c r="CJ18" s="3">
        <v>0</v>
      </c>
      <c r="CK18" s="3">
        <v>4.8943431317894238E-3</v>
      </c>
      <c r="CL18" s="3">
        <v>4.8943431317894255E-3</v>
      </c>
      <c r="CM18" s="3">
        <v>4.8943431317894255E-3</v>
      </c>
      <c r="CN18" s="3">
        <v>4.8943431317894238E-3</v>
      </c>
      <c r="CO18" s="3">
        <v>1.7736601844907884E-2</v>
      </c>
      <c r="CP18" s="3">
        <v>2.4471715658947117E-2</v>
      </c>
      <c r="CQ18" s="3">
        <v>4.5123614092778694E-2</v>
      </c>
      <c r="CR18" s="3">
        <v>8.3203833240420202E-2</v>
      </c>
      <c r="CS18" s="3">
        <v>9.7886862635788469E-2</v>
      </c>
    </row>
    <row r="20" spans="2:97" hidden="1" x14ac:dyDescent="0.4"/>
    <row r="21" spans="2:97" hidden="1" x14ac:dyDescent="0.4"/>
    <row r="22" spans="2:97" hidden="1" x14ac:dyDescent="0.4"/>
    <row r="23" spans="2:97" hidden="1" x14ac:dyDescent="0.4"/>
    <row r="24" spans="2:97" hidden="1" x14ac:dyDescent="0.4"/>
    <row r="25" spans="2:97" hidden="1" x14ac:dyDescent="0.4"/>
    <row r="26" spans="2:97" hidden="1" x14ac:dyDescent="0.4"/>
    <row r="27" spans="2:97" hidden="1" x14ac:dyDescent="0.4"/>
    <row r="28" spans="2:97" hidden="1" x14ac:dyDescent="0.4"/>
    <row r="29" spans="2:97" hidden="1" x14ac:dyDescent="0.4"/>
    <row r="30" spans="2:97" hidden="1" x14ac:dyDescent="0.4"/>
    <row r="31" spans="2:97" hidden="1" x14ac:dyDescent="0.4"/>
    <row r="32" spans="2:97" x14ac:dyDescent="0.4">
      <c r="B32" s="10" t="s">
        <v>13</v>
      </c>
      <c r="C32" s="10"/>
      <c r="D32" s="4">
        <v>1</v>
      </c>
    </row>
    <row r="33" spans="2:97" x14ac:dyDescent="0.4">
      <c r="B33" s="10" t="s">
        <v>14</v>
      </c>
      <c r="C33" s="10"/>
      <c r="D33" s="4">
        <v>1</v>
      </c>
      <c r="AH33" s="10" t="s">
        <v>13</v>
      </c>
      <c r="AI33" s="10"/>
      <c r="AJ33" s="4">
        <v>1</v>
      </c>
    </row>
    <row r="34" spans="2:97" x14ac:dyDescent="0.4">
      <c r="B34" s="10" t="s">
        <v>15</v>
      </c>
      <c r="C34" s="10"/>
      <c r="D34" s="4">
        <v>1</v>
      </c>
      <c r="AH34" s="10" t="s">
        <v>14</v>
      </c>
      <c r="AI34" s="10"/>
      <c r="AJ34" s="4">
        <v>1</v>
      </c>
      <c r="AL34" s="13" t="s">
        <v>20</v>
      </c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BB34" s="13" t="s">
        <v>25</v>
      </c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Q34" s="13" t="s">
        <v>26</v>
      </c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  <c r="CG34" s="13" t="s">
        <v>41</v>
      </c>
      <c r="CH34" s="13"/>
      <c r="CI34" s="13"/>
      <c r="CJ34" s="13"/>
      <c r="CK34" s="13"/>
      <c r="CL34" s="13"/>
      <c r="CM34" s="13"/>
      <c r="CN34" s="13"/>
      <c r="CO34" s="13"/>
      <c r="CP34" s="13"/>
      <c r="CQ34" s="13"/>
      <c r="CR34" s="13"/>
      <c r="CS34" s="13"/>
    </row>
    <row r="35" spans="2:97" x14ac:dyDescent="0.4">
      <c r="AH35" s="10" t="s">
        <v>15</v>
      </c>
      <c r="AI35" s="10"/>
      <c r="AJ35" s="4">
        <v>1</v>
      </c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</row>
    <row r="36" spans="2:97" x14ac:dyDescent="0.4">
      <c r="C36" s="2"/>
      <c r="D36" s="2">
        <v>1</v>
      </c>
      <c r="E36" s="2">
        <f t="shared" ref="E36:O36" si="41">D36+1</f>
        <v>2</v>
      </c>
      <c r="F36" s="2">
        <f t="shared" si="41"/>
        <v>3</v>
      </c>
      <c r="G36" s="2">
        <f t="shared" si="41"/>
        <v>4</v>
      </c>
      <c r="H36" s="2">
        <f t="shared" si="41"/>
        <v>5</v>
      </c>
      <c r="I36" s="2">
        <f t="shared" si="41"/>
        <v>6</v>
      </c>
      <c r="J36" s="2">
        <f t="shared" si="41"/>
        <v>7</v>
      </c>
      <c r="K36" s="2">
        <f t="shared" si="41"/>
        <v>8</v>
      </c>
      <c r="L36" s="2">
        <f t="shared" si="41"/>
        <v>9</v>
      </c>
      <c r="M36" s="2">
        <f t="shared" si="41"/>
        <v>10</v>
      </c>
      <c r="N36" s="2">
        <f t="shared" si="41"/>
        <v>11</v>
      </c>
      <c r="O36" s="2">
        <f t="shared" si="41"/>
        <v>12</v>
      </c>
      <c r="P36" s="2"/>
      <c r="AL36" s="2"/>
      <c r="AM36" s="3">
        <v>0.54679999999999995</v>
      </c>
      <c r="AN36" s="3">
        <v>0.3906</v>
      </c>
      <c r="AO36" s="3">
        <v>4.6899999999999997E-2</v>
      </c>
      <c r="AP36" s="3">
        <v>3.2495515278611262E-2</v>
      </c>
      <c r="AQ36" s="3">
        <v>2.2515106891736841E-2</v>
      </c>
      <c r="AR36" s="3">
        <v>1.5599999999999999E-2</v>
      </c>
      <c r="AS36" s="3">
        <v>0</v>
      </c>
      <c r="AT36" s="3">
        <v>0</v>
      </c>
      <c r="AU36" s="3">
        <v>0</v>
      </c>
      <c r="AV36" s="3">
        <v>0</v>
      </c>
      <c r="AW36" s="3">
        <v>0</v>
      </c>
      <c r="AX36" s="3">
        <v>0</v>
      </c>
      <c r="BB36" s="2"/>
      <c r="BC36" s="6"/>
      <c r="BD36" s="5" t="b">
        <f>IF(AN36&gt;AM36,FALSE,TRUE)</f>
        <v>1</v>
      </c>
      <c r="BE36" s="5" t="b">
        <f t="shared" ref="BE36:BE37" si="42">IF(AO36&gt;AN36,FALSE,TRUE)</f>
        <v>1</v>
      </c>
      <c r="BF36" s="5" t="b">
        <f t="shared" ref="BF36:BF38" si="43">IF(AP36&gt;AO36,FALSE,TRUE)</f>
        <v>1</v>
      </c>
      <c r="BG36" s="5" t="b">
        <f t="shared" ref="BG36:BG39" si="44">IF(AQ36&gt;AP36,FALSE,TRUE)</f>
        <v>1</v>
      </c>
      <c r="BH36" s="5" t="b">
        <f t="shared" ref="BH36:BH40" si="45">IF(AR36&gt;AQ36,FALSE,TRUE)</f>
        <v>1</v>
      </c>
      <c r="BI36" s="5" t="b">
        <f t="shared" ref="BI36:BI41" si="46">IF(AS36&gt;AR36,FALSE,TRUE)</f>
        <v>1</v>
      </c>
      <c r="BJ36" s="5" t="b">
        <f t="shared" ref="BJ36:BJ42" si="47">IF(AT36&gt;AS36,FALSE,TRUE)</f>
        <v>1</v>
      </c>
      <c r="BK36" s="5" t="b">
        <f t="shared" ref="BK36:BK43" si="48">IF(AU36&gt;AT36,FALSE,TRUE)</f>
        <v>1</v>
      </c>
      <c r="BL36" s="5" t="b">
        <f t="shared" ref="BL36:BL44" si="49">IF(AV36&gt;AU36,FALSE,TRUE)</f>
        <v>1</v>
      </c>
      <c r="BM36" s="5" t="b">
        <f t="shared" ref="BM36:BM45" si="50">IF(AW36&gt;AV36,FALSE,TRUE)</f>
        <v>1</v>
      </c>
      <c r="BN36" s="5" t="b">
        <f t="shared" ref="BN36:BN45" si="51">IF(AX36&gt;AW36,FALSE,TRUE)</f>
        <v>1</v>
      </c>
      <c r="BQ36" s="2"/>
      <c r="BR36" s="6"/>
      <c r="BS36" s="5" t="b">
        <f>IF(AN36&lt;=AN37,TRUE,FALSE)</f>
        <v>1</v>
      </c>
      <c r="BT36" s="5" t="b">
        <f t="shared" ref="BT36:BT37" si="52">IF(AO36&lt;=AO37,TRUE,FALSE)</f>
        <v>1</v>
      </c>
      <c r="BU36" s="5" t="b">
        <f t="shared" ref="BU36:BU38" si="53">IF(AP36&lt;=AP37,TRUE,FALSE)</f>
        <v>1</v>
      </c>
      <c r="BV36" s="5" t="b">
        <f t="shared" ref="BV36:BV39" si="54">IF(AQ36&lt;=AQ37,TRUE,FALSE)</f>
        <v>1</v>
      </c>
      <c r="BW36" s="5" t="b">
        <f t="shared" ref="BW36:BW40" si="55">IF(AR36&lt;=AR37,TRUE,FALSE)</f>
        <v>1</v>
      </c>
      <c r="BX36" s="5" t="b">
        <f t="shared" ref="BX36:BX41" si="56">IF(AS36&lt;=AS37,TRUE,FALSE)</f>
        <v>1</v>
      </c>
      <c r="BY36" s="5" t="b">
        <f t="shared" ref="BY36:BY42" si="57">IF(AT36&lt;=AT37,TRUE,FALSE)</f>
        <v>1</v>
      </c>
      <c r="BZ36" s="5" t="b">
        <f t="shared" ref="BZ36:BZ43" si="58">IF(AU36&lt;=AU37,TRUE,FALSE)</f>
        <v>1</v>
      </c>
      <c r="CA36" s="5" t="b">
        <f t="shared" ref="CA36:CA44" si="59">IF(AV36&lt;=AV37,TRUE,FALSE)</f>
        <v>1</v>
      </c>
      <c r="CB36" s="5" t="b">
        <f t="shared" ref="CB36:CB45" si="60">IF(AW36&lt;=AW37,TRUE,FALSE)</f>
        <v>1</v>
      </c>
      <c r="CC36" s="5" t="b">
        <f t="shared" ref="CC36:CC46" si="61">IF(AX36&lt;=AX37,TRUE,FALSE)</f>
        <v>1</v>
      </c>
      <c r="CG36" s="2"/>
      <c r="CH36" s="3">
        <v>0.5182340840167593</v>
      </c>
      <c r="CI36" s="3">
        <v>0.37019428166961627</v>
      </c>
      <c r="CJ36" s="3">
        <v>4.4449851024846401E-2</v>
      </c>
      <c r="CK36" s="3">
        <v>3.079788514093583E-2</v>
      </c>
      <c r="CL36" s="3">
        <v>2.1338873073479637E-2</v>
      </c>
      <c r="CM36" s="3">
        <v>1.4785025074362555E-2</v>
      </c>
      <c r="CN36" s="3">
        <v>0</v>
      </c>
      <c r="CO36" s="3">
        <v>0</v>
      </c>
      <c r="CP36" s="3">
        <v>0</v>
      </c>
      <c r="CQ36" s="3">
        <v>0</v>
      </c>
      <c r="CR36" s="3">
        <v>0</v>
      </c>
      <c r="CS36" s="3">
        <v>0</v>
      </c>
    </row>
    <row r="37" spans="2:97" x14ac:dyDescent="0.4">
      <c r="C37" s="2">
        <v>1</v>
      </c>
      <c r="D37" s="3">
        <v>0.54679999999999995</v>
      </c>
      <c r="E37" s="3">
        <v>0.3906</v>
      </c>
      <c r="F37" s="3">
        <v>4.6899999999999997E-2</v>
      </c>
      <c r="G37" s="3">
        <v>3.2495515278611262E-2</v>
      </c>
      <c r="H37" s="3">
        <v>2.2515106891736841E-2</v>
      </c>
      <c r="I37" s="3">
        <v>1.5599999999999999E-2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/>
      <c r="AL37" s="2"/>
      <c r="AM37" s="3">
        <v>8.8000000000000005E-3</v>
      </c>
      <c r="AN37" s="3">
        <v>0.69</v>
      </c>
      <c r="AO37" s="3">
        <v>0.1918</v>
      </c>
      <c r="AP37" s="3">
        <v>6.7299999999999999E-2</v>
      </c>
      <c r="AQ37" s="3">
        <v>3.8694374375359782E-2</v>
      </c>
      <c r="AR37" s="3">
        <v>2.0674622124720925E-2</v>
      </c>
      <c r="AS37" s="3">
        <v>5.5999999999999999E-3</v>
      </c>
      <c r="AT37" s="3">
        <v>3.0611423190014617E-3</v>
      </c>
      <c r="AU37" s="3">
        <v>4.6451612903225802E-4</v>
      </c>
      <c r="AV37" s="3">
        <v>2.6666666666666663E-4</v>
      </c>
      <c r="AW37" s="3">
        <v>5.0000000000000001E-4</v>
      </c>
      <c r="AX37" s="3">
        <v>0</v>
      </c>
      <c r="BB37" s="2"/>
      <c r="BC37" s="5" t="b">
        <f>IF(AN37&lt;AM37,FALSE,TRUE)</f>
        <v>1</v>
      </c>
      <c r="BD37" s="6"/>
      <c r="BE37" s="5" t="b">
        <f t="shared" si="42"/>
        <v>1</v>
      </c>
      <c r="BF37" s="5" t="b">
        <f t="shared" si="43"/>
        <v>1</v>
      </c>
      <c r="BG37" s="5" t="b">
        <f t="shared" si="44"/>
        <v>1</v>
      </c>
      <c r="BH37" s="5" t="b">
        <f t="shared" si="45"/>
        <v>1</v>
      </c>
      <c r="BI37" s="5" t="b">
        <f t="shared" si="46"/>
        <v>1</v>
      </c>
      <c r="BJ37" s="5" t="b">
        <f t="shared" si="47"/>
        <v>1</v>
      </c>
      <c r="BK37" s="5" t="b">
        <f t="shared" si="48"/>
        <v>1</v>
      </c>
      <c r="BL37" s="5" t="b">
        <f t="shared" si="49"/>
        <v>1</v>
      </c>
      <c r="BM37" s="5" t="b">
        <f t="shared" si="50"/>
        <v>0</v>
      </c>
      <c r="BN37" s="5" t="b">
        <f t="shared" si="51"/>
        <v>1</v>
      </c>
      <c r="BQ37" s="2"/>
      <c r="BR37" s="5" t="b">
        <f>IF(AM36&gt;=AM37, TRUE, FALSE)</f>
        <v>1</v>
      </c>
      <c r="BS37" s="6"/>
      <c r="BT37" s="5" t="b">
        <f t="shared" si="52"/>
        <v>1</v>
      </c>
      <c r="BU37" s="5" t="b">
        <f t="shared" si="53"/>
        <v>1</v>
      </c>
      <c r="BV37" s="5" t="b">
        <f t="shared" si="54"/>
        <v>1</v>
      </c>
      <c r="BW37" s="5" t="b">
        <f t="shared" si="55"/>
        <v>1</v>
      </c>
      <c r="BX37" s="5" t="b">
        <f t="shared" si="56"/>
        <v>1</v>
      </c>
      <c r="BY37" s="5" t="b">
        <f t="shared" si="57"/>
        <v>1</v>
      </c>
      <c r="BZ37" s="5" t="b">
        <f t="shared" si="58"/>
        <v>1</v>
      </c>
      <c r="CA37" s="5" t="b">
        <f t="shared" si="59"/>
        <v>1</v>
      </c>
      <c r="CB37" s="5" t="b">
        <f t="shared" si="60"/>
        <v>1</v>
      </c>
      <c r="CC37" s="5" t="b">
        <f t="shared" si="61"/>
        <v>1</v>
      </c>
      <c r="CG37" s="2"/>
      <c r="CH37" s="3">
        <v>8.5613036773769576E-3</v>
      </c>
      <c r="CI37" s="3">
        <v>0.67128403833978412</v>
      </c>
      <c r="CJ37" s="3">
        <v>0.18659750515010232</v>
      </c>
      <c r="CK37" s="3">
        <v>6.5474515623576049E-2</v>
      </c>
      <c r="CL37" s="3">
        <v>3.7644805640178226E-2</v>
      </c>
      <c r="CM37" s="3">
        <v>2.0113831639176391E-2</v>
      </c>
      <c r="CN37" s="3">
        <v>5.4481023401489722E-3</v>
      </c>
      <c r="CO37" s="3">
        <v>2.9781101128001633E-3</v>
      </c>
      <c r="CP37" s="3">
        <v>4.5191632314599766E-4</v>
      </c>
      <c r="CQ37" s="3">
        <v>2.5943344476899864E-4</v>
      </c>
      <c r="CR37" s="3">
        <v>4.8643770894187259E-4</v>
      </c>
      <c r="CS37" s="3">
        <v>0</v>
      </c>
    </row>
    <row r="38" spans="2:97" x14ac:dyDescent="0.4">
      <c r="C38" s="2">
        <f>C37+1</f>
        <v>2</v>
      </c>
      <c r="D38" s="3">
        <v>8.8000000000000005E-3</v>
      </c>
      <c r="E38" s="3">
        <v>0.69</v>
      </c>
      <c r="F38" s="3">
        <v>0.1918</v>
      </c>
      <c r="G38" s="3">
        <v>6.7299999999999999E-2</v>
      </c>
      <c r="H38" s="3">
        <v>3.8694374375359782E-2</v>
      </c>
      <c r="I38" s="3">
        <v>2.0674622124720925E-2</v>
      </c>
      <c r="J38" s="3">
        <v>5.5999999999999999E-3</v>
      </c>
      <c r="K38" s="3">
        <v>3.0611423190014617E-3</v>
      </c>
      <c r="L38" s="3">
        <v>4.6451612903225802E-4</v>
      </c>
      <c r="M38" s="3">
        <v>2.6666666666666663E-4</v>
      </c>
      <c r="N38" s="3">
        <v>1.5308641975308641E-4</v>
      </c>
      <c r="O38" s="3">
        <v>0</v>
      </c>
      <c r="P38" s="3"/>
      <c r="AL38" s="2"/>
      <c r="AM38" s="3">
        <v>8.9999999999999998E-4</v>
      </c>
      <c r="AN38" s="3">
        <v>0.15129999999999999</v>
      </c>
      <c r="AO38" s="3">
        <v>0.5071</v>
      </c>
      <c r="AP38" s="3">
        <v>0.2301</v>
      </c>
      <c r="AQ38" s="3">
        <v>6.6500000000000004E-2</v>
      </c>
      <c r="AR38" s="3">
        <v>2.7400000000000001E-2</v>
      </c>
      <c r="AS38" s="3">
        <v>9.5999999999999992E-3</v>
      </c>
      <c r="AT38" s="3">
        <v>5.7843414340205531E-3</v>
      </c>
      <c r="AU38" s="3">
        <v>1.1999999999999999E-3</v>
      </c>
      <c r="AV38" s="3">
        <v>7.9999999999999993E-4</v>
      </c>
      <c r="AW38" s="3">
        <v>5.4772255750516611E-4</v>
      </c>
      <c r="AX38" s="3">
        <v>0</v>
      </c>
      <c r="BB38" s="2"/>
      <c r="BC38" s="5" t="b">
        <f t="shared" ref="BC38:BC47" si="62">IF(AN38&lt;AM38,FALSE,TRUE)</f>
        <v>1</v>
      </c>
      <c r="BD38" s="5" t="b">
        <f t="shared" ref="BD38:BD47" si="63">IF(AO38&lt;AN38,FALSE,TRUE)</f>
        <v>1</v>
      </c>
      <c r="BE38" s="6"/>
      <c r="BF38" s="5" t="b">
        <f t="shared" si="43"/>
        <v>1</v>
      </c>
      <c r="BG38" s="5" t="b">
        <f t="shared" si="44"/>
        <v>1</v>
      </c>
      <c r="BH38" s="5" t="b">
        <f t="shared" si="45"/>
        <v>1</v>
      </c>
      <c r="BI38" s="5" t="b">
        <f t="shared" si="46"/>
        <v>1</v>
      </c>
      <c r="BJ38" s="5" t="b">
        <f t="shared" si="47"/>
        <v>1</v>
      </c>
      <c r="BK38" s="5" t="b">
        <f t="shared" si="48"/>
        <v>1</v>
      </c>
      <c r="BL38" s="5" t="b">
        <f t="shared" si="49"/>
        <v>1</v>
      </c>
      <c r="BM38" s="5" t="b">
        <f t="shared" si="50"/>
        <v>1</v>
      </c>
      <c r="BN38" s="5" t="b">
        <f t="shared" si="51"/>
        <v>1</v>
      </c>
      <c r="BQ38" s="2"/>
      <c r="BR38" s="5" t="b">
        <f t="shared" ref="BR38:BR47" si="64">IF(AM37&gt;=AM38, TRUE, FALSE)</f>
        <v>1</v>
      </c>
      <c r="BS38" s="5" t="b">
        <f t="shared" ref="BS38:BS47" si="65">IF(AN37&gt;=AN38, TRUE, FALSE)</f>
        <v>1</v>
      </c>
      <c r="BT38" s="6"/>
      <c r="BU38" s="5" t="b">
        <f t="shared" si="53"/>
        <v>1</v>
      </c>
      <c r="BV38" s="5" t="b">
        <f t="shared" si="54"/>
        <v>1</v>
      </c>
      <c r="BW38" s="5" t="b">
        <f t="shared" si="55"/>
        <v>1</v>
      </c>
      <c r="BX38" s="5" t="b">
        <f t="shared" si="56"/>
        <v>1</v>
      </c>
      <c r="BY38" s="5" t="b">
        <f t="shared" si="57"/>
        <v>1</v>
      </c>
      <c r="BZ38" s="5" t="b">
        <f t="shared" si="58"/>
        <v>1</v>
      </c>
      <c r="CA38" s="5" t="b">
        <f t="shared" si="59"/>
        <v>1</v>
      </c>
      <c r="CB38" s="5" t="b">
        <f t="shared" si="60"/>
        <v>1</v>
      </c>
      <c r="CC38" s="5" t="b">
        <f t="shared" si="61"/>
        <v>1</v>
      </c>
      <c r="CG38" s="2"/>
      <c r="CH38" s="3">
        <v>8.970947218961638E-4</v>
      </c>
      <c r="CI38" s="3">
        <v>0.1508115904698773</v>
      </c>
      <c r="CJ38" s="3">
        <v>0.50546303719282748</v>
      </c>
      <c r="CK38" s="3">
        <v>0.22935721723145258</v>
      </c>
      <c r="CL38" s="3">
        <v>6.628533222899434E-2</v>
      </c>
      <c r="CM38" s="3">
        <v>2.7311550422172103E-2</v>
      </c>
      <c r="CN38" s="3">
        <v>9.5690103668924133E-3</v>
      </c>
      <c r="CO38" s="3">
        <v>5.7656690778945851E-3</v>
      </c>
      <c r="CP38" s="3">
        <v>1.1961262958615517E-3</v>
      </c>
      <c r="CQ38" s="3">
        <v>7.9741753057436778E-4</v>
      </c>
      <c r="CR38" s="3">
        <v>5.4595446155705849E-4</v>
      </c>
      <c r="CS38" s="3">
        <v>0</v>
      </c>
    </row>
    <row r="39" spans="2:97" x14ac:dyDescent="0.4">
      <c r="C39" s="2">
        <f t="shared" ref="C39:C48" si="66">C38+1</f>
        <v>3</v>
      </c>
      <c r="D39" s="3">
        <v>8.9999999999999998E-4</v>
      </c>
      <c r="E39" s="3">
        <v>0.15129999999999999</v>
      </c>
      <c r="F39" s="3">
        <v>0.5071</v>
      </c>
      <c r="G39" s="3">
        <v>0.2301</v>
      </c>
      <c r="H39" s="3">
        <v>6.6500000000000004E-2</v>
      </c>
      <c r="I39" s="3">
        <v>2.7400000000000001E-2</v>
      </c>
      <c r="J39" s="3">
        <v>9.5999999999999992E-3</v>
      </c>
      <c r="K39" s="3">
        <v>5.7843414340205531E-3</v>
      </c>
      <c r="L39" s="3">
        <v>1.1999999999999999E-3</v>
      </c>
      <c r="M39" s="3">
        <v>7.9999999999999993E-4</v>
      </c>
      <c r="N39" s="3">
        <v>5.4772255750516611E-4</v>
      </c>
      <c r="O39" s="3">
        <v>0</v>
      </c>
      <c r="P39" s="3"/>
      <c r="AL39" s="2"/>
      <c r="AM39" s="3">
        <v>0</v>
      </c>
      <c r="AN39" s="3">
        <v>2.5000000000000001E-2</v>
      </c>
      <c r="AO39" s="3">
        <v>0.153</v>
      </c>
      <c r="AP39" s="3">
        <v>0.51390000000000002</v>
      </c>
      <c r="AQ39" s="3">
        <v>0.1978</v>
      </c>
      <c r="AR39" s="3">
        <v>7.0199999999999999E-2</v>
      </c>
      <c r="AS39" s="3">
        <v>2.1700000000000001E-2</v>
      </c>
      <c r="AT39" s="3">
        <v>8.0999999999999996E-3</v>
      </c>
      <c r="AU39" s="3">
        <v>3.0999999999999999E-3</v>
      </c>
      <c r="AV39" s="3">
        <v>2.3999999999999998E-3</v>
      </c>
      <c r="AW39" s="3">
        <v>5.9999999999999995E-4</v>
      </c>
      <c r="AX39" s="3">
        <v>0</v>
      </c>
      <c r="BB39" s="2"/>
      <c r="BC39" s="5" t="b">
        <f t="shared" si="62"/>
        <v>1</v>
      </c>
      <c r="BD39" s="5" t="b">
        <f t="shared" si="63"/>
        <v>1</v>
      </c>
      <c r="BE39" s="5" t="b">
        <f t="shared" ref="BE39:BE47" si="67">IF(AP39&lt;AO39,FALSE,TRUE)</f>
        <v>1</v>
      </c>
      <c r="BF39" s="6"/>
      <c r="BG39" s="5" t="b">
        <f t="shared" si="44"/>
        <v>1</v>
      </c>
      <c r="BH39" s="5" t="b">
        <f t="shared" si="45"/>
        <v>1</v>
      </c>
      <c r="BI39" s="5" t="b">
        <f t="shared" si="46"/>
        <v>1</v>
      </c>
      <c r="BJ39" s="5" t="b">
        <f t="shared" si="47"/>
        <v>1</v>
      </c>
      <c r="BK39" s="5" t="b">
        <f t="shared" si="48"/>
        <v>1</v>
      </c>
      <c r="BL39" s="5" t="b">
        <f t="shared" si="49"/>
        <v>1</v>
      </c>
      <c r="BM39" s="5" t="b">
        <f t="shared" si="50"/>
        <v>1</v>
      </c>
      <c r="BN39" s="5" t="b">
        <f t="shared" si="51"/>
        <v>1</v>
      </c>
      <c r="BQ39" s="2"/>
      <c r="BR39" s="5" t="b">
        <f t="shared" si="64"/>
        <v>1</v>
      </c>
      <c r="BS39" s="5" t="b">
        <f t="shared" si="65"/>
        <v>1</v>
      </c>
      <c r="BT39" s="5" t="b">
        <f t="shared" ref="BT39:BT47" si="68">IF(AO38&gt;=AO39, TRUE, FALSE)</f>
        <v>1</v>
      </c>
      <c r="BU39" s="6"/>
      <c r="BV39" s="5" t="b">
        <f t="shared" si="54"/>
        <v>1</v>
      </c>
      <c r="BW39" s="5" t="b">
        <f t="shared" si="55"/>
        <v>1</v>
      </c>
      <c r="BX39" s="5" t="b">
        <f t="shared" si="56"/>
        <v>1</v>
      </c>
      <c r="BY39" s="5" t="b">
        <f t="shared" si="57"/>
        <v>1</v>
      </c>
      <c r="BZ39" s="5" t="b">
        <f t="shared" si="58"/>
        <v>1</v>
      </c>
      <c r="CA39" s="5" t="b">
        <f t="shared" si="59"/>
        <v>1</v>
      </c>
      <c r="CB39" s="5" t="b">
        <f t="shared" si="60"/>
        <v>1</v>
      </c>
      <c r="CC39" s="5" t="b">
        <f t="shared" si="61"/>
        <v>1</v>
      </c>
      <c r="CG39" s="2"/>
      <c r="CH39" s="3">
        <v>0</v>
      </c>
      <c r="CI39" s="3">
        <v>2.4997489455713999E-2</v>
      </c>
      <c r="CJ39" s="3">
        <v>0.15298463546896968</v>
      </c>
      <c r="CK39" s="3">
        <v>0.51384839325165699</v>
      </c>
      <c r="CL39" s="3">
        <v>0.19778013657360918</v>
      </c>
      <c r="CM39" s="3">
        <v>7.0192950391644901E-2</v>
      </c>
      <c r="CN39" s="3">
        <v>2.1697820847559751E-2</v>
      </c>
      <c r="CO39" s="3">
        <v>8.0991865836513351E-3</v>
      </c>
      <c r="CP39" s="3">
        <v>3.0996886925085359E-3</v>
      </c>
      <c r="CQ39" s="3">
        <v>2.3997589877485436E-3</v>
      </c>
      <c r="CR39" s="3">
        <v>5.9993974693713591E-4</v>
      </c>
      <c r="CS39" s="3">
        <v>0</v>
      </c>
    </row>
    <row r="40" spans="2:97" x14ac:dyDescent="0.4">
      <c r="C40" s="2">
        <f t="shared" si="66"/>
        <v>4</v>
      </c>
      <c r="D40" s="3">
        <v>0</v>
      </c>
      <c r="E40" s="3">
        <v>2.5000000000000001E-2</v>
      </c>
      <c r="F40" s="3">
        <v>0.153</v>
      </c>
      <c r="G40" s="3">
        <v>0.51390000000000002</v>
      </c>
      <c r="H40" s="3">
        <v>0.1978</v>
      </c>
      <c r="I40" s="3">
        <v>7.0199999999999999E-2</v>
      </c>
      <c r="J40" s="3">
        <v>2.1700000000000001E-2</v>
      </c>
      <c r="K40" s="3">
        <v>8.0999999999999996E-3</v>
      </c>
      <c r="L40" s="3">
        <v>3.0999999999999999E-3</v>
      </c>
      <c r="M40" s="3">
        <v>2.3999999999999998E-3</v>
      </c>
      <c r="N40" s="3">
        <v>5.9999999999999995E-4</v>
      </c>
      <c r="O40" s="3">
        <v>0</v>
      </c>
      <c r="P40" s="3"/>
      <c r="AL40" s="2"/>
      <c r="AM40" s="3">
        <v>0</v>
      </c>
      <c r="AN40" s="3">
        <v>6.6E-3</v>
      </c>
      <c r="AO40" s="3">
        <v>3.0800000000000001E-2</v>
      </c>
      <c r="AP40" s="3">
        <v>0.1767</v>
      </c>
      <c r="AQ40" s="3">
        <v>0.4738</v>
      </c>
      <c r="AR40" s="3">
        <v>0.2059</v>
      </c>
      <c r="AS40" s="3">
        <v>6.4100000000000004E-2</v>
      </c>
      <c r="AT40" s="3">
        <v>2.1600000000000001E-2</v>
      </c>
      <c r="AU40" s="3">
        <v>7.1999999999999998E-3</v>
      </c>
      <c r="AV40" s="3">
        <v>4.3E-3</v>
      </c>
      <c r="AW40" s="3">
        <v>1.1999999999999999E-3</v>
      </c>
      <c r="AX40" s="3">
        <v>1E-4</v>
      </c>
      <c r="BB40" s="2"/>
      <c r="BC40" s="5" t="b">
        <f t="shared" si="62"/>
        <v>1</v>
      </c>
      <c r="BD40" s="5" t="b">
        <f t="shared" si="63"/>
        <v>1</v>
      </c>
      <c r="BE40" s="5" t="b">
        <f t="shared" si="67"/>
        <v>1</v>
      </c>
      <c r="BF40" s="5" t="b">
        <f t="shared" ref="BF40:BF47" si="69">IF(AQ40&lt;AP40,FALSE,TRUE)</f>
        <v>1</v>
      </c>
      <c r="BG40" s="6"/>
      <c r="BH40" s="5" t="b">
        <f t="shared" si="45"/>
        <v>1</v>
      </c>
      <c r="BI40" s="5" t="b">
        <f t="shared" si="46"/>
        <v>1</v>
      </c>
      <c r="BJ40" s="5" t="b">
        <f t="shared" si="47"/>
        <v>1</v>
      </c>
      <c r="BK40" s="5" t="b">
        <f t="shared" si="48"/>
        <v>1</v>
      </c>
      <c r="BL40" s="5" t="b">
        <f t="shared" si="49"/>
        <v>1</v>
      </c>
      <c r="BM40" s="5" t="b">
        <f t="shared" si="50"/>
        <v>1</v>
      </c>
      <c r="BN40" s="5" t="b">
        <f t="shared" si="51"/>
        <v>1</v>
      </c>
      <c r="BQ40" s="2"/>
      <c r="BR40" s="5" t="b">
        <f t="shared" si="64"/>
        <v>1</v>
      </c>
      <c r="BS40" s="5" t="b">
        <f t="shared" si="65"/>
        <v>1</v>
      </c>
      <c r="BT40" s="5" t="b">
        <f t="shared" si="68"/>
        <v>1</v>
      </c>
      <c r="BU40" s="5" t="b">
        <f t="shared" ref="BU40:BU47" si="70">IF(AP39&gt;=AP40, TRUE, FALSE)</f>
        <v>1</v>
      </c>
      <c r="BV40" s="6"/>
      <c r="BW40" s="5" t="b">
        <f t="shared" si="55"/>
        <v>1</v>
      </c>
      <c r="BX40" s="5" t="b">
        <f t="shared" si="56"/>
        <v>1</v>
      </c>
      <c r="BY40" s="5" t="b">
        <f t="shared" si="57"/>
        <v>1</v>
      </c>
      <c r="BZ40" s="5" t="b">
        <f t="shared" si="58"/>
        <v>1</v>
      </c>
      <c r="CA40" s="5" t="b">
        <f t="shared" si="59"/>
        <v>1</v>
      </c>
      <c r="CB40" s="5" t="b">
        <f t="shared" si="60"/>
        <v>1</v>
      </c>
      <c r="CC40" s="5" t="b">
        <f t="shared" si="61"/>
        <v>1</v>
      </c>
      <c r="CG40" s="2"/>
      <c r="CH40" s="3">
        <v>0</v>
      </c>
      <c r="CI40" s="3">
        <v>6.6000000000000008E-3</v>
      </c>
      <c r="CJ40" s="3">
        <v>3.0800000000000004E-2</v>
      </c>
      <c r="CK40" s="3">
        <v>0.17670000000000002</v>
      </c>
      <c r="CL40" s="3">
        <v>0.47380000000000005</v>
      </c>
      <c r="CM40" s="3">
        <v>0.20590000000000003</v>
      </c>
      <c r="CN40" s="3">
        <v>6.4100000000000018E-2</v>
      </c>
      <c r="CO40" s="3">
        <v>2.1600000000000005E-2</v>
      </c>
      <c r="CP40" s="3">
        <v>7.2000000000000007E-3</v>
      </c>
      <c r="CQ40" s="3">
        <v>4.3E-3</v>
      </c>
      <c r="CR40" s="3">
        <v>1.2000000000000001E-3</v>
      </c>
      <c r="CS40" s="3">
        <v>1.0000000000000002E-4</v>
      </c>
    </row>
    <row r="41" spans="2:97" x14ac:dyDescent="0.4">
      <c r="C41" s="2">
        <f t="shared" si="66"/>
        <v>5</v>
      </c>
      <c r="D41" s="3">
        <v>0</v>
      </c>
      <c r="E41" s="3">
        <v>6.6E-3</v>
      </c>
      <c r="F41" s="3">
        <v>3.0800000000000001E-2</v>
      </c>
      <c r="G41" s="3">
        <v>0.1767</v>
      </c>
      <c r="H41" s="3">
        <v>0.4738</v>
      </c>
      <c r="I41" s="3">
        <v>0.2059</v>
      </c>
      <c r="J41" s="3">
        <v>6.4100000000000004E-2</v>
      </c>
      <c r="K41" s="3">
        <v>2.1600000000000001E-2</v>
      </c>
      <c r="L41" s="3">
        <v>7.1999999999999998E-3</v>
      </c>
      <c r="M41" s="3">
        <v>4.3E-3</v>
      </c>
      <c r="N41" s="3">
        <v>1.1999999999999999E-3</v>
      </c>
      <c r="O41" s="3">
        <v>1E-4</v>
      </c>
      <c r="P41" s="3"/>
      <c r="AL41" s="2"/>
      <c r="AM41" s="3">
        <v>0</v>
      </c>
      <c r="AN41" s="3">
        <v>2.0999999999999999E-3</v>
      </c>
      <c r="AO41" s="3">
        <v>1.0800000000000001E-2</v>
      </c>
      <c r="AP41" s="3">
        <v>4.9099999999999998E-2</v>
      </c>
      <c r="AQ41" s="3">
        <v>0.20730000000000001</v>
      </c>
      <c r="AR41" s="3">
        <v>0.43469999999999998</v>
      </c>
      <c r="AS41" s="3">
        <v>0.1797</v>
      </c>
      <c r="AT41" s="3">
        <v>6.2100000000000002E-2</v>
      </c>
      <c r="AU41" s="3">
        <v>1.7399999999999999E-2</v>
      </c>
      <c r="AV41" s="3">
        <v>1.5599999999999999E-2</v>
      </c>
      <c r="AW41" s="3">
        <v>3.8E-3</v>
      </c>
      <c r="AX41" s="3">
        <v>1.4142135623730951E-4</v>
      </c>
      <c r="BB41" s="2"/>
      <c r="BC41" s="5" t="b">
        <f t="shared" si="62"/>
        <v>1</v>
      </c>
      <c r="BD41" s="5" t="b">
        <f t="shared" si="63"/>
        <v>1</v>
      </c>
      <c r="BE41" s="5" t="b">
        <f t="shared" si="67"/>
        <v>1</v>
      </c>
      <c r="BF41" s="5" t="b">
        <f t="shared" si="69"/>
        <v>1</v>
      </c>
      <c r="BG41" s="5" t="b">
        <f t="shared" ref="BG41:BG47" si="71">IF(AR41&lt;AQ41,FALSE,TRUE)</f>
        <v>1</v>
      </c>
      <c r="BH41" s="6"/>
      <c r="BI41" s="5" t="b">
        <f t="shared" si="46"/>
        <v>1</v>
      </c>
      <c r="BJ41" s="5" t="b">
        <f t="shared" si="47"/>
        <v>1</v>
      </c>
      <c r="BK41" s="5" t="b">
        <f t="shared" si="48"/>
        <v>1</v>
      </c>
      <c r="BL41" s="5" t="b">
        <f t="shared" si="49"/>
        <v>1</v>
      </c>
      <c r="BM41" s="5" t="b">
        <f t="shared" si="50"/>
        <v>1</v>
      </c>
      <c r="BN41" s="5" t="b">
        <f t="shared" si="51"/>
        <v>1</v>
      </c>
      <c r="BQ41" s="2"/>
      <c r="BR41" s="5" t="b">
        <f t="shared" si="64"/>
        <v>1</v>
      </c>
      <c r="BS41" s="5" t="b">
        <f t="shared" si="65"/>
        <v>1</v>
      </c>
      <c r="BT41" s="5" t="b">
        <f t="shared" si="68"/>
        <v>1</v>
      </c>
      <c r="BU41" s="5" t="b">
        <f t="shared" si="70"/>
        <v>1</v>
      </c>
      <c r="BV41" s="5" t="b">
        <f t="shared" ref="BV41:BV47" si="72">IF(AQ40&gt;=AQ41, TRUE, FALSE)</f>
        <v>1</v>
      </c>
      <c r="BW41" s="6"/>
      <c r="BX41" s="5" t="b">
        <f t="shared" si="56"/>
        <v>1</v>
      </c>
      <c r="BY41" s="5" t="b">
        <f t="shared" si="57"/>
        <v>1</v>
      </c>
      <c r="BZ41" s="5" t="b">
        <f t="shared" si="58"/>
        <v>1</v>
      </c>
      <c r="CA41" s="5" t="b">
        <f t="shared" si="59"/>
        <v>1</v>
      </c>
      <c r="CB41" s="5" t="b">
        <f t="shared" si="60"/>
        <v>1</v>
      </c>
      <c r="CC41" s="5" t="b">
        <f t="shared" si="61"/>
        <v>1</v>
      </c>
      <c r="CG41" s="2"/>
      <c r="CH41" s="3">
        <v>0</v>
      </c>
      <c r="CI41" s="3">
        <v>2.1001251755031671E-3</v>
      </c>
      <c r="CJ41" s="3">
        <v>1.0800643759730576E-2</v>
      </c>
      <c r="CK41" s="3">
        <v>4.9102926722478818E-2</v>
      </c>
      <c r="CL41" s="3">
        <v>0.20731235661038414</v>
      </c>
      <c r="CM41" s="3">
        <v>0.43472591132915567</v>
      </c>
      <c r="CN41" s="3">
        <v>0.17971071144662817</v>
      </c>
      <c r="CO41" s="3">
        <v>6.2103701618450816E-2</v>
      </c>
      <c r="CP41" s="3">
        <v>1.7401037168454817E-2</v>
      </c>
      <c r="CQ41" s="3">
        <v>1.5600929875166387E-2</v>
      </c>
      <c r="CR41" s="3">
        <v>3.800226508053351E-3</v>
      </c>
      <c r="CS41" s="3">
        <v>1.4142978599417886E-4</v>
      </c>
    </row>
    <row r="42" spans="2:97" x14ac:dyDescent="0.4">
      <c r="C42" s="2">
        <f t="shared" si="66"/>
        <v>6</v>
      </c>
      <c r="D42" s="3">
        <v>0</v>
      </c>
      <c r="E42" s="3">
        <v>2.0999999999999999E-3</v>
      </c>
      <c r="F42" s="3">
        <v>1.0800000000000001E-2</v>
      </c>
      <c r="G42" s="3">
        <v>4.9099999999999998E-2</v>
      </c>
      <c r="H42" s="3">
        <v>0.20730000000000001</v>
      </c>
      <c r="I42" s="3">
        <v>0.43469999999999998</v>
      </c>
      <c r="J42" s="3">
        <v>0.1797</v>
      </c>
      <c r="K42" s="3">
        <v>6.2100000000000002E-2</v>
      </c>
      <c r="L42" s="3">
        <v>1.7399999999999999E-2</v>
      </c>
      <c r="M42" s="3">
        <v>1.5599999999999999E-2</v>
      </c>
      <c r="N42" s="3">
        <v>3.8E-3</v>
      </c>
      <c r="O42" s="3">
        <v>1.4142135623730951E-4</v>
      </c>
      <c r="P42" s="3"/>
      <c r="AL42" s="2"/>
      <c r="AM42" s="3">
        <v>0</v>
      </c>
      <c r="AN42" s="3">
        <v>1.897564207580674E-3</v>
      </c>
      <c r="AO42" s="3">
        <v>8.7718719053578136E-3</v>
      </c>
      <c r="AP42" s="3">
        <v>1.1900000000000001E-2</v>
      </c>
      <c r="AQ42" s="3">
        <v>5.9400000000000001E-2</v>
      </c>
      <c r="AR42" s="3">
        <v>0.24210000000000001</v>
      </c>
      <c r="AS42" s="3">
        <v>0.36580000000000001</v>
      </c>
      <c r="AT42" s="3">
        <v>0.1741</v>
      </c>
      <c r="AU42" s="3">
        <v>6.4199999999999993E-2</v>
      </c>
      <c r="AV42" s="3">
        <v>3.3500000000000002E-2</v>
      </c>
      <c r="AW42" s="3">
        <v>1.12E-2</v>
      </c>
      <c r="AX42" s="3">
        <v>2.0000000000000001E-4</v>
      </c>
      <c r="BB42" s="2"/>
      <c r="BC42" s="5" t="b">
        <f t="shared" si="62"/>
        <v>1</v>
      </c>
      <c r="BD42" s="5" t="b">
        <f t="shared" si="63"/>
        <v>1</v>
      </c>
      <c r="BE42" s="5" t="b">
        <f t="shared" si="67"/>
        <v>1</v>
      </c>
      <c r="BF42" s="5" t="b">
        <f t="shared" si="69"/>
        <v>1</v>
      </c>
      <c r="BG42" s="5" t="b">
        <f t="shared" si="71"/>
        <v>1</v>
      </c>
      <c r="BH42" s="5" t="b">
        <f t="shared" ref="BH42:BH47" si="73">IF(AS42&lt;AR42,FALSE,TRUE)</f>
        <v>1</v>
      </c>
      <c r="BI42" s="6"/>
      <c r="BJ42" s="5" t="b">
        <f t="shared" si="47"/>
        <v>1</v>
      </c>
      <c r="BK42" s="5" t="b">
        <f t="shared" si="48"/>
        <v>1</v>
      </c>
      <c r="BL42" s="5" t="b">
        <f t="shared" si="49"/>
        <v>1</v>
      </c>
      <c r="BM42" s="5" t="b">
        <f t="shared" si="50"/>
        <v>1</v>
      </c>
      <c r="BN42" s="5" t="b">
        <f t="shared" si="51"/>
        <v>1</v>
      </c>
      <c r="BQ42" s="2"/>
      <c r="BR42" s="5" t="b">
        <f t="shared" si="64"/>
        <v>1</v>
      </c>
      <c r="BS42" s="5" t="b">
        <f t="shared" si="65"/>
        <v>1</v>
      </c>
      <c r="BT42" s="5" t="b">
        <f t="shared" si="68"/>
        <v>1</v>
      </c>
      <c r="BU42" s="5" t="b">
        <f t="shared" si="70"/>
        <v>1</v>
      </c>
      <c r="BV42" s="5" t="b">
        <f t="shared" si="72"/>
        <v>1</v>
      </c>
      <c r="BW42" s="5" t="b">
        <f t="shared" ref="BW42:BW47" si="74">IF(AR41&gt;=AR42, TRUE, FALSE)</f>
        <v>1</v>
      </c>
      <c r="BX42" s="6"/>
      <c r="BY42" s="5" t="b">
        <f t="shared" si="57"/>
        <v>1</v>
      </c>
      <c r="BZ42" s="5" t="b">
        <f t="shared" si="58"/>
        <v>1</v>
      </c>
      <c r="CA42" s="5" t="b">
        <f t="shared" si="59"/>
        <v>1</v>
      </c>
      <c r="CB42" s="5" t="b">
        <f t="shared" si="60"/>
        <v>1</v>
      </c>
      <c r="CC42" s="5" t="b">
        <f t="shared" si="61"/>
        <v>1</v>
      </c>
      <c r="CG42" s="2"/>
      <c r="CH42" s="3">
        <v>0</v>
      </c>
      <c r="CI42" s="3">
        <v>1.8849482832123364E-3</v>
      </c>
      <c r="CJ42" s="3">
        <v>8.7135522595273122E-3</v>
      </c>
      <c r="CK42" s="3">
        <v>1.1820883046073772E-2</v>
      </c>
      <c r="CL42" s="3">
        <v>5.9005080078721184E-2</v>
      </c>
      <c r="CM42" s="3">
        <v>0.24049040213903028</v>
      </c>
      <c r="CN42" s="3">
        <v>0.36336798472720894</v>
      </c>
      <c r="CO42" s="3">
        <v>0.17294249901860873</v>
      </c>
      <c r="CP42" s="3">
        <v>6.377316735780976E-2</v>
      </c>
      <c r="CQ42" s="3">
        <v>3.3277275801972386E-2</v>
      </c>
      <c r="CR42" s="3">
        <v>1.1125536984540019E-2</v>
      </c>
      <c r="CS42" s="3">
        <v>1.9867030329535752E-4</v>
      </c>
    </row>
    <row r="43" spans="2:97" x14ac:dyDescent="0.4">
      <c r="C43" s="2">
        <f t="shared" si="66"/>
        <v>7</v>
      </c>
      <c r="D43" s="3">
        <v>0</v>
      </c>
      <c r="E43" s="3">
        <v>1.897564207580674E-3</v>
      </c>
      <c r="F43" s="3">
        <v>8.7718719053578136E-3</v>
      </c>
      <c r="G43" s="3">
        <v>1.1900000000000001E-2</v>
      </c>
      <c r="H43" s="3">
        <v>5.9400000000000001E-2</v>
      </c>
      <c r="I43" s="3">
        <v>0.24210000000000001</v>
      </c>
      <c r="J43" s="3">
        <v>0.36580000000000001</v>
      </c>
      <c r="K43" s="3">
        <v>0.1741</v>
      </c>
      <c r="L43" s="3">
        <v>6.4199999999999993E-2</v>
      </c>
      <c r="M43" s="3">
        <v>3.3500000000000002E-2</v>
      </c>
      <c r="N43" s="3">
        <v>1.12E-2</v>
      </c>
      <c r="O43" s="3">
        <v>2.0000000000000001E-4</v>
      </c>
      <c r="P43" s="3"/>
      <c r="AL43" s="2"/>
      <c r="AM43" s="3">
        <v>0</v>
      </c>
      <c r="AN43" s="3">
        <v>1.7146428199482245E-3</v>
      </c>
      <c r="AO43" s="3">
        <v>7.1246052522227505E-3</v>
      </c>
      <c r="AP43" s="3">
        <v>7.6E-3</v>
      </c>
      <c r="AQ43" s="3">
        <v>2.29E-2</v>
      </c>
      <c r="AR43" s="3">
        <v>8.0399999999999999E-2</v>
      </c>
      <c r="AS43" s="3">
        <v>0.22700000000000001</v>
      </c>
      <c r="AT43" s="3">
        <v>0.34599999999999997</v>
      </c>
      <c r="AU43" s="3">
        <v>0.16639999999999999</v>
      </c>
      <c r="AV43" s="3">
        <v>6.4699999999999994E-2</v>
      </c>
      <c r="AW43" s="3">
        <v>2.4799999999999999E-2</v>
      </c>
      <c r="AX43" s="3">
        <v>5.0000000000000001E-4</v>
      </c>
      <c r="BB43" s="2"/>
      <c r="BC43" s="5" t="b">
        <f t="shared" si="62"/>
        <v>1</v>
      </c>
      <c r="BD43" s="5" t="b">
        <f t="shared" si="63"/>
        <v>1</v>
      </c>
      <c r="BE43" s="5" t="b">
        <f t="shared" si="67"/>
        <v>1</v>
      </c>
      <c r="BF43" s="5" t="b">
        <f t="shared" si="69"/>
        <v>1</v>
      </c>
      <c r="BG43" s="5" t="b">
        <f t="shared" si="71"/>
        <v>1</v>
      </c>
      <c r="BH43" s="5" t="b">
        <f t="shared" si="73"/>
        <v>1</v>
      </c>
      <c r="BI43" s="5" t="b">
        <f t="shared" ref="BI43:BI47" si="75">IF(AT43&lt;AS43,FALSE,TRUE)</f>
        <v>1</v>
      </c>
      <c r="BJ43" s="6"/>
      <c r="BK43" s="5" t="b">
        <f t="shared" si="48"/>
        <v>1</v>
      </c>
      <c r="BL43" s="5" t="b">
        <f t="shared" si="49"/>
        <v>1</v>
      </c>
      <c r="BM43" s="5" t="b">
        <f t="shared" si="50"/>
        <v>1</v>
      </c>
      <c r="BN43" s="5" t="b">
        <f t="shared" si="51"/>
        <v>1</v>
      </c>
      <c r="BQ43" s="2"/>
      <c r="BR43" s="5" t="b">
        <f t="shared" si="64"/>
        <v>1</v>
      </c>
      <c r="BS43" s="5" t="b">
        <f t="shared" si="65"/>
        <v>1</v>
      </c>
      <c r="BT43" s="5" t="b">
        <f t="shared" si="68"/>
        <v>1</v>
      </c>
      <c r="BU43" s="5" t="b">
        <f t="shared" si="70"/>
        <v>1</v>
      </c>
      <c r="BV43" s="5" t="b">
        <f t="shared" si="72"/>
        <v>1</v>
      </c>
      <c r="BW43" s="5" t="b">
        <f t="shared" si="74"/>
        <v>1</v>
      </c>
      <c r="BX43" s="5" t="b">
        <f t="shared" ref="BX43:BX47" si="76">IF(AS42&gt;=AS43, TRUE, FALSE)</f>
        <v>1</v>
      </c>
      <c r="BY43" s="6"/>
      <c r="BZ43" s="5" t="b">
        <f t="shared" si="58"/>
        <v>1</v>
      </c>
      <c r="CA43" s="5" t="b">
        <f t="shared" si="59"/>
        <v>1</v>
      </c>
      <c r="CB43" s="5" t="b">
        <f t="shared" si="60"/>
        <v>1</v>
      </c>
      <c r="CC43" s="5" t="b">
        <f t="shared" si="61"/>
        <v>1</v>
      </c>
      <c r="CG43" s="2"/>
      <c r="CH43" s="3">
        <v>0</v>
      </c>
      <c r="CI43" s="3">
        <v>1.7015649446480681E-3</v>
      </c>
      <c r="CJ43" s="3">
        <v>7.0702646642195758E-3</v>
      </c>
      <c r="CK43" s="3">
        <v>7.5420334946002393E-3</v>
      </c>
      <c r="CL43" s="3">
        <v>2.2725337766624408E-2</v>
      </c>
      <c r="CM43" s="3">
        <v>7.9786775390244632E-2</v>
      </c>
      <c r="CN43" s="3">
        <v>0.22526863200977035</v>
      </c>
      <c r="CO43" s="3">
        <v>0.34336099856995828</v>
      </c>
      <c r="CP43" s="3">
        <v>0.16513083861861577</v>
      </c>
      <c r="CQ43" s="3">
        <v>6.4206521986925724E-2</v>
      </c>
      <c r="CR43" s="3">
        <v>2.4610846140274464E-2</v>
      </c>
      <c r="CS43" s="3">
        <v>4.9618641411843683E-4</v>
      </c>
    </row>
    <row r="44" spans="2:97" x14ac:dyDescent="0.4">
      <c r="C44" s="2">
        <f t="shared" si="66"/>
        <v>8</v>
      </c>
      <c r="D44" s="3">
        <v>0</v>
      </c>
      <c r="E44" s="3">
        <v>1.7146428199482245E-3</v>
      </c>
      <c r="F44" s="3">
        <v>7.1246052522227505E-3</v>
      </c>
      <c r="G44" s="3">
        <v>7.6E-3</v>
      </c>
      <c r="H44" s="3">
        <v>2.29E-2</v>
      </c>
      <c r="I44" s="3">
        <v>8.0399999999999999E-2</v>
      </c>
      <c r="J44" s="3">
        <v>0.22700000000000001</v>
      </c>
      <c r="K44" s="3">
        <v>0.34599999999999997</v>
      </c>
      <c r="L44" s="3">
        <v>0.16639999999999999</v>
      </c>
      <c r="M44" s="3">
        <v>6.4699999999999994E-2</v>
      </c>
      <c r="N44" s="3">
        <v>2.4799999999999999E-2</v>
      </c>
      <c r="O44" s="3">
        <v>5.0000000000000001E-4</v>
      </c>
      <c r="P44" s="3"/>
      <c r="AL44" s="2"/>
      <c r="AM44" s="3">
        <v>0</v>
      </c>
      <c r="AN44" s="3">
        <v>1.5493546875804502E-3</v>
      </c>
      <c r="AO44" s="3">
        <v>5.7866782082164319E-3</v>
      </c>
      <c r="AP44" s="3">
        <v>7.1638751223794903E-3</v>
      </c>
      <c r="AQ44" s="3">
        <v>1.9379370474811614E-2</v>
      </c>
      <c r="AR44" s="3">
        <v>5.9206756371211554E-2</v>
      </c>
      <c r="AS44" s="3">
        <v>0.1023</v>
      </c>
      <c r="AT44" s="3">
        <v>0.19339999999999999</v>
      </c>
      <c r="AU44" s="3">
        <v>0.34399999999999997</v>
      </c>
      <c r="AV44" s="3">
        <v>0.15659999999999999</v>
      </c>
      <c r="AW44" s="3">
        <v>6.8599999999999994E-2</v>
      </c>
      <c r="AX44" s="3">
        <v>1.1000000000000001E-3</v>
      </c>
      <c r="BB44" s="2"/>
      <c r="BC44" s="5" t="b">
        <f t="shared" si="62"/>
        <v>1</v>
      </c>
      <c r="BD44" s="5" t="b">
        <f t="shared" si="63"/>
        <v>1</v>
      </c>
      <c r="BE44" s="5" t="b">
        <f t="shared" si="67"/>
        <v>1</v>
      </c>
      <c r="BF44" s="5" t="b">
        <f t="shared" si="69"/>
        <v>1</v>
      </c>
      <c r="BG44" s="5" t="b">
        <f t="shared" si="71"/>
        <v>1</v>
      </c>
      <c r="BH44" s="5" t="b">
        <f t="shared" si="73"/>
        <v>1</v>
      </c>
      <c r="BI44" s="5" t="b">
        <f t="shared" si="75"/>
        <v>1</v>
      </c>
      <c r="BJ44" s="5" t="b">
        <f t="shared" ref="BJ44:BJ47" si="77">IF(AU44&lt;AT44,FALSE,TRUE)</f>
        <v>1</v>
      </c>
      <c r="BK44" s="6"/>
      <c r="BL44" s="5" t="b">
        <f t="shared" si="49"/>
        <v>1</v>
      </c>
      <c r="BM44" s="5" t="b">
        <f t="shared" si="50"/>
        <v>1</v>
      </c>
      <c r="BN44" s="5" t="b">
        <f t="shared" si="51"/>
        <v>1</v>
      </c>
      <c r="BQ44" s="2"/>
      <c r="BR44" s="5" t="b">
        <f t="shared" si="64"/>
        <v>1</v>
      </c>
      <c r="BS44" s="5" t="b">
        <f t="shared" si="65"/>
        <v>1</v>
      </c>
      <c r="BT44" s="5" t="b">
        <f t="shared" si="68"/>
        <v>1</v>
      </c>
      <c r="BU44" s="5" t="b">
        <f t="shared" si="70"/>
        <v>1</v>
      </c>
      <c r="BV44" s="5" t="b">
        <f t="shared" si="72"/>
        <v>1</v>
      </c>
      <c r="BW44" s="5" t="b">
        <f t="shared" si="74"/>
        <v>1</v>
      </c>
      <c r="BX44" s="5" t="b">
        <f t="shared" si="76"/>
        <v>1</v>
      </c>
      <c r="BY44" s="5" t="b">
        <f t="shared" ref="BY44:BY47" si="78">IF(AT43&gt;=AT44, TRUE, FALSE)</f>
        <v>1</v>
      </c>
      <c r="BZ44" s="6"/>
      <c r="CA44" s="5" t="b">
        <f t="shared" si="59"/>
        <v>1</v>
      </c>
      <c r="CB44" s="5" t="b">
        <f t="shared" si="60"/>
        <v>1</v>
      </c>
      <c r="CC44" s="5" t="b">
        <f t="shared" si="61"/>
        <v>1</v>
      </c>
      <c r="CG44" s="2"/>
      <c r="CH44" s="3">
        <v>0</v>
      </c>
      <c r="CI44" s="3">
        <v>1.4703817857543973E-3</v>
      </c>
      <c r="CJ44" s="3">
        <v>5.4917226543334833E-3</v>
      </c>
      <c r="CK44" s="3">
        <v>6.7987218032145389E-3</v>
      </c>
      <c r="CL44" s="3">
        <v>1.8391575275800067E-2</v>
      </c>
      <c r="CM44" s="3">
        <v>5.6188900359400232E-2</v>
      </c>
      <c r="CN44" s="3">
        <v>9.7085617572551033E-2</v>
      </c>
      <c r="CO44" s="3">
        <v>0.18354211572366927</v>
      </c>
      <c r="CP44" s="3">
        <v>0.32646581080114906</v>
      </c>
      <c r="CQ44" s="3">
        <v>0.14861786619610448</v>
      </c>
      <c r="CR44" s="3">
        <v>6.5103356456275657E-2</v>
      </c>
      <c r="CS44" s="3">
        <v>1.0439313717478607E-3</v>
      </c>
    </row>
    <row r="45" spans="2:97" x14ac:dyDescent="0.4">
      <c r="C45" s="2">
        <f t="shared" si="66"/>
        <v>9</v>
      </c>
      <c r="D45" s="3">
        <v>0</v>
      </c>
      <c r="E45" s="3">
        <v>1.5493546875804502E-3</v>
      </c>
      <c r="F45" s="3">
        <v>5.7866782082164319E-3</v>
      </c>
      <c r="G45" s="3">
        <v>7.1638751223794903E-3</v>
      </c>
      <c r="H45" s="3">
        <v>1.9379370474811614E-2</v>
      </c>
      <c r="I45" s="3">
        <v>5.9206756371211554E-2</v>
      </c>
      <c r="J45" s="3">
        <v>0.1023</v>
      </c>
      <c r="K45" s="3">
        <v>0.19339999999999999</v>
      </c>
      <c r="L45" s="3">
        <v>0.34399999999999997</v>
      </c>
      <c r="M45" s="3">
        <v>0.15659999999999999</v>
      </c>
      <c r="N45" s="3">
        <v>6.8599999999999994E-2</v>
      </c>
      <c r="O45" s="3">
        <v>1.1000000000000001E-3</v>
      </c>
      <c r="P45" s="3"/>
      <c r="AL45" s="2"/>
      <c r="AM45" s="3">
        <v>0</v>
      </c>
      <c r="AN45" s="3">
        <v>1.4E-3</v>
      </c>
      <c r="AO45" s="3">
        <v>4.7000000000000002E-3</v>
      </c>
      <c r="AP45" s="3">
        <v>6.7527772064536534E-3</v>
      </c>
      <c r="AQ45" s="3">
        <v>1.6400000000000001E-2</v>
      </c>
      <c r="AR45" s="3">
        <v>4.36E-2</v>
      </c>
      <c r="AS45" s="3">
        <v>6.0499999999999998E-2</v>
      </c>
      <c r="AT45" s="3">
        <v>7.2700000000000001E-2</v>
      </c>
      <c r="AU45" s="3">
        <v>0.1341</v>
      </c>
      <c r="AV45" s="3">
        <v>0.39989999999999998</v>
      </c>
      <c r="AW45" s="3">
        <v>0.1177</v>
      </c>
      <c r="AX45" s="3">
        <v>2.3E-3</v>
      </c>
      <c r="BB45" s="2"/>
      <c r="BC45" s="5" t="b">
        <f t="shared" si="62"/>
        <v>1</v>
      </c>
      <c r="BD45" s="5" t="b">
        <f t="shared" si="63"/>
        <v>1</v>
      </c>
      <c r="BE45" s="5" t="b">
        <f t="shared" si="67"/>
        <v>1</v>
      </c>
      <c r="BF45" s="5" t="b">
        <f t="shared" si="69"/>
        <v>1</v>
      </c>
      <c r="BG45" s="5" t="b">
        <f t="shared" si="71"/>
        <v>1</v>
      </c>
      <c r="BH45" s="5" t="b">
        <f t="shared" si="73"/>
        <v>1</v>
      </c>
      <c r="BI45" s="5" t="b">
        <f t="shared" si="75"/>
        <v>1</v>
      </c>
      <c r="BJ45" s="5" t="b">
        <f t="shared" si="77"/>
        <v>1</v>
      </c>
      <c r="BK45" s="5" t="b">
        <f t="shared" ref="BK45:BK47" si="79">IF(AV45&lt;AU45,FALSE,TRUE)</f>
        <v>1</v>
      </c>
      <c r="BL45" s="6"/>
      <c r="BM45" s="5" t="b">
        <f t="shared" si="50"/>
        <v>1</v>
      </c>
      <c r="BN45" s="5" t="b">
        <f t="shared" si="51"/>
        <v>1</v>
      </c>
      <c r="BQ45" s="2"/>
      <c r="BR45" s="5" t="b">
        <f t="shared" si="64"/>
        <v>1</v>
      </c>
      <c r="BS45" s="5" t="b">
        <f t="shared" si="65"/>
        <v>1</v>
      </c>
      <c r="BT45" s="5" t="b">
        <f t="shared" si="68"/>
        <v>1</v>
      </c>
      <c r="BU45" s="5" t="b">
        <f t="shared" si="70"/>
        <v>1</v>
      </c>
      <c r="BV45" s="5" t="b">
        <f t="shared" si="72"/>
        <v>1</v>
      </c>
      <c r="BW45" s="5" t="b">
        <f t="shared" si="74"/>
        <v>1</v>
      </c>
      <c r="BX45" s="5" t="b">
        <f t="shared" si="76"/>
        <v>1</v>
      </c>
      <c r="BY45" s="5" t="b">
        <f t="shared" si="78"/>
        <v>1</v>
      </c>
      <c r="BZ45" s="5" t="b">
        <f t="shared" ref="BZ45:BZ47" si="80">IF(AU44&gt;=AU45, TRUE, FALSE)</f>
        <v>1</v>
      </c>
      <c r="CA45" s="6"/>
      <c r="CB45" s="5" t="b">
        <f t="shared" si="60"/>
        <v>1</v>
      </c>
      <c r="CC45" s="5" t="b">
        <f t="shared" si="61"/>
        <v>1</v>
      </c>
      <c r="CG45" s="2"/>
      <c r="CH45" s="3">
        <v>0</v>
      </c>
      <c r="CI45" s="3">
        <v>1.3973095975615001E-3</v>
      </c>
      <c r="CJ45" s="3">
        <v>4.6909679346707495E-3</v>
      </c>
      <c r="CK45" s="3">
        <v>6.7398002862658745E-3</v>
      </c>
      <c r="CL45" s="3">
        <v>1.6368483857149001E-2</v>
      </c>
      <c r="CM45" s="3">
        <v>4.3516213181200997E-2</v>
      </c>
      <c r="CN45" s="3">
        <v>6.0383736180336246E-2</v>
      </c>
      <c r="CO45" s="3">
        <v>7.2560291244800748E-2</v>
      </c>
      <c r="CP45" s="3">
        <v>0.13384229788071225</v>
      </c>
      <c r="CQ45" s="3">
        <v>0.39913150576060274</v>
      </c>
      <c r="CR45" s="3">
        <v>0.11747381402356324</v>
      </c>
      <c r="CS45" s="3">
        <v>2.29558005313675E-3</v>
      </c>
    </row>
    <row r="46" spans="2:97" x14ac:dyDescent="0.4">
      <c r="C46" s="2">
        <f t="shared" si="66"/>
        <v>10</v>
      </c>
      <c r="D46" s="3">
        <v>0</v>
      </c>
      <c r="E46" s="3">
        <v>1.4E-3</v>
      </c>
      <c r="F46" s="3">
        <v>4.7000000000000002E-3</v>
      </c>
      <c r="G46" s="3">
        <v>6.7527772064536534E-3</v>
      </c>
      <c r="H46" s="3">
        <v>1.6400000000000001E-2</v>
      </c>
      <c r="I46" s="3">
        <v>4.36E-2</v>
      </c>
      <c r="J46" s="3">
        <v>6.0499999999999998E-2</v>
      </c>
      <c r="K46" s="3">
        <v>7.2700000000000001E-2</v>
      </c>
      <c r="L46" s="3">
        <v>0.1341</v>
      </c>
      <c r="M46" s="3">
        <v>0.39989999999999998</v>
      </c>
      <c r="N46" s="3">
        <v>0.1177</v>
      </c>
      <c r="O46" s="3">
        <v>2.3E-3</v>
      </c>
      <c r="P46" s="3"/>
      <c r="AL46" s="2"/>
      <c r="AM46" s="3">
        <v>0</v>
      </c>
      <c r="AN46" s="3">
        <v>1.2999999999999999E-3</v>
      </c>
      <c r="AO46" s="3">
        <v>2.2343106042047056E-3</v>
      </c>
      <c r="AP46" s="3">
        <v>6.3652700837216573E-3</v>
      </c>
      <c r="AQ46" s="3">
        <v>6.6E-3</v>
      </c>
      <c r="AR46" s="3">
        <v>8.6E-3</v>
      </c>
      <c r="AS46" s="3">
        <v>1.9800000000000002E-2</v>
      </c>
      <c r="AT46" s="3">
        <v>3.3599999999999998E-2</v>
      </c>
      <c r="AU46" s="3">
        <v>6.0600000000000001E-2</v>
      </c>
      <c r="AV46" s="3">
        <v>8.6999999999999994E-2</v>
      </c>
      <c r="AW46" s="3">
        <v>0.46529999999999999</v>
      </c>
      <c r="AX46" s="3">
        <v>1.5800000000000002E-2</v>
      </c>
      <c r="BB46" s="2"/>
      <c r="BC46" s="5" t="b">
        <f t="shared" si="62"/>
        <v>1</v>
      </c>
      <c r="BD46" s="5" t="b">
        <f t="shared" si="63"/>
        <v>1</v>
      </c>
      <c r="BE46" s="5" t="b">
        <f t="shared" si="67"/>
        <v>1</v>
      </c>
      <c r="BF46" s="5" t="b">
        <f t="shared" si="69"/>
        <v>1</v>
      </c>
      <c r="BG46" s="5" t="b">
        <f t="shared" si="71"/>
        <v>1</v>
      </c>
      <c r="BH46" s="5" t="b">
        <f t="shared" si="73"/>
        <v>1</v>
      </c>
      <c r="BI46" s="5" t="b">
        <f t="shared" si="75"/>
        <v>1</v>
      </c>
      <c r="BJ46" s="5" t="b">
        <f t="shared" si="77"/>
        <v>1</v>
      </c>
      <c r="BK46" s="5" t="b">
        <f t="shared" si="79"/>
        <v>1</v>
      </c>
      <c r="BL46" s="5" t="b">
        <f t="shared" ref="BL46:BL47" si="81">IF(AW46&lt;AV46,FALSE,TRUE)</f>
        <v>1</v>
      </c>
      <c r="BM46" s="6"/>
      <c r="BN46" s="5" t="b">
        <f>IF(AX46&gt;AW46,FALSE,TRUE)</f>
        <v>1</v>
      </c>
      <c r="BQ46" s="2"/>
      <c r="BR46" s="5" t="b">
        <f t="shared" si="64"/>
        <v>1</v>
      </c>
      <c r="BS46" s="5" t="b">
        <f t="shared" si="65"/>
        <v>1</v>
      </c>
      <c r="BT46" s="5" t="b">
        <f t="shared" si="68"/>
        <v>1</v>
      </c>
      <c r="BU46" s="5" t="b">
        <f t="shared" si="70"/>
        <v>1</v>
      </c>
      <c r="BV46" s="5" t="b">
        <f t="shared" si="72"/>
        <v>1</v>
      </c>
      <c r="BW46" s="5" t="b">
        <f t="shared" si="74"/>
        <v>1</v>
      </c>
      <c r="BX46" s="5" t="b">
        <f t="shared" si="76"/>
        <v>1</v>
      </c>
      <c r="BY46" s="5" t="b">
        <f t="shared" si="78"/>
        <v>1</v>
      </c>
      <c r="BZ46" s="5" t="b">
        <f t="shared" si="80"/>
        <v>1</v>
      </c>
      <c r="CA46" s="5" t="b">
        <f t="shared" ref="CA46:CA47" si="82">IF(AV45&gt;=AV46, TRUE, FALSE)</f>
        <v>1</v>
      </c>
      <c r="CB46" s="6"/>
      <c r="CC46" s="5" t="b">
        <f t="shared" si="61"/>
        <v>1</v>
      </c>
      <c r="CG46" s="2"/>
      <c r="CH46" s="3">
        <v>0</v>
      </c>
      <c r="CI46" s="3">
        <v>1.2854787033607757E-3</v>
      </c>
      <c r="CJ46" s="3">
        <v>2.2093528449217666E-3</v>
      </c>
      <c r="CK46" s="3">
        <v>6.2941685644335799E-3</v>
      </c>
      <c r="CL46" s="3">
        <v>6.5262764939854776E-3</v>
      </c>
      <c r="CM46" s="3">
        <v>8.5039360376174405E-3</v>
      </c>
      <c r="CN46" s="3">
        <v>1.9578829481956432E-2</v>
      </c>
      <c r="CO46" s="3">
        <v>3.3224680333016975E-2</v>
      </c>
      <c r="CP46" s="3">
        <v>5.9923084172048481E-2</v>
      </c>
      <c r="CQ46" s="3">
        <v>8.6028190147990374E-2</v>
      </c>
      <c r="CR46" s="3">
        <v>0.46010249282597615</v>
      </c>
      <c r="CS46" s="3">
        <v>1.5623510394692508E-2</v>
      </c>
    </row>
    <row r="47" spans="2:97" x14ac:dyDescent="0.4">
      <c r="C47" s="2">
        <f t="shared" si="66"/>
        <v>11</v>
      </c>
      <c r="D47" s="3">
        <v>0</v>
      </c>
      <c r="E47" s="3">
        <v>1.2999999999999999E-3</v>
      </c>
      <c r="F47" s="3">
        <v>2.2343106042047056E-3</v>
      </c>
      <c r="G47" s="3">
        <v>6.3652700837216573E-3</v>
      </c>
      <c r="H47" s="3">
        <v>6.6E-3</v>
      </c>
      <c r="I47" s="3">
        <v>2.0045406624063851E-2</v>
      </c>
      <c r="J47" s="3">
        <v>2.5952372966041956E-2</v>
      </c>
      <c r="K47" s="3">
        <v>3.3599999999999998E-2</v>
      </c>
      <c r="L47" s="3">
        <v>6.0600000000000001E-2</v>
      </c>
      <c r="M47" s="3">
        <v>8.6999999999999994E-2</v>
      </c>
      <c r="N47" s="3">
        <v>0.46529999999999999</v>
      </c>
      <c r="O47" s="3">
        <v>1.5800000000000002E-2</v>
      </c>
      <c r="P47" s="3"/>
      <c r="AL47" s="2"/>
      <c r="AM47" s="3">
        <v>0</v>
      </c>
      <c r="AN47" s="3">
        <v>0</v>
      </c>
      <c r="AO47" s="3">
        <v>0</v>
      </c>
      <c r="AP47" s="3">
        <v>6.0000000000000001E-3</v>
      </c>
      <c r="AQ47" s="3">
        <v>6.0000000000000019E-3</v>
      </c>
      <c r="AR47" s="3">
        <v>6.0000000000000019E-3</v>
      </c>
      <c r="AS47" s="3">
        <v>6.0000000000000001E-3</v>
      </c>
      <c r="AT47" s="3">
        <v>2.1743389910330861E-2</v>
      </c>
      <c r="AU47" s="3">
        <v>0.03</v>
      </c>
      <c r="AV47" s="3">
        <v>5.5317266743757323E-2</v>
      </c>
      <c r="AW47" s="3">
        <v>0.10199999999999999</v>
      </c>
      <c r="AX47" s="3">
        <v>0.12</v>
      </c>
      <c r="BB47" s="2"/>
      <c r="BC47" s="5" t="b">
        <f t="shared" si="62"/>
        <v>1</v>
      </c>
      <c r="BD47" s="5" t="b">
        <f t="shared" si="63"/>
        <v>1</v>
      </c>
      <c r="BE47" s="5" t="b">
        <f t="shared" si="67"/>
        <v>1</v>
      </c>
      <c r="BF47" s="5" t="b">
        <f t="shared" si="69"/>
        <v>1</v>
      </c>
      <c r="BG47" s="5" t="b">
        <f t="shared" si="71"/>
        <v>1</v>
      </c>
      <c r="BH47" s="5" t="b">
        <f t="shared" si="73"/>
        <v>1</v>
      </c>
      <c r="BI47" s="5" t="b">
        <f t="shared" si="75"/>
        <v>1</v>
      </c>
      <c r="BJ47" s="5" t="b">
        <f t="shared" si="77"/>
        <v>1</v>
      </c>
      <c r="BK47" s="5" t="b">
        <f t="shared" si="79"/>
        <v>1</v>
      </c>
      <c r="BL47" s="5" t="b">
        <f t="shared" si="81"/>
        <v>1</v>
      </c>
      <c r="BM47" s="5" t="b">
        <f t="shared" ref="BM47" si="83">IF(AX47&lt;AW47,FALSE,TRUE)</f>
        <v>1</v>
      </c>
      <c r="BN47" s="6"/>
      <c r="BQ47" s="2"/>
      <c r="BR47" s="5" t="b">
        <f t="shared" si="64"/>
        <v>1</v>
      </c>
      <c r="BS47" s="5" t="b">
        <f t="shared" si="65"/>
        <v>1</v>
      </c>
      <c r="BT47" s="5" t="b">
        <f t="shared" si="68"/>
        <v>1</v>
      </c>
      <c r="BU47" s="5" t="b">
        <f t="shared" si="70"/>
        <v>1</v>
      </c>
      <c r="BV47" s="5" t="b">
        <f t="shared" si="72"/>
        <v>1</v>
      </c>
      <c r="BW47" s="5" t="b">
        <f t="shared" si="74"/>
        <v>1</v>
      </c>
      <c r="BX47" s="5" t="b">
        <f t="shared" si="76"/>
        <v>1</v>
      </c>
      <c r="BY47" s="5" t="b">
        <f t="shared" si="78"/>
        <v>1</v>
      </c>
      <c r="BZ47" s="5" t="b">
        <f t="shared" si="80"/>
        <v>1</v>
      </c>
      <c r="CA47" s="5" t="b">
        <f t="shared" si="82"/>
        <v>1</v>
      </c>
      <c r="CB47" s="5" t="b">
        <f>IF(AW46&gt;=AW47, TRUE, FALSE)</f>
        <v>1</v>
      </c>
      <c r="CC47" s="6"/>
      <c r="CG47" s="2"/>
      <c r="CH47" s="3">
        <v>0</v>
      </c>
      <c r="CI47" s="3">
        <v>0</v>
      </c>
      <c r="CJ47" s="3">
        <v>0</v>
      </c>
      <c r="CK47" s="3">
        <v>4.8943431317894238E-3</v>
      </c>
      <c r="CL47" s="3">
        <v>4.8943431317894255E-3</v>
      </c>
      <c r="CM47" s="3">
        <v>4.8943431317894255E-3</v>
      </c>
      <c r="CN47" s="3">
        <v>4.8943431317894238E-3</v>
      </c>
      <c r="CO47" s="3">
        <v>1.7736601844907884E-2</v>
      </c>
      <c r="CP47" s="3">
        <v>2.4471715658947117E-2</v>
      </c>
      <c r="CQ47" s="3">
        <v>4.5123614092778694E-2</v>
      </c>
      <c r="CR47" s="3">
        <v>8.3203833240420202E-2</v>
      </c>
      <c r="CS47" s="3">
        <v>9.7886862635788469E-2</v>
      </c>
    </row>
    <row r="48" spans="2:97" x14ac:dyDescent="0.4">
      <c r="C48" s="2">
        <f t="shared" si="66"/>
        <v>12</v>
      </c>
      <c r="D48" s="3">
        <v>0</v>
      </c>
      <c r="E48" s="3">
        <v>0</v>
      </c>
      <c r="F48" s="3">
        <v>0</v>
      </c>
      <c r="G48" s="3">
        <v>6.0000000000000001E-3</v>
      </c>
      <c r="H48" s="3">
        <v>6.0000000000000019E-3</v>
      </c>
      <c r="I48" s="3">
        <v>9.2160166679830947E-3</v>
      </c>
      <c r="J48" s="3">
        <v>1.415582720409036E-2</v>
      </c>
      <c r="K48" s="3">
        <v>2.1743389910330861E-2</v>
      </c>
      <c r="L48" s="3">
        <v>0.03</v>
      </c>
      <c r="M48" s="3">
        <v>5.5317266743757323E-2</v>
      </c>
      <c r="N48" s="3">
        <v>0.10199999999999999</v>
      </c>
      <c r="O48" s="3">
        <v>0.12</v>
      </c>
      <c r="P48" s="3"/>
    </row>
    <row r="50" spans="34:97" hidden="1" x14ac:dyDescent="0.4"/>
    <row r="51" spans="34:97" hidden="1" x14ac:dyDescent="0.4"/>
    <row r="52" spans="34:97" hidden="1" x14ac:dyDescent="0.4"/>
    <row r="53" spans="34:97" hidden="1" x14ac:dyDescent="0.4"/>
    <row r="54" spans="34:97" hidden="1" x14ac:dyDescent="0.4"/>
    <row r="55" spans="34:97" hidden="1" x14ac:dyDescent="0.4"/>
    <row r="56" spans="34:97" hidden="1" x14ac:dyDescent="0.4"/>
    <row r="57" spans="34:97" hidden="1" x14ac:dyDescent="0.4"/>
    <row r="58" spans="34:97" hidden="1" x14ac:dyDescent="0.4"/>
    <row r="59" spans="34:97" hidden="1" x14ac:dyDescent="0.4"/>
    <row r="60" spans="34:97" hidden="1" x14ac:dyDescent="0.4"/>
    <row r="61" spans="34:97" hidden="1" x14ac:dyDescent="0.4"/>
    <row r="62" spans="34:97" x14ac:dyDescent="0.4">
      <c r="AH62" s="10" t="s">
        <v>13</v>
      </c>
      <c r="AI62" s="10"/>
      <c r="AJ62" s="4">
        <v>1</v>
      </c>
    </row>
    <row r="63" spans="34:97" x14ac:dyDescent="0.4">
      <c r="AH63" s="10" t="s">
        <v>14</v>
      </c>
      <c r="AI63" s="10"/>
      <c r="AJ63" s="4">
        <v>1</v>
      </c>
      <c r="AL63" s="13" t="s">
        <v>18</v>
      </c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BB63" s="13" t="s">
        <v>27</v>
      </c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  <c r="BQ63" s="13" t="s">
        <v>28</v>
      </c>
      <c r="BR63" s="13"/>
      <c r="BS63" s="13"/>
      <c r="BT63" s="13"/>
      <c r="BU63" s="13"/>
      <c r="BV63" s="13"/>
      <c r="BW63" s="13"/>
      <c r="BX63" s="13"/>
      <c r="BY63" s="13"/>
      <c r="BZ63" s="13"/>
      <c r="CA63" s="13"/>
      <c r="CB63" s="13"/>
      <c r="CC63" s="13"/>
      <c r="CG63" s="13" t="s">
        <v>40</v>
      </c>
      <c r="CH63" s="13"/>
      <c r="CI63" s="13"/>
      <c r="CJ63" s="13"/>
      <c r="CK63" s="13"/>
      <c r="CL63" s="13"/>
      <c r="CM63" s="13"/>
      <c r="CN63" s="13"/>
      <c r="CO63" s="13"/>
      <c r="CP63" s="13"/>
      <c r="CQ63" s="13"/>
      <c r="CR63" s="13"/>
      <c r="CS63" s="13"/>
    </row>
    <row r="64" spans="34:97" x14ac:dyDescent="0.4">
      <c r="AH64" s="10" t="s">
        <v>15</v>
      </c>
      <c r="AI64" s="10"/>
      <c r="AJ64" s="4">
        <v>1</v>
      </c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</row>
    <row r="65" spans="3:97" x14ac:dyDescent="0.4">
      <c r="C65" s="2"/>
      <c r="D65" s="2">
        <v>1</v>
      </c>
      <c r="E65" s="2">
        <f t="shared" ref="E65:O65" si="84">D65+1</f>
        <v>2</v>
      </c>
      <c r="F65" s="2">
        <f t="shared" si="84"/>
        <v>3</v>
      </c>
      <c r="G65" s="2">
        <f t="shared" si="84"/>
        <v>4</v>
      </c>
      <c r="H65" s="2">
        <f t="shared" si="84"/>
        <v>5</v>
      </c>
      <c r="I65" s="2">
        <f t="shared" si="84"/>
        <v>6</v>
      </c>
      <c r="J65" s="2">
        <f t="shared" si="84"/>
        <v>7</v>
      </c>
      <c r="K65" s="2">
        <f t="shared" si="84"/>
        <v>8</v>
      </c>
      <c r="L65" s="2">
        <f t="shared" si="84"/>
        <v>9</v>
      </c>
      <c r="M65" s="2">
        <f t="shared" si="84"/>
        <v>10</v>
      </c>
      <c r="N65" s="2">
        <f t="shared" si="84"/>
        <v>11</v>
      </c>
      <c r="O65" s="2">
        <f t="shared" si="84"/>
        <v>12</v>
      </c>
      <c r="P65" s="2"/>
      <c r="AL65" s="2"/>
      <c r="AM65" s="3">
        <v>0.54679999999999995</v>
      </c>
      <c r="AN65" s="3">
        <v>0.3906</v>
      </c>
      <c r="AO65" s="3">
        <v>4.6899999999999997E-2</v>
      </c>
      <c r="AP65" s="3">
        <v>3.2495515278611262E-2</v>
      </c>
      <c r="AQ65" s="3">
        <v>2.2515106891736841E-2</v>
      </c>
      <c r="AR65" s="3">
        <v>1.5599999999999999E-2</v>
      </c>
      <c r="AS65" s="3">
        <v>0</v>
      </c>
      <c r="AT65" s="3">
        <v>0</v>
      </c>
      <c r="AU65" s="3">
        <v>0</v>
      </c>
      <c r="AV65" s="3">
        <v>0</v>
      </c>
      <c r="AW65" s="3">
        <v>0</v>
      </c>
      <c r="AX65" s="3">
        <v>0</v>
      </c>
      <c r="BB65" s="2"/>
      <c r="BC65" s="6"/>
      <c r="BD65" s="5" t="b">
        <f>IF(AN65&gt;AM65,FALSE,TRUE)</f>
        <v>1</v>
      </c>
      <c r="BE65" s="5" t="b">
        <f t="shared" ref="BE65:BE66" si="85">IF(AO65&gt;AN65,FALSE,TRUE)</f>
        <v>1</v>
      </c>
      <c r="BF65" s="5" t="b">
        <f t="shared" ref="BF65:BF67" si="86">IF(AP65&gt;AO65,FALSE,TRUE)</f>
        <v>1</v>
      </c>
      <c r="BG65" s="5" t="b">
        <f t="shared" ref="BG65:BG68" si="87">IF(AQ65&gt;AP65,FALSE,TRUE)</f>
        <v>1</v>
      </c>
      <c r="BH65" s="5" t="b">
        <f t="shared" ref="BH65:BH69" si="88">IF(AR65&gt;AQ65,FALSE,TRUE)</f>
        <v>1</v>
      </c>
      <c r="BI65" s="5" t="b">
        <f t="shared" ref="BI65:BI70" si="89">IF(AS65&gt;AR65,FALSE,TRUE)</f>
        <v>1</v>
      </c>
      <c r="BJ65" s="5" t="b">
        <f t="shared" ref="BJ65:BJ71" si="90">IF(AT65&gt;AS65,FALSE,TRUE)</f>
        <v>1</v>
      </c>
      <c r="BK65" s="5" t="b">
        <f t="shared" ref="BK65:BK72" si="91">IF(AU65&gt;AT65,FALSE,TRUE)</f>
        <v>1</v>
      </c>
      <c r="BL65" s="5" t="b">
        <f t="shared" ref="BL65:BL73" si="92">IF(AV65&gt;AU65,FALSE,TRUE)</f>
        <v>1</v>
      </c>
      <c r="BM65" s="5" t="b">
        <f t="shared" ref="BM65:BM74" si="93">IF(AW65&gt;AV65,FALSE,TRUE)</f>
        <v>1</v>
      </c>
      <c r="BN65" s="5" t="b">
        <f t="shared" ref="BN65:BN74" si="94">IF(AX65&gt;AW65,FALSE,TRUE)</f>
        <v>1</v>
      </c>
      <c r="BQ65" s="2"/>
      <c r="BR65" s="6"/>
      <c r="BS65" s="5" t="b">
        <f>IF(AN65&lt;=AN66,TRUE,FALSE)</f>
        <v>1</v>
      </c>
      <c r="BT65" s="5" t="b">
        <f t="shared" ref="BT65:BT66" si="95">IF(AO65&lt;=AO66,TRUE,FALSE)</f>
        <v>1</v>
      </c>
      <c r="BU65" s="5" t="b">
        <f t="shared" ref="BU65:BU67" si="96">IF(AP65&lt;=AP66,TRUE,FALSE)</f>
        <v>1</v>
      </c>
      <c r="BV65" s="5" t="b">
        <f t="shared" ref="BV65:BV68" si="97">IF(AQ65&lt;=AQ66,TRUE,FALSE)</f>
        <v>1</v>
      </c>
      <c r="BW65" s="5" t="b">
        <f t="shared" ref="BW65:BW69" si="98">IF(AR65&lt;=AR66,TRUE,FALSE)</f>
        <v>1</v>
      </c>
      <c r="BX65" s="5" t="b">
        <f t="shared" ref="BX65:BX70" si="99">IF(AS65&lt;=AS66,TRUE,FALSE)</f>
        <v>1</v>
      </c>
      <c r="BY65" s="5" t="b">
        <f t="shared" ref="BY65:BY71" si="100">IF(AT65&lt;=AT66,TRUE,FALSE)</f>
        <v>1</v>
      </c>
      <c r="BZ65" s="5" t="b">
        <f t="shared" ref="BZ65:BZ72" si="101">IF(AU65&lt;=AU66,TRUE,FALSE)</f>
        <v>1</v>
      </c>
      <c r="CA65" s="5" t="b">
        <f t="shared" ref="CA65:CA73" si="102">IF(AV65&lt;=AV66,TRUE,FALSE)</f>
        <v>1</v>
      </c>
      <c r="CB65" s="5" t="b">
        <f t="shared" ref="CB65:CB74" si="103">IF(AW65&lt;=AW66,TRUE,FALSE)</f>
        <v>1</v>
      </c>
      <c r="CC65" s="5" t="b">
        <f t="shared" ref="CC65:CC75" si="104">IF(AX65&lt;=AX66,TRUE,FALSE)</f>
        <v>1</v>
      </c>
      <c r="CG65" s="2"/>
      <c r="CH65" s="3">
        <v>0.5182340840167593</v>
      </c>
      <c r="CI65" s="3">
        <v>0.37019428166961627</v>
      </c>
      <c r="CJ65" s="3">
        <v>4.4449851024846401E-2</v>
      </c>
      <c r="CK65" s="3">
        <v>3.079788514093583E-2</v>
      </c>
      <c r="CL65" s="3">
        <v>2.1338873073479637E-2</v>
      </c>
      <c r="CM65" s="3">
        <v>1.4785025074362555E-2</v>
      </c>
      <c r="CN65" s="3">
        <v>0</v>
      </c>
      <c r="CO65" s="3">
        <v>0</v>
      </c>
      <c r="CP65" s="3">
        <v>0</v>
      </c>
      <c r="CQ65" s="3">
        <v>0</v>
      </c>
      <c r="CR65" s="3">
        <v>0</v>
      </c>
      <c r="CS65" s="3">
        <v>0</v>
      </c>
    </row>
    <row r="66" spans="3:97" x14ac:dyDescent="0.4">
      <c r="C66" s="2">
        <v>1</v>
      </c>
      <c r="D66" s="3">
        <v>0.5182340840167593</v>
      </c>
      <c r="E66" s="3">
        <v>0.37019428166961627</v>
      </c>
      <c r="F66" s="3">
        <v>4.4449851024846401E-2</v>
      </c>
      <c r="G66" s="3">
        <v>3.079788514093583E-2</v>
      </c>
      <c r="H66" s="3">
        <v>2.1338873073479637E-2</v>
      </c>
      <c r="I66" s="3">
        <v>1.4785025074362555E-2</v>
      </c>
      <c r="J66" s="3">
        <v>0</v>
      </c>
      <c r="K66" s="3">
        <v>0</v>
      </c>
      <c r="L66" s="3">
        <v>0</v>
      </c>
      <c r="M66" s="3">
        <v>0</v>
      </c>
      <c r="N66" s="3">
        <v>0</v>
      </c>
      <c r="O66" s="3">
        <v>0</v>
      </c>
      <c r="P66" s="3"/>
      <c r="AL66" s="2"/>
      <c r="AM66" s="3">
        <v>8.8000000000000005E-3</v>
      </c>
      <c r="AN66" s="3">
        <v>0.69</v>
      </c>
      <c r="AO66" s="3">
        <v>0.1918</v>
      </c>
      <c r="AP66" s="3">
        <v>6.7299999999999999E-2</v>
      </c>
      <c r="AQ66" s="3">
        <v>3.8694374375359782E-2</v>
      </c>
      <c r="AR66" s="3">
        <v>2.0674622124720925E-2</v>
      </c>
      <c r="AS66" s="3">
        <v>5.5999999999999999E-3</v>
      </c>
      <c r="AT66" s="3">
        <v>3.0611423190014617E-3</v>
      </c>
      <c r="AU66" s="3">
        <v>1.6733200530681517E-3</v>
      </c>
      <c r="AV66" s="3">
        <v>2.6666666666666663E-4</v>
      </c>
      <c r="AW66" s="3">
        <v>1.5308641975308641E-4</v>
      </c>
      <c r="AX66" s="3">
        <v>0</v>
      </c>
      <c r="BB66" s="2"/>
      <c r="BC66" s="5" t="b">
        <f>IF(AN66&lt;AM66,FALSE,TRUE)</f>
        <v>1</v>
      </c>
      <c r="BD66" s="6"/>
      <c r="BE66" s="5" t="b">
        <f t="shared" si="85"/>
        <v>1</v>
      </c>
      <c r="BF66" s="5" t="b">
        <f t="shared" si="86"/>
        <v>1</v>
      </c>
      <c r="BG66" s="5" t="b">
        <f t="shared" si="87"/>
        <v>1</v>
      </c>
      <c r="BH66" s="5" t="b">
        <f t="shared" si="88"/>
        <v>1</v>
      </c>
      <c r="BI66" s="5" t="b">
        <f t="shared" si="89"/>
        <v>1</v>
      </c>
      <c r="BJ66" s="5" t="b">
        <f t="shared" si="90"/>
        <v>1</v>
      </c>
      <c r="BK66" s="5" t="b">
        <f t="shared" si="91"/>
        <v>1</v>
      </c>
      <c r="BL66" s="5" t="b">
        <f t="shared" si="92"/>
        <v>1</v>
      </c>
      <c r="BM66" s="5" t="b">
        <f t="shared" si="93"/>
        <v>1</v>
      </c>
      <c r="BN66" s="5" t="b">
        <f t="shared" si="94"/>
        <v>1</v>
      </c>
      <c r="BQ66" s="2"/>
      <c r="BR66" s="5" t="b">
        <f>IF(AM65&gt;=AM66, TRUE, FALSE)</f>
        <v>1</v>
      </c>
      <c r="BS66" s="6"/>
      <c r="BT66" s="5" t="b">
        <f t="shared" si="95"/>
        <v>1</v>
      </c>
      <c r="BU66" s="5" t="b">
        <f t="shared" si="96"/>
        <v>1</v>
      </c>
      <c r="BV66" s="5" t="b">
        <f t="shared" si="97"/>
        <v>1</v>
      </c>
      <c r="BW66" s="5" t="b">
        <f t="shared" si="98"/>
        <v>1</v>
      </c>
      <c r="BX66" s="5" t="b">
        <f t="shared" si="99"/>
        <v>1</v>
      </c>
      <c r="BY66" s="5" t="b">
        <f t="shared" si="100"/>
        <v>1</v>
      </c>
      <c r="BZ66" s="5" t="b">
        <f t="shared" si="101"/>
        <v>0</v>
      </c>
      <c r="CA66" s="5" t="b">
        <f t="shared" si="102"/>
        <v>1</v>
      </c>
      <c r="CB66" s="5" t="b">
        <f t="shared" si="103"/>
        <v>1</v>
      </c>
      <c r="CC66" s="5" t="b">
        <f t="shared" si="104"/>
        <v>1</v>
      </c>
      <c r="CG66" s="2"/>
      <c r="CH66" s="3">
        <v>8.5541259163264879E-3</v>
      </c>
      <c r="CI66" s="3">
        <v>0.67072123662105398</v>
      </c>
      <c r="CJ66" s="3">
        <v>0.18644106258538864</v>
      </c>
      <c r="CK66" s="3">
        <v>6.541962206463324E-2</v>
      </c>
      <c r="CL66" s="3">
        <v>3.7613244393216429E-2</v>
      </c>
      <c r="CM66" s="3">
        <v>2.0096968287196846E-2</v>
      </c>
      <c r="CN66" s="3">
        <v>5.443534674025946E-3</v>
      </c>
      <c r="CO66" s="3">
        <v>2.975613277787973E-3</v>
      </c>
      <c r="CP66" s="3">
        <v>1.6265670945748965E-3</v>
      </c>
      <c r="CQ66" s="3">
        <v>2.5921593685837829E-4</v>
      </c>
      <c r="CR66" s="3">
        <v>1.4880914893721721E-4</v>
      </c>
      <c r="CS66" s="3">
        <v>0</v>
      </c>
    </row>
    <row r="67" spans="3:97" x14ac:dyDescent="0.4">
      <c r="C67" s="2">
        <f>C66+1</f>
        <v>2</v>
      </c>
      <c r="D67" s="3">
        <v>8.5641961499475228E-3</v>
      </c>
      <c r="E67" s="3">
        <v>0.67151083448452153</v>
      </c>
      <c r="F67" s="3">
        <v>0.18666054790453804</v>
      </c>
      <c r="G67" s="3">
        <v>6.549663646493957E-2</v>
      </c>
      <c r="H67" s="3">
        <v>3.7657524096600482E-2</v>
      </c>
      <c r="I67" s="3">
        <v>2.0120627182063044E-2</v>
      </c>
      <c r="J67" s="3">
        <v>5.4499430045120588E-3</v>
      </c>
      <c r="K67" s="3">
        <v>2.9791162798674707E-3</v>
      </c>
      <c r="L67" s="3">
        <v>4.5206900498256708E-4</v>
      </c>
      <c r="M67" s="3">
        <v>2.5952109545295514E-4</v>
      </c>
      <c r="N67" s="3">
        <v>1.4898433257484463E-4</v>
      </c>
      <c r="O67" s="3">
        <v>0</v>
      </c>
      <c r="P67" s="3"/>
      <c r="AL67" s="2"/>
      <c r="AM67" s="3">
        <v>8.9999999999999998E-4</v>
      </c>
      <c r="AN67" s="3">
        <v>0.15129999999999999</v>
      </c>
      <c r="AO67" s="3">
        <v>0.5071</v>
      </c>
      <c r="AP67" s="3">
        <v>0.2301</v>
      </c>
      <c r="AQ67" s="3">
        <v>6.6500000000000004E-2</v>
      </c>
      <c r="AR67" s="3">
        <v>2.7400000000000001E-2</v>
      </c>
      <c r="AS67" s="3">
        <v>9.5999999999999992E-3</v>
      </c>
      <c r="AT67" s="3">
        <v>5.7843414340205531E-3</v>
      </c>
      <c r="AU67" s="3">
        <v>1.1999999999999999E-3</v>
      </c>
      <c r="AV67" s="3">
        <v>7.9999999999999993E-4</v>
      </c>
      <c r="AW67" s="3">
        <v>5.4772255750516611E-4</v>
      </c>
      <c r="AX67" s="3">
        <v>0</v>
      </c>
      <c r="BB67" s="2"/>
      <c r="BC67" s="5" t="b">
        <f t="shared" ref="BC67:BC76" si="105">IF(AN67&lt;AM67,FALSE,TRUE)</f>
        <v>1</v>
      </c>
      <c r="BD67" s="5" t="b">
        <f t="shared" ref="BD67:BD76" si="106">IF(AO67&lt;AN67,FALSE,TRUE)</f>
        <v>1</v>
      </c>
      <c r="BE67" s="6"/>
      <c r="BF67" s="5" t="b">
        <f t="shared" si="86"/>
        <v>1</v>
      </c>
      <c r="BG67" s="5" t="b">
        <f t="shared" si="87"/>
        <v>1</v>
      </c>
      <c r="BH67" s="5" t="b">
        <f t="shared" si="88"/>
        <v>1</v>
      </c>
      <c r="BI67" s="5" t="b">
        <f t="shared" si="89"/>
        <v>1</v>
      </c>
      <c r="BJ67" s="5" t="b">
        <f t="shared" si="90"/>
        <v>1</v>
      </c>
      <c r="BK67" s="5" t="b">
        <f t="shared" si="91"/>
        <v>1</v>
      </c>
      <c r="BL67" s="5" t="b">
        <f t="shared" si="92"/>
        <v>1</v>
      </c>
      <c r="BM67" s="5" t="b">
        <f t="shared" si="93"/>
        <v>1</v>
      </c>
      <c r="BN67" s="5" t="b">
        <f t="shared" si="94"/>
        <v>1</v>
      </c>
      <c r="BQ67" s="2"/>
      <c r="BR67" s="5" t="b">
        <f t="shared" ref="BR67:BR76" si="107">IF(AM66&gt;=AM67, TRUE, FALSE)</f>
        <v>1</v>
      </c>
      <c r="BS67" s="5" t="b">
        <f t="shared" ref="BS67:BS76" si="108">IF(AN66&gt;=AN67, TRUE, FALSE)</f>
        <v>1</v>
      </c>
      <c r="BT67" s="6"/>
      <c r="BU67" s="5" t="b">
        <f t="shared" si="96"/>
        <v>1</v>
      </c>
      <c r="BV67" s="5" t="b">
        <f t="shared" si="97"/>
        <v>1</v>
      </c>
      <c r="BW67" s="5" t="b">
        <f t="shared" si="98"/>
        <v>1</v>
      </c>
      <c r="BX67" s="5" t="b">
        <f t="shared" si="99"/>
        <v>1</v>
      </c>
      <c r="BY67" s="5" t="b">
        <f t="shared" si="100"/>
        <v>1</v>
      </c>
      <c r="BZ67" s="5" t="b">
        <f t="shared" si="101"/>
        <v>1</v>
      </c>
      <c r="CA67" s="5" t="b">
        <f t="shared" si="102"/>
        <v>1</v>
      </c>
      <c r="CB67" s="5" t="b">
        <f t="shared" si="103"/>
        <v>1</v>
      </c>
      <c r="CC67" s="5" t="b">
        <f t="shared" si="104"/>
        <v>1</v>
      </c>
      <c r="CG67" s="2"/>
      <c r="CH67" s="3">
        <v>8.970947218961638E-4</v>
      </c>
      <c r="CI67" s="3">
        <v>0.1508115904698773</v>
      </c>
      <c r="CJ67" s="3">
        <v>0.50546303719282748</v>
      </c>
      <c r="CK67" s="3">
        <v>0.22935721723145258</v>
      </c>
      <c r="CL67" s="3">
        <v>6.628533222899434E-2</v>
      </c>
      <c r="CM67" s="3">
        <v>2.7311550422172103E-2</v>
      </c>
      <c r="CN67" s="3">
        <v>9.5690103668924133E-3</v>
      </c>
      <c r="CO67" s="3">
        <v>5.7656690778945851E-3</v>
      </c>
      <c r="CP67" s="3">
        <v>1.1961262958615517E-3</v>
      </c>
      <c r="CQ67" s="3">
        <v>7.9741753057436778E-4</v>
      </c>
      <c r="CR67" s="3">
        <v>5.4595446155705849E-4</v>
      </c>
      <c r="CS67" s="3">
        <v>0</v>
      </c>
    </row>
    <row r="68" spans="3:97" x14ac:dyDescent="0.4">
      <c r="C68" s="2">
        <f t="shared" ref="C68:C77" si="109">C67+1</f>
        <v>3</v>
      </c>
      <c r="D68" s="3">
        <v>8.970947218961638E-4</v>
      </c>
      <c r="E68" s="3">
        <v>0.1508115904698773</v>
      </c>
      <c r="F68" s="3">
        <v>0.50546303719282748</v>
      </c>
      <c r="G68" s="3">
        <v>0.22935721723145258</v>
      </c>
      <c r="H68" s="3">
        <v>6.628533222899434E-2</v>
      </c>
      <c r="I68" s="3">
        <v>2.7311550422172103E-2</v>
      </c>
      <c r="J68" s="3">
        <v>9.5690103668924133E-3</v>
      </c>
      <c r="K68" s="3">
        <v>5.7656690778945851E-3</v>
      </c>
      <c r="L68" s="3">
        <v>1.1961262958615517E-3</v>
      </c>
      <c r="M68" s="3">
        <v>7.9741753057436778E-4</v>
      </c>
      <c r="N68" s="3">
        <v>5.4595446155705849E-4</v>
      </c>
      <c r="O68" s="3">
        <v>0</v>
      </c>
      <c r="P68" s="3"/>
      <c r="AL68" s="2"/>
      <c r="AM68" s="3">
        <v>0</v>
      </c>
      <c r="AN68" s="3">
        <v>2.5000000000000001E-2</v>
      </c>
      <c r="AO68" s="3">
        <v>0.153</v>
      </c>
      <c r="AP68" s="3">
        <v>0.51390000000000002</v>
      </c>
      <c r="AQ68" s="3">
        <v>0.1978</v>
      </c>
      <c r="AR68" s="3">
        <v>7.0199999999999999E-2</v>
      </c>
      <c r="AS68" s="3">
        <v>2.1700000000000001E-2</v>
      </c>
      <c r="AT68" s="3">
        <v>8.0999999999999996E-3</v>
      </c>
      <c r="AU68" s="3">
        <v>3.0999999999999999E-3</v>
      </c>
      <c r="AV68" s="3">
        <v>2.3999999999999998E-3</v>
      </c>
      <c r="AW68" s="3">
        <v>5.9999999999999995E-4</v>
      </c>
      <c r="AX68" s="3">
        <v>0</v>
      </c>
      <c r="BB68" s="2"/>
      <c r="BC68" s="5" t="b">
        <f t="shared" si="105"/>
        <v>1</v>
      </c>
      <c r="BD68" s="5" t="b">
        <f t="shared" si="106"/>
        <v>1</v>
      </c>
      <c r="BE68" s="5" t="b">
        <f t="shared" ref="BE68:BE76" si="110">IF(AP68&lt;AO68,FALSE,TRUE)</f>
        <v>1</v>
      </c>
      <c r="BF68" s="6"/>
      <c r="BG68" s="5" t="b">
        <f t="shared" si="87"/>
        <v>1</v>
      </c>
      <c r="BH68" s="5" t="b">
        <f t="shared" si="88"/>
        <v>1</v>
      </c>
      <c r="BI68" s="5" t="b">
        <f t="shared" si="89"/>
        <v>1</v>
      </c>
      <c r="BJ68" s="5" t="b">
        <f t="shared" si="90"/>
        <v>1</v>
      </c>
      <c r="BK68" s="5" t="b">
        <f t="shared" si="91"/>
        <v>1</v>
      </c>
      <c r="BL68" s="5" t="b">
        <f t="shared" si="92"/>
        <v>1</v>
      </c>
      <c r="BM68" s="5" t="b">
        <f t="shared" si="93"/>
        <v>1</v>
      </c>
      <c r="BN68" s="5" t="b">
        <f t="shared" si="94"/>
        <v>1</v>
      </c>
      <c r="BQ68" s="2"/>
      <c r="BR68" s="5" t="b">
        <f t="shared" si="107"/>
        <v>1</v>
      </c>
      <c r="BS68" s="5" t="b">
        <f t="shared" si="108"/>
        <v>1</v>
      </c>
      <c r="BT68" s="5" t="b">
        <f t="shared" ref="BT68:BT76" si="111">IF(AO67&gt;=AO68, TRUE, FALSE)</f>
        <v>1</v>
      </c>
      <c r="BU68" s="6"/>
      <c r="BV68" s="5" t="b">
        <f t="shared" si="97"/>
        <v>1</v>
      </c>
      <c r="BW68" s="5" t="b">
        <f t="shared" si="98"/>
        <v>1</v>
      </c>
      <c r="BX68" s="5" t="b">
        <f t="shared" si="99"/>
        <v>1</v>
      </c>
      <c r="BY68" s="5" t="b">
        <f t="shared" si="100"/>
        <v>1</v>
      </c>
      <c r="BZ68" s="5" t="b">
        <f t="shared" si="101"/>
        <v>1</v>
      </c>
      <c r="CA68" s="5" t="b">
        <f t="shared" si="102"/>
        <v>1</v>
      </c>
      <c r="CB68" s="5" t="b">
        <f t="shared" si="103"/>
        <v>1</v>
      </c>
      <c r="CC68" s="5" t="b">
        <f t="shared" si="104"/>
        <v>1</v>
      </c>
      <c r="CG68" s="2"/>
      <c r="CH68" s="3">
        <v>0</v>
      </c>
      <c r="CI68" s="3">
        <v>2.4997489455713999E-2</v>
      </c>
      <c r="CJ68" s="3">
        <v>0.15298463546896968</v>
      </c>
      <c r="CK68" s="3">
        <v>0.51384839325165699</v>
      </c>
      <c r="CL68" s="3">
        <v>0.19778013657360918</v>
      </c>
      <c r="CM68" s="3">
        <v>7.0192950391644901E-2</v>
      </c>
      <c r="CN68" s="3">
        <v>2.1697820847559751E-2</v>
      </c>
      <c r="CO68" s="3">
        <v>8.0991865836513351E-3</v>
      </c>
      <c r="CP68" s="3">
        <v>3.0996886925085359E-3</v>
      </c>
      <c r="CQ68" s="3">
        <v>2.3997589877485436E-3</v>
      </c>
      <c r="CR68" s="3">
        <v>5.9993974693713591E-4</v>
      </c>
      <c r="CS68" s="3">
        <v>0</v>
      </c>
    </row>
    <row r="69" spans="3:97" x14ac:dyDescent="0.4">
      <c r="C69" s="2">
        <f t="shared" si="109"/>
        <v>4</v>
      </c>
      <c r="D69" s="3">
        <v>0</v>
      </c>
      <c r="E69" s="3">
        <v>2.4997489455713999E-2</v>
      </c>
      <c r="F69" s="3">
        <v>0.15298463546896968</v>
      </c>
      <c r="G69" s="3">
        <v>0.51384839325165699</v>
      </c>
      <c r="H69" s="3">
        <v>0.19778013657360918</v>
      </c>
      <c r="I69" s="3">
        <v>7.0192950391644901E-2</v>
      </c>
      <c r="J69" s="3">
        <v>2.1697820847559751E-2</v>
      </c>
      <c r="K69" s="3">
        <v>8.0991865836513351E-3</v>
      </c>
      <c r="L69" s="3">
        <v>3.0996886925085359E-3</v>
      </c>
      <c r="M69" s="3">
        <v>2.3997589877485436E-3</v>
      </c>
      <c r="N69" s="3">
        <v>5.9993974693713591E-4</v>
      </c>
      <c r="O69" s="3">
        <v>0</v>
      </c>
      <c r="P69" s="3"/>
      <c r="AL69" s="2"/>
      <c r="AM69" s="3">
        <v>0</v>
      </c>
      <c r="AN69" s="3">
        <v>6.6E-3</v>
      </c>
      <c r="AO69" s="3">
        <v>3.0800000000000001E-2</v>
      </c>
      <c r="AP69" s="3">
        <v>0.1767</v>
      </c>
      <c r="AQ69" s="3">
        <v>0.4738</v>
      </c>
      <c r="AR69" s="3">
        <v>0.2059</v>
      </c>
      <c r="AS69" s="3">
        <v>6.4100000000000004E-2</v>
      </c>
      <c r="AT69" s="3">
        <v>2.1600000000000001E-2</v>
      </c>
      <c r="AU69" s="3">
        <v>7.1999999999999998E-3</v>
      </c>
      <c r="AV69" s="3">
        <v>4.3E-3</v>
      </c>
      <c r="AW69" s="3">
        <v>1.1999999999999999E-3</v>
      </c>
      <c r="AX69" s="3">
        <v>1E-4</v>
      </c>
      <c r="BB69" s="2"/>
      <c r="BC69" s="5" t="b">
        <f t="shared" si="105"/>
        <v>1</v>
      </c>
      <c r="BD69" s="5" t="b">
        <f t="shared" si="106"/>
        <v>1</v>
      </c>
      <c r="BE69" s="5" t="b">
        <f t="shared" si="110"/>
        <v>1</v>
      </c>
      <c r="BF69" s="5" t="b">
        <f t="shared" ref="BF69:BF76" si="112">IF(AQ69&lt;AP69,FALSE,TRUE)</f>
        <v>1</v>
      </c>
      <c r="BG69" s="6"/>
      <c r="BH69" s="5" t="b">
        <f t="shared" si="88"/>
        <v>1</v>
      </c>
      <c r="BI69" s="5" t="b">
        <f t="shared" si="89"/>
        <v>1</v>
      </c>
      <c r="BJ69" s="5" t="b">
        <f t="shared" si="90"/>
        <v>1</v>
      </c>
      <c r="BK69" s="5" t="b">
        <f t="shared" si="91"/>
        <v>1</v>
      </c>
      <c r="BL69" s="5" t="b">
        <f t="shared" si="92"/>
        <v>1</v>
      </c>
      <c r="BM69" s="5" t="b">
        <f t="shared" si="93"/>
        <v>1</v>
      </c>
      <c r="BN69" s="5" t="b">
        <f t="shared" si="94"/>
        <v>1</v>
      </c>
      <c r="BQ69" s="2"/>
      <c r="BR69" s="5" t="b">
        <f t="shared" si="107"/>
        <v>1</v>
      </c>
      <c r="BS69" s="5" t="b">
        <f t="shared" si="108"/>
        <v>1</v>
      </c>
      <c r="BT69" s="5" t="b">
        <f t="shared" si="111"/>
        <v>1</v>
      </c>
      <c r="BU69" s="5" t="b">
        <f t="shared" ref="BU69:BU76" si="113">IF(AP68&gt;=AP69, TRUE, FALSE)</f>
        <v>1</v>
      </c>
      <c r="BV69" s="6"/>
      <c r="BW69" s="5" t="b">
        <f t="shared" si="98"/>
        <v>1</v>
      </c>
      <c r="BX69" s="5" t="b">
        <f t="shared" si="99"/>
        <v>1</v>
      </c>
      <c r="BY69" s="5" t="b">
        <f t="shared" si="100"/>
        <v>1</v>
      </c>
      <c r="BZ69" s="5" t="b">
        <f t="shared" si="101"/>
        <v>1</v>
      </c>
      <c r="CA69" s="5" t="b">
        <f t="shared" si="102"/>
        <v>1</v>
      </c>
      <c r="CB69" s="5" t="b">
        <f t="shared" si="103"/>
        <v>1</v>
      </c>
      <c r="CC69" s="5" t="b">
        <f t="shared" si="104"/>
        <v>1</v>
      </c>
      <c r="CG69" s="2"/>
      <c r="CH69" s="3">
        <v>0</v>
      </c>
      <c r="CI69" s="3">
        <v>6.6000000000000008E-3</v>
      </c>
      <c r="CJ69" s="3">
        <v>3.0800000000000004E-2</v>
      </c>
      <c r="CK69" s="3">
        <v>0.17670000000000002</v>
      </c>
      <c r="CL69" s="3">
        <v>0.47380000000000005</v>
      </c>
      <c r="CM69" s="3">
        <v>0.20590000000000003</v>
      </c>
      <c r="CN69" s="3">
        <v>6.4100000000000018E-2</v>
      </c>
      <c r="CO69" s="3">
        <v>2.1600000000000005E-2</v>
      </c>
      <c r="CP69" s="3">
        <v>7.2000000000000007E-3</v>
      </c>
      <c r="CQ69" s="3">
        <v>4.3E-3</v>
      </c>
      <c r="CR69" s="3">
        <v>1.2000000000000001E-3</v>
      </c>
      <c r="CS69" s="3">
        <v>1.0000000000000002E-4</v>
      </c>
    </row>
    <row r="70" spans="3:97" ht="16.8" customHeight="1" x14ac:dyDescent="0.4">
      <c r="C70" s="2">
        <f t="shared" si="109"/>
        <v>5</v>
      </c>
      <c r="D70" s="3">
        <v>0</v>
      </c>
      <c r="E70" s="3">
        <v>6.6000000000000008E-3</v>
      </c>
      <c r="F70" s="3">
        <v>3.0800000000000004E-2</v>
      </c>
      <c r="G70" s="3">
        <v>0.17670000000000002</v>
      </c>
      <c r="H70" s="3">
        <v>0.47380000000000005</v>
      </c>
      <c r="I70" s="3">
        <v>0.20590000000000003</v>
      </c>
      <c r="J70" s="3">
        <v>6.4100000000000018E-2</v>
      </c>
      <c r="K70" s="3">
        <v>2.1600000000000005E-2</v>
      </c>
      <c r="L70" s="3">
        <v>7.2000000000000007E-3</v>
      </c>
      <c r="M70" s="3">
        <v>4.3E-3</v>
      </c>
      <c r="N70" s="3">
        <v>1.2000000000000001E-3</v>
      </c>
      <c r="O70" s="3">
        <v>1.0000000000000002E-4</v>
      </c>
      <c r="P70" s="3"/>
      <c r="AL70" s="2"/>
      <c r="AM70" s="3">
        <v>0</v>
      </c>
      <c r="AN70" s="3">
        <v>2.0999999999999999E-3</v>
      </c>
      <c r="AO70" s="3">
        <v>1.0800000000000001E-2</v>
      </c>
      <c r="AP70" s="3">
        <v>4.9099999999999998E-2</v>
      </c>
      <c r="AQ70" s="3">
        <v>0.20730000000000001</v>
      </c>
      <c r="AR70" s="3">
        <v>0.43469999999999998</v>
      </c>
      <c r="AS70" s="3">
        <v>0.1797</v>
      </c>
      <c r="AT70" s="3">
        <v>6.2100000000000002E-2</v>
      </c>
      <c r="AU70" s="3">
        <v>1.7399999999999999E-2</v>
      </c>
      <c r="AV70" s="3">
        <v>1.5599999999999999E-2</v>
      </c>
      <c r="AW70" s="3">
        <v>3.8E-3</v>
      </c>
      <c r="AX70" s="3">
        <v>1.4142135623730951E-4</v>
      </c>
      <c r="BB70" s="2"/>
      <c r="BC70" s="5" t="b">
        <f t="shared" si="105"/>
        <v>1</v>
      </c>
      <c r="BD70" s="5" t="b">
        <f t="shared" si="106"/>
        <v>1</v>
      </c>
      <c r="BE70" s="5" t="b">
        <f t="shared" si="110"/>
        <v>1</v>
      </c>
      <c r="BF70" s="5" t="b">
        <f t="shared" si="112"/>
        <v>1</v>
      </c>
      <c r="BG70" s="5" t="b">
        <f t="shared" ref="BG70:BG76" si="114">IF(AR70&lt;AQ70,FALSE,TRUE)</f>
        <v>1</v>
      </c>
      <c r="BH70" s="6"/>
      <c r="BI70" s="5" t="b">
        <f t="shared" si="89"/>
        <v>1</v>
      </c>
      <c r="BJ70" s="5" t="b">
        <f t="shared" si="90"/>
        <v>1</v>
      </c>
      <c r="BK70" s="5" t="b">
        <f t="shared" si="91"/>
        <v>1</v>
      </c>
      <c r="BL70" s="5" t="b">
        <f t="shared" si="92"/>
        <v>1</v>
      </c>
      <c r="BM70" s="5" t="b">
        <f t="shared" si="93"/>
        <v>1</v>
      </c>
      <c r="BN70" s="5" t="b">
        <f t="shared" si="94"/>
        <v>1</v>
      </c>
      <c r="BQ70" s="2"/>
      <c r="BR70" s="5" t="b">
        <f t="shared" si="107"/>
        <v>1</v>
      </c>
      <c r="BS70" s="5" t="b">
        <f t="shared" si="108"/>
        <v>1</v>
      </c>
      <c r="BT70" s="5" t="b">
        <f t="shared" si="111"/>
        <v>1</v>
      </c>
      <c r="BU70" s="5" t="b">
        <f t="shared" si="113"/>
        <v>1</v>
      </c>
      <c r="BV70" s="5" t="b">
        <f t="shared" ref="BV70:BV76" si="115">IF(AQ69&gt;=AQ70, TRUE, FALSE)</f>
        <v>1</v>
      </c>
      <c r="BW70" s="6"/>
      <c r="BX70" s="5" t="b">
        <f t="shared" si="99"/>
        <v>1</v>
      </c>
      <c r="BY70" s="5" t="b">
        <f t="shared" si="100"/>
        <v>1</v>
      </c>
      <c r="BZ70" s="5" t="b">
        <f t="shared" si="101"/>
        <v>1</v>
      </c>
      <c r="CA70" s="5" t="b">
        <f t="shared" si="102"/>
        <v>1</v>
      </c>
      <c r="CB70" s="5" t="b">
        <f t="shared" si="103"/>
        <v>1</v>
      </c>
      <c r="CC70" s="5" t="b">
        <f t="shared" si="104"/>
        <v>1</v>
      </c>
      <c r="CG70" s="2"/>
      <c r="CH70" s="3">
        <v>0</v>
      </c>
      <c r="CI70" s="3">
        <v>2.1001251755031671E-3</v>
      </c>
      <c r="CJ70" s="3">
        <v>1.0800643759730576E-2</v>
      </c>
      <c r="CK70" s="3">
        <v>4.9102926722478818E-2</v>
      </c>
      <c r="CL70" s="3">
        <v>0.20731235661038414</v>
      </c>
      <c r="CM70" s="3">
        <v>0.43472591132915567</v>
      </c>
      <c r="CN70" s="3">
        <v>0.17971071144662817</v>
      </c>
      <c r="CO70" s="3">
        <v>6.2103701618450816E-2</v>
      </c>
      <c r="CP70" s="3">
        <v>1.7401037168454817E-2</v>
      </c>
      <c r="CQ70" s="3">
        <v>1.5600929875166387E-2</v>
      </c>
      <c r="CR70" s="3">
        <v>3.800226508053351E-3</v>
      </c>
      <c r="CS70" s="3">
        <v>1.4142978599417886E-4</v>
      </c>
    </row>
    <row r="71" spans="3:97" x14ac:dyDescent="0.4">
      <c r="C71" s="2">
        <f t="shared" si="109"/>
        <v>6</v>
      </c>
      <c r="D71" s="3">
        <v>0</v>
      </c>
      <c r="E71" s="3">
        <v>2.1001251755031671E-3</v>
      </c>
      <c r="F71" s="3">
        <v>1.0800643759730576E-2</v>
      </c>
      <c r="G71" s="3">
        <v>4.9102926722478818E-2</v>
      </c>
      <c r="H71" s="3">
        <v>0.20731235661038414</v>
      </c>
      <c r="I71" s="3">
        <v>0.43472591132915567</v>
      </c>
      <c r="J71" s="3">
        <v>0.17971071144662817</v>
      </c>
      <c r="K71" s="3">
        <v>6.2103701618450816E-2</v>
      </c>
      <c r="L71" s="3">
        <v>1.7401037168454817E-2</v>
      </c>
      <c r="M71" s="3">
        <v>1.5600929875166387E-2</v>
      </c>
      <c r="N71" s="3">
        <v>3.800226508053351E-3</v>
      </c>
      <c r="O71" s="3">
        <v>1.4142978599417886E-4</v>
      </c>
      <c r="P71" s="3"/>
      <c r="AL71" s="2"/>
      <c r="AM71" s="3">
        <v>0</v>
      </c>
      <c r="AN71" s="3">
        <v>1.897564207580674E-3</v>
      </c>
      <c r="AO71" s="3">
        <v>8.7718719053578136E-3</v>
      </c>
      <c r="AP71" s="3">
        <v>1.1900000000000001E-2</v>
      </c>
      <c r="AQ71" s="3">
        <v>5.9400000000000001E-2</v>
      </c>
      <c r="AR71" s="3">
        <v>0.24210000000000001</v>
      </c>
      <c r="AS71" s="3">
        <v>0.36580000000000001</v>
      </c>
      <c r="AT71" s="3">
        <v>0.1741</v>
      </c>
      <c r="AU71" s="3">
        <v>6.4199999999999993E-2</v>
      </c>
      <c r="AV71" s="3">
        <v>3.3500000000000002E-2</v>
      </c>
      <c r="AW71" s="3">
        <v>1.12E-2</v>
      </c>
      <c r="AX71" s="3">
        <v>2.0000000000000001E-4</v>
      </c>
      <c r="BB71" s="2"/>
      <c r="BC71" s="5" t="b">
        <f t="shared" si="105"/>
        <v>1</v>
      </c>
      <c r="BD71" s="5" t="b">
        <f t="shared" si="106"/>
        <v>1</v>
      </c>
      <c r="BE71" s="5" t="b">
        <f t="shared" si="110"/>
        <v>1</v>
      </c>
      <c r="BF71" s="5" t="b">
        <f t="shared" si="112"/>
        <v>1</v>
      </c>
      <c r="BG71" s="5" t="b">
        <f t="shared" si="114"/>
        <v>1</v>
      </c>
      <c r="BH71" s="5" t="b">
        <f t="shared" ref="BH71:BH76" si="116">IF(AS71&lt;AR71,FALSE,TRUE)</f>
        <v>1</v>
      </c>
      <c r="BI71" s="6"/>
      <c r="BJ71" s="5" t="b">
        <f t="shared" si="90"/>
        <v>1</v>
      </c>
      <c r="BK71" s="5" t="b">
        <f t="shared" si="91"/>
        <v>1</v>
      </c>
      <c r="BL71" s="5" t="b">
        <f t="shared" si="92"/>
        <v>1</v>
      </c>
      <c r="BM71" s="5" t="b">
        <f t="shared" si="93"/>
        <v>1</v>
      </c>
      <c r="BN71" s="5" t="b">
        <f t="shared" si="94"/>
        <v>1</v>
      </c>
      <c r="BQ71" s="2"/>
      <c r="BR71" s="5" t="b">
        <f t="shared" si="107"/>
        <v>1</v>
      </c>
      <c r="BS71" s="5" t="b">
        <f t="shared" si="108"/>
        <v>1</v>
      </c>
      <c r="BT71" s="5" t="b">
        <f t="shared" si="111"/>
        <v>1</v>
      </c>
      <c r="BU71" s="5" t="b">
        <f t="shared" si="113"/>
        <v>1</v>
      </c>
      <c r="BV71" s="5" t="b">
        <f t="shared" si="115"/>
        <v>1</v>
      </c>
      <c r="BW71" s="5" t="b">
        <f t="shared" ref="BW71:BW76" si="117">IF(AR70&gt;=AR71, TRUE, FALSE)</f>
        <v>1</v>
      </c>
      <c r="BX71" s="6"/>
      <c r="BY71" s="5" t="b">
        <f t="shared" si="100"/>
        <v>1</v>
      </c>
      <c r="BZ71" s="5" t="b">
        <f t="shared" si="101"/>
        <v>1</v>
      </c>
      <c r="CA71" s="5" t="b">
        <f t="shared" si="102"/>
        <v>1</v>
      </c>
      <c r="CB71" s="5" t="b">
        <f t="shared" si="103"/>
        <v>1</v>
      </c>
      <c r="CC71" s="5" t="b">
        <f t="shared" si="104"/>
        <v>1</v>
      </c>
      <c r="CG71" s="2"/>
      <c r="CH71" s="3">
        <v>0</v>
      </c>
      <c r="CI71" s="3">
        <v>1.8849482832123364E-3</v>
      </c>
      <c r="CJ71" s="3">
        <v>8.7135522595273122E-3</v>
      </c>
      <c r="CK71" s="3">
        <v>1.1820883046073772E-2</v>
      </c>
      <c r="CL71" s="3">
        <v>5.9005080078721184E-2</v>
      </c>
      <c r="CM71" s="3">
        <v>0.24049040213903028</v>
      </c>
      <c r="CN71" s="3">
        <v>0.36336798472720894</v>
      </c>
      <c r="CO71" s="3">
        <v>0.17294249901860873</v>
      </c>
      <c r="CP71" s="3">
        <v>6.377316735780976E-2</v>
      </c>
      <c r="CQ71" s="3">
        <v>3.3277275801972386E-2</v>
      </c>
      <c r="CR71" s="3">
        <v>1.1125536984540019E-2</v>
      </c>
      <c r="CS71" s="3">
        <v>1.9867030329535752E-4</v>
      </c>
    </row>
    <row r="72" spans="3:97" x14ac:dyDescent="0.4">
      <c r="C72" s="2">
        <f t="shared" si="109"/>
        <v>7</v>
      </c>
      <c r="D72" s="3">
        <v>0</v>
      </c>
      <c r="E72" s="3">
        <v>1.8849482832123364E-3</v>
      </c>
      <c r="F72" s="3">
        <v>8.7135522595273122E-3</v>
      </c>
      <c r="G72" s="3">
        <v>1.1820883046073772E-2</v>
      </c>
      <c r="H72" s="3">
        <v>5.9005080078721184E-2</v>
      </c>
      <c r="I72" s="3">
        <v>0.24049040213903028</v>
      </c>
      <c r="J72" s="3">
        <v>0.36336798472720894</v>
      </c>
      <c r="K72" s="3">
        <v>0.17294249901860873</v>
      </c>
      <c r="L72" s="3">
        <v>6.377316735780976E-2</v>
      </c>
      <c r="M72" s="3">
        <v>3.3277275801972386E-2</v>
      </c>
      <c r="N72" s="3">
        <v>1.1125536984540019E-2</v>
      </c>
      <c r="O72" s="3">
        <v>1.9867030329535752E-4</v>
      </c>
      <c r="P72" s="3"/>
      <c r="AL72" s="2"/>
      <c r="AM72" s="3">
        <v>0</v>
      </c>
      <c r="AN72" s="3">
        <v>1.7146428199482245E-3</v>
      </c>
      <c r="AO72" s="3">
        <v>7.1246052522227505E-3</v>
      </c>
      <c r="AP72" s="3">
        <v>7.6E-3</v>
      </c>
      <c r="AQ72" s="3">
        <v>2.29E-2</v>
      </c>
      <c r="AR72" s="3">
        <v>8.0399999999999999E-2</v>
      </c>
      <c r="AS72" s="3">
        <v>0.22700000000000001</v>
      </c>
      <c r="AT72" s="3">
        <v>0.34599999999999997</v>
      </c>
      <c r="AU72" s="3">
        <v>0.16639999999999999</v>
      </c>
      <c r="AV72" s="3">
        <v>6.4699999999999994E-2</v>
      </c>
      <c r="AW72" s="3">
        <v>2.4799999999999999E-2</v>
      </c>
      <c r="AX72" s="3">
        <v>5.0000000000000001E-4</v>
      </c>
      <c r="BB72" s="2"/>
      <c r="BC72" s="5" t="b">
        <f t="shared" si="105"/>
        <v>1</v>
      </c>
      <c r="BD72" s="5" t="b">
        <f t="shared" si="106"/>
        <v>1</v>
      </c>
      <c r="BE72" s="5" t="b">
        <f t="shared" si="110"/>
        <v>1</v>
      </c>
      <c r="BF72" s="5" t="b">
        <f t="shared" si="112"/>
        <v>1</v>
      </c>
      <c r="BG72" s="5" t="b">
        <f t="shared" si="114"/>
        <v>1</v>
      </c>
      <c r="BH72" s="5" t="b">
        <f t="shared" si="116"/>
        <v>1</v>
      </c>
      <c r="BI72" s="5" t="b">
        <f t="shared" ref="BI72:BI76" si="118">IF(AT72&lt;AS72,FALSE,TRUE)</f>
        <v>1</v>
      </c>
      <c r="BJ72" s="6"/>
      <c r="BK72" s="5" t="b">
        <f t="shared" si="91"/>
        <v>1</v>
      </c>
      <c r="BL72" s="5" t="b">
        <f t="shared" si="92"/>
        <v>1</v>
      </c>
      <c r="BM72" s="5" t="b">
        <f t="shared" si="93"/>
        <v>1</v>
      </c>
      <c r="BN72" s="5" t="b">
        <f t="shared" si="94"/>
        <v>1</v>
      </c>
      <c r="BQ72" s="2"/>
      <c r="BR72" s="5" t="b">
        <f t="shared" si="107"/>
        <v>1</v>
      </c>
      <c r="BS72" s="5" t="b">
        <f t="shared" si="108"/>
        <v>1</v>
      </c>
      <c r="BT72" s="5" t="b">
        <f t="shared" si="111"/>
        <v>1</v>
      </c>
      <c r="BU72" s="5" t="b">
        <f t="shared" si="113"/>
        <v>1</v>
      </c>
      <c r="BV72" s="5" t="b">
        <f t="shared" si="115"/>
        <v>1</v>
      </c>
      <c r="BW72" s="5" t="b">
        <f t="shared" si="117"/>
        <v>1</v>
      </c>
      <c r="BX72" s="5" t="b">
        <f t="shared" ref="BX72:BX76" si="119">IF(AS71&gt;=AS72, TRUE, FALSE)</f>
        <v>1</v>
      </c>
      <c r="BY72" s="6"/>
      <c r="BZ72" s="5" t="b">
        <f t="shared" si="101"/>
        <v>1</v>
      </c>
      <c r="CA72" s="5" t="b">
        <f t="shared" si="102"/>
        <v>1</v>
      </c>
      <c r="CB72" s="5" t="b">
        <f t="shared" si="103"/>
        <v>1</v>
      </c>
      <c r="CC72" s="5" t="b">
        <f t="shared" si="104"/>
        <v>1</v>
      </c>
      <c r="CG72" s="2"/>
      <c r="CH72" s="3">
        <v>0</v>
      </c>
      <c r="CI72" s="3">
        <v>1.7015649446480681E-3</v>
      </c>
      <c r="CJ72" s="3">
        <v>7.0702646642195758E-3</v>
      </c>
      <c r="CK72" s="3">
        <v>7.5420334946002393E-3</v>
      </c>
      <c r="CL72" s="3">
        <v>2.2725337766624408E-2</v>
      </c>
      <c r="CM72" s="3">
        <v>7.9786775390244632E-2</v>
      </c>
      <c r="CN72" s="3">
        <v>0.22526863200977035</v>
      </c>
      <c r="CO72" s="3">
        <v>0.34336099856995828</v>
      </c>
      <c r="CP72" s="3">
        <v>0.16513083861861577</v>
      </c>
      <c r="CQ72" s="3">
        <v>6.4206521986925724E-2</v>
      </c>
      <c r="CR72" s="3">
        <v>2.4610846140274464E-2</v>
      </c>
      <c r="CS72" s="3">
        <v>4.9618641411843683E-4</v>
      </c>
    </row>
    <row r="73" spans="3:97" x14ac:dyDescent="0.4">
      <c r="C73" s="2">
        <f t="shared" si="109"/>
        <v>8</v>
      </c>
      <c r="D73" s="3">
        <v>0</v>
      </c>
      <c r="E73" s="3">
        <v>1.7015649446480681E-3</v>
      </c>
      <c r="F73" s="3">
        <v>7.0702646642195758E-3</v>
      </c>
      <c r="G73" s="3">
        <v>7.5420334946002393E-3</v>
      </c>
      <c r="H73" s="3">
        <v>2.2725337766624408E-2</v>
      </c>
      <c r="I73" s="3">
        <v>7.9786775390244632E-2</v>
      </c>
      <c r="J73" s="3">
        <v>0.22526863200977035</v>
      </c>
      <c r="K73" s="3">
        <v>0.34336099856995828</v>
      </c>
      <c r="L73" s="3">
        <v>0.16513083861861577</v>
      </c>
      <c r="M73" s="3">
        <v>6.4206521986925724E-2</v>
      </c>
      <c r="N73" s="3">
        <v>2.4610846140274464E-2</v>
      </c>
      <c r="O73" s="3">
        <v>4.9618641411843683E-4</v>
      </c>
      <c r="P73" s="3"/>
      <c r="AL73" s="2"/>
      <c r="AM73" s="3">
        <v>0</v>
      </c>
      <c r="AN73" s="3">
        <v>1.5493546875804502E-3</v>
      </c>
      <c r="AO73" s="3">
        <v>5.7866782082164319E-3</v>
      </c>
      <c r="AP73" s="3">
        <v>7.1638751223794903E-3</v>
      </c>
      <c r="AQ73" s="3">
        <v>1.9379370474811614E-2</v>
      </c>
      <c r="AR73" s="3">
        <v>5.9206756371211554E-2</v>
      </c>
      <c r="AS73" s="3">
        <v>0.1023</v>
      </c>
      <c r="AT73" s="3">
        <v>0.19339999999999999</v>
      </c>
      <c r="AU73" s="3">
        <v>0.34399999999999997</v>
      </c>
      <c r="AV73" s="3">
        <v>0.15659999999999999</v>
      </c>
      <c r="AW73" s="3">
        <v>6.8599999999999994E-2</v>
      </c>
      <c r="AX73" s="3">
        <v>1.1000000000000001E-3</v>
      </c>
      <c r="BB73" s="2"/>
      <c r="BC73" s="5" t="b">
        <f t="shared" si="105"/>
        <v>1</v>
      </c>
      <c r="BD73" s="5" t="b">
        <f t="shared" si="106"/>
        <v>1</v>
      </c>
      <c r="BE73" s="5" t="b">
        <f t="shared" si="110"/>
        <v>1</v>
      </c>
      <c r="BF73" s="5" t="b">
        <f t="shared" si="112"/>
        <v>1</v>
      </c>
      <c r="BG73" s="5" t="b">
        <f t="shared" si="114"/>
        <v>1</v>
      </c>
      <c r="BH73" s="5" t="b">
        <f t="shared" si="116"/>
        <v>1</v>
      </c>
      <c r="BI73" s="5" t="b">
        <f t="shared" si="118"/>
        <v>1</v>
      </c>
      <c r="BJ73" s="5" t="b">
        <f t="shared" ref="BJ73:BJ76" si="120">IF(AU73&lt;AT73,FALSE,TRUE)</f>
        <v>1</v>
      </c>
      <c r="BK73" s="6"/>
      <c r="BL73" s="5" t="b">
        <f t="shared" si="92"/>
        <v>1</v>
      </c>
      <c r="BM73" s="5" t="b">
        <f t="shared" si="93"/>
        <v>1</v>
      </c>
      <c r="BN73" s="5" t="b">
        <f t="shared" si="94"/>
        <v>1</v>
      </c>
      <c r="BQ73" s="2"/>
      <c r="BR73" s="5" t="b">
        <f t="shared" si="107"/>
        <v>1</v>
      </c>
      <c r="BS73" s="5" t="b">
        <f t="shared" si="108"/>
        <v>1</v>
      </c>
      <c r="BT73" s="5" t="b">
        <f t="shared" si="111"/>
        <v>1</v>
      </c>
      <c r="BU73" s="5" t="b">
        <f t="shared" si="113"/>
        <v>1</v>
      </c>
      <c r="BV73" s="5" t="b">
        <f t="shared" si="115"/>
        <v>1</v>
      </c>
      <c r="BW73" s="5" t="b">
        <f t="shared" si="117"/>
        <v>1</v>
      </c>
      <c r="BX73" s="5" t="b">
        <f t="shared" si="119"/>
        <v>1</v>
      </c>
      <c r="BY73" s="5" t="b">
        <f t="shared" ref="BY73:BY76" si="121">IF(AT72&gt;=AT73, TRUE, FALSE)</f>
        <v>1</v>
      </c>
      <c r="BZ73" s="6"/>
      <c r="CA73" s="5" t="b">
        <f t="shared" si="102"/>
        <v>1</v>
      </c>
      <c r="CB73" s="5" t="b">
        <f t="shared" si="103"/>
        <v>1</v>
      </c>
      <c r="CC73" s="5" t="b">
        <f t="shared" si="104"/>
        <v>1</v>
      </c>
      <c r="CG73" s="2"/>
      <c r="CH73" s="3">
        <v>0</v>
      </c>
      <c r="CI73" s="3">
        <v>1.4703817857543973E-3</v>
      </c>
      <c r="CJ73" s="3">
        <v>5.4917226543334833E-3</v>
      </c>
      <c r="CK73" s="3">
        <v>6.7987218032145389E-3</v>
      </c>
      <c r="CL73" s="3">
        <v>1.8391575275800067E-2</v>
      </c>
      <c r="CM73" s="3">
        <v>5.6188900359400232E-2</v>
      </c>
      <c r="CN73" s="3">
        <v>9.7085617572551033E-2</v>
      </c>
      <c r="CO73" s="3">
        <v>0.18354211572366927</v>
      </c>
      <c r="CP73" s="3">
        <v>0.32646581080114906</v>
      </c>
      <c r="CQ73" s="3">
        <v>0.14861786619610448</v>
      </c>
      <c r="CR73" s="3">
        <v>6.5103356456275657E-2</v>
      </c>
      <c r="CS73" s="3">
        <v>1.0439313717478607E-3</v>
      </c>
    </row>
    <row r="74" spans="3:97" x14ac:dyDescent="0.4">
      <c r="C74" s="2">
        <f t="shared" si="109"/>
        <v>9</v>
      </c>
      <c r="D74" s="3">
        <v>0</v>
      </c>
      <c r="E74" s="3">
        <v>1.4703817857543973E-3</v>
      </c>
      <c r="F74" s="3">
        <v>5.4917226543334833E-3</v>
      </c>
      <c r="G74" s="3">
        <v>6.7987218032145389E-3</v>
      </c>
      <c r="H74" s="3">
        <v>1.8391575275800067E-2</v>
      </c>
      <c r="I74" s="3">
        <v>5.6188900359400232E-2</v>
      </c>
      <c r="J74" s="3">
        <v>9.7085617572551033E-2</v>
      </c>
      <c r="K74" s="3">
        <v>0.18354211572366927</v>
      </c>
      <c r="L74" s="3">
        <v>0.32646581080114906</v>
      </c>
      <c r="M74" s="3">
        <v>0.14861786619610448</v>
      </c>
      <c r="N74" s="3">
        <v>6.5103356456275657E-2</v>
      </c>
      <c r="O74" s="3">
        <v>1.0439313717478607E-3</v>
      </c>
      <c r="P74" s="3"/>
      <c r="AL74" s="2"/>
      <c r="AM74" s="3">
        <v>0</v>
      </c>
      <c r="AN74" s="3">
        <v>1.4E-3</v>
      </c>
      <c r="AO74" s="3">
        <v>4.7000000000000002E-3</v>
      </c>
      <c r="AP74" s="3">
        <v>6.7527772064536534E-3</v>
      </c>
      <c r="AQ74" s="3">
        <v>1.6400000000000001E-2</v>
      </c>
      <c r="AR74" s="3">
        <v>4.36E-2</v>
      </c>
      <c r="AS74" s="3">
        <v>6.0499999999999998E-2</v>
      </c>
      <c r="AT74" s="3">
        <v>7.2700000000000001E-2</v>
      </c>
      <c r="AU74" s="3">
        <v>0.1341</v>
      </c>
      <c r="AV74" s="3">
        <v>0.39989999999999998</v>
      </c>
      <c r="AW74" s="3">
        <v>0.1177</v>
      </c>
      <c r="AX74" s="3">
        <v>2.3E-3</v>
      </c>
      <c r="BB74" s="2"/>
      <c r="BC74" s="5" t="b">
        <f t="shared" si="105"/>
        <v>1</v>
      </c>
      <c r="BD74" s="5" t="b">
        <f t="shared" si="106"/>
        <v>1</v>
      </c>
      <c r="BE74" s="5" t="b">
        <f t="shared" si="110"/>
        <v>1</v>
      </c>
      <c r="BF74" s="5" t="b">
        <f t="shared" si="112"/>
        <v>1</v>
      </c>
      <c r="BG74" s="5" t="b">
        <f t="shared" si="114"/>
        <v>1</v>
      </c>
      <c r="BH74" s="5" t="b">
        <f t="shared" si="116"/>
        <v>1</v>
      </c>
      <c r="BI74" s="5" t="b">
        <f t="shared" si="118"/>
        <v>1</v>
      </c>
      <c r="BJ74" s="5" t="b">
        <f t="shared" si="120"/>
        <v>1</v>
      </c>
      <c r="BK74" s="5" t="b">
        <f t="shared" ref="BK74:BK76" si="122">IF(AV74&lt;AU74,FALSE,TRUE)</f>
        <v>1</v>
      </c>
      <c r="BL74" s="6"/>
      <c r="BM74" s="5" t="b">
        <f t="shared" si="93"/>
        <v>1</v>
      </c>
      <c r="BN74" s="5" t="b">
        <f t="shared" si="94"/>
        <v>1</v>
      </c>
      <c r="BQ74" s="2"/>
      <c r="BR74" s="5" t="b">
        <f t="shared" si="107"/>
        <v>1</v>
      </c>
      <c r="BS74" s="5" t="b">
        <f t="shared" si="108"/>
        <v>1</v>
      </c>
      <c r="BT74" s="5" t="b">
        <f t="shared" si="111"/>
        <v>1</v>
      </c>
      <c r="BU74" s="5" t="b">
        <f t="shared" si="113"/>
        <v>1</v>
      </c>
      <c r="BV74" s="5" t="b">
        <f t="shared" si="115"/>
        <v>1</v>
      </c>
      <c r="BW74" s="5" t="b">
        <f t="shared" si="117"/>
        <v>1</v>
      </c>
      <c r="BX74" s="5" t="b">
        <f t="shared" si="119"/>
        <v>1</v>
      </c>
      <c r="BY74" s="5" t="b">
        <f t="shared" si="121"/>
        <v>1</v>
      </c>
      <c r="BZ74" s="5" t="b">
        <f t="shared" ref="BZ74:BZ76" si="123">IF(AU73&gt;=AU74, TRUE, FALSE)</f>
        <v>1</v>
      </c>
      <c r="CA74" s="6"/>
      <c r="CB74" s="5" t="b">
        <f t="shared" si="103"/>
        <v>1</v>
      </c>
      <c r="CC74" s="5" t="b">
        <f t="shared" si="104"/>
        <v>1</v>
      </c>
      <c r="CG74" s="2"/>
      <c r="CH74" s="3">
        <v>0</v>
      </c>
      <c r="CI74" s="3">
        <v>1.3973095975615001E-3</v>
      </c>
      <c r="CJ74" s="3">
        <v>4.6909679346707495E-3</v>
      </c>
      <c r="CK74" s="3">
        <v>6.7398002862658745E-3</v>
      </c>
      <c r="CL74" s="3">
        <v>1.6368483857149001E-2</v>
      </c>
      <c r="CM74" s="3">
        <v>4.3516213181200997E-2</v>
      </c>
      <c r="CN74" s="3">
        <v>6.0383736180336246E-2</v>
      </c>
      <c r="CO74" s="3">
        <v>7.2560291244800748E-2</v>
      </c>
      <c r="CP74" s="3">
        <v>0.13384229788071225</v>
      </c>
      <c r="CQ74" s="3">
        <v>0.39913150576060274</v>
      </c>
      <c r="CR74" s="3">
        <v>0.11747381402356324</v>
      </c>
      <c r="CS74" s="3">
        <v>2.29558005313675E-3</v>
      </c>
    </row>
    <row r="75" spans="3:97" x14ac:dyDescent="0.4">
      <c r="C75" s="2">
        <f t="shared" si="109"/>
        <v>10</v>
      </c>
      <c r="D75" s="3">
        <v>0</v>
      </c>
      <c r="E75" s="3">
        <v>1.3973095975615001E-3</v>
      </c>
      <c r="F75" s="3">
        <v>4.6909679346707495E-3</v>
      </c>
      <c r="G75" s="3">
        <v>6.7398002862658745E-3</v>
      </c>
      <c r="H75" s="3">
        <v>1.6368483857149001E-2</v>
      </c>
      <c r="I75" s="3">
        <v>4.3516213181200997E-2</v>
      </c>
      <c r="J75" s="3">
        <v>6.0383736180336246E-2</v>
      </c>
      <c r="K75" s="3">
        <v>7.2560291244800748E-2</v>
      </c>
      <c r="L75" s="3">
        <v>0.13384229788071225</v>
      </c>
      <c r="M75" s="3">
        <v>0.39913150576060274</v>
      </c>
      <c r="N75" s="3">
        <v>0.11747381402356324</v>
      </c>
      <c r="O75" s="3">
        <v>2.29558005313675E-3</v>
      </c>
      <c r="P75" s="3"/>
      <c r="AL75" s="2"/>
      <c r="AM75" s="3">
        <v>0</v>
      </c>
      <c r="AN75" s="3">
        <v>1.2999999999999999E-3</v>
      </c>
      <c r="AO75" s="3">
        <v>2.2343106042047056E-3</v>
      </c>
      <c r="AP75" s="3">
        <v>6.3652700837216573E-3</v>
      </c>
      <c r="AQ75" s="3">
        <v>6.6E-3</v>
      </c>
      <c r="AR75" s="3">
        <v>8.6E-3</v>
      </c>
      <c r="AS75" s="3">
        <v>1.9800000000000002E-2</v>
      </c>
      <c r="AT75" s="3">
        <v>3.3599999999999998E-2</v>
      </c>
      <c r="AU75" s="3">
        <v>6.0600000000000001E-2</v>
      </c>
      <c r="AV75" s="3">
        <v>8.6999999999999994E-2</v>
      </c>
      <c r="AW75" s="3">
        <v>0.46529999999999999</v>
      </c>
      <c r="AX75" s="3">
        <v>1.5800000000000002E-2</v>
      </c>
      <c r="BB75" s="2"/>
      <c r="BC75" s="5" t="b">
        <f t="shared" si="105"/>
        <v>1</v>
      </c>
      <c r="BD75" s="5" t="b">
        <f t="shared" si="106"/>
        <v>1</v>
      </c>
      <c r="BE75" s="5" t="b">
        <f t="shared" si="110"/>
        <v>1</v>
      </c>
      <c r="BF75" s="5" t="b">
        <f t="shared" si="112"/>
        <v>1</v>
      </c>
      <c r="BG75" s="5" t="b">
        <f t="shared" si="114"/>
        <v>1</v>
      </c>
      <c r="BH75" s="5" t="b">
        <f t="shared" si="116"/>
        <v>1</v>
      </c>
      <c r="BI75" s="5" t="b">
        <f t="shared" si="118"/>
        <v>1</v>
      </c>
      <c r="BJ75" s="5" t="b">
        <f t="shared" si="120"/>
        <v>1</v>
      </c>
      <c r="BK75" s="5" t="b">
        <f t="shared" si="122"/>
        <v>1</v>
      </c>
      <c r="BL75" s="5" t="b">
        <f t="shared" ref="BL75:BL76" si="124">IF(AW75&lt;AV75,FALSE,TRUE)</f>
        <v>1</v>
      </c>
      <c r="BM75" s="6"/>
      <c r="BN75" s="5" t="b">
        <f>IF(AX75&gt;AW75,FALSE,TRUE)</f>
        <v>1</v>
      </c>
      <c r="BQ75" s="2"/>
      <c r="BR75" s="5" t="b">
        <f t="shared" si="107"/>
        <v>1</v>
      </c>
      <c r="BS75" s="5" t="b">
        <f t="shared" si="108"/>
        <v>1</v>
      </c>
      <c r="BT75" s="5" t="b">
        <f t="shared" si="111"/>
        <v>1</v>
      </c>
      <c r="BU75" s="5" t="b">
        <f t="shared" si="113"/>
        <v>1</v>
      </c>
      <c r="BV75" s="5" t="b">
        <f t="shared" si="115"/>
        <v>1</v>
      </c>
      <c r="BW75" s="5" t="b">
        <f t="shared" si="117"/>
        <v>1</v>
      </c>
      <c r="BX75" s="5" t="b">
        <f t="shared" si="119"/>
        <v>1</v>
      </c>
      <c r="BY75" s="5" t="b">
        <f t="shared" si="121"/>
        <v>1</v>
      </c>
      <c r="BZ75" s="5" t="b">
        <f t="shared" si="123"/>
        <v>1</v>
      </c>
      <c r="CA75" s="5" t="b">
        <f t="shared" ref="CA75:CA76" si="125">IF(AV74&gt;=AV75, TRUE, FALSE)</f>
        <v>1</v>
      </c>
      <c r="CB75" s="6"/>
      <c r="CC75" s="5" t="b">
        <f t="shared" si="104"/>
        <v>1</v>
      </c>
      <c r="CG75" s="2"/>
      <c r="CH75" s="3">
        <v>0</v>
      </c>
      <c r="CI75" s="3">
        <v>1.2854787033607757E-3</v>
      </c>
      <c r="CJ75" s="3">
        <v>2.2093528449217666E-3</v>
      </c>
      <c r="CK75" s="3">
        <v>6.2941685644335799E-3</v>
      </c>
      <c r="CL75" s="3">
        <v>6.5262764939854776E-3</v>
      </c>
      <c r="CM75" s="3">
        <v>8.5039360376174405E-3</v>
      </c>
      <c r="CN75" s="3">
        <v>1.9578829481956432E-2</v>
      </c>
      <c r="CO75" s="3">
        <v>3.3224680333016975E-2</v>
      </c>
      <c r="CP75" s="3">
        <v>5.9923084172048481E-2</v>
      </c>
      <c r="CQ75" s="3">
        <v>8.6028190147990374E-2</v>
      </c>
      <c r="CR75" s="3">
        <v>0.46010249282597615</v>
      </c>
      <c r="CS75" s="3">
        <v>1.5623510394692508E-2</v>
      </c>
    </row>
    <row r="76" spans="3:97" x14ac:dyDescent="0.4">
      <c r="C76" s="2">
        <f t="shared" si="109"/>
        <v>11</v>
      </c>
      <c r="D76" s="3">
        <v>0</v>
      </c>
      <c r="E76" s="3">
        <v>1.2542678130771242E-3</v>
      </c>
      <c r="F76" s="3">
        <v>2.1557106732852803E-3</v>
      </c>
      <c r="G76" s="3">
        <v>6.1413487596575448E-3</v>
      </c>
      <c r="H76" s="3">
        <v>6.3678212048530929E-3</v>
      </c>
      <c r="I76" s="3">
        <v>1.9340237175850976E-2</v>
      </c>
      <c r="J76" s="3">
        <v>2.5039404680214868E-2</v>
      </c>
      <c r="K76" s="3">
        <v>3.2417998861070288E-2</v>
      </c>
      <c r="L76" s="3">
        <v>5.8468176517287494E-2</v>
      </c>
      <c r="M76" s="3">
        <v>8.3939461336699855E-2</v>
      </c>
      <c r="N76" s="3">
        <v>0.44893139494214307</v>
      </c>
      <c r="O76" s="3">
        <v>1.5244178035860437E-2</v>
      </c>
      <c r="P76" s="3"/>
      <c r="AL76" s="2"/>
      <c r="AM76" s="3">
        <v>0</v>
      </c>
      <c r="AN76" s="3">
        <v>0</v>
      </c>
      <c r="AO76" s="3">
        <v>0</v>
      </c>
      <c r="AP76" s="3">
        <v>6.0000000000000001E-3</v>
      </c>
      <c r="AQ76" s="3">
        <v>6.0000000000000019E-3</v>
      </c>
      <c r="AR76" s="3">
        <v>9.2160166679830947E-3</v>
      </c>
      <c r="AS76" s="3">
        <v>1.415582720409036E-2</v>
      </c>
      <c r="AT76" s="3">
        <v>2.1743389910330861E-2</v>
      </c>
      <c r="AU76" s="3">
        <v>0.03</v>
      </c>
      <c r="AV76" s="3">
        <v>5.5317266743757323E-2</v>
      </c>
      <c r="AW76" s="3">
        <v>0.10199999999999999</v>
      </c>
      <c r="AX76" s="3">
        <v>0.12</v>
      </c>
      <c r="BB76" s="2"/>
      <c r="BC76" s="5" t="b">
        <f t="shared" si="105"/>
        <v>1</v>
      </c>
      <c r="BD76" s="5" t="b">
        <f t="shared" si="106"/>
        <v>1</v>
      </c>
      <c r="BE76" s="5" t="b">
        <f t="shared" si="110"/>
        <v>1</v>
      </c>
      <c r="BF76" s="5" t="b">
        <f t="shared" si="112"/>
        <v>1</v>
      </c>
      <c r="BG76" s="5" t="b">
        <f t="shared" si="114"/>
        <v>1</v>
      </c>
      <c r="BH76" s="5" t="b">
        <f t="shared" si="116"/>
        <v>1</v>
      </c>
      <c r="BI76" s="5" t="b">
        <f t="shared" si="118"/>
        <v>1</v>
      </c>
      <c r="BJ76" s="5" t="b">
        <f t="shared" si="120"/>
        <v>1</v>
      </c>
      <c r="BK76" s="5" t="b">
        <f t="shared" si="122"/>
        <v>1</v>
      </c>
      <c r="BL76" s="5" t="b">
        <f t="shared" si="124"/>
        <v>1</v>
      </c>
      <c r="BM76" s="5" t="b">
        <f t="shared" ref="BM76" si="126">IF(AX76&lt;AW76,FALSE,TRUE)</f>
        <v>1</v>
      </c>
      <c r="BN76" s="6"/>
      <c r="BQ76" s="2"/>
      <c r="BR76" s="5" t="b">
        <f t="shared" si="107"/>
        <v>1</v>
      </c>
      <c r="BS76" s="5" t="b">
        <f t="shared" si="108"/>
        <v>1</v>
      </c>
      <c r="BT76" s="5" t="b">
        <f t="shared" si="111"/>
        <v>1</v>
      </c>
      <c r="BU76" s="5" t="b">
        <f t="shared" si="113"/>
        <v>1</v>
      </c>
      <c r="BV76" s="5" t="b">
        <f t="shared" si="115"/>
        <v>1</v>
      </c>
      <c r="BW76" s="5" t="b">
        <f t="shared" si="117"/>
        <v>0</v>
      </c>
      <c r="BX76" s="5" t="b">
        <f t="shared" si="119"/>
        <v>1</v>
      </c>
      <c r="BY76" s="5" t="b">
        <f t="shared" si="121"/>
        <v>1</v>
      </c>
      <c r="BZ76" s="5" t="b">
        <f t="shared" si="123"/>
        <v>1</v>
      </c>
      <c r="CA76" s="5" t="b">
        <f t="shared" si="125"/>
        <v>1</v>
      </c>
      <c r="CB76" s="5" t="b">
        <f>IF(AW75&gt;=AW76, TRUE, FALSE)</f>
        <v>1</v>
      </c>
      <c r="CC76" s="6"/>
      <c r="CG76" s="2"/>
      <c r="CH76" s="3">
        <v>0</v>
      </c>
      <c r="CI76" s="3">
        <v>0</v>
      </c>
      <c r="CJ76" s="3">
        <v>0</v>
      </c>
      <c r="CK76" s="3">
        <v>4.7416188114538151E-3</v>
      </c>
      <c r="CL76" s="3">
        <v>4.7416188114538169E-3</v>
      </c>
      <c r="CM76" s="3">
        <v>7.2831396665967579E-3</v>
      </c>
      <c r="CN76" s="3">
        <v>1.1186922760434086E-2</v>
      </c>
      <c r="CO76" s="3">
        <v>1.7183144437266651E-2</v>
      </c>
      <c r="CP76" s="3">
        <v>2.3708094057269074E-2</v>
      </c>
      <c r="CQ76" s="3">
        <v>4.3715565431734708E-2</v>
      </c>
      <c r="CR76" s="3">
        <v>8.0607519794714852E-2</v>
      </c>
      <c r="CS76" s="3">
        <v>9.4832376229076296E-2</v>
      </c>
    </row>
    <row r="77" spans="3:97" x14ac:dyDescent="0.4">
      <c r="C77" s="2">
        <f t="shared" si="109"/>
        <v>12</v>
      </c>
      <c r="D77" s="3">
        <v>0</v>
      </c>
      <c r="E77" s="3">
        <v>0</v>
      </c>
      <c r="F77" s="3">
        <v>0</v>
      </c>
      <c r="G77" s="3">
        <v>4.7416188114538151E-3</v>
      </c>
      <c r="H77" s="3">
        <v>4.7416188114538169E-3</v>
      </c>
      <c r="I77" s="3">
        <v>7.2831396665967579E-3</v>
      </c>
      <c r="J77" s="3">
        <v>1.1186922760434086E-2</v>
      </c>
      <c r="K77" s="3">
        <v>1.7183144437266651E-2</v>
      </c>
      <c r="L77" s="3">
        <v>2.3708094057269074E-2</v>
      </c>
      <c r="M77" s="3">
        <v>4.3715565431734708E-2</v>
      </c>
      <c r="N77" s="3">
        <v>8.0607519794714852E-2</v>
      </c>
      <c r="O77" s="3">
        <v>9.4832376229076296E-2</v>
      </c>
      <c r="P77" s="3"/>
    </row>
    <row r="79" spans="3:97" hidden="1" x14ac:dyDescent="0.4"/>
    <row r="80" spans="3:97" hidden="1" x14ac:dyDescent="0.4"/>
    <row r="81" spans="3:97" hidden="1" x14ac:dyDescent="0.4"/>
    <row r="82" spans="3:97" hidden="1" x14ac:dyDescent="0.4"/>
    <row r="83" spans="3:97" hidden="1" x14ac:dyDescent="0.4"/>
    <row r="84" spans="3:97" hidden="1" x14ac:dyDescent="0.4"/>
    <row r="85" spans="3:97" hidden="1" x14ac:dyDescent="0.4"/>
    <row r="86" spans="3:97" hidden="1" x14ac:dyDescent="0.4"/>
    <row r="87" spans="3:97" hidden="1" x14ac:dyDescent="0.4"/>
    <row r="88" spans="3:97" hidden="1" x14ac:dyDescent="0.4"/>
    <row r="89" spans="3:97" hidden="1" x14ac:dyDescent="0.4"/>
    <row r="90" spans="3:97" hidden="1" x14ac:dyDescent="0.4"/>
    <row r="91" spans="3:97" x14ac:dyDescent="0.4">
      <c r="AH91" s="10" t="s">
        <v>13</v>
      </c>
      <c r="AI91" s="10"/>
      <c r="AJ91" s="4">
        <v>1</v>
      </c>
    </row>
    <row r="92" spans="3:97" x14ac:dyDescent="0.4">
      <c r="AH92" s="10" t="s">
        <v>14</v>
      </c>
      <c r="AI92" s="10"/>
      <c r="AJ92" s="4">
        <v>1</v>
      </c>
      <c r="AL92" s="13" t="s">
        <v>21</v>
      </c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BB92" s="13" t="s">
        <v>29</v>
      </c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Q92" s="13" t="s">
        <v>30</v>
      </c>
      <c r="BR92" s="13"/>
      <c r="BS92" s="13"/>
      <c r="BT92" s="13"/>
      <c r="BU92" s="13"/>
      <c r="BV92" s="13"/>
      <c r="BW92" s="13"/>
      <c r="BX92" s="13"/>
      <c r="BY92" s="13"/>
      <c r="BZ92" s="13"/>
      <c r="CA92" s="13"/>
      <c r="CB92" s="13"/>
      <c r="CC92" s="13"/>
      <c r="CG92" s="13" t="s">
        <v>39</v>
      </c>
      <c r="CH92" s="13"/>
      <c r="CI92" s="13"/>
      <c r="CJ92" s="13"/>
      <c r="CK92" s="13"/>
      <c r="CL92" s="13"/>
      <c r="CM92" s="13"/>
      <c r="CN92" s="13"/>
      <c r="CO92" s="13"/>
      <c r="CP92" s="13"/>
      <c r="CQ92" s="13"/>
      <c r="CR92" s="13"/>
      <c r="CS92" s="13"/>
    </row>
    <row r="93" spans="3:97" x14ac:dyDescent="0.4">
      <c r="C93" s="13" t="s">
        <v>35</v>
      </c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AH93" s="10" t="s">
        <v>15</v>
      </c>
      <c r="AI93" s="10"/>
      <c r="AJ93" s="4">
        <v>1</v>
      </c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</row>
    <row r="94" spans="3:97" x14ac:dyDescent="0.4">
      <c r="C94" s="2"/>
      <c r="D94" s="2">
        <v>1</v>
      </c>
      <c r="E94" s="2">
        <f t="shared" ref="E94:O94" si="127">D94+1</f>
        <v>2</v>
      </c>
      <c r="F94" s="2">
        <f t="shared" si="127"/>
        <v>3</v>
      </c>
      <c r="G94" s="2">
        <f t="shared" si="127"/>
        <v>4</v>
      </c>
      <c r="H94" s="2">
        <f t="shared" si="127"/>
        <v>5</v>
      </c>
      <c r="I94" s="2">
        <f t="shared" si="127"/>
        <v>6</v>
      </c>
      <c r="J94" s="2">
        <f t="shared" si="127"/>
        <v>7</v>
      </c>
      <c r="K94" s="2">
        <f t="shared" si="127"/>
        <v>8</v>
      </c>
      <c r="L94" s="2">
        <f t="shared" si="127"/>
        <v>9</v>
      </c>
      <c r="M94" s="2">
        <f t="shared" si="127"/>
        <v>10</v>
      </c>
      <c r="N94" s="2">
        <f t="shared" si="127"/>
        <v>11</v>
      </c>
      <c r="O94" s="2">
        <f t="shared" si="127"/>
        <v>12</v>
      </c>
      <c r="P94" s="2"/>
      <c r="AL94" s="2"/>
      <c r="AM94" s="3">
        <v>0.54679999999999995</v>
      </c>
      <c r="AN94" s="3">
        <v>0.3906</v>
      </c>
      <c r="AO94" s="3">
        <v>4.6899999999999997E-2</v>
      </c>
      <c r="AP94" s="3">
        <v>3.2495515278611262E-2</v>
      </c>
      <c r="AQ94" s="3">
        <v>2.2515106891736841E-2</v>
      </c>
      <c r="AR94" s="3">
        <v>1.5599999999999999E-2</v>
      </c>
      <c r="AS94" s="3">
        <v>0</v>
      </c>
      <c r="AT94" s="3">
        <v>0</v>
      </c>
      <c r="AU94" s="3">
        <v>0</v>
      </c>
      <c r="AV94" s="3">
        <v>0</v>
      </c>
      <c r="AW94" s="3">
        <v>0</v>
      </c>
      <c r="AX94" s="3">
        <v>0</v>
      </c>
      <c r="BB94" s="2"/>
      <c r="BC94" s="6"/>
      <c r="BD94" s="5" t="b">
        <f>IF(AN94&gt;AM94,FALSE,TRUE)</f>
        <v>1</v>
      </c>
      <c r="BE94" s="5" t="b">
        <f t="shared" ref="BE94:BE95" si="128">IF(AO94&gt;AN94,FALSE,TRUE)</f>
        <v>1</v>
      </c>
      <c r="BF94" s="5" t="b">
        <f t="shared" ref="BF94:BF96" si="129">IF(AP94&gt;AO94,FALSE,TRUE)</f>
        <v>1</v>
      </c>
      <c r="BG94" s="5" t="b">
        <f t="shared" ref="BG94:BG97" si="130">IF(AQ94&gt;AP94,FALSE,TRUE)</f>
        <v>1</v>
      </c>
      <c r="BH94" s="5" t="b">
        <f t="shared" ref="BH94:BH98" si="131">IF(AR94&gt;AQ94,FALSE,TRUE)</f>
        <v>1</v>
      </c>
      <c r="BI94" s="5" t="b">
        <f t="shared" ref="BI94:BI99" si="132">IF(AS94&gt;AR94,FALSE,TRUE)</f>
        <v>1</v>
      </c>
      <c r="BJ94" s="5" t="b">
        <f t="shared" ref="BJ94:BJ100" si="133">IF(AT94&gt;AS94,FALSE,TRUE)</f>
        <v>1</v>
      </c>
      <c r="BK94" s="5" t="b">
        <f t="shared" ref="BK94:BK101" si="134">IF(AU94&gt;AT94,FALSE,TRUE)</f>
        <v>1</v>
      </c>
      <c r="BL94" s="5" t="b">
        <f t="shared" ref="BL94:BL102" si="135">IF(AV94&gt;AU94,FALSE,TRUE)</f>
        <v>1</v>
      </c>
      <c r="BM94" s="5" t="b">
        <f t="shared" ref="BM94:BM103" si="136">IF(AW94&gt;AV94,FALSE,TRUE)</f>
        <v>1</v>
      </c>
      <c r="BN94" s="5" t="b">
        <f t="shared" ref="BN94:BN103" si="137">IF(AX94&gt;AW94,FALSE,TRUE)</f>
        <v>1</v>
      </c>
      <c r="BQ94" s="2"/>
      <c r="BR94" s="6"/>
      <c r="BS94" s="5" t="b">
        <f>IF(AN94&lt;=AN95,TRUE,FALSE)</f>
        <v>1</v>
      </c>
      <c r="BT94" s="5" t="b">
        <f t="shared" ref="BT94:BT95" si="138">IF(AO94&lt;=AO95,TRUE,FALSE)</f>
        <v>1</v>
      </c>
      <c r="BU94" s="5" t="b">
        <f t="shared" ref="BU94:BU96" si="139">IF(AP94&lt;=AP95,TRUE,FALSE)</f>
        <v>1</v>
      </c>
      <c r="BV94" s="5" t="b">
        <f t="shared" ref="BV94:BV97" si="140">IF(AQ94&lt;=AQ95,TRUE,FALSE)</f>
        <v>1</v>
      </c>
      <c r="BW94" s="5" t="b">
        <f t="shared" ref="BW94:BW98" si="141">IF(AR94&lt;=AR95,TRUE,FALSE)</f>
        <v>1</v>
      </c>
      <c r="BX94" s="5" t="b">
        <f t="shared" ref="BX94:BX99" si="142">IF(AS94&lt;=AS95,TRUE,FALSE)</f>
        <v>1</v>
      </c>
      <c r="BY94" s="5" t="b">
        <f t="shared" ref="BY94:BY100" si="143">IF(AT94&lt;=AT95,TRUE,FALSE)</f>
        <v>1</v>
      </c>
      <c r="BZ94" s="5" t="b">
        <f t="shared" ref="BZ94:BZ101" si="144">IF(AU94&lt;=AU95,TRUE,FALSE)</f>
        <v>1</v>
      </c>
      <c r="CA94" s="5" t="b">
        <f t="shared" ref="CA94:CA102" si="145">IF(AV94&lt;=AV95,TRUE,FALSE)</f>
        <v>1</v>
      </c>
      <c r="CB94" s="5" t="b">
        <f t="shared" ref="CB94:CB103" si="146">IF(AW94&lt;=AW95,TRUE,FALSE)</f>
        <v>1</v>
      </c>
      <c r="CC94" s="5" t="b">
        <f t="shared" ref="CC94:CC104" si="147">IF(AX94&lt;=AX95,TRUE,FALSE)</f>
        <v>1</v>
      </c>
      <c r="CG94" s="2"/>
      <c r="CH94" s="3">
        <v>0.5182340840167593</v>
      </c>
      <c r="CI94" s="3">
        <v>0.37019428166961627</v>
      </c>
      <c r="CJ94" s="3">
        <v>4.4449851024846401E-2</v>
      </c>
      <c r="CK94" s="3">
        <v>3.079788514093583E-2</v>
      </c>
      <c r="CL94" s="3">
        <v>2.1338873073479637E-2</v>
      </c>
      <c r="CM94" s="3">
        <v>1.4785025074362555E-2</v>
      </c>
      <c r="CN94" s="3">
        <v>0</v>
      </c>
      <c r="CO94" s="3">
        <v>0</v>
      </c>
      <c r="CP94" s="3">
        <v>0</v>
      </c>
      <c r="CQ94" s="3">
        <v>0</v>
      </c>
      <c r="CR94" s="3">
        <v>0</v>
      </c>
      <c r="CS94" s="3">
        <v>0</v>
      </c>
    </row>
    <row r="95" spans="3:97" x14ac:dyDescent="0.4">
      <c r="C95" s="2">
        <v>1</v>
      </c>
      <c r="D95" s="5"/>
      <c r="E95" s="5" t="b">
        <f>IF(E66&gt;=F66,TRUE,FALSE)</f>
        <v>1</v>
      </c>
      <c r="F95" s="5" t="b">
        <f t="shared" ref="F95:O95" si="148">IF(F66&gt;=G66,TRUE,FALSE)</f>
        <v>1</v>
      </c>
      <c r="G95" s="5" t="b">
        <f t="shared" si="148"/>
        <v>1</v>
      </c>
      <c r="H95" s="5" t="b">
        <f t="shared" si="148"/>
        <v>1</v>
      </c>
      <c r="I95" s="5" t="b">
        <f t="shared" si="148"/>
        <v>1</v>
      </c>
      <c r="J95" s="5" t="b">
        <f t="shared" si="148"/>
        <v>1</v>
      </c>
      <c r="K95" s="5" t="b">
        <f t="shared" si="148"/>
        <v>1</v>
      </c>
      <c r="L95" s="5" t="b">
        <f t="shared" si="148"/>
        <v>1</v>
      </c>
      <c r="M95" s="5" t="b">
        <f t="shared" si="148"/>
        <v>1</v>
      </c>
      <c r="N95" s="5" t="b">
        <f t="shared" si="148"/>
        <v>1</v>
      </c>
      <c r="O95" s="5" t="b">
        <f t="shared" si="148"/>
        <v>1</v>
      </c>
      <c r="P95" s="5"/>
      <c r="AL95" s="2"/>
      <c r="AM95" s="3">
        <v>8.8000000000000005E-3</v>
      </c>
      <c r="AN95" s="3">
        <v>0.69</v>
      </c>
      <c r="AO95" s="3">
        <v>0.1918</v>
      </c>
      <c r="AP95" s="3">
        <v>6.7299999999999999E-2</v>
      </c>
      <c r="AQ95" s="3">
        <v>3.8694374375359782E-2</v>
      </c>
      <c r="AR95" s="3">
        <v>2.0674622124720925E-2</v>
      </c>
      <c r="AS95" s="3">
        <v>5.5999999999999999E-3</v>
      </c>
      <c r="AT95" s="3">
        <v>3.0611423190014617E-3</v>
      </c>
      <c r="AU95" s="3">
        <v>4.6451612903225802E-4</v>
      </c>
      <c r="AV95" s="3">
        <v>2.6666666666666663E-4</v>
      </c>
      <c r="AW95" s="3">
        <v>1.5308641975308641E-4</v>
      </c>
      <c r="AX95" s="3">
        <v>0</v>
      </c>
      <c r="BB95" s="2"/>
      <c r="BC95" s="5" t="b">
        <f>IF(AN95&lt;AM95,FALSE,TRUE)</f>
        <v>1</v>
      </c>
      <c r="BD95" s="6"/>
      <c r="BE95" s="5" t="b">
        <f t="shared" si="128"/>
        <v>1</v>
      </c>
      <c r="BF95" s="5" t="b">
        <f t="shared" si="129"/>
        <v>1</v>
      </c>
      <c r="BG95" s="5" t="b">
        <f t="shared" si="130"/>
        <v>1</v>
      </c>
      <c r="BH95" s="5" t="b">
        <f t="shared" si="131"/>
        <v>1</v>
      </c>
      <c r="BI95" s="5" t="b">
        <f t="shared" si="132"/>
        <v>1</v>
      </c>
      <c r="BJ95" s="5" t="b">
        <f t="shared" si="133"/>
        <v>1</v>
      </c>
      <c r="BK95" s="5" t="b">
        <f t="shared" si="134"/>
        <v>1</v>
      </c>
      <c r="BL95" s="5" t="b">
        <f t="shared" si="135"/>
        <v>1</v>
      </c>
      <c r="BM95" s="5" t="b">
        <f t="shared" si="136"/>
        <v>1</v>
      </c>
      <c r="BN95" s="5" t="b">
        <f t="shared" si="137"/>
        <v>1</v>
      </c>
      <c r="BQ95" s="2"/>
      <c r="BR95" s="5" t="b">
        <f>IF(AM94&gt;=AM95, TRUE, FALSE)</f>
        <v>1</v>
      </c>
      <c r="BS95" s="6"/>
      <c r="BT95" s="5" t="b">
        <f t="shared" si="138"/>
        <v>1</v>
      </c>
      <c r="BU95" s="5" t="b">
        <f t="shared" si="139"/>
        <v>1</v>
      </c>
      <c r="BV95" s="5" t="b">
        <f t="shared" si="140"/>
        <v>1</v>
      </c>
      <c r="BW95" s="5" t="b">
        <f t="shared" si="141"/>
        <v>1</v>
      </c>
      <c r="BX95" s="5" t="b">
        <f t="shared" si="142"/>
        <v>1</v>
      </c>
      <c r="BY95" s="5" t="b">
        <f t="shared" si="143"/>
        <v>1</v>
      </c>
      <c r="BZ95" s="5" t="b">
        <f t="shared" si="144"/>
        <v>1</v>
      </c>
      <c r="CA95" s="5" t="b">
        <f t="shared" si="145"/>
        <v>1</v>
      </c>
      <c r="CB95" s="5" t="b">
        <f t="shared" si="146"/>
        <v>1</v>
      </c>
      <c r="CC95" s="5" t="b">
        <f t="shared" si="147"/>
        <v>1</v>
      </c>
      <c r="CG95" s="2"/>
      <c r="CH95" s="3">
        <v>8.5641961499475228E-3</v>
      </c>
      <c r="CI95" s="3">
        <v>0.67151083448452153</v>
      </c>
      <c r="CJ95" s="3">
        <v>0.18666054790453804</v>
      </c>
      <c r="CK95" s="3">
        <v>6.549663646493957E-2</v>
      </c>
      <c r="CL95" s="3">
        <v>3.7657524096600482E-2</v>
      </c>
      <c r="CM95" s="3">
        <v>2.0120627182063044E-2</v>
      </c>
      <c r="CN95" s="3">
        <v>5.4499430045120588E-3</v>
      </c>
      <c r="CO95" s="3">
        <v>2.9791162798674707E-3</v>
      </c>
      <c r="CP95" s="3">
        <v>4.5206900498256708E-4</v>
      </c>
      <c r="CQ95" s="3">
        <v>2.5952109545295514E-4</v>
      </c>
      <c r="CR95" s="3">
        <v>1.4898433257484463E-4</v>
      </c>
      <c r="CS95" s="3">
        <v>0</v>
      </c>
    </row>
    <row r="96" spans="3:97" x14ac:dyDescent="0.4">
      <c r="C96" s="2">
        <f>C95+1</f>
        <v>2</v>
      </c>
      <c r="D96" s="5" t="b">
        <f>IF(D67&lt;=E67,TRUE,FALSE)</f>
        <v>1</v>
      </c>
      <c r="E96" s="5"/>
      <c r="F96" s="5" t="b">
        <f t="shared" ref="F96:O96" si="149">IF(F67&gt;=G67,TRUE,FALSE)</f>
        <v>1</v>
      </c>
      <c r="G96" s="5" t="b">
        <f t="shared" si="149"/>
        <v>1</v>
      </c>
      <c r="H96" s="5" t="b">
        <f t="shared" si="149"/>
        <v>1</v>
      </c>
      <c r="I96" s="5" t="b">
        <f t="shared" si="149"/>
        <v>1</v>
      </c>
      <c r="J96" s="5" t="b">
        <f t="shared" si="149"/>
        <v>1</v>
      </c>
      <c r="K96" s="5" t="b">
        <f t="shared" si="149"/>
        <v>1</v>
      </c>
      <c r="L96" s="5" t="b">
        <f t="shared" si="149"/>
        <v>1</v>
      </c>
      <c r="M96" s="5" t="b">
        <f t="shared" si="149"/>
        <v>1</v>
      </c>
      <c r="N96" s="5" t="b">
        <f t="shared" si="149"/>
        <v>1</v>
      </c>
      <c r="O96" s="5" t="b">
        <f t="shared" si="149"/>
        <v>1</v>
      </c>
      <c r="P96" s="5"/>
      <c r="AL96" s="2"/>
      <c r="AM96" s="3">
        <v>8.9999999999999998E-4</v>
      </c>
      <c r="AN96" s="3">
        <v>0.15129999999999999</v>
      </c>
      <c r="AO96" s="3">
        <v>0.5071</v>
      </c>
      <c r="AP96" s="3">
        <v>0.2301</v>
      </c>
      <c r="AQ96" s="3">
        <v>6.6500000000000004E-2</v>
      </c>
      <c r="AR96" s="3">
        <v>2.7400000000000001E-2</v>
      </c>
      <c r="AS96" s="3">
        <v>9.5999999999999992E-3</v>
      </c>
      <c r="AT96" s="3">
        <v>5.7843414340205531E-3</v>
      </c>
      <c r="AU96" s="3">
        <v>1.1999999999999999E-3</v>
      </c>
      <c r="AV96" s="3">
        <v>7.9999999999999993E-4</v>
      </c>
      <c r="AW96" s="3">
        <v>5.4772255750516611E-4</v>
      </c>
      <c r="AX96" s="3">
        <v>0</v>
      </c>
      <c r="BB96" s="2"/>
      <c r="BC96" s="5" t="b">
        <f t="shared" ref="BC96:BC105" si="150">IF(AN96&lt;AM96,FALSE,TRUE)</f>
        <v>1</v>
      </c>
      <c r="BD96" s="5" t="b">
        <f t="shared" ref="BD96:BD105" si="151">IF(AO96&lt;AN96,FALSE,TRUE)</f>
        <v>1</v>
      </c>
      <c r="BE96" s="6"/>
      <c r="BF96" s="5" t="b">
        <f t="shared" si="129"/>
        <v>1</v>
      </c>
      <c r="BG96" s="5" t="b">
        <f t="shared" si="130"/>
        <v>1</v>
      </c>
      <c r="BH96" s="5" t="b">
        <f t="shared" si="131"/>
        <v>1</v>
      </c>
      <c r="BI96" s="5" t="b">
        <f t="shared" si="132"/>
        <v>1</v>
      </c>
      <c r="BJ96" s="5" t="b">
        <f t="shared" si="133"/>
        <v>1</v>
      </c>
      <c r="BK96" s="5" t="b">
        <f t="shared" si="134"/>
        <v>1</v>
      </c>
      <c r="BL96" s="5" t="b">
        <f t="shared" si="135"/>
        <v>1</v>
      </c>
      <c r="BM96" s="5" t="b">
        <f t="shared" si="136"/>
        <v>1</v>
      </c>
      <c r="BN96" s="5" t="b">
        <f t="shared" si="137"/>
        <v>1</v>
      </c>
      <c r="BQ96" s="2"/>
      <c r="BR96" s="5" t="b">
        <f t="shared" ref="BR96:BR105" si="152">IF(AM95&gt;=AM96, TRUE, FALSE)</f>
        <v>1</v>
      </c>
      <c r="BS96" s="5" t="b">
        <f t="shared" ref="BS96:BS105" si="153">IF(AN95&gt;=AN96, TRUE, FALSE)</f>
        <v>1</v>
      </c>
      <c r="BT96" s="6"/>
      <c r="BU96" s="5" t="b">
        <f t="shared" si="139"/>
        <v>1</v>
      </c>
      <c r="BV96" s="5" t="b">
        <f t="shared" si="140"/>
        <v>1</v>
      </c>
      <c r="BW96" s="5" t="b">
        <f t="shared" si="141"/>
        <v>1</v>
      </c>
      <c r="BX96" s="5" t="b">
        <f t="shared" si="142"/>
        <v>1</v>
      </c>
      <c r="BY96" s="5" t="b">
        <f t="shared" si="143"/>
        <v>1</v>
      </c>
      <c r="BZ96" s="5" t="b">
        <f t="shared" si="144"/>
        <v>1</v>
      </c>
      <c r="CA96" s="5" t="b">
        <f t="shared" si="145"/>
        <v>1</v>
      </c>
      <c r="CB96" s="5" t="b">
        <f t="shared" si="146"/>
        <v>1</v>
      </c>
      <c r="CC96" s="5" t="b">
        <f t="shared" si="147"/>
        <v>1</v>
      </c>
      <c r="CG96" s="2"/>
      <c r="CH96" s="3">
        <v>8.970947218961638E-4</v>
      </c>
      <c r="CI96" s="3">
        <v>0.1508115904698773</v>
      </c>
      <c r="CJ96" s="3">
        <v>0.50546303719282748</v>
      </c>
      <c r="CK96" s="3">
        <v>0.22935721723145258</v>
      </c>
      <c r="CL96" s="3">
        <v>6.628533222899434E-2</v>
      </c>
      <c r="CM96" s="3">
        <v>2.7311550422172103E-2</v>
      </c>
      <c r="CN96" s="3">
        <v>9.5690103668924133E-3</v>
      </c>
      <c r="CO96" s="3">
        <v>5.7656690778945851E-3</v>
      </c>
      <c r="CP96" s="3">
        <v>1.1961262958615517E-3</v>
      </c>
      <c r="CQ96" s="3">
        <v>7.9741753057436778E-4</v>
      </c>
      <c r="CR96" s="3">
        <v>5.4595446155705849E-4</v>
      </c>
      <c r="CS96" s="3">
        <v>0</v>
      </c>
    </row>
    <row r="97" spans="3:97" x14ac:dyDescent="0.4">
      <c r="C97" s="2">
        <f t="shared" ref="C97:C106" si="154">C96+1</f>
        <v>3</v>
      </c>
      <c r="D97" s="5" t="b">
        <f t="shared" ref="D97:E97" si="155">IF(D68&lt;=E68,TRUE,FALSE)</f>
        <v>1</v>
      </c>
      <c r="E97" s="5" t="b">
        <f t="shared" si="155"/>
        <v>1</v>
      </c>
      <c r="F97" s="5"/>
      <c r="G97" s="5" t="b">
        <f t="shared" ref="G97:O97" si="156">IF(G68&gt;=H68,TRUE,FALSE)</f>
        <v>1</v>
      </c>
      <c r="H97" s="5" t="b">
        <f t="shared" si="156"/>
        <v>1</v>
      </c>
      <c r="I97" s="5" t="b">
        <f t="shared" si="156"/>
        <v>1</v>
      </c>
      <c r="J97" s="5" t="b">
        <f t="shared" si="156"/>
        <v>1</v>
      </c>
      <c r="K97" s="5" t="b">
        <f t="shared" si="156"/>
        <v>1</v>
      </c>
      <c r="L97" s="5" t="b">
        <f t="shared" si="156"/>
        <v>1</v>
      </c>
      <c r="M97" s="5" t="b">
        <f t="shared" si="156"/>
        <v>1</v>
      </c>
      <c r="N97" s="5" t="b">
        <f t="shared" si="156"/>
        <v>1</v>
      </c>
      <c r="O97" s="5" t="b">
        <f t="shared" si="156"/>
        <v>1</v>
      </c>
      <c r="P97" s="5"/>
      <c r="AL97" s="2"/>
      <c r="AM97" s="3">
        <v>0</v>
      </c>
      <c r="AN97" s="3">
        <v>2.5000000000000001E-2</v>
      </c>
      <c r="AO97" s="3">
        <v>0.153</v>
      </c>
      <c r="AP97" s="3">
        <v>0.51390000000000002</v>
      </c>
      <c r="AQ97" s="3">
        <v>0.1978</v>
      </c>
      <c r="AR97" s="3">
        <v>7.0199999999999999E-2</v>
      </c>
      <c r="AS97" s="3">
        <v>2.1700000000000001E-2</v>
      </c>
      <c r="AT97" s="3">
        <v>8.0999999999999996E-3</v>
      </c>
      <c r="AU97" s="3">
        <v>3.0999999999999999E-3</v>
      </c>
      <c r="AV97" s="3">
        <v>2.3999999999999998E-3</v>
      </c>
      <c r="AW97" s="3">
        <v>5.9999999999999995E-4</v>
      </c>
      <c r="AX97" s="3">
        <v>0</v>
      </c>
      <c r="BB97" s="2"/>
      <c r="BC97" s="5" t="b">
        <f t="shared" si="150"/>
        <v>1</v>
      </c>
      <c r="BD97" s="5" t="b">
        <f t="shared" si="151"/>
        <v>1</v>
      </c>
      <c r="BE97" s="5" t="b">
        <f t="shared" ref="BE97:BE105" si="157">IF(AP97&lt;AO97,FALSE,TRUE)</f>
        <v>1</v>
      </c>
      <c r="BF97" s="6"/>
      <c r="BG97" s="5" t="b">
        <f t="shared" si="130"/>
        <v>1</v>
      </c>
      <c r="BH97" s="5" t="b">
        <f t="shared" si="131"/>
        <v>1</v>
      </c>
      <c r="BI97" s="5" t="b">
        <f t="shared" si="132"/>
        <v>1</v>
      </c>
      <c r="BJ97" s="5" t="b">
        <f t="shared" si="133"/>
        <v>1</v>
      </c>
      <c r="BK97" s="5" t="b">
        <f t="shared" si="134"/>
        <v>1</v>
      </c>
      <c r="BL97" s="5" t="b">
        <f t="shared" si="135"/>
        <v>1</v>
      </c>
      <c r="BM97" s="5" t="b">
        <f t="shared" si="136"/>
        <v>1</v>
      </c>
      <c r="BN97" s="5" t="b">
        <f t="shared" si="137"/>
        <v>1</v>
      </c>
      <c r="BQ97" s="2"/>
      <c r="BR97" s="5" t="b">
        <f t="shared" si="152"/>
        <v>1</v>
      </c>
      <c r="BS97" s="5" t="b">
        <f t="shared" si="153"/>
        <v>1</v>
      </c>
      <c r="BT97" s="5" t="b">
        <f t="shared" ref="BT97:BT105" si="158">IF(AO96&gt;=AO97, TRUE, FALSE)</f>
        <v>1</v>
      </c>
      <c r="BU97" s="6"/>
      <c r="BV97" s="5" t="b">
        <f t="shared" si="140"/>
        <v>1</v>
      </c>
      <c r="BW97" s="5" t="b">
        <f t="shared" si="141"/>
        <v>1</v>
      </c>
      <c r="BX97" s="5" t="b">
        <f t="shared" si="142"/>
        <v>1</v>
      </c>
      <c r="BY97" s="5" t="b">
        <f t="shared" si="143"/>
        <v>1</v>
      </c>
      <c r="BZ97" s="5" t="b">
        <f t="shared" si="144"/>
        <v>1</v>
      </c>
      <c r="CA97" s="5" t="b">
        <f t="shared" si="145"/>
        <v>1</v>
      </c>
      <c r="CB97" s="5" t="b">
        <f t="shared" si="146"/>
        <v>1</v>
      </c>
      <c r="CC97" s="5" t="b">
        <f t="shared" si="147"/>
        <v>1</v>
      </c>
      <c r="CG97" s="2"/>
      <c r="CH97" s="3">
        <v>0</v>
      </c>
      <c r="CI97" s="3">
        <v>2.4997489455713999E-2</v>
      </c>
      <c r="CJ97" s="3">
        <v>0.15298463546896968</v>
      </c>
      <c r="CK97" s="3">
        <v>0.51384839325165699</v>
      </c>
      <c r="CL97" s="3">
        <v>0.19778013657360918</v>
      </c>
      <c r="CM97" s="3">
        <v>7.0192950391644901E-2</v>
      </c>
      <c r="CN97" s="3">
        <v>2.1697820847559751E-2</v>
      </c>
      <c r="CO97" s="3">
        <v>8.0991865836513351E-3</v>
      </c>
      <c r="CP97" s="3">
        <v>3.0996886925085359E-3</v>
      </c>
      <c r="CQ97" s="3">
        <v>2.3997589877485436E-3</v>
      </c>
      <c r="CR97" s="3">
        <v>5.9993974693713591E-4</v>
      </c>
      <c r="CS97" s="3">
        <v>0</v>
      </c>
    </row>
    <row r="98" spans="3:97" x14ac:dyDescent="0.4">
      <c r="C98" s="2">
        <f t="shared" si="154"/>
        <v>4</v>
      </c>
      <c r="D98" s="5" t="b">
        <f t="shared" ref="D98:F98" si="159">IF(D69&lt;=E69,TRUE,FALSE)</f>
        <v>1</v>
      </c>
      <c r="E98" s="5" t="b">
        <f t="shared" si="159"/>
        <v>1</v>
      </c>
      <c r="F98" s="5" t="b">
        <f t="shared" si="159"/>
        <v>1</v>
      </c>
      <c r="G98" s="5"/>
      <c r="H98" s="5" t="b">
        <f t="shared" ref="H98:O98" si="160">IF(H69&gt;=I69,TRUE,FALSE)</f>
        <v>1</v>
      </c>
      <c r="I98" s="5" t="b">
        <f t="shared" si="160"/>
        <v>1</v>
      </c>
      <c r="J98" s="5" t="b">
        <f t="shared" si="160"/>
        <v>1</v>
      </c>
      <c r="K98" s="5" t="b">
        <f t="shared" si="160"/>
        <v>1</v>
      </c>
      <c r="L98" s="5" t="b">
        <f t="shared" si="160"/>
        <v>1</v>
      </c>
      <c r="M98" s="5" t="b">
        <f t="shared" si="160"/>
        <v>1</v>
      </c>
      <c r="N98" s="5" t="b">
        <f t="shared" si="160"/>
        <v>1</v>
      </c>
      <c r="O98" s="5" t="b">
        <f t="shared" si="160"/>
        <v>1</v>
      </c>
      <c r="P98" s="5"/>
      <c r="AL98" s="2"/>
      <c r="AM98" s="3">
        <v>0</v>
      </c>
      <c r="AN98" s="3">
        <v>6.6E-3</v>
      </c>
      <c r="AO98" s="3">
        <v>3.0800000000000001E-2</v>
      </c>
      <c r="AP98" s="3">
        <v>0.1767</v>
      </c>
      <c r="AQ98" s="3">
        <v>0.4738</v>
      </c>
      <c r="AR98" s="3">
        <v>0.2059</v>
      </c>
      <c r="AS98" s="3">
        <v>6.4100000000000004E-2</v>
      </c>
      <c r="AT98" s="3">
        <v>2.1600000000000001E-2</v>
      </c>
      <c r="AU98" s="3">
        <v>7.1999999999999998E-3</v>
      </c>
      <c r="AV98" s="3">
        <v>4.3E-3</v>
      </c>
      <c r="AW98" s="3">
        <v>1.1999999999999999E-3</v>
      </c>
      <c r="AX98" s="3">
        <v>1E-4</v>
      </c>
      <c r="BB98" s="2"/>
      <c r="BC98" s="5" t="b">
        <f t="shared" si="150"/>
        <v>1</v>
      </c>
      <c r="BD98" s="5" t="b">
        <f t="shared" si="151"/>
        <v>1</v>
      </c>
      <c r="BE98" s="5" t="b">
        <f t="shared" si="157"/>
        <v>1</v>
      </c>
      <c r="BF98" s="5" t="b">
        <f t="shared" ref="BF98:BF105" si="161">IF(AQ98&lt;AP98,FALSE,TRUE)</f>
        <v>1</v>
      </c>
      <c r="BG98" s="6"/>
      <c r="BH98" s="5" t="b">
        <f t="shared" si="131"/>
        <v>1</v>
      </c>
      <c r="BI98" s="5" t="b">
        <f t="shared" si="132"/>
        <v>1</v>
      </c>
      <c r="BJ98" s="5" t="b">
        <f t="shared" si="133"/>
        <v>1</v>
      </c>
      <c r="BK98" s="5" t="b">
        <f t="shared" si="134"/>
        <v>1</v>
      </c>
      <c r="BL98" s="5" t="b">
        <f t="shared" si="135"/>
        <v>1</v>
      </c>
      <c r="BM98" s="5" t="b">
        <f t="shared" si="136"/>
        <v>1</v>
      </c>
      <c r="BN98" s="5" t="b">
        <f t="shared" si="137"/>
        <v>1</v>
      </c>
      <c r="BQ98" s="2"/>
      <c r="BR98" s="5" t="b">
        <f t="shared" si="152"/>
        <v>1</v>
      </c>
      <c r="BS98" s="5" t="b">
        <f t="shared" si="153"/>
        <v>1</v>
      </c>
      <c r="BT98" s="5" t="b">
        <f t="shared" si="158"/>
        <v>1</v>
      </c>
      <c r="BU98" s="5" t="b">
        <f t="shared" ref="BU98:BU105" si="162">IF(AP97&gt;=AP98, TRUE, FALSE)</f>
        <v>1</v>
      </c>
      <c r="BV98" s="6"/>
      <c r="BW98" s="5" t="b">
        <f t="shared" si="141"/>
        <v>1</v>
      </c>
      <c r="BX98" s="5" t="b">
        <f t="shared" si="142"/>
        <v>1</v>
      </c>
      <c r="BY98" s="5" t="b">
        <f t="shared" si="143"/>
        <v>1</v>
      </c>
      <c r="BZ98" s="5" t="b">
        <f t="shared" si="144"/>
        <v>1</v>
      </c>
      <c r="CA98" s="5" t="b">
        <f t="shared" si="145"/>
        <v>1</v>
      </c>
      <c r="CB98" s="5" t="b">
        <f t="shared" si="146"/>
        <v>1</v>
      </c>
      <c r="CC98" s="5" t="b">
        <f t="shared" si="147"/>
        <v>1</v>
      </c>
      <c r="CG98" s="2"/>
      <c r="CH98" s="3">
        <v>0</v>
      </c>
      <c r="CI98" s="3">
        <v>6.6000000000000008E-3</v>
      </c>
      <c r="CJ98" s="3">
        <v>3.0800000000000004E-2</v>
      </c>
      <c r="CK98" s="3">
        <v>0.17670000000000002</v>
      </c>
      <c r="CL98" s="3">
        <v>0.47380000000000005</v>
      </c>
      <c r="CM98" s="3">
        <v>0.20590000000000003</v>
      </c>
      <c r="CN98" s="3">
        <v>6.4100000000000018E-2</v>
      </c>
      <c r="CO98" s="3">
        <v>2.1600000000000005E-2</v>
      </c>
      <c r="CP98" s="3">
        <v>7.2000000000000007E-3</v>
      </c>
      <c r="CQ98" s="3">
        <v>4.3E-3</v>
      </c>
      <c r="CR98" s="3">
        <v>1.2000000000000001E-3</v>
      </c>
      <c r="CS98" s="3">
        <v>1.0000000000000002E-4</v>
      </c>
    </row>
    <row r="99" spans="3:97" x14ac:dyDescent="0.4">
      <c r="C99" s="2">
        <f t="shared" si="154"/>
        <v>5</v>
      </c>
      <c r="D99" s="5" t="b">
        <f t="shared" ref="D99:G99" si="163">IF(D70&lt;=E70,TRUE,FALSE)</f>
        <v>1</v>
      </c>
      <c r="E99" s="5" t="b">
        <f t="shared" si="163"/>
        <v>1</v>
      </c>
      <c r="F99" s="5" t="b">
        <f t="shared" si="163"/>
        <v>1</v>
      </c>
      <c r="G99" s="5" t="b">
        <f t="shared" si="163"/>
        <v>1</v>
      </c>
      <c r="H99" s="5"/>
      <c r="I99" s="5" t="b">
        <f t="shared" ref="I99:O99" si="164">IF(I70&gt;=J70,TRUE,FALSE)</f>
        <v>1</v>
      </c>
      <c r="J99" s="5" t="b">
        <f t="shared" si="164"/>
        <v>1</v>
      </c>
      <c r="K99" s="5" t="b">
        <f t="shared" si="164"/>
        <v>1</v>
      </c>
      <c r="L99" s="5" t="b">
        <f t="shared" si="164"/>
        <v>1</v>
      </c>
      <c r="M99" s="5" t="b">
        <f t="shared" si="164"/>
        <v>1</v>
      </c>
      <c r="N99" s="5" t="b">
        <f t="shared" si="164"/>
        <v>1</v>
      </c>
      <c r="O99" s="5" t="b">
        <f t="shared" si="164"/>
        <v>1</v>
      </c>
      <c r="P99" s="5"/>
      <c r="AL99" s="2"/>
      <c r="AM99" s="3">
        <v>0</v>
      </c>
      <c r="AN99" s="3">
        <v>2.0999999999999999E-3</v>
      </c>
      <c r="AO99" s="3">
        <v>1.0800000000000001E-2</v>
      </c>
      <c r="AP99" s="3">
        <v>4.9099999999999998E-2</v>
      </c>
      <c r="AQ99" s="3">
        <v>0.20730000000000001</v>
      </c>
      <c r="AR99" s="3">
        <v>0.43469999999999998</v>
      </c>
      <c r="AS99" s="3">
        <v>0.1797</v>
      </c>
      <c r="AT99" s="3">
        <v>6.2100000000000002E-2</v>
      </c>
      <c r="AU99" s="3">
        <v>1.7399999999999999E-2</v>
      </c>
      <c r="AV99" s="3">
        <v>1.5599999999999999E-2</v>
      </c>
      <c r="AW99" s="3">
        <v>3.8E-3</v>
      </c>
      <c r="AX99" s="3">
        <v>1.4142135623730951E-4</v>
      </c>
      <c r="BB99" s="2"/>
      <c r="BC99" s="5" t="b">
        <f t="shared" si="150"/>
        <v>1</v>
      </c>
      <c r="BD99" s="5" t="b">
        <f t="shared" si="151"/>
        <v>1</v>
      </c>
      <c r="BE99" s="5" t="b">
        <f t="shared" si="157"/>
        <v>1</v>
      </c>
      <c r="BF99" s="5" t="b">
        <f t="shared" si="161"/>
        <v>1</v>
      </c>
      <c r="BG99" s="5" t="b">
        <f t="shared" ref="BG99:BG105" si="165">IF(AR99&lt;AQ99,FALSE,TRUE)</f>
        <v>1</v>
      </c>
      <c r="BH99" s="6"/>
      <c r="BI99" s="5" t="b">
        <f t="shared" si="132"/>
        <v>1</v>
      </c>
      <c r="BJ99" s="5" t="b">
        <f t="shared" si="133"/>
        <v>1</v>
      </c>
      <c r="BK99" s="5" t="b">
        <f t="shared" si="134"/>
        <v>1</v>
      </c>
      <c r="BL99" s="5" t="b">
        <f t="shared" si="135"/>
        <v>1</v>
      </c>
      <c r="BM99" s="5" t="b">
        <f t="shared" si="136"/>
        <v>1</v>
      </c>
      <c r="BN99" s="5" t="b">
        <f t="shared" si="137"/>
        <v>1</v>
      </c>
      <c r="BQ99" s="2"/>
      <c r="BR99" s="5" t="b">
        <f t="shared" si="152"/>
        <v>1</v>
      </c>
      <c r="BS99" s="5" t="b">
        <f t="shared" si="153"/>
        <v>1</v>
      </c>
      <c r="BT99" s="5" t="b">
        <f t="shared" si="158"/>
        <v>1</v>
      </c>
      <c r="BU99" s="5" t="b">
        <f t="shared" si="162"/>
        <v>1</v>
      </c>
      <c r="BV99" s="5" t="b">
        <f t="shared" ref="BV99:BV105" si="166">IF(AQ98&gt;=AQ99, TRUE, FALSE)</f>
        <v>1</v>
      </c>
      <c r="BW99" s="6"/>
      <c r="BX99" s="5" t="b">
        <f t="shared" si="142"/>
        <v>1</v>
      </c>
      <c r="BY99" s="5" t="b">
        <f t="shared" si="143"/>
        <v>1</v>
      </c>
      <c r="BZ99" s="5" t="b">
        <f t="shared" si="144"/>
        <v>1</v>
      </c>
      <c r="CA99" s="5" t="b">
        <f t="shared" si="145"/>
        <v>1</v>
      </c>
      <c r="CB99" s="5" t="b">
        <f t="shared" si="146"/>
        <v>1</v>
      </c>
      <c r="CC99" s="5" t="b">
        <f t="shared" si="147"/>
        <v>1</v>
      </c>
      <c r="CG99" s="2"/>
      <c r="CH99" s="3">
        <v>0</v>
      </c>
      <c r="CI99" s="3">
        <v>2.1001251755031671E-3</v>
      </c>
      <c r="CJ99" s="3">
        <v>1.0800643759730576E-2</v>
      </c>
      <c r="CK99" s="3">
        <v>4.9102926722478818E-2</v>
      </c>
      <c r="CL99" s="3">
        <v>0.20731235661038414</v>
      </c>
      <c r="CM99" s="3">
        <v>0.43472591132915567</v>
      </c>
      <c r="CN99" s="3">
        <v>0.17971071144662817</v>
      </c>
      <c r="CO99" s="3">
        <v>6.2103701618450816E-2</v>
      </c>
      <c r="CP99" s="3">
        <v>1.7401037168454817E-2</v>
      </c>
      <c r="CQ99" s="3">
        <v>1.5600929875166387E-2</v>
      </c>
      <c r="CR99" s="3">
        <v>3.800226508053351E-3</v>
      </c>
      <c r="CS99" s="3">
        <v>1.4142978599417886E-4</v>
      </c>
    </row>
    <row r="100" spans="3:97" x14ac:dyDescent="0.4">
      <c r="C100" s="2">
        <f t="shared" si="154"/>
        <v>6</v>
      </c>
      <c r="D100" s="5" t="b">
        <f t="shared" ref="D100:H100" si="167">IF(D71&lt;=E71,TRUE,FALSE)</f>
        <v>1</v>
      </c>
      <c r="E100" s="5" t="b">
        <f t="shared" si="167"/>
        <v>1</v>
      </c>
      <c r="F100" s="5" t="b">
        <f t="shared" si="167"/>
        <v>1</v>
      </c>
      <c r="G100" s="5" t="b">
        <f t="shared" si="167"/>
        <v>1</v>
      </c>
      <c r="H100" s="5" t="b">
        <f t="shared" si="167"/>
        <v>1</v>
      </c>
      <c r="I100" s="5"/>
      <c r="J100" s="5" t="b">
        <f t="shared" ref="J100:O100" si="168">IF(J71&gt;=K71,TRUE,FALSE)</f>
        <v>1</v>
      </c>
      <c r="K100" s="5" t="b">
        <f t="shared" si="168"/>
        <v>1</v>
      </c>
      <c r="L100" s="5" t="b">
        <f t="shared" si="168"/>
        <v>1</v>
      </c>
      <c r="M100" s="5" t="b">
        <f t="shared" si="168"/>
        <v>1</v>
      </c>
      <c r="N100" s="5" t="b">
        <f t="shared" si="168"/>
        <v>1</v>
      </c>
      <c r="O100" s="5" t="b">
        <f t="shared" si="168"/>
        <v>1</v>
      </c>
      <c r="P100" s="5"/>
      <c r="AL100" s="2"/>
      <c r="AM100" s="3">
        <v>0</v>
      </c>
      <c r="AN100" s="3">
        <v>1.897564207580674E-3</v>
      </c>
      <c r="AO100" s="3">
        <v>8.7718719053578136E-3</v>
      </c>
      <c r="AP100" s="3">
        <v>1.1900000000000001E-2</v>
      </c>
      <c r="AQ100" s="3">
        <v>5.9400000000000001E-2</v>
      </c>
      <c r="AR100" s="3">
        <v>0.24210000000000001</v>
      </c>
      <c r="AS100" s="3">
        <v>0.36580000000000001</v>
      </c>
      <c r="AT100" s="3">
        <v>0.1741</v>
      </c>
      <c r="AU100" s="3">
        <v>6.4199999999999993E-2</v>
      </c>
      <c r="AV100" s="3">
        <v>3.3500000000000002E-2</v>
      </c>
      <c r="AW100" s="3">
        <v>1.12E-2</v>
      </c>
      <c r="AX100" s="3">
        <v>2.0000000000000001E-4</v>
      </c>
      <c r="BB100" s="2"/>
      <c r="BC100" s="5" t="b">
        <f t="shared" si="150"/>
        <v>1</v>
      </c>
      <c r="BD100" s="5" t="b">
        <f t="shared" si="151"/>
        <v>1</v>
      </c>
      <c r="BE100" s="5" t="b">
        <f t="shared" si="157"/>
        <v>1</v>
      </c>
      <c r="BF100" s="5" t="b">
        <f t="shared" si="161"/>
        <v>1</v>
      </c>
      <c r="BG100" s="5" t="b">
        <f t="shared" si="165"/>
        <v>1</v>
      </c>
      <c r="BH100" s="5" t="b">
        <f t="shared" ref="BH100:BH105" si="169">IF(AS100&lt;AR100,FALSE,TRUE)</f>
        <v>1</v>
      </c>
      <c r="BI100" s="6"/>
      <c r="BJ100" s="5" t="b">
        <f t="shared" si="133"/>
        <v>1</v>
      </c>
      <c r="BK100" s="5" t="b">
        <f t="shared" si="134"/>
        <v>1</v>
      </c>
      <c r="BL100" s="5" t="b">
        <f t="shared" si="135"/>
        <v>1</v>
      </c>
      <c r="BM100" s="5" t="b">
        <f t="shared" si="136"/>
        <v>1</v>
      </c>
      <c r="BN100" s="5" t="b">
        <f t="shared" si="137"/>
        <v>1</v>
      </c>
      <c r="BQ100" s="2"/>
      <c r="BR100" s="5" t="b">
        <f t="shared" si="152"/>
        <v>1</v>
      </c>
      <c r="BS100" s="5" t="b">
        <f t="shared" si="153"/>
        <v>1</v>
      </c>
      <c r="BT100" s="5" t="b">
        <f t="shared" si="158"/>
        <v>1</v>
      </c>
      <c r="BU100" s="5" t="b">
        <f t="shared" si="162"/>
        <v>1</v>
      </c>
      <c r="BV100" s="5" t="b">
        <f t="shared" si="166"/>
        <v>1</v>
      </c>
      <c r="BW100" s="5" t="b">
        <f t="shared" ref="BW100:BW105" si="170">IF(AR99&gt;=AR100, TRUE, FALSE)</f>
        <v>1</v>
      </c>
      <c r="BX100" s="6"/>
      <c r="BY100" s="5" t="b">
        <f t="shared" si="143"/>
        <v>1</v>
      </c>
      <c r="BZ100" s="5" t="b">
        <f t="shared" si="144"/>
        <v>1</v>
      </c>
      <c r="CA100" s="5" t="b">
        <f t="shared" si="145"/>
        <v>1</v>
      </c>
      <c r="CB100" s="5" t="b">
        <f t="shared" si="146"/>
        <v>1</v>
      </c>
      <c r="CC100" s="5" t="b">
        <f t="shared" si="147"/>
        <v>1</v>
      </c>
      <c r="CG100" s="2"/>
      <c r="CH100" s="3">
        <v>0</v>
      </c>
      <c r="CI100" s="3">
        <v>1.8849482832123364E-3</v>
      </c>
      <c r="CJ100" s="3">
        <v>8.7135522595273122E-3</v>
      </c>
      <c r="CK100" s="3">
        <v>1.1820883046073772E-2</v>
      </c>
      <c r="CL100" s="3">
        <v>5.9005080078721184E-2</v>
      </c>
      <c r="CM100" s="3">
        <v>0.24049040213903028</v>
      </c>
      <c r="CN100" s="3">
        <v>0.36336798472720894</v>
      </c>
      <c r="CO100" s="3">
        <v>0.17294249901860873</v>
      </c>
      <c r="CP100" s="3">
        <v>6.377316735780976E-2</v>
      </c>
      <c r="CQ100" s="3">
        <v>3.3277275801972386E-2</v>
      </c>
      <c r="CR100" s="3">
        <v>1.1125536984540019E-2</v>
      </c>
      <c r="CS100" s="3">
        <v>1.9867030329535752E-4</v>
      </c>
    </row>
    <row r="101" spans="3:97" x14ac:dyDescent="0.4">
      <c r="C101" s="2">
        <f t="shared" si="154"/>
        <v>7</v>
      </c>
      <c r="D101" s="5" t="b">
        <f t="shared" ref="D101:I101" si="171">IF(D72&lt;=E72,TRUE,FALSE)</f>
        <v>1</v>
      </c>
      <c r="E101" s="5" t="b">
        <f t="shared" si="171"/>
        <v>1</v>
      </c>
      <c r="F101" s="5" t="b">
        <f t="shared" si="171"/>
        <v>1</v>
      </c>
      <c r="G101" s="5" t="b">
        <f t="shared" si="171"/>
        <v>1</v>
      </c>
      <c r="H101" s="5" t="b">
        <f t="shared" si="171"/>
        <v>1</v>
      </c>
      <c r="I101" s="5" t="b">
        <f t="shared" si="171"/>
        <v>1</v>
      </c>
      <c r="J101" s="5"/>
      <c r="K101" s="5" t="b">
        <f t="shared" ref="K101:O101" si="172">IF(K72&gt;=L72,TRUE,FALSE)</f>
        <v>1</v>
      </c>
      <c r="L101" s="5" t="b">
        <f t="shared" si="172"/>
        <v>1</v>
      </c>
      <c r="M101" s="5" t="b">
        <f t="shared" si="172"/>
        <v>1</v>
      </c>
      <c r="N101" s="5" t="b">
        <f t="shared" si="172"/>
        <v>1</v>
      </c>
      <c r="O101" s="5" t="b">
        <f t="shared" si="172"/>
        <v>1</v>
      </c>
      <c r="P101" s="5"/>
      <c r="AL101" s="2"/>
      <c r="AM101" s="3">
        <v>0</v>
      </c>
      <c r="AN101" s="3">
        <v>1.7146428199482245E-3</v>
      </c>
      <c r="AO101" s="3">
        <v>7.1246052522227505E-3</v>
      </c>
      <c r="AP101" s="3">
        <v>7.6E-3</v>
      </c>
      <c r="AQ101" s="3">
        <v>2.29E-2</v>
      </c>
      <c r="AR101" s="3">
        <v>8.0399999999999999E-2</v>
      </c>
      <c r="AS101" s="3">
        <v>0.22700000000000001</v>
      </c>
      <c r="AT101" s="3">
        <v>0.34599999999999997</v>
      </c>
      <c r="AU101" s="3">
        <v>0.16639999999999999</v>
      </c>
      <c r="AV101" s="3">
        <v>6.4699999999999994E-2</v>
      </c>
      <c r="AW101" s="3">
        <v>2.4799999999999999E-2</v>
      </c>
      <c r="AX101" s="3">
        <v>5.0000000000000001E-4</v>
      </c>
      <c r="BB101" s="2"/>
      <c r="BC101" s="5" t="b">
        <f t="shared" si="150"/>
        <v>1</v>
      </c>
      <c r="BD101" s="5" t="b">
        <f t="shared" si="151"/>
        <v>1</v>
      </c>
      <c r="BE101" s="5" t="b">
        <f t="shared" si="157"/>
        <v>1</v>
      </c>
      <c r="BF101" s="5" t="b">
        <f t="shared" si="161"/>
        <v>1</v>
      </c>
      <c r="BG101" s="5" t="b">
        <f t="shared" si="165"/>
        <v>1</v>
      </c>
      <c r="BH101" s="5" t="b">
        <f t="shared" si="169"/>
        <v>1</v>
      </c>
      <c r="BI101" s="5" t="b">
        <f t="shared" ref="BI101:BI105" si="173">IF(AT101&lt;AS101,FALSE,TRUE)</f>
        <v>1</v>
      </c>
      <c r="BJ101" s="6"/>
      <c r="BK101" s="5" t="b">
        <f t="shared" si="134"/>
        <v>1</v>
      </c>
      <c r="BL101" s="5" t="b">
        <f t="shared" si="135"/>
        <v>1</v>
      </c>
      <c r="BM101" s="5" t="b">
        <f t="shared" si="136"/>
        <v>1</v>
      </c>
      <c r="BN101" s="5" t="b">
        <f t="shared" si="137"/>
        <v>1</v>
      </c>
      <c r="BQ101" s="2"/>
      <c r="BR101" s="5" t="b">
        <f t="shared" si="152"/>
        <v>1</v>
      </c>
      <c r="BS101" s="5" t="b">
        <f t="shared" si="153"/>
        <v>1</v>
      </c>
      <c r="BT101" s="5" t="b">
        <f t="shared" si="158"/>
        <v>1</v>
      </c>
      <c r="BU101" s="5" t="b">
        <f t="shared" si="162"/>
        <v>1</v>
      </c>
      <c r="BV101" s="5" t="b">
        <f t="shared" si="166"/>
        <v>1</v>
      </c>
      <c r="BW101" s="5" t="b">
        <f t="shared" si="170"/>
        <v>1</v>
      </c>
      <c r="BX101" s="5" t="b">
        <f t="shared" ref="BX101:BX105" si="174">IF(AS100&gt;=AS101, TRUE, FALSE)</f>
        <v>1</v>
      </c>
      <c r="BY101" s="6"/>
      <c r="BZ101" s="5" t="b">
        <f t="shared" si="144"/>
        <v>1</v>
      </c>
      <c r="CA101" s="5" t="b">
        <f t="shared" si="145"/>
        <v>1</v>
      </c>
      <c r="CB101" s="5" t="b">
        <f t="shared" si="146"/>
        <v>1</v>
      </c>
      <c r="CC101" s="5" t="b">
        <f t="shared" si="147"/>
        <v>1</v>
      </c>
      <c r="CG101" s="2"/>
      <c r="CH101" s="3">
        <v>0</v>
      </c>
      <c r="CI101" s="3">
        <v>1.7015649446480681E-3</v>
      </c>
      <c r="CJ101" s="3">
        <v>7.0702646642195758E-3</v>
      </c>
      <c r="CK101" s="3">
        <v>7.5420334946002393E-3</v>
      </c>
      <c r="CL101" s="3">
        <v>2.2725337766624408E-2</v>
      </c>
      <c r="CM101" s="3">
        <v>7.9786775390244632E-2</v>
      </c>
      <c r="CN101" s="3">
        <v>0.22526863200977035</v>
      </c>
      <c r="CO101" s="3">
        <v>0.34336099856995828</v>
      </c>
      <c r="CP101" s="3">
        <v>0.16513083861861577</v>
      </c>
      <c r="CQ101" s="3">
        <v>6.4206521986925724E-2</v>
      </c>
      <c r="CR101" s="3">
        <v>2.4610846140274464E-2</v>
      </c>
      <c r="CS101" s="3">
        <v>4.9618641411843683E-4</v>
      </c>
    </row>
    <row r="102" spans="3:97" x14ac:dyDescent="0.4">
      <c r="C102" s="2">
        <f t="shared" si="154"/>
        <v>8</v>
      </c>
      <c r="D102" s="5" t="b">
        <f t="shared" ref="D102:J102" si="175">IF(D73&lt;=E73,TRUE,FALSE)</f>
        <v>1</v>
      </c>
      <c r="E102" s="5" t="b">
        <f t="shared" si="175"/>
        <v>1</v>
      </c>
      <c r="F102" s="5" t="b">
        <f t="shared" si="175"/>
        <v>1</v>
      </c>
      <c r="G102" s="5" t="b">
        <f t="shared" si="175"/>
        <v>1</v>
      </c>
      <c r="H102" s="5" t="b">
        <f t="shared" si="175"/>
        <v>1</v>
      </c>
      <c r="I102" s="5" t="b">
        <f t="shared" si="175"/>
        <v>1</v>
      </c>
      <c r="J102" s="5" t="b">
        <f t="shared" si="175"/>
        <v>1</v>
      </c>
      <c r="K102" s="5"/>
      <c r="L102" s="5" t="b">
        <f t="shared" ref="L102:O102" si="176">IF(L73&gt;=M73,TRUE,FALSE)</f>
        <v>1</v>
      </c>
      <c r="M102" s="5" t="b">
        <f t="shared" si="176"/>
        <v>1</v>
      </c>
      <c r="N102" s="5" t="b">
        <f t="shared" si="176"/>
        <v>1</v>
      </c>
      <c r="O102" s="5" t="b">
        <f t="shared" si="176"/>
        <v>1</v>
      </c>
      <c r="P102" s="5"/>
      <c r="AL102" s="2"/>
      <c r="AM102" s="3">
        <v>0</v>
      </c>
      <c r="AN102" s="3">
        <v>1.5493546875804502E-3</v>
      </c>
      <c r="AO102" s="3">
        <v>5.7866782082164319E-3</v>
      </c>
      <c r="AP102" s="3">
        <v>7.1638751223794903E-3</v>
      </c>
      <c r="AQ102" s="3">
        <v>1.9379370474811614E-2</v>
      </c>
      <c r="AR102" s="3">
        <v>5.9206756371211554E-2</v>
      </c>
      <c r="AS102" s="3">
        <v>0.1023</v>
      </c>
      <c r="AT102" s="3">
        <v>0.19339999999999999</v>
      </c>
      <c r="AU102" s="3">
        <v>0.34399999999999997</v>
      </c>
      <c r="AV102" s="3">
        <v>0.15659999999999999</v>
      </c>
      <c r="AW102" s="3">
        <v>6.8599999999999994E-2</v>
      </c>
      <c r="AX102" s="3">
        <v>1.1000000000000001E-3</v>
      </c>
      <c r="BB102" s="2"/>
      <c r="BC102" s="5" t="b">
        <f t="shared" si="150"/>
        <v>1</v>
      </c>
      <c r="BD102" s="5" t="b">
        <f t="shared" si="151"/>
        <v>1</v>
      </c>
      <c r="BE102" s="5" t="b">
        <f t="shared" si="157"/>
        <v>1</v>
      </c>
      <c r="BF102" s="5" t="b">
        <f t="shared" si="161"/>
        <v>1</v>
      </c>
      <c r="BG102" s="5" t="b">
        <f t="shared" si="165"/>
        <v>1</v>
      </c>
      <c r="BH102" s="5" t="b">
        <f t="shared" si="169"/>
        <v>1</v>
      </c>
      <c r="BI102" s="5" t="b">
        <f t="shared" si="173"/>
        <v>1</v>
      </c>
      <c r="BJ102" s="5" t="b">
        <f t="shared" ref="BJ102:BJ105" si="177">IF(AU102&lt;AT102,FALSE,TRUE)</f>
        <v>1</v>
      </c>
      <c r="BK102" s="6"/>
      <c r="BL102" s="5" t="b">
        <f t="shared" si="135"/>
        <v>1</v>
      </c>
      <c r="BM102" s="5" t="b">
        <f t="shared" si="136"/>
        <v>1</v>
      </c>
      <c r="BN102" s="5" t="b">
        <f t="shared" si="137"/>
        <v>1</v>
      </c>
      <c r="BQ102" s="2"/>
      <c r="BR102" s="5" t="b">
        <f t="shared" si="152"/>
        <v>1</v>
      </c>
      <c r="BS102" s="5" t="b">
        <f t="shared" si="153"/>
        <v>1</v>
      </c>
      <c r="BT102" s="5" t="b">
        <f t="shared" si="158"/>
        <v>1</v>
      </c>
      <c r="BU102" s="5" t="b">
        <f t="shared" si="162"/>
        <v>1</v>
      </c>
      <c r="BV102" s="5" t="b">
        <f t="shared" si="166"/>
        <v>1</v>
      </c>
      <c r="BW102" s="5" t="b">
        <f t="shared" si="170"/>
        <v>1</v>
      </c>
      <c r="BX102" s="5" t="b">
        <f t="shared" si="174"/>
        <v>1</v>
      </c>
      <c r="BY102" s="5" t="b">
        <f t="shared" ref="BY102:BY105" si="178">IF(AT101&gt;=AT102, TRUE, FALSE)</f>
        <v>1</v>
      </c>
      <c r="BZ102" s="6"/>
      <c r="CA102" s="5" t="b">
        <f t="shared" si="145"/>
        <v>1</v>
      </c>
      <c r="CB102" s="5" t="b">
        <f t="shared" si="146"/>
        <v>1</v>
      </c>
      <c r="CC102" s="5" t="b">
        <f t="shared" si="147"/>
        <v>1</v>
      </c>
      <c r="CG102" s="2"/>
      <c r="CH102" s="3">
        <v>0</v>
      </c>
      <c r="CI102" s="3">
        <v>1.4703817857543973E-3</v>
      </c>
      <c r="CJ102" s="3">
        <v>5.4917226543334833E-3</v>
      </c>
      <c r="CK102" s="3">
        <v>6.7987218032145389E-3</v>
      </c>
      <c r="CL102" s="3">
        <v>1.8391575275800067E-2</v>
      </c>
      <c r="CM102" s="3">
        <v>5.6188900359400232E-2</v>
      </c>
      <c r="CN102" s="3">
        <v>9.7085617572551033E-2</v>
      </c>
      <c r="CO102" s="3">
        <v>0.18354211572366927</v>
      </c>
      <c r="CP102" s="3">
        <v>0.32646581080114906</v>
      </c>
      <c r="CQ102" s="3">
        <v>0.14861786619610448</v>
      </c>
      <c r="CR102" s="3">
        <v>6.5103356456275657E-2</v>
      </c>
      <c r="CS102" s="3">
        <v>1.0439313717478607E-3</v>
      </c>
    </row>
    <row r="103" spans="3:97" x14ac:dyDescent="0.4">
      <c r="C103" s="2">
        <f t="shared" si="154"/>
        <v>9</v>
      </c>
      <c r="D103" s="5" t="b">
        <f t="shared" ref="D103:K103" si="179">IF(D74&lt;=E74,TRUE,FALSE)</f>
        <v>1</v>
      </c>
      <c r="E103" s="5" t="b">
        <f t="shared" si="179"/>
        <v>1</v>
      </c>
      <c r="F103" s="5" t="b">
        <f t="shared" si="179"/>
        <v>1</v>
      </c>
      <c r="G103" s="5" t="b">
        <f t="shared" si="179"/>
        <v>1</v>
      </c>
      <c r="H103" s="5" t="b">
        <f t="shared" si="179"/>
        <v>1</v>
      </c>
      <c r="I103" s="5" t="b">
        <f t="shared" si="179"/>
        <v>1</v>
      </c>
      <c r="J103" s="5" t="b">
        <f t="shared" si="179"/>
        <v>1</v>
      </c>
      <c r="K103" s="5" t="b">
        <f t="shared" si="179"/>
        <v>1</v>
      </c>
      <c r="L103" s="5"/>
      <c r="M103" s="5" t="b">
        <f t="shared" ref="M103:O103" si="180">IF(M74&gt;=N74,TRUE,FALSE)</f>
        <v>1</v>
      </c>
      <c r="N103" s="5" t="b">
        <f t="shared" si="180"/>
        <v>1</v>
      </c>
      <c r="O103" s="5" t="b">
        <f t="shared" si="180"/>
        <v>1</v>
      </c>
      <c r="P103" s="5"/>
      <c r="AL103" s="2"/>
      <c r="AM103" s="3">
        <v>0</v>
      </c>
      <c r="AN103" s="3">
        <v>1.4E-3</v>
      </c>
      <c r="AO103" s="3">
        <v>4.7000000000000002E-3</v>
      </c>
      <c r="AP103" s="3">
        <v>6.7527772064536534E-3</v>
      </c>
      <c r="AQ103" s="3">
        <v>1.6400000000000001E-2</v>
      </c>
      <c r="AR103" s="3">
        <v>4.36E-2</v>
      </c>
      <c r="AS103" s="3">
        <v>6.0499999999999998E-2</v>
      </c>
      <c r="AT103" s="3">
        <v>7.2700000000000001E-2</v>
      </c>
      <c r="AU103" s="3">
        <v>0.1341</v>
      </c>
      <c r="AV103" s="3">
        <v>0.39989999999999998</v>
      </c>
      <c r="AW103" s="3">
        <v>0.1177</v>
      </c>
      <c r="AX103" s="3">
        <v>2.3E-3</v>
      </c>
      <c r="BB103" s="2"/>
      <c r="BC103" s="5" t="b">
        <f t="shared" si="150"/>
        <v>1</v>
      </c>
      <c r="BD103" s="5" t="b">
        <f t="shared" si="151"/>
        <v>1</v>
      </c>
      <c r="BE103" s="5" t="b">
        <f t="shared" si="157"/>
        <v>1</v>
      </c>
      <c r="BF103" s="5" t="b">
        <f t="shared" si="161"/>
        <v>1</v>
      </c>
      <c r="BG103" s="5" t="b">
        <f t="shared" si="165"/>
        <v>1</v>
      </c>
      <c r="BH103" s="5" t="b">
        <f t="shared" si="169"/>
        <v>1</v>
      </c>
      <c r="BI103" s="5" t="b">
        <f t="shared" si="173"/>
        <v>1</v>
      </c>
      <c r="BJ103" s="5" t="b">
        <f t="shared" si="177"/>
        <v>1</v>
      </c>
      <c r="BK103" s="5" t="b">
        <f t="shared" ref="BK103:BK105" si="181">IF(AV103&lt;AU103,FALSE,TRUE)</f>
        <v>1</v>
      </c>
      <c r="BL103" s="6"/>
      <c r="BM103" s="5" t="b">
        <f t="shared" si="136"/>
        <v>1</v>
      </c>
      <c r="BN103" s="5" t="b">
        <f t="shared" si="137"/>
        <v>1</v>
      </c>
      <c r="BQ103" s="2"/>
      <c r="BR103" s="5" t="b">
        <f t="shared" si="152"/>
        <v>1</v>
      </c>
      <c r="BS103" s="5" t="b">
        <f t="shared" si="153"/>
        <v>1</v>
      </c>
      <c r="BT103" s="5" t="b">
        <f t="shared" si="158"/>
        <v>1</v>
      </c>
      <c r="BU103" s="5" t="b">
        <f t="shared" si="162"/>
        <v>1</v>
      </c>
      <c r="BV103" s="5" t="b">
        <f t="shared" si="166"/>
        <v>1</v>
      </c>
      <c r="BW103" s="5" t="b">
        <f t="shared" si="170"/>
        <v>1</v>
      </c>
      <c r="BX103" s="5" t="b">
        <f t="shared" si="174"/>
        <v>1</v>
      </c>
      <c r="BY103" s="5" t="b">
        <f t="shared" si="178"/>
        <v>1</v>
      </c>
      <c r="BZ103" s="5" t="b">
        <f t="shared" ref="BZ103:BZ105" si="182">IF(AU102&gt;=AU103, TRUE, FALSE)</f>
        <v>1</v>
      </c>
      <c r="CA103" s="6"/>
      <c r="CB103" s="5" t="b">
        <f t="shared" si="146"/>
        <v>1</v>
      </c>
      <c r="CC103" s="5" t="b">
        <f t="shared" si="147"/>
        <v>1</v>
      </c>
      <c r="CG103" s="2"/>
      <c r="CH103" s="3">
        <v>0</v>
      </c>
      <c r="CI103" s="3">
        <v>1.3973095975615001E-3</v>
      </c>
      <c r="CJ103" s="3">
        <v>4.6909679346707495E-3</v>
      </c>
      <c r="CK103" s="3">
        <v>6.7398002862658745E-3</v>
      </c>
      <c r="CL103" s="3">
        <v>1.6368483857149001E-2</v>
      </c>
      <c r="CM103" s="3">
        <v>4.3516213181200997E-2</v>
      </c>
      <c r="CN103" s="3">
        <v>6.0383736180336246E-2</v>
      </c>
      <c r="CO103" s="3">
        <v>7.2560291244800748E-2</v>
      </c>
      <c r="CP103" s="3">
        <v>0.13384229788071225</v>
      </c>
      <c r="CQ103" s="3">
        <v>0.39913150576060274</v>
      </c>
      <c r="CR103" s="3">
        <v>0.11747381402356324</v>
      </c>
      <c r="CS103" s="3">
        <v>2.29558005313675E-3</v>
      </c>
    </row>
    <row r="104" spans="3:97" x14ac:dyDescent="0.4">
      <c r="C104" s="2">
        <f t="shared" si="154"/>
        <v>10</v>
      </c>
      <c r="D104" s="5" t="b">
        <f t="shared" ref="D104:L104" si="183">IF(D75&lt;=E75,TRUE,FALSE)</f>
        <v>1</v>
      </c>
      <c r="E104" s="5" t="b">
        <f t="shared" si="183"/>
        <v>1</v>
      </c>
      <c r="F104" s="5" t="b">
        <f t="shared" si="183"/>
        <v>1</v>
      </c>
      <c r="G104" s="5" t="b">
        <f t="shared" si="183"/>
        <v>1</v>
      </c>
      <c r="H104" s="5" t="b">
        <f t="shared" si="183"/>
        <v>1</v>
      </c>
      <c r="I104" s="5" t="b">
        <f t="shared" si="183"/>
        <v>1</v>
      </c>
      <c r="J104" s="5" t="b">
        <f t="shared" si="183"/>
        <v>1</v>
      </c>
      <c r="K104" s="5" t="b">
        <f t="shared" si="183"/>
        <v>1</v>
      </c>
      <c r="L104" s="5" t="b">
        <f t="shared" si="183"/>
        <v>1</v>
      </c>
      <c r="M104" s="5"/>
      <c r="N104" s="5" t="b">
        <f t="shared" ref="N104:O104" si="184">IF(N75&gt;=O75,TRUE,FALSE)</f>
        <v>1</v>
      </c>
      <c r="O104" s="5" t="b">
        <f t="shared" si="184"/>
        <v>1</v>
      </c>
      <c r="P104" s="5"/>
      <c r="AL104" s="2"/>
      <c r="AM104" s="3">
        <v>0</v>
      </c>
      <c r="AN104" s="3">
        <v>1.2999999999999999E-3</v>
      </c>
      <c r="AO104" s="3">
        <v>2.2343106042047056E-3</v>
      </c>
      <c r="AP104" s="3">
        <v>6.3652700837216573E-3</v>
      </c>
      <c r="AQ104" s="3">
        <v>6.6E-3</v>
      </c>
      <c r="AR104" s="3">
        <v>2.0045406624063851E-2</v>
      </c>
      <c r="AS104" s="3">
        <v>1.9800000000000002E-2</v>
      </c>
      <c r="AT104" s="3">
        <v>3.3599999999999998E-2</v>
      </c>
      <c r="AU104" s="3">
        <v>6.0600000000000001E-2</v>
      </c>
      <c r="AV104" s="3">
        <v>8.6999999999999994E-2</v>
      </c>
      <c r="AW104" s="3">
        <v>0.46529999999999999</v>
      </c>
      <c r="AX104" s="3">
        <v>1.5800000000000002E-2</v>
      </c>
      <c r="BB104" s="2"/>
      <c r="BC104" s="5" t="b">
        <f t="shared" si="150"/>
        <v>1</v>
      </c>
      <c r="BD104" s="5" t="b">
        <f t="shared" si="151"/>
        <v>1</v>
      </c>
      <c r="BE104" s="5" t="b">
        <f t="shared" si="157"/>
        <v>1</v>
      </c>
      <c r="BF104" s="5" t="b">
        <f t="shared" si="161"/>
        <v>1</v>
      </c>
      <c r="BG104" s="5" t="b">
        <f t="shared" si="165"/>
        <v>1</v>
      </c>
      <c r="BH104" s="5" t="b">
        <f t="shared" si="169"/>
        <v>0</v>
      </c>
      <c r="BI104" s="5" t="b">
        <f t="shared" si="173"/>
        <v>1</v>
      </c>
      <c r="BJ104" s="5" t="b">
        <f t="shared" si="177"/>
        <v>1</v>
      </c>
      <c r="BK104" s="5" t="b">
        <f t="shared" si="181"/>
        <v>1</v>
      </c>
      <c r="BL104" s="5" t="b">
        <f t="shared" ref="BL104:BL105" si="185">IF(AW104&lt;AV104,FALSE,TRUE)</f>
        <v>1</v>
      </c>
      <c r="BM104" s="6"/>
      <c r="BN104" s="5" t="b">
        <f>IF(AX104&gt;AW104,FALSE,TRUE)</f>
        <v>1</v>
      </c>
      <c r="BQ104" s="2"/>
      <c r="BR104" s="5" t="b">
        <f t="shared" si="152"/>
        <v>1</v>
      </c>
      <c r="BS104" s="5" t="b">
        <f t="shared" si="153"/>
        <v>1</v>
      </c>
      <c r="BT104" s="5" t="b">
        <f t="shared" si="158"/>
        <v>1</v>
      </c>
      <c r="BU104" s="5" t="b">
        <f t="shared" si="162"/>
        <v>1</v>
      </c>
      <c r="BV104" s="5" t="b">
        <f t="shared" si="166"/>
        <v>1</v>
      </c>
      <c r="BW104" s="5" t="b">
        <f t="shared" si="170"/>
        <v>1</v>
      </c>
      <c r="BX104" s="5" t="b">
        <f t="shared" si="174"/>
        <v>1</v>
      </c>
      <c r="BY104" s="5" t="b">
        <f t="shared" si="178"/>
        <v>1</v>
      </c>
      <c r="BZ104" s="5" t="b">
        <f t="shared" si="182"/>
        <v>1</v>
      </c>
      <c r="CA104" s="5" t="b">
        <f t="shared" ref="CA104:CA105" si="186">IF(AV103&gt;=AV104, TRUE, FALSE)</f>
        <v>1</v>
      </c>
      <c r="CB104" s="6"/>
      <c r="CC104" s="5" t="b">
        <f t="shared" si="147"/>
        <v>1</v>
      </c>
      <c r="CG104" s="2"/>
      <c r="CH104" s="3">
        <v>0</v>
      </c>
      <c r="CI104" s="3">
        <v>1.2650056927278484E-3</v>
      </c>
      <c r="CJ104" s="3">
        <v>2.1741658720316548E-3</v>
      </c>
      <c r="CK104" s="3">
        <v>6.1939253012755118E-3</v>
      </c>
      <c r="CL104" s="3">
        <v>6.4223365938490774E-3</v>
      </c>
      <c r="CM104" s="3">
        <v>1.950581037883484E-2</v>
      </c>
      <c r="CN104" s="3">
        <v>1.9267009781547231E-2</v>
      </c>
      <c r="CO104" s="3">
        <v>3.2695531750504388E-2</v>
      </c>
      <c r="CP104" s="3">
        <v>5.8968726907159708E-2</v>
      </c>
      <c r="CQ104" s="3">
        <v>8.4658073282556007E-2</v>
      </c>
      <c r="CR104" s="3">
        <v>0.45277472986635992</v>
      </c>
      <c r="CS104" s="3">
        <v>1.5374684573153852E-2</v>
      </c>
    </row>
    <row r="105" spans="3:97" x14ac:dyDescent="0.4">
      <c r="C105" s="2">
        <f t="shared" si="154"/>
        <v>11</v>
      </c>
      <c r="D105" s="5" t="b">
        <f t="shared" ref="D105:M105" si="187">IF(D76&lt;=E76,TRUE,FALSE)</f>
        <v>1</v>
      </c>
      <c r="E105" s="5" t="b">
        <f t="shared" si="187"/>
        <v>1</v>
      </c>
      <c r="F105" s="5" t="b">
        <f t="shared" si="187"/>
        <v>1</v>
      </c>
      <c r="G105" s="5" t="b">
        <f t="shared" si="187"/>
        <v>1</v>
      </c>
      <c r="H105" s="5" t="b">
        <f t="shared" si="187"/>
        <v>1</v>
      </c>
      <c r="I105" s="5" t="b">
        <f t="shared" si="187"/>
        <v>1</v>
      </c>
      <c r="J105" s="5" t="b">
        <f t="shared" si="187"/>
        <v>1</v>
      </c>
      <c r="K105" s="5" t="b">
        <f t="shared" si="187"/>
        <v>1</v>
      </c>
      <c r="L105" s="5" t="b">
        <f t="shared" si="187"/>
        <v>1</v>
      </c>
      <c r="M105" s="5" t="b">
        <f t="shared" si="187"/>
        <v>1</v>
      </c>
      <c r="N105" s="5"/>
      <c r="O105" s="5" t="b">
        <f>IF(O76&gt;=P76,TRUE,FALSE)</f>
        <v>1</v>
      </c>
      <c r="P105" s="5"/>
      <c r="AL105" s="2"/>
      <c r="AM105" s="3">
        <v>0</v>
      </c>
      <c r="AN105" s="3">
        <v>0</v>
      </c>
      <c r="AO105" s="3">
        <v>0</v>
      </c>
      <c r="AP105" s="3">
        <v>6.0000000000000001E-3</v>
      </c>
      <c r="AQ105" s="3">
        <v>6.0000000000000019E-3</v>
      </c>
      <c r="AR105" s="3">
        <v>9.2160166679830947E-3</v>
      </c>
      <c r="AS105" s="3">
        <v>1.415582720409036E-2</v>
      </c>
      <c r="AT105" s="3">
        <v>2.1743389910330861E-2</v>
      </c>
      <c r="AU105" s="3">
        <v>0.03</v>
      </c>
      <c r="AV105" s="3">
        <v>5.5317266743757323E-2</v>
      </c>
      <c r="AW105" s="3">
        <v>0.10199999999999999</v>
      </c>
      <c r="AX105" s="3">
        <v>0.12</v>
      </c>
      <c r="BB105" s="2"/>
      <c r="BC105" s="5" t="b">
        <f t="shared" si="150"/>
        <v>1</v>
      </c>
      <c r="BD105" s="5" t="b">
        <f t="shared" si="151"/>
        <v>1</v>
      </c>
      <c r="BE105" s="5" t="b">
        <f t="shared" si="157"/>
        <v>1</v>
      </c>
      <c r="BF105" s="5" t="b">
        <f t="shared" si="161"/>
        <v>1</v>
      </c>
      <c r="BG105" s="5" t="b">
        <f t="shared" si="165"/>
        <v>1</v>
      </c>
      <c r="BH105" s="5" t="b">
        <f t="shared" si="169"/>
        <v>1</v>
      </c>
      <c r="BI105" s="5" t="b">
        <f t="shared" si="173"/>
        <v>1</v>
      </c>
      <c r="BJ105" s="5" t="b">
        <f t="shared" si="177"/>
        <v>1</v>
      </c>
      <c r="BK105" s="5" t="b">
        <f t="shared" si="181"/>
        <v>1</v>
      </c>
      <c r="BL105" s="5" t="b">
        <f t="shared" si="185"/>
        <v>1</v>
      </c>
      <c r="BM105" s="5" t="b">
        <f t="shared" ref="BM105" si="188">IF(AX105&lt;AW105,FALSE,TRUE)</f>
        <v>1</v>
      </c>
      <c r="BN105" s="6"/>
      <c r="BQ105" s="2"/>
      <c r="BR105" s="5" t="b">
        <f t="shared" si="152"/>
        <v>1</v>
      </c>
      <c r="BS105" s="5" t="b">
        <f t="shared" si="153"/>
        <v>1</v>
      </c>
      <c r="BT105" s="5" t="b">
        <f t="shared" si="158"/>
        <v>1</v>
      </c>
      <c r="BU105" s="5" t="b">
        <f t="shared" si="162"/>
        <v>1</v>
      </c>
      <c r="BV105" s="5" t="b">
        <f t="shared" si="166"/>
        <v>1</v>
      </c>
      <c r="BW105" s="5" t="b">
        <f t="shared" si="170"/>
        <v>1</v>
      </c>
      <c r="BX105" s="5" t="b">
        <f t="shared" si="174"/>
        <v>1</v>
      </c>
      <c r="BY105" s="5" t="b">
        <f t="shared" si="178"/>
        <v>1</v>
      </c>
      <c r="BZ105" s="5" t="b">
        <f t="shared" si="182"/>
        <v>1</v>
      </c>
      <c r="CA105" s="5" t="b">
        <f t="shared" si="186"/>
        <v>1</v>
      </c>
      <c r="CB105" s="5" t="b">
        <f>IF(AW104&gt;=AW105, TRUE, FALSE)</f>
        <v>1</v>
      </c>
      <c r="CC105" s="6"/>
      <c r="CG105" s="2"/>
      <c r="CH105" s="3">
        <v>0</v>
      </c>
      <c r="CI105" s="3">
        <v>0</v>
      </c>
      <c r="CJ105" s="3">
        <v>0</v>
      </c>
      <c r="CK105" s="3">
        <v>4.7416188114538151E-3</v>
      </c>
      <c r="CL105" s="3">
        <v>4.7416188114538169E-3</v>
      </c>
      <c r="CM105" s="3">
        <v>7.2831396665967579E-3</v>
      </c>
      <c r="CN105" s="3">
        <v>1.1186922760434086E-2</v>
      </c>
      <c r="CO105" s="3">
        <v>1.7183144437266651E-2</v>
      </c>
      <c r="CP105" s="3">
        <v>2.3708094057269074E-2</v>
      </c>
      <c r="CQ105" s="3">
        <v>4.3715565431734708E-2</v>
      </c>
      <c r="CR105" s="3">
        <v>8.0607519794714852E-2</v>
      </c>
      <c r="CS105" s="3">
        <v>9.4832376229076296E-2</v>
      </c>
    </row>
    <row r="106" spans="3:97" x14ac:dyDescent="0.4">
      <c r="C106" s="2">
        <f t="shared" si="154"/>
        <v>12</v>
      </c>
      <c r="D106" s="5" t="b">
        <f t="shared" ref="D106:N106" si="189">IF(D77&lt;=E77,TRUE,FALSE)</f>
        <v>1</v>
      </c>
      <c r="E106" s="5" t="b">
        <f t="shared" si="189"/>
        <v>1</v>
      </c>
      <c r="F106" s="5" t="b">
        <f t="shared" si="189"/>
        <v>1</v>
      </c>
      <c r="G106" s="5" t="b">
        <f t="shared" si="189"/>
        <v>1</v>
      </c>
      <c r="H106" s="5" t="b">
        <f t="shared" si="189"/>
        <v>1</v>
      </c>
      <c r="I106" s="5" t="b">
        <f t="shared" si="189"/>
        <v>1</v>
      </c>
      <c r="J106" s="5" t="b">
        <f t="shared" si="189"/>
        <v>1</v>
      </c>
      <c r="K106" s="5" t="b">
        <f t="shared" si="189"/>
        <v>1</v>
      </c>
      <c r="L106" s="5" t="b">
        <f t="shared" si="189"/>
        <v>1</v>
      </c>
      <c r="M106" s="5" t="b">
        <f t="shared" si="189"/>
        <v>1</v>
      </c>
      <c r="N106" s="5" t="b">
        <f t="shared" si="189"/>
        <v>1</v>
      </c>
      <c r="O106" s="5"/>
      <c r="P106" s="5"/>
    </row>
    <row r="108" spans="3:97" hidden="1" x14ac:dyDescent="0.4"/>
    <row r="109" spans="3:97" hidden="1" x14ac:dyDescent="0.4"/>
    <row r="110" spans="3:97" hidden="1" x14ac:dyDescent="0.4"/>
    <row r="111" spans="3:97" hidden="1" x14ac:dyDescent="0.4"/>
    <row r="112" spans="3:97" hidden="1" x14ac:dyDescent="0.4"/>
    <row r="113" spans="3:97" hidden="1" x14ac:dyDescent="0.4"/>
    <row r="114" spans="3:97" hidden="1" x14ac:dyDescent="0.4"/>
    <row r="115" spans="3:97" hidden="1" x14ac:dyDescent="0.4"/>
    <row r="116" spans="3:97" hidden="1" x14ac:dyDescent="0.4"/>
    <row r="117" spans="3:97" hidden="1" x14ac:dyDescent="0.4"/>
    <row r="118" spans="3:97" hidden="1" x14ac:dyDescent="0.4"/>
    <row r="119" spans="3:97" hidden="1" x14ac:dyDescent="0.4"/>
    <row r="120" spans="3:97" x14ac:dyDescent="0.4">
      <c r="AH120" s="10" t="s">
        <v>13</v>
      </c>
      <c r="AI120" s="10"/>
      <c r="AJ120" s="4">
        <v>1</v>
      </c>
    </row>
    <row r="121" spans="3:97" x14ac:dyDescent="0.4">
      <c r="AH121" s="10" t="s">
        <v>14</v>
      </c>
      <c r="AI121" s="10"/>
      <c r="AJ121" s="4">
        <v>1</v>
      </c>
      <c r="AL121" s="13" t="s">
        <v>19</v>
      </c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BB121" s="13" t="s">
        <v>31</v>
      </c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Q121" s="13" t="s">
        <v>32</v>
      </c>
      <c r="BR121" s="13"/>
      <c r="BS121" s="13"/>
      <c r="BT121" s="13"/>
      <c r="BU121" s="13"/>
      <c r="BV121" s="13"/>
      <c r="BW121" s="13"/>
      <c r="BX121" s="13"/>
      <c r="BY121" s="13"/>
      <c r="BZ121" s="13"/>
      <c r="CA121" s="13"/>
      <c r="CB121" s="13"/>
      <c r="CC121" s="13"/>
      <c r="CG121" s="13" t="s">
        <v>37</v>
      </c>
      <c r="CH121" s="13"/>
      <c r="CI121" s="13"/>
      <c r="CJ121" s="13"/>
      <c r="CK121" s="13"/>
      <c r="CL121" s="13"/>
      <c r="CM121" s="13"/>
      <c r="CN121" s="13"/>
      <c r="CO121" s="13"/>
      <c r="CP121" s="13"/>
      <c r="CQ121" s="13"/>
      <c r="CR121" s="13"/>
      <c r="CS121" s="13"/>
    </row>
    <row r="122" spans="3:97" x14ac:dyDescent="0.4">
      <c r="C122" s="13" t="s">
        <v>35</v>
      </c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AH122" s="10" t="s">
        <v>15</v>
      </c>
      <c r="AI122" s="10"/>
      <c r="AJ122" s="4">
        <v>1</v>
      </c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</row>
    <row r="123" spans="3:97" x14ac:dyDescent="0.4">
      <c r="C123" s="2"/>
      <c r="D123" s="2">
        <v>1</v>
      </c>
      <c r="E123" s="2">
        <f t="shared" ref="E123:O123" si="190">D123+1</f>
        <v>2</v>
      </c>
      <c r="F123" s="2">
        <f t="shared" si="190"/>
        <v>3</v>
      </c>
      <c r="G123" s="2">
        <f t="shared" si="190"/>
        <v>4</v>
      </c>
      <c r="H123" s="2">
        <f t="shared" si="190"/>
        <v>5</v>
      </c>
      <c r="I123" s="2">
        <f t="shared" si="190"/>
        <v>6</v>
      </c>
      <c r="J123" s="2">
        <f t="shared" si="190"/>
        <v>7</v>
      </c>
      <c r="K123" s="2">
        <f t="shared" si="190"/>
        <v>8</v>
      </c>
      <c r="L123" s="2">
        <f t="shared" si="190"/>
        <v>9</v>
      </c>
      <c r="M123" s="2">
        <f t="shared" si="190"/>
        <v>10</v>
      </c>
      <c r="N123" s="2">
        <f t="shared" si="190"/>
        <v>11</v>
      </c>
      <c r="O123" s="2">
        <f t="shared" si="190"/>
        <v>12</v>
      </c>
      <c r="P123" s="2"/>
      <c r="AL123" s="2"/>
      <c r="AM123" s="3">
        <v>0.54679999999999995</v>
      </c>
      <c r="AN123" s="3">
        <v>0.3906</v>
      </c>
      <c r="AO123" s="3">
        <v>4.6899999999999997E-2</v>
      </c>
      <c r="AP123" s="3">
        <v>3.2495515278611262E-2</v>
      </c>
      <c r="AQ123" s="3">
        <v>2.2515106891736841E-2</v>
      </c>
      <c r="AR123" s="3">
        <v>1.5599999999999999E-2</v>
      </c>
      <c r="AS123" s="3">
        <v>0</v>
      </c>
      <c r="AT123" s="3">
        <v>0</v>
      </c>
      <c r="AU123" s="3">
        <v>0</v>
      </c>
      <c r="AV123" s="3">
        <v>0</v>
      </c>
      <c r="AW123" s="3">
        <v>0</v>
      </c>
      <c r="AX123" s="3">
        <v>0</v>
      </c>
      <c r="BB123" s="2"/>
      <c r="BC123" s="6"/>
      <c r="BD123" s="5" t="b">
        <f>IF(AN123&gt;AM123,FALSE,TRUE)</f>
        <v>1</v>
      </c>
      <c r="BE123" s="5" t="b">
        <f t="shared" ref="BE123:BE124" si="191">IF(AO123&gt;AN123,FALSE,TRUE)</f>
        <v>1</v>
      </c>
      <c r="BF123" s="5" t="b">
        <f t="shared" ref="BF123:BF125" si="192">IF(AP123&gt;AO123,FALSE,TRUE)</f>
        <v>1</v>
      </c>
      <c r="BG123" s="5" t="b">
        <f t="shared" ref="BG123:BG126" si="193">IF(AQ123&gt;AP123,FALSE,TRUE)</f>
        <v>1</v>
      </c>
      <c r="BH123" s="5" t="b">
        <f t="shared" ref="BH123:BH127" si="194">IF(AR123&gt;AQ123,FALSE,TRUE)</f>
        <v>1</v>
      </c>
      <c r="BI123" s="5" t="b">
        <f t="shared" ref="BI123:BI128" si="195">IF(AS123&gt;AR123,FALSE,TRUE)</f>
        <v>1</v>
      </c>
      <c r="BJ123" s="5" t="b">
        <f t="shared" ref="BJ123:BJ129" si="196">IF(AT123&gt;AS123,FALSE,TRUE)</f>
        <v>1</v>
      </c>
      <c r="BK123" s="5" t="b">
        <f t="shared" ref="BK123:BK130" si="197">IF(AU123&gt;AT123,FALSE,TRUE)</f>
        <v>1</v>
      </c>
      <c r="BL123" s="5" t="b">
        <f t="shared" ref="BL123:BL131" si="198">IF(AV123&gt;AU123,FALSE,TRUE)</f>
        <v>1</v>
      </c>
      <c r="BM123" s="5" t="b">
        <f t="shared" ref="BM123:BM132" si="199">IF(AW123&gt;AV123,FALSE,TRUE)</f>
        <v>1</v>
      </c>
      <c r="BN123" s="5" t="b">
        <f t="shared" ref="BN123:BN132" si="200">IF(AX123&gt;AW123,FALSE,TRUE)</f>
        <v>1</v>
      </c>
      <c r="BQ123" s="2"/>
      <c r="BR123" s="6"/>
      <c r="BS123" s="5" t="b">
        <f>IF(AN123&lt;=AN124,TRUE,FALSE)</f>
        <v>1</v>
      </c>
      <c r="BT123" s="5" t="b">
        <f t="shared" ref="BT123:BT124" si="201">IF(AO123&lt;=AO124,TRUE,FALSE)</f>
        <v>1</v>
      </c>
      <c r="BU123" s="5" t="b">
        <f t="shared" ref="BU123:BU125" si="202">IF(AP123&lt;=AP124,TRUE,FALSE)</f>
        <v>1</v>
      </c>
      <c r="BV123" s="5" t="b">
        <f t="shared" ref="BV123:BV126" si="203">IF(AQ123&lt;=AQ124,TRUE,FALSE)</f>
        <v>1</v>
      </c>
      <c r="BW123" s="5" t="b">
        <f t="shared" ref="BW123:BW127" si="204">IF(AR123&lt;=AR124,TRUE,FALSE)</f>
        <v>1</v>
      </c>
      <c r="BX123" s="5" t="b">
        <f t="shared" ref="BX123:BX128" si="205">IF(AS123&lt;=AS124,TRUE,FALSE)</f>
        <v>1</v>
      </c>
      <c r="BY123" s="5" t="b">
        <f t="shared" ref="BY123:BY129" si="206">IF(AT123&lt;=AT124,TRUE,FALSE)</f>
        <v>1</v>
      </c>
      <c r="BZ123" s="5" t="b">
        <f t="shared" ref="BZ123:BZ130" si="207">IF(AU123&lt;=AU124,TRUE,FALSE)</f>
        <v>1</v>
      </c>
      <c r="CA123" s="5" t="b">
        <f t="shared" ref="CA123:CA131" si="208">IF(AV123&lt;=AV124,TRUE,FALSE)</f>
        <v>1</v>
      </c>
      <c r="CB123" s="5" t="b">
        <f t="shared" ref="CB123:CB132" si="209">IF(AW123&lt;=AW124,TRUE,FALSE)</f>
        <v>1</v>
      </c>
      <c r="CC123" s="5" t="b">
        <f t="shared" ref="CC123:CC133" si="210">IF(AX123&lt;=AX124,TRUE,FALSE)</f>
        <v>1</v>
      </c>
      <c r="CG123" s="2"/>
      <c r="CH123" s="3">
        <v>0.5182340840167593</v>
      </c>
      <c r="CI123" s="3">
        <v>0.37019428166961627</v>
      </c>
      <c r="CJ123" s="3">
        <v>4.4449851024846401E-2</v>
      </c>
      <c r="CK123" s="3">
        <v>3.079788514093583E-2</v>
      </c>
      <c r="CL123" s="3">
        <v>2.1338873073479637E-2</v>
      </c>
      <c r="CM123" s="3">
        <v>1.4785025074362555E-2</v>
      </c>
      <c r="CN123" s="3">
        <v>0</v>
      </c>
      <c r="CO123" s="3">
        <v>0</v>
      </c>
      <c r="CP123" s="3">
        <v>0</v>
      </c>
      <c r="CQ123" s="3">
        <v>0</v>
      </c>
      <c r="CR123" s="3">
        <v>0</v>
      </c>
      <c r="CS123" s="3">
        <v>0</v>
      </c>
    </row>
    <row r="124" spans="3:97" x14ac:dyDescent="0.4">
      <c r="C124" s="2">
        <v>1</v>
      </c>
      <c r="D124" s="5"/>
      <c r="E124" s="5" t="b">
        <f>IF(E67&gt;=E66, TRUE, FALSE)</f>
        <v>1</v>
      </c>
      <c r="F124" s="5" t="b">
        <f t="shared" ref="F124:O125" si="211">IF(F67&gt;=F66, TRUE, FALSE)</f>
        <v>1</v>
      </c>
      <c r="G124" s="5" t="b">
        <f t="shared" si="211"/>
        <v>1</v>
      </c>
      <c r="H124" s="5" t="b">
        <f t="shared" si="211"/>
        <v>1</v>
      </c>
      <c r="I124" s="5" t="b">
        <f t="shared" si="211"/>
        <v>1</v>
      </c>
      <c r="J124" s="5" t="b">
        <f t="shared" si="211"/>
        <v>1</v>
      </c>
      <c r="K124" s="5" t="b">
        <f t="shared" si="211"/>
        <v>1</v>
      </c>
      <c r="L124" s="5" t="b">
        <f t="shared" si="211"/>
        <v>1</v>
      </c>
      <c r="M124" s="5" t="b">
        <f t="shared" si="211"/>
        <v>1</v>
      </c>
      <c r="N124" s="5" t="b">
        <f t="shared" si="211"/>
        <v>1</v>
      </c>
      <c r="O124" s="5" t="b">
        <f t="shared" si="211"/>
        <v>1</v>
      </c>
      <c r="P124" s="5"/>
      <c r="AL124" s="2"/>
      <c r="AM124" s="3">
        <v>8.8000000000000005E-3</v>
      </c>
      <c r="AN124" s="3">
        <v>0.69</v>
      </c>
      <c r="AO124" s="3">
        <v>0.1918</v>
      </c>
      <c r="AP124" s="3">
        <v>6.7299999999999999E-2</v>
      </c>
      <c r="AQ124" s="3">
        <v>3.8694374375359782E-2</v>
      </c>
      <c r="AR124" s="3">
        <v>2.0674622124720925E-2</v>
      </c>
      <c r="AS124" s="3">
        <v>5.5999999999999999E-3</v>
      </c>
      <c r="AT124" s="3">
        <v>3.0611423190014617E-3</v>
      </c>
      <c r="AU124" s="3">
        <v>4.6451612903225802E-4</v>
      </c>
      <c r="AV124" s="3">
        <v>2.6666666666666663E-4</v>
      </c>
      <c r="AW124" s="3">
        <v>1.5308641975308641E-4</v>
      </c>
      <c r="AX124" s="3">
        <v>0</v>
      </c>
      <c r="BB124" s="2"/>
      <c r="BC124" s="5" t="b">
        <f>IF(AN124&lt;AM124,FALSE,TRUE)</f>
        <v>1</v>
      </c>
      <c r="BD124" s="6"/>
      <c r="BE124" s="5" t="b">
        <f t="shared" si="191"/>
        <v>1</v>
      </c>
      <c r="BF124" s="5" t="b">
        <f t="shared" si="192"/>
        <v>1</v>
      </c>
      <c r="BG124" s="5" t="b">
        <f t="shared" si="193"/>
        <v>1</v>
      </c>
      <c r="BH124" s="5" t="b">
        <f t="shared" si="194"/>
        <v>1</v>
      </c>
      <c r="BI124" s="5" t="b">
        <f t="shared" si="195"/>
        <v>1</v>
      </c>
      <c r="BJ124" s="5" t="b">
        <f t="shared" si="196"/>
        <v>1</v>
      </c>
      <c r="BK124" s="5" t="b">
        <f t="shared" si="197"/>
        <v>1</v>
      </c>
      <c r="BL124" s="5" t="b">
        <f t="shared" si="198"/>
        <v>1</v>
      </c>
      <c r="BM124" s="5" t="b">
        <f t="shared" si="199"/>
        <v>1</v>
      </c>
      <c r="BN124" s="5" t="b">
        <f t="shared" si="200"/>
        <v>1</v>
      </c>
      <c r="BQ124" s="2"/>
      <c r="BR124" s="5" t="b">
        <f>IF(AM123&gt;=AM124, TRUE, FALSE)</f>
        <v>1</v>
      </c>
      <c r="BS124" s="6"/>
      <c r="BT124" s="5" t="b">
        <f t="shared" si="201"/>
        <v>1</v>
      </c>
      <c r="BU124" s="5" t="b">
        <f t="shared" si="202"/>
        <v>1</v>
      </c>
      <c r="BV124" s="5" t="b">
        <f t="shared" si="203"/>
        <v>1</v>
      </c>
      <c r="BW124" s="5" t="b">
        <f t="shared" si="204"/>
        <v>1</v>
      </c>
      <c r="BX124" s="5" t="b">
        <f t="shared" si="205"/>
        <v>1</v>
      </c>
      <c r="BY124" s="5" t="b">
        <f t="shared" si="206"/>
        <v>1</v>
      </c>
      <c r="BZ124" s="5" t="b">
        <f t="shared" si="207"/>
        <v>1</v>
      </c>
      <c r="CA124" s="5" t="b">
        <f t="shared" si="208"/>
        <v>1</v>
      </c>
      <c r="CB124" s="5" t="b">
        <f t="shared" si="209"/>
        <v>1</v>
      </c>
      <c r="CC124" s="5" t="b">
        <f t="shared" si="210"/>
        <v>1</v>
      </c>
      <c r="CG124" s="2"/>
      <c r="CH124" s="3">
        <v>8.5641961499475228E-3</v>
      </c>
      <c r="CI124" s="3">
        <v>0.67151083448452153</v>
      </c>
      <c r="CJ124" s="3">
        <v>0.18666054790453804</v>
      </c>
      <c r="CK124" s="3">
        <v>6.549663646493957E-2</v>
      </c>
      <c r="CL124" s="3">
        <v>3.7657524096600482E-2</v>
      </c>
      <c r="CM124" s="3">
        <v>2.0120627182063044E-2</v>
      </c>
      <c r="CN124" s="3">
        <v>5.4499430045120588E-3</v>
      </c>
      <c r="CO124" s="3">
        <v>2.9791162798674707E-3</v>
      </c>
      <c r="CP124" s="3">
        <v>4.5206900498256708E-4</v>
      </c>
      <c r="CQ124" s="3">
        <v>2.5952109545295514E-4</v>
      </c>
      <c r="CR124" s="3">
        <v>1.4898433257484463E-4</v>
      </c>
      <c r="CS124" s="3">
        <v>0</v>
      </c>
    </row>
    <row r="125" spans="3:97" x14ac:dyDescent="0.4">
      <c r="C125" s="2">
        <f>C124+1</f>
        <v>2</v>
      </c>
      <c r="D125" s="5" t="b">
        <f>IF(D68&lt;=D67, TRUE, FALSE)</f>
        <v>1</v>
      </c>
      <c r="E125" s="5"/>
      <c r="F125" s="5" t="b">
        <f t="shared" si="211"/>
        <v>1</v>
      </c>
      <c r="G125" s="5" t="b">
        <f t="shared" si="211"/>
        <v>1</v>
      </c>
      <c r="H125" s="5" t="b">
        <f t="shared" si="211"/>
        <v>1</v>
      </c>
      <c r="I125" s="5" t="b">
        <f t="shared" si="211"/>
        <v>1</v>
      </c>
      <c r="J125" s="5" t="b">
        <f t="shared" si="211"/>
        <v>1</v>
      </c>
      <c r="K125" s="5" t="b">
        <f t="shared" si="211"/>
        <v>1</v>
      </c>
      <c r="L125" s="5" t="b">
        <f t="shared" si="211"/>
        <v>1</v>
      </c>
      <c r="M125" s="5" t="b">
        <f t="shared" si="211"/>
        <v>1</v>
      </c>
      <c r="N125" s="5" t="b">
        <f t="shared" si="211"/>
        <v>1</v>
      </c>
      <c r="O125" s="5" t="b">
        <f t="shared" si="211"/>
        <v>1</v>
      </c>
      <c r="P125" s="5"/>
      <c r="AL125" s="2"/>
      <c r="AM125" s="3">
        <v>8.9999999999999998E-4</v>
      </c>
      <c r="AN125" s="3">
        <v>0.15129999999999999</v>
      </c>
      <c r="AO125" s="3">
        <v>0.5071</v>
      </c>
      <c r="AP125" s="3">
        <v>0.2301</v>
      </c>
      <c r="AQ125" s="3">
        <v>6.6500000000000004E-2</v>
      </c>
      <c r="AR125" s="3">
        <v>2.7400000000000001E-2</v>
      </c>
      <c r="AS125" s="3">
        <v>9.5999999999999992E-3</v>
      </c>
      <c r="AT125" s="3">
        <v>5.7843414340205531E-3</v>
      </c>
      <c r="AU125" s="3">
        <v>1.1999999999999999E-3</v>
      </c>
      <c r="AV125" s="3">
        <v>7.9999999999999993E-4</v>
      </c>
      <c r="AW125" s="3">
        <v>5.4772255750516611E-4</v>
      </c>
      <c r="AX125" s="3">
        <v>0</v>
      </c>
      <c r="BB125" s="2"/>
      <c r="BC125" s="5" t="b">
        <f t="shared" ref="BC125:BC134" si="212">IF(AN125&lt;AM125,FALSE,TRUE)</f>
        <v>1</v>
      </c>
      <c r="BD125" s="5" t="b">
        <f t="shared" ref="BD125:BD134" si="213">IF(AO125&lt;AN125,FALSE,TRUE)</f>
        <v>1</v>
      </c>
      <c r="BE125" s="6"/>
      <c r="BF125" s="5" t="b">
        <f t="shared" si="192"/>
        <v>1</v>
      </c>
      <c r="BG125" s="5" t="b">
        <f t="shared" si="193"/>
        <v>1</v>
      </c>
      <c r="BH125" s="5" t="b">
        <f t="shared" si="194"/>
        <v>1</v>
      </c>
      <c r="BI125" s="5" t="b">
        <f t="shared" si="195"/>
        <v>1</v>
      </c>
      <c r="BJ125" s="5" t="b">
        <f t="shared" si="196"/>
        <v>1</v>
      </c>
      <c r="BK125" s="5" t="b">
        <f t="shared" si="197"/>
        <v>1</v>
      </c>
      <c r="BL125" s="5" t="b">
        <f t="shared" si="198"/>
        <v>1</v>
      </c>
      <c r="BM125" s="5" t="b">
        <f t="shared" si="199"/>
        <v>1</v>
      </c>
      <c r="BN125" s="5" t="b">
        <f t="shared" si="200"/>
        <v>1</v>
      </c>
      <c r="BQ125" s="2"/>
      <c r="BR125" s="5" t="b">
        <f t="shared" ref="BR125:BR134" si="214">IF(AM124&gt;=AM125, TRUE, FALSE)</f>
        <v>1</v>
      </c>
      <c r="BS125" s="5" t="b">
        <f t="shared" ref="BS125:BS134" si="215">IF(AN124&gt;=AN125, TRUE, FALSE)</f>
        <v>1</v>
      </c>
      <c r="BT125" s="6"/>
      <c r="BU125" s="5" t="b">
        <f t="shared" si="202"/>
        <v>1</v>
      </c>
      <c r="BV125" s="5" t="b">
        <f t="shared" si="203"/>
        <v>1</v>
      </c>
      <c r="BW125" s="5" t="b">
        <f t="shared" si="204"/>
        <v>1</v>
      </c>
      <c r="BX125" s="5" t="b">
        <f t="shared" si="205"/>
        <v>1</v>
      </c>
      <c r="BY125" s="5" t="b">
        <f t="shared" si="206"/>
        <v>1</v>
      </c>
      <c r="BZ125" s="5" t="b">
        <f t="shared" si="207"/>
        <v>1</v>
      </c>
      <c r="CA125" s="5" t="b">
        <f t="shared" si="208"/>
        <v>1</v>
      </c>
      <c r="CB125" s="5" t="b">
        <f t="shared" si="209"/>
        <v>1</v>
      </c>
      <c r="CC125" s="5" t="b">
        <f t="shared" si="210"/>
        <v>1</v>
      </c>
      <c r="CG125" s="2"/>
      <c r="CH125" s="3">
        <v>8.970947218961638E-4</v>
      </c>
      <c r="CI125" s="3">
        <v>0.1508115904698773</v>
      </c>
      <c r="CJ125" s="3">
        <v>0.50546303719282748</v>
      </c>
      <c r="CK125" s="3">
        <v>0.22935721723145258</v>
      </c>
      <c r="CL125" s="3">
        <v>6.628533222899434E-2</v>
      </c>
      <c r="CM125" s="3">
        <v>2.7311550422172103E-2</v>
      </c>
      <c r="CN125" s="3">
        <v>9.5690103668924133E-3</v>
      </c>
      <c r="CO125" s="3">
        <v>5.7656690778945851E-3</v>
      </c>
      <c r="CP125" s="3">
        <v>1.1961262958615517E-3</v>
      </c>
      <c r="CQ125" s="3">
        <v>7.9741753057436778E-4</v>
      </c>
      <c r="CR125" s="3">
        <v>5.4595446155705849E-4</v>
      </c>
      <c r="CS125" s="3">
        <v>0</v>
      </c>
    </row>
    <row r="126" spans="3:97" x14ac:dyDescent="0.4">
      <c r="C126" s="2">
        <f t="shared" ref="C126:C135" si="216">C125+1</f>
        <v>3</v>
      </c>
      <c r="D126" s="5" t="b">
        <f t="shared" ref="D126:M135" si="217">IF(D69&lt;=D68, TRUE, FALSE)</f>
        <v>1</v>
      </c>
      <c r="E126" s="5" t="b">
        <f t="shared" si="217"/>
        <v>1</v>
      </c>
      <c r="F126" s="5"/>
      <c r="G126" s="5" t="b">
        <f t="shared" ref="G126:O126" si="218">IF(G69&gt;=G68, TRUE, FALSE)</f>
        <v>1</v>
      </c>
      <c r="H126" s="5" t="b">
        <f t="shared" si="218"/>
        <v>1</v>
      </c>
      <c r="I126" s="5" t="b">
        <f t="shared" si="218"/>
        <v>1</v>
      </c>
      <c r="J126" s="5" t="b">
        <f t="shared" si="218"/>
        <v>1</v>
      </c>
      <c r="K126" s="5" t="b">
        <f t="shared" si="218"/>
        <v>1</v>
      </c>
      <c r="L126" s="5" t="b">
        <f t="shared" si="218"/>
        <v>1</v>
      </c>
      <c r="M126" s="5" t="b">
        <f t="shared" si="218"/>
        <v>1</v>
      </c>
      <c r="N126" s="5" t="b">
        <f t="shared" si="218"/>
        <v>1</v>
      </c>
      <c r="O126" s="5" t="b">
        <f t="shared" si="218"/>
        <v>1</v>
      </c>
      <c r="P126" s="5"/>
      <c r="AL126" s="2"/>
      <c r="AM126" s="3">
        <v>0</v>
      </c>
      <c r="AN126" s="3">
        <v>2.5000000000000001E-2</v>
      </c>
      <c r="AO126" s="3">
        <v>0.153</v>
      </c>
      <c r="AP126" s="3">
        <v>0.51390000000000002</v>
      </c>
      <c r="AQ126" s="3">
        <v>0.1978</v>
      </c>
      <c r="AR126" s="3">
        <v>7.0199999999999999E-2</v>
      </c>
      <c r="AS126" s="3">
        <v>2.1700000000000001E-2</v>
      </c>
      <c r="AT126" s="3">
        <v>8.0999999999999996E-3</v>
      </c>
      <c r="AU126" s="3">
        <v>3.0999999999999999E-3</v>
      </c>
      <c r="AV126" s="3">
        <v>2.3999999999999998E-3</v>
      </c>
      <c r="AW126" s="3">
        <v>5.9999999999999995E-4</v>
      </c>
      <c r="AX126" s="3">
        <v>0</v>
      </c>
      <c r="BB126" s="2"/>
      <c r="BC126" s="5" t="b">
        <f t="shared" si="212"/>
        <v>1</v>
      </c>
      <c r="BD126" s="5" t="b">
        <f t="shared" si="213"/>
        <v>1</v>
      </c>
      <c r="BE126" s="5" t="b">
        <f t="shared" ref="BE126:BE134" si="219">IF(AP126&lt;AO126,FALSE,TRUE)</f>
        <v>1</v>
      </c>
      <c r="BF126" s="6"/>
      <c r="BG126" s="5" t="b">
        <f t="shared" si="193"/>
        <v>1</v>
      </c>
      <c r="BH126" s="5" t="b">
        <f t="shared" si="194"/>
        <v>1</v>
      </c>
      <c r="BI126" s="5" t="b">
        <f t="shared" si="195"/>
        <v>1</v>
      </c>
      <c r="BJ126" s="5" t="b">
        <f t="shared" si="196"/>
        <v>1</v>
      </c>
      <c r="BK126" s="5" t="b">
        <f t="shared" si="197"/>
        <v>1</v>
      </c>
      <c r="BL126" s="5" t="b">
        <f t="shared" si="198"/>
        <v>1</v>
      </c>
      <c r="BM126" s="5" t="b">
        <f t="shared" si="199"/>
        <v>1</v>
      </c>
      <c r="BN126" s="5" t="b">
        <f t="shared" si="200"/>
        <v>1</v>
      </c>
      <c r="BQ126" s="2"/>
      <c r="BR126" s="5" t="b">
        <f t="shared" si="214"/>
        <v>1</v>
      </c>
      <c r="BS126" s="5" t="b">
        <f t="shared" si="215"/>
        <v>1</v>
      </c>
      <c r="BT126" s="5" t="b">
        <f t="shared" ref="BT126:BT134" si="220">IF(AO125&gt;=AO126, TRUE, FALSE)</f>
        <v>1</v>
      </c>
      <c r="BU126" s="6"/>
      <c r="BV126" s="5" t="b">
        <f t="shared" si="203"/>
        <v>1</v>
      </c>
      <c r="BW126" s="5" t="b">
        <f t="shared" si="204"/>
        <v>1</v>
      </c>
      <c r="BX126" s="5" t="b">
        <f t="shared" si="205"/>
        <v>1</v>
      </c>
      <c r="BY126" s="5" t="b">
        <f t="shared" si="206"/>
        <v>1</v>
      </c>
      <c r="BZ126" s="5" t="b">
        <f t="shared" si="207"/>
        <v>1</v>
      </c>
      <c r="CA126" s="5" t="b">
        <f t="shared" si="208"/>
        <v>1</v>
      </c>
      <c r="CB126" s="5" t="b">
        <f t="shared" si="209"/>
        <v>1</v>
      </c>
      <c r="CC126" s="5" t="b">
        <f t="shared" si="210"/>
        <v>1</v>
      </c>
      <c r="CG126" s="2"/>
      <c r="CH126" s="3">
        <v>0</v>
      </c>
      <c r="CI126" s="3">
        <v>2.4997489455713999E-2</v>
      </c>
      <c r="CJ126" s="3">
        <v>0.15298463546896968</v>
      </c>
      <c r="CK126" s="3">
        <v>0.51384839325165699</v>
      </c>
      <c r="CL126" s="3">
        <v>0.19778013657360918</v>
      </c>
      <c r="CM126" s="3">
        <v>7.0192950391644901E-2</v>
      </c>
      <c r="CN126" s="3">
        <v>2.1697820847559751E-2</v>
      </c>
      <c r="CO126" s="3">
        <v>8.0991865836513351E-3</v>
      </c>
      <c r="CP126" s="3">
        <v>3.0996886925085359E-3</v>
      </c>
      <c r="CQ126" s="3">
        <v>2.3997589877485436E-3</v>
      </c>
      <c r="CR126" s="3">
        <v>5.9993974693713591E-4</v>
      </c>
      <c r="CS126" s="3">
        <v>0</v>
      </c>
    </row>
    <row r="127" spans="3:97" x14ac:dyDescent="0.4">
      <c r="C127" s="2">
        <f t="shared" si="216"/>
        <v>4</v>
      </c>
      <c r="D127" s="5" t="b">
        <f t="shared" si="217"/>
        <v>1</v>
      </c>
      <c r="E127" s="5" t="b">
        <f t="shared" si="217"/>
        <v>1</v>
      </c>
      <c r="F127" s="5" t="b">
        <f t="shared" si="217"/>
        <v>1</v>
      </c>
      <c r="G127" s="5"/>
      <c r="H127" s="5" t="b">
        <f t="shared" ref="H127:O127" si="221">IF(H70&gt;=H69, TRUE, FALSE)</f>
        <v>1</v>
      </c>
      <c r="I127" s="5" t="b">
        <f t="shared" si="221"/>
        <v>1</v>
      </c>
      <c r="J127" s="5" t="b">
        <f t="shared" si="221"/>
        <v>1</v>
      </c>
      <c r="K127" s="5" t="b">
        <f t="shared" si="221"/>
        <v>1</v>
      </c>
      <c r="L127" s="5" t="b">
        <f t="shared" si="221"/>
        <v>1</v>
      </c>
      <c r="M127" s="5" t="b">
        <f t="shared" si="221"/>
        <v>1</v>
      </c>
      <c r="N127" s="5" t="b">
        <f t="shared" si="221"/>
        <v>1</v>
      </c>
      <c r="O127" s="5" t="b">
        <f t="shared" si="221"/>
        <v>1</v>
      </c>
      <c r="P127" s="5"/>
      <c r="AL127" s="2"/>
      <c r="AM127" s="3">
        <v>0</v>
      </c>
      <c r="AN127" s="3">
        <v>6.6E-3</v>
      </c>
      <c r="AO127" s="3">
        <v>3.0800000000000001E-2</v>
      </c>
      <c r="AP127" s="3">
        <v>0.1767</v>
      </c>
      <c r="AQ127" s="3">
        <v>0.4738</v>
      </c>
      <c r="AR127" s="3">
        <v>0.2059</v>
      </c>
      <c r="AS127" s="3">
        <v>6.4100000000000004E-2</v>
      </c>
      <c r="AT127" s="3">
        <v>2.1600000000000001E-2</v>
      </c>
      <c r="AU127" s="3">
        <v>7.1999999999999998E-3</v>
      </c>
      <c r="AV127" s="3">
        <v>4.3E-3</v>
      </c>
      <c r="AW127" s="3">
        <v>1.1999999999999999E-3</v>
      </c>
      <c r="AX127" s="3">
        <v>1E-4</v>
      </c>
      <c r="BB127" s="2"/>
      <c r="BC127" s="5" t="b">
        <f t="shared" si="212"/>
        <v>1</v>
      </c>
      <c r="BD127" s="5" t="b">
        <f t="shared" si="213"/>
        <v>1</v>
      </c>
      <c r="BE127" s="5" t="b">
        <f t="shared" si="219"/>
        <v>1</v>
      </c>
      <c r="BF127" s="5" t="b">
        <f t="shared" ref="BF127:BF134" si="222">IF(AQ127&lt;AP127,FALSE,TRUE)</f>
        <v>1</v>
      </c>
      <c r="BG127" s="6"/>
      <c r="BH127" s="5" t="b">
        <f t="shared" si="194"/>
        <v>1</v>
      </c>
      <c r="BI127" s="5" t="b">
        <f t="shared" si="195"/>
        <v>1</v>
      </c>
      <c r="BJ127" s="5" t="b">
        <f t="shared" si="196"/>
        <v>1</v>
      </c>
      <c r="BK127" s="5" t="b">
        <f t="shared" si="197"/>
        <v>1</v>
      </c>
      <c r="BL127" s="5" t="b">
        <f t="shared" si="198"/>
        <v>1</v>
      </c>
      <c r="BM127" s="5" t="b">
        <f t="shared" si="199"/>
        <v>1</v>
      </c>
      <c r="BN127" s="5" t="b">
        <f t="shared" si="200"/>
        <v>1</v>
      </c>
      <c r="BQ127" s="2"/>
      <c r="BR127" s="5" t="b">
        <f t="shared" si="214"/>
        <v>1</v>
      </c>
      <c r="BS127" s="5" t="b">
        <f t="shared" si="215"/>
        <v>1</v>
      </c>
      <c r="BT127" s="5" t="b">
        <f t="shared" si="220"/>
        <v>1</v>
      </c>
      <c r="BU127" s="5" t="b">
        <f t="shared" ref="BU127:BU134" si="223">IF(AP126&gt;=AP127, TRUE, FALSE)</f>
        <v>1</v>
      </c>
      <c r="BV127" s="6"/>
      <c r="BW127" s="5" t="b">
        <f t="shared" si="204"/>
        <v>1</v>
      </c>
      <c r="BX127" s="5" t="b">
        <f t="shared" si="205"/>
        <v>1</v>
      </c>
      <c r="BY127" s="5" t="b">
        <f t="shared" si="206"/>
        <v>1</v>
      </c>
      <c r="BZ127" s="5" t="b">
        <f t="shared" si="207"/>
        <v>1</v>
      </c>
      <c r="CA127" s="5" t="b">
        <f t="shared" si="208"/>
        <v>1</v>
      </c>
      <c r="CB127" s="5" t="b">
        <f t="shared" si="209"/>
        <v>1</v>
      </c>
      <c r="CC127" s="5" t="b">
        <f t="shared" si="210"/>
        <v>1</v>
      </c>
      <c r="CG127" s="2"/>
      <c r="CH127" s="3">
        <v>0</v>
      </c>
      <c r="CI127" s="3">
        <v>6.6000000000000008E-3</v>
      </c>
      <c r="CJ127" s="3">
        <v>3.0800000000000004E-2</v>
      </c>
      <c r="CK127" s="3">
        <v>0.17670000000000002</v>
      </c>
      <c r="CL127" s="3">
        <v>0.47380000000000005</v>
      </c>
      <c r="CM127" s="3">
        <v>0.20590000000000003</v>
      </c>
      <c r="CN127" s="3">
        <v>6.4100000000000018E-2</v>
      </c>
      <c r="CO127" s="3">
        <v>2.1600000000000005E-2</v>
      </c>
      <c r="CP127" s="3">
        <v>7.2000000000000007E-3</v>
      </c>
      <c r="CQ127" s="3">
        <v>4.3E-3</v>
      </c>
      <c r="CR127" s="3">
        <v>1.2000000000000001E-3</v>
      </c>
      <c r="CS127" s="3">
        <v>1.0000000000000002E-4</v>
      </c>
    </row>
    <row r="128" spans="3:97" x14ac:dyDescent="0.4">
      <c r="C128" s="2">
        <f t="shared" si="216"/>
        <v>5</v>
      </c>
      <c r="D128" s="5" t="b">
        <f t="shared" si="217"/>
        <v>1</v>
      </c>
      <c r="E128" s="5" t="b">
        <f t="shared" si="217"/>
        <v>1</v>
      </c>
      <c r="F128" s="5" t="b">
        <f t="shared" si="217"/>
        <v>1</v>
      </c>
      <c r="G128" s="5" t="b">
        <f t="shared" si="217"/>
        <v>1</v>
      </c>
      <c r="H128" s="5"/>
      <c r="I128" s="5" t="b">
        <f t="shared" ref="I128:O128" si="224">IF(I71&gt;=I70, TRUE, FALSE)</f>
        <v>1</v>
      </c>
      <c r="J128" s="5" t="b">
        <f t="shared" si="224"/>
        <v>1</v>
      </c>
      <c r="K128" s="5" t="b">
        <f t="shared" si="224"/>
        <v>1</v>
      </c>
      <c r="L128" s="5" t="b">
        <f t="shared" si="224"/>
        <v>1</v>
      </c>
      <c r="M128" s="5" t="b">
        <f t="shared" si="224"/>
        <v>1</v>
      </c>
      <c r="N128" s="5" t="b">
        <f t="shared" si="224"/>
        <v>1</v>
      </c>
      <c r="O128" s="5" t="b">
        <f t="shared" si="224"/>
        <v>1</v>
      </c>
      <c r="P128" s="5"/>
      <c r="AL128" s="2"/>
      <c r="AM128" s="3">
        <v>0</v>
      </c>
      <c r="AN128" s="3">
        <v>2.0999999999999999E-3</v>
      </c>
      <c r="AO128" s="3">
        <v>1.0800000000000001E-2</v>
      </c>
      <c r="AP128" s="3">
        <v>4.9099999999999998E-2</v>
      </c>
      <c r="AQ128" s="3">
        <v>0.20730000000000001</v>
      </c>
      <c r="AR128" s="3">
        <v>0.43469999999999998</v>
      </c>
      <c r="AS128" s="3">
        <v>0.1797</v>
      </c>
      <c r="AT128" s="3">
        <v>6.2100000000000002E-2</v>
      </c>
      <c r="AU128" s="3">
        <v>1.7399999999999999E-2</v>
      </c>
      <c r="AV128" s="3">
        <v>1.5599999999999999E-2</v>
      </c>
      <c r="AW128" s="3">
        <v>3.8E-3</v>
      </c>
      <c r="AX128" s="3">
        <v>1.4142135623730951E-4</v>
      </c>
      <c r="BB128" s="2"/>
      <c r="BC128" s="5" t="b">
        <f t="shared" si="212"/>
        <v>1</v>
      </c>
      <c r="BD128" s="5" t="b">
        <f t="shared" si="213"/>
        <v>1</v>
      </c>
      <c r="BE128" s="5" t="b">
        <f t="shared" si="219"/>
        <v>1</v>
      </c>
      <c r="BF128" s="5" t="b">
        <f t="shared" si="222"/>
        <v>1</v>
      </c>
      <c r="BG128" s="5" t="b">
        <f t="shared" ref="BG128:BG134" si="225">IF(AR128&lt;AQ128,FALSE,TRUE)</f>
        <v>1</v>
      </c>
      <c r="BH128" s="6"/>
      <c r="BI128" s="5" t="b">
        <f t="shared" si="195"/>
        <v>1</v>
      </c>
      <c r="BJ128" s="5" t="b">
        <f t="shared" si="196"/>
        <v>1</v>
      </c>
      <c r="BK128" s="5" t="b">
        <f t="shared" si="197"/>
        <v>1</v>
      </c>
      <c r="BL128" s="5" t="b">
        <f t="shared" si="198"/>
        <v>1</v>
      </c>
      <c r="BM128" s="5" t="b">
        <f t="shared" si="199"/>
        <v>1</v>
      </c>
      <c r="BN128" s="5" t="b">
        <f t="shared" si="200"/>
        <v>1</v>
      </c>
      <c r="BQ128" s="2"/>
      <c r="BR128" s="5" t="b">
        <f t="shared" si="214"/>
        <v>1</v>
      </c>
      <c r="BS128" s="5" t="b">
        <f t="shared" si="215"/>
        <v>1</v>
      </c>
      <c r="BT128" s="5" t="b">
        <f t="shared" si="220"/>
        <v>1</v>
      </c>
      <c r="BU128" s="5" t="b">
        <f t="shared" si="223"/>
        <v>1</v>
      </c>
      <c r="BV128" s="5" t="b">
        <f t="shared" ref="BV128:BV134" si="226">IF(AQ127&gt;=AQ128, TRUE, FALSE)</f>
        <v>1</v>
      </c>
      <c r="BW128" s="6"/>
      <c r="BX128" s="5" t="b">
        <f t="shared" si="205"/>
        <v>1</v>
      </c>
      <c r="BY128" s="5" t="b">
        <f t="shared" si="206"/>
        <v>1</v>
      </c>
      <c r="BZ128" s="5" t="b">
        <f t="shared" si="207"/>
        <v>1</v>
      </c>
      <c r="CA128" s="5" t="b">
        <f t="shared" si="208"/>
        <v>1</v>
      </c>
      <c r="CB128" s="5" t="b">
        <f t="shared" si="209"/>
        <v>1</v>
      </c>
      <c r="CC128" s="5" t="b">
        <f t="shared" si="210"/>
        <v>1</v>
      </c>
      <c r="CG128" s="2"/>
      <c r="CH128" s="3">
        <v>0</v>
      </c>
      <c r="CI128" s="3">
        <v>2.1001251755031671E-3</v>
      </c>
      <c r="CJ128" s="3">
        <v>1.0800643759730576E-2</v>
      </c>
      <c r="CK128" s="3">
        <v>4.9102926722478818E-2</v>
      </c>
      <c r="CL128" s="3">
        <v>0.20731235661038414</v>
      </c>
      <c r="CM128" s="3">
        <v>0.43472591132915567</v>
      </c>
      <c r="CN128" s="3">
        <v>0.17971071144662817</v>
      </c>
      <c r="CO128" s="3">
        <v>6.2103701618450816E-2</v>
      </c>
      <c r="CP128" s="3">
        <v>1.7401037168454817E-2</v>
      </c>
      <c r="CQ128" s="3">
        <v>1.5600929875166387E-2</v>
      </c>
      <c r="CR128" s="3">
        <v>3.800226508053351E-3</v>
      </c>
      <c r="CS128" s="3">
        <v>1.4142978599417886E-4</v>
      </c>
    </row>
    <row r="129" spans="3:97" x14ac:dyDescent="0.4">
      <c r="C129" s="2">
        <f t="shared" si="216"/>
        <v>6</v>
      </c>
      <c r="D129" s="5" t="b">
        <f t="shared" si="217"/>
        <v>1</v>
      </c>
      <c r="E129" s="5" t="b">
        <f t="shared" si="217"/>
        <v>1</v>
      </c>
      <c r="F129" s="5" t="b">
        <f t="shared" si="217"/>
        <v>1</v>
      </c>
      <c r="G129" s="5" t="b">
        <f t="shared" si="217"/>
        <v>1</v>
      </c>
      <c r="H129" s="5" t="b">
        <f t="shared" si="217"/>
        <v>1</v>
      </c>
      <c r="I129" s="5"/>
      <c r="J129" s="5" t="b">
        <f t="shared" ref="J129:O129" si="227">IF(J72&gt;=J71, TRUE, FALSE)</f>
        <v>1</v>
      </c>
      <c r="K129" s="5" t="b">
        <f t="shared" si="227"/>
        <v>1</v>
      </c>
      <c r="L129" s="5" t="b">
        <f t="shared" si="227"/>
        <v>1</v>
      </c>
      <c r="M129" s="5" t="b">
        <f t="shared" si="227"/>
        <v>1</v>
      </c>
      <c r="N129" s="5" t="b">
        <f t="shared" si="227"/>
        <v>1</v>
      </c>
      <c r="O129" s="5" t="b">
        <f t="shared" si="227"/>
        <v>1</v>
      </c>
      <c r="P129" s="5"/>
      <c r="AL129" s="2"/>
      <c r="AM129" s="3">
        <v>0</v>
      </c>
      <c r="AN129" s="3">
        <v>1.897564207580674E-3</v>
      </c>
      <c r="AO129" s="3">
        <v>8.7718719053578136E-3</v>
      </c>
      <c r="AP129" s="3">
        <v>1.1900000000000001E-2</v>
      </c>
      <c r="AQ129" s="3">
        <v>5.9400000000000001E-2</v>
      </c>
      <c r="AR129" s="3">
        <v>0.24210000000000001</v>
      </c>
      <c r="AS129" s="3">
        <v>0.36580000000000001</v>
      </c>
      <c r="AT129" s="3">
        <v>0.1741</v>
      </c>
      <c r="AU129" s="3">
        <v>6.4199999999999993E-2</v>
      </c>
      <c r="AV129" s="3">
        <v>3.3500000000000002E-2</v>
      </c>
      <c r="AW129" s="3">
        <v>1.12E-2</v>
      </c>
      <c r="AX129" s="3">
        <v>2.0000000000000001E-4</v>
      </c>
      <c r="BB129" s="2"/>
      <c r="BC129" s="5" t="b">
        <f t="shared" si="212"/>
        <v>1</v>
      </c>
      <c r="BD129" s="5" t="b">
        <f t="shared" si="213"/>
        <v>1</v>
      </c>
      <c r="BE129" s="5" t="b">
        <f t="shared" si="219"/>
        <v>1</v>
      </c>
      <c r="BF129" s="5" t="b">
        <f t="shared" si="222"/>
        <v>1</v>
      </c>
      <c r="BG129" s="5" t="b">
        <f t="shared" si="225"/>
        <v>1</v>
      </c>
      <c r="BH129" s="5" t="b">
        <f t="shared" ref="BH129:BH134" si="228">IF(AS129&lt;AR129,FALSE,TRUE)</f>
        <v>1</v>
      </c>
      <c r="BI129" s="6"/>
      <c r="BJ129" s="5" t="b">
        <f t="shared" si="196"/>
        <v>1</v>
      </c>
      <c r="BK129" s="5" t="b">
        <f t="shared" si="197"/>
        <v>1</v>
      </c>
      <c r="BL129" s="5" t="b">
        <f t="shared" si="198"/>
        <v>1</v>
      </c>
      <c r="BM129" s="5" t="b">
        <f t="shared" si="199"/>
        <v>1</v>
      </c>
      <c r="BN129" s="5" t="b">
        <f t="shared" si="200"/>
        <v>1</v>
      </c>
      <c r="BQ129" s="2"/>
      <c r="BR129" s="5" t="b">
        <f t="shared" si="214"/>
        <v>1</v>
      </c>
      <c r="BS129" s="5" t="b">
        <f t="shared" si="215"/>
        <v>1</v>
      </c>
      <c r="BT129" s="5" t="b">
        <f t="shared" si="220"/>
        <v>1</v>
      </c>
      <c r="BU129" s="5" t="b">
        <f t="shared" si="223"/>
        <v>1</v>
      </c>
      <c r="BV129" s="5" t="b">
        <f t="shared" si="226"/>
        <v>1</v>
      </c>
      <c r="BW129" s="5" t="b">
        <f t="shared" ref="BW129:BW134" si="229">IF(AR128&gt;=AR129, TRUE, FALSE)</f>
        <v>1</v>
      </c>
      <c r="BX129" s="6"/>
      <c r="BY129" s="5" t="b">
        <f t="shared" si="206"/>
        <v>1</v>
      </c>
      <c r="BZ129" s="5" t="b">
        <f t="shared" si="207"/>
        <v>1</v>
      </c>
      <c r="CA129" s="5" t="b">
        <f t="shared" si="208"/>
        <v>1</v>
      </c>
      <c r="CB129" s="5" t="b">
        <f t="shared" si="209"/>
        <v>1</v>
      </c>
      <c r="CC129" s="5" t="b">
        <f t="shared" si="210"/>
        <v>1</v>
      </c>
      <c r="CG129" s="2"/>
      <c r="CH129" s="3">
        <v>0</v>
      </c>
      <c r="CI129" s="3">
        <v>1.8849482832123364E-3</v>
      </c>
      <c r="CJ129" s="3">
        <v>8.7135522595273122E-3</v>
      </c>
      <c r="CK129" s="3">
        <v>1.1820883046073772E-2</v>
      </c>
      <c r="CL129" s="3">
        <v>5.9005080078721184E-2</v>
      </c>
      <c r="CM129" s="3">
        <v>0.24049040213903028</v>
      </c>
      <c r="CN129" s="3">
        <v>0.36336798472720894</v>
      </c>
      <c r="CO129" s="3">
        <v>0.17294249901860873</v>
      </c>
      <c r="CP129" s="3">
        <v>6.377316735780976E-2</v>
      </c>
      <c r="CQ129" s="3">
        <v>3.3277275801972386E-2</v>
      </c>
      <c r="CR129" s="3">
        <v>1.1125536984540019E-2</v>
      </c>
      <c r="CS129" s="3">
        <v>1.9867030329535752E-4</v>
      </c>
    </row>
    <row r="130" spans="3:97" x14ac:dyDescent="0.4">
      <c r="C130" s="2">
        <f t="shared" si="216"/>
        <v>7</v>
      </c>
      <c r="D130" s="5" t="b">
        <f t="shared" si="217"/>
        <v>1</v>
      </c>
      <c r="E130" s="5" t="b">
        <f t="shared" si="217"/>
        <v>1</v>
      </c>
      <c r="F130" s="5" t="b">
        <f t="shared" si="217"/>
        <v>1</v>
      </c>
      <c r="G130" s="5" t="b">
        <f t="shared" si="217"/>
        <v>1</v>
      </c>
      <c r="H130" s="5" t="b">
        <f t="shared" si="217"/>
        <v>1</v>
      </c>
      <c r="I130" s="5" t="b">
        <f t="shared" si="217"/>
        <v>1</v>
      </c>
      <c r="J130" s="5"/>
      <c r="K130" s="5" t="b">
        <f t="shared" ref="K130:O130" si="230">IF(K73&gt;=K72, TRUE, FALSE)</f>
        <v>1</v>
      </c>
      <c r="L130" s="5" t="b">
        <f t="shared" si="230"/>
        <v>1</v>
      </c>
      <c r="M130" s="5" t="b">
        <f t="shared" si="230"/>
        <v>1</v>
      </c>
      <c r="N130" s="5" t="b">
        <f t="shared" si="230"/>
        <v>1</v>
      </c>
      <c r="O130" s="5" t="b">
        <f t="shared" si="230"/>
        <v>1</v>
      </c>
      <c r="P130" s="5"/>
      <c r="AL130" s="2"/>
      <c r="AM130" s="3">
        <v>0</v>
      </c>
      <c r="AN130" s="3">
        <v>1.7146428199482245E-3</v>
      </c>
      <c r="AO130" s="3">
        <v>7.1246052522227505E-3</v>
      </c>
      <c r="AP130" s="3">
        <v>7.6E-3</v>
      </c>
      <c r="AQ130" s="3">
        <v>2.29E-2</v>
      </c>
      <c r="AR130" s="3">
        <v>8.0399999999999999E-2</v>
      </c>
      <c r="AS130" s="3">
        <v>0.22700000000000001</v>
      </c>
      <c r="AT130" s="3">
        <v>0.34599999999999997</v>
      </c>
      <c r="AU130" s="3">
        <v>0.16639999999999999</v>
      </c>
      <c r="AV130" s="3">
        <v>6.4699999999999994E-2</v>
      </c>
      <c r="AW130" s="3">
        <v>2.4799999999999999E-2</v>
      </c>
      <c r="AX130" s="3">
        <v>5.0000000000000001E-4</v>
      </c>
      <c r="BB130" s="2"/>
      <c r="BC130" s="5" t="b">
        <f t="shared" si="212"/>
        <v>1</v>
      </c>
      <c r="BD130" s="5" t="b">
        <f t="shared" si="213"/>
        <v>1</v>
      </c>
      <c r="BE130" s="5" t="b">
        <f t="shared" si="219"/>
        <v>1</v>
      </c>
      <c r="BF130" s="5" t="b">
        <f t="shared" si="222"/>
        <v>1</v>
      </c>
      <c r="BG130" s="5" t="b">
        <f t="shared" si="225"/>
        <v>1</v>
      </c>
      <c r="BH130" s="5" t="b">
        <f t="shared" si="228"/>
        <v>1</v>
      </c>
      <c r="BI130" s="5" t="b">
        <f t="shared" ref="BI130:BI134" si="231">IF(AT130&lt;AS130,FALSE,TRUE)</f>
        <v>1</v>
      </c>
      <c r="BJ130" s="6"/>
      <c r="BK130" s="5" t="b">
        <f t="shared" si="197"/>
        <v>1</v>
      </c>
      <c r="BL130" s="5" t="b">
        <f t="shared" si="198"/>
        <v>1</v>
      </c>
      <c r="BM130" s="5" t="b">
        <f t="shared" si="199"/>
        <v>1</v>
      </c>
      <c r="BN130" s="5" t="b">
        <f t="shared" si="200"/>
        <v>1</v>
      </c>
      <c r="BQ130" s="2"/>
      <c r="BR130" s="5" t="b">
        <f t="shared" si="214"/>
        <v>1</v>
      </c>
      <c r="BS130" s="5" t="b">
        <f t="shared" si="215"/>
        <v>1</v>
      </c>
      <c r="BT130" s="5" t="b">
        <f t="shared" si="220"/>
        <v>1</v>
      </c>
      <c r="BU130" s="5" t="b">
        <f t="shared" si="223"/>
        <v>1</v>
      </c>
      <c r="BV130" s="5" t="b">
        <f t="shared" si="226"/>
        <v>1</v>
      </c>
      <c r="BW130" s="5" t="b">
        <f t="shared" si="229"/>
        <v>1</v>
      </c>
      <c r="BX130" s="5" t="b">
        <f t="shared" ref="BX130:BX134" si="232">IF(AS129&gt;=AS130, TRUE, FALSE)</f>
        <v>1</v>
      </c>
      <c r="BY130" s="6"/>
      <c r="BZ130" s="5" t="b">
        <f t="shared" si="207"/>
        <v>1</v>
      </c>
      <c r="CA130" s="5" t="b">
        <f t="shared" si="208"/>
        <v>1</v>
      </c>
      <c r="CB130" s="5" t="b">
        <f t="shared" si="209"/>
        <v>1</v>
      </c>
      <c r="CC130" s="5" t="b">
        <f t="shared" si="210"/>
        <v>1</v>
      </c>
      <c r="CG130" s="2"/>
      <c r="CH130" s="3">
        <v>0</v>
      </c>
      <c r="CI130" s="3">
        <v>1.7015649446480681E-3</v>
      </c>
      <c r="CJ130" s="3">
        <v>7.0702646642195758E-3</v>
      </c>
      <c r="CK130" s="3">
        <v>7.5420334946002393E-3</v>
      </c>
      <c r="CL130" s="3">
        <v>2.2725337766624408E-2</v>
      </c>
      <c r="CM130" s="3">
        <v>7.9786775390244632E-2</v>
      </c>
      <c r="CN130" s="3">
        <v>0.22526863200977035</v>
      </c>
      <c r="CO130" s="3">
        <v>0.34336099856995828</v>
      </c>
      <c r="CP130" s="3">
        <v>0.16513083861861577</v>
      </c>
      <c r="CQ130" s="3">
        <v>6.4206521986925724E-2</v>
      </c>
      <c r="CR130" s="3">
        <v>2.4610846140274464E-2</v>
      </c>
      <c r="CS130" s="3">
        <v>4.9618641411843683E-4</v>
      </c>
    </row>
    <row r="131" spans="3:97" x14ac:dyDescent="0.4">
      <c r="C131" s="2">
        <f t="shared" si="216"/>
        <v>8</v>
      </c>
      <c r="D131" s="5" t="b">
        <f t="shared" si="217"/>
        <v>1</v>
      </c>
      <c r="E131" s="5" t="b">
        <f t="shared" si="217"/>
        <v>1</v>
      </c>
      <c r="F131" s="5" t="b">
        <f t="shared" si="217"/>
        <v>1</v>
      </c>
      <c r="G131" s="5" t="b">
        <f t="shared" si="217"/>
        <v>1</v>
      </c>
      <c r="H131" s="5" t="b">
        <f t="shared" si="217"/>
        <v>1</v>
      </c>
      <c r="I131" s="5" t="b">
        <f t="shared" si="217"/>
        <v>1</v>
      </c>
      <c r="J131" s="5" t="b">
        <f t="shared" si="217"/>
        <v>1</v>
      </c>
      <c r="K131" s="5"/>
      <c r="L131" s="5" t="b">
        <f t="shared" ref="L131:O131" si="233">IF(L74&gt;=L73, TRUE, FALSE)</f>
        <v>1</v>
      </c>
      <c r="M131" s="5" t="b">
        <f t="shared" si="233"/>
        <v>1</v>
      </c>
      <c r="N131" s="5" t="b">
        <f t="shared" si="233"/>
        <v>1</v>
      </c>
      <c r="O131" s="5" t="b">
        <f t="shared" si="233"/>
        <v>1</v>
      </c>
      <c r="P131" s="5"/>
      <c r="AL131" s="2"/>
      <c r="AM131" s="3">
        <v>0</v>
      </c>
      <c r="AN131" s="3">
        <v>1.5493546875804502E-3</v>
      </c>
      <c r="AO131" s="3">
        <v>5.7866782082164319E-3</v>
      </c>
      <c r="AP131" s="3">
        <v>7.1638751223794903E-3</v>
      </c>
      <c r="AQ131" s="3">
        <v>1.9379370474811614E-2</v>
      </c>
      <c r="AR131" s="3">
        <v>5.9206756371211554E-2</v>
      </c>
      <c r="AS131" s="3">
        <v>0.1023</v>
      </c>
      <c r="AT131" s="3">
        <v>0.19339999999999999</v>
      </c>
      <c r="AU131" s="3">
        <v>0.34399999999999997</v>
      </c>
      <c r="AV131" s="3">
        <v>0.15659999999999999</v>
      </c>
      <c r="AW131" s="3">
        <v>6.8599999999999994E-2</v>
      </c>
      <c r="AX131" s="3">
        <v>1.1000000000000001E-3</v>
      </c>
      <c r="BB131" s="2"/>
      <c r="BC131" s="5" t="b">
        <f t="shared" si="212"/>
        <v>1</v>
      </c>
      <c r="BD131" s="5" t="b">
        <f t="shared" si="213"/>
        <v>1</v>
      </c>
      <c r="BE131" s="5" t="b">
        <f t="shared" si="219"/>
        <v>1</v>
      </c>
      <c r="BF131" s="5" t="b">
        <f t="shared" si="222"/>
        <v>1</v>
      </c>
      <c r="BG131" s="5" t="b">
        <f t="shared" si="225"/>
        <v>1</v>
      </c>
      <c r="BH131" s="5" t="b">
        <f t="shared" si="228"/>
        <v>1</v>
      </c>
      <c r="BI131" s="5" t="b">
        <f t="shared" si="231"/>
        <v>1</v>
      </c>
      <c r="BJ131" s="5" t="b">
        <f t="shared" ref="BJ131:BJ134" si="234">IF(AU131&lt;AT131,FALSE,TRUE)</f>
        <v>1</v>
      </c>
      <c r="BK131" s="6"/>
      <c r="BL131" s="5" t="b">
        <f t="shared" si="198"/>
        <v>1</v>
      </c>
      <c r="BM131" s="5" t="b">
        <f t="shared" si="199"/>
        <v>1</v>
      </c>
      <c r="BN131" s="5" t="b">
        <f t="shared" si="200"/>
        <v>1</v>
      </c>
      <c r="BQ131" s="2"/>
      <c r="BR131" s="5" t="b">
        <f t="shared" si="214"/>
        <v>1</v>
      </c>
      <c r="BS131" s="5" t="b">
        <f t="shared" si="215"/>
        <v>1</v>
      </c>
      <c r="BT131" s="5" t="b">
        <f t="shared" si="220"/>
        <v>1</v>
      </c>
      <c r="BU131" s="5" t="b">
        <f t="shared" si="223"/>
        <v>1</v>
      </c>
      <c r="BV131" s="5" t="b">
        <f t="shared" si="226"/>
        <v>1</v>
      </c>
      <c r="BW131" s="5" t="b">
        <f t="shared" si="229"/>
        <v>1</v>
      </c>
      <c r="BX131" s="5" t="b">
        <f t="shared" si="232"/>
        <v>1</v>
      </c>
      <c r="BY131" s="5" t="b">
        <f t="shared" ref="BY131:BY134" si="235">IF(AT130&gt;=AT131, TRUE, FALSE)</f>
        <v>1</v>
      </c>
      <c r="BZ131" s="6"/>
      <c r="CA131" s="5" t="b">
        <f t="shared" si="208"/>
        <v>1</v>
      </c>
      <c r="CB131" s="5" t="b">
        <f t="shared" si="209"/>
        <v>1</v>
      </c>
      <c r="CC131" s="5" t="b">
        <f t="shared" si="210"/>
        <v>1</v>
      </c>
      <c r="CG131" s="2"/>
      <c r="CH131" s="3">
        <v>0</v>
      </c>
      <c r="CI131" s="3">
        <v>1.4703817857543973E-3</v>
      </c>
      <c r="CJ131" s="3">
        <v>5.4917226543334833E-3</v>
      </c>
      <c r="CK131" s="3">
        <v>6.7987218032145389E-3</v>
      </c>
      <c r="CL131" s="3">
        <v>1.8391575275800067E-2</v>
      </c>
      <c r="CM131" s="3">
        <v>5.6188900359400232E-2</v>
      </c>
      <c r="CN131" s="3">
        <v>9.7085617572551033E-2</v>
      </c>
      <c r="CO131" s="3">
        <v>0.18354211572366927</v>
      </c>
      <c r="CP131" s="3">
        <v>0.32646581080114906</v>
      </c>
      <c r="CQ131" s="3">
        <v>0.14861786619610448</v>
      </c>
      <c r="CR131" s="3">
        <v>6.5103356456275657E-2</v>
      </c>
      <c r="CS131" s="3">
        <v>1.0439313717478607E-3</v>
      </c>
    </row>
    <row r="132" spans="3:97" x14ac:dyDescent="0.4">
      <c r="C132" s="2">
        <f t="shared" si="216"/>
        <v>9</v>
      </c>
      <c r="D132" s="5" t="b">
        <f t="shared" si="217"/>
        <v>1</v>
      </c>
      <c r="E132" s="5" t="b">
        <f t="shared" si="217"/>
        <v>1</v>
      </c>
      <c r="F132" s="5" t="b">
        <f t="shared" si="217"/>
        <v>1</v>
      </c>
      <c r="G132" s="5" t="b">
        <f t="shared" si="217"/>
        <v>1</v>
      </c>
      <c r="H132" s="5" t="b">
        <f t="shared" si="217"/>
        <v>1</v>
      </c>
      <c r="I132" s="5" t="b">
        <f t="shared" si="217"/>
        <v>1</v>
      </c>
      <c r="J132" s="5" t="b">
        <f t="shared" si="217"/>
        <v>1</v>
      </c>
      <c r="K132" s="5" t="b">
        <f t="shared" si="217"/>
        <v>1</v>
      </c>
      <c r="L132" s="5"/>
      <c r="M132" s="5" t="b">
        <f t="shared" ref="M132:O132" si="236">IF(M75&gt;=M74, TRUE, FALSE)</f>
        <v>1</v>
      </c>
      <c r="N132" s="5" t="b">
        <f t="shared" si="236"/>
        <v>1</v>
      </c>
      <c r="O132" s="5" t="b">
        <f t="shared" si="236"/>
        <v>1</v>
      </c>
      <c r="P132" s="5"/>
      <c r="AL132" s="2"/>
      <c r="AM132" s="3">
        <v>0</v>
      </c>
      <c r="AN132" s="3">
        <v>1.4E-3</v>
      </c>
      <c r="AO132" s="3">
        <v>4.7000000000000002E-3</v>
      </c>
      <c r="AP132" s="3">
        <v>6.7527772064536534E-3</v>
      </c>
      <c r="AQ132" s="3">
        <v>1.6400000000000001E-2</v>
      </c>
      <c r="AR132" s="3">
        <v>4.36E-2</v>
      </c>
      <c r="AS132" s="3">
        <v>6.0499999999999998E-2</v>
      </c>
      <c r="AT132" s="3">
        <v>7.2700000000000001E-2</v>
      </c>
      <c r="AU132" s="3">
        <v>0.1341</v>
      </c>
      <c r="AV132" s="3">
        <v>0.39989999999999998</v>
      </c>
      <c r="AW132" s="3">
        <v>0.1177</v>
      </c>
      <c r="AX132" s="3">
        <v>2.3E-3</v>
      </c>
      <c r="BB132" s="2"/>
      <c r="BC132" s="5" t="b">
        <f t="shared" si="212"/>
        <v>1</v>
      </c>
      <c r="BD132" s="5" t="b">
        <f t="shared" si="213"/>
        <v>1</v>
      </c>
      <c r="BE132" s="5" t="b">
        <f t="shared" si="219"/>
        <v>1</v>
      </c>
      <c r="BF132" s="5" t="b">
        <f t="shared" si="222"/>
        <v>1</v>
      </c>
      <c r="BG132" s="5" t="b">
        <f t="shared" si="225"/>
        <v>1</v>
      </c>
      <c r="BH132" s="5" t="b">
        <f t="shared" si="228"/>
        <v>1</v>
      </c>
      <c r="BI132" s="5" t="b">
        <f t="shared" si="231"/>
        <v>1</v>
      </c>
      <c r="BJ132" s="5" t="b">
        <f t="shared" si="234"/>
        <v>1</v>
      </c>
      <c r="BK132" s="5" t="b">
        <f t="shared" ref="BK132:BK134" si="237">IF(AV132&lt;AU132,FALSE,TRUE)</f>
        <v>1</v>
      </c>
      <c r="BL132" s="6"/>
      <c r="BM132" s="5" t="b">
        <f t="shared" si="199"/>
        <v>1</v>
      </c>
      <c r="BN132" s="5" t="b">
        <f t="shared" si="200"/>
        <v>1</v>
      </c>
      <c r="BQ132" s="2"/>
      <c r="BR132" s="5" t="b">
        <f t="shared" si="214"/>
        <v>1</v>
      </c>
      <c r="BS132" s="5" t="b">
        <f t="shared" si="215"/>
        <v>1</v>
      </c>
      <c r="BT132" s="5" t="b">
        <f t="shared" si="220"/>
        <v>1</v>
      </c>
      <c r="BU132" s="5" t="b">
        <f t="shared" si="223"/>
        <v>1</v>
      </c>
      <c r="BV132" s="5" t="b">
        <f t="shared" si="226"/>
        <v>1</v>
      </c>
      <c r="BW132" s="5" t="b">
        <f t="shared" si="229"/>
        <v>1</v>
      </c>
      <c r="BX132" s="5" t="b">
        <f t="shared" si="232"/>
        <v>1</v>
      </c>
      <c r="BY132" s="5" t="b">
        <f t="shared" si="235"/>
        <v>1</v>
      </c>
      <c r="BZ132" s="5" t="b">
        <f t="shared" ref="BZ132:BZ134" si="238">IF(AU131&gt;=AU132, TRUE, FALSE)</f>
        <v>1</v>
      </c>
      <c r="CA132" s="6"/>
      <c r="CB132" s="5" t="b">
        <f t="shared" si="209"/>
        <v>1</v>
      </c>
      <c r="CC132" s="5" t="b">
        <f t="shared" si="210"/>
        <v>1</v>
      </c>
      <c r="CG132" s="2"/>
      <c r="CH132" s="3">
        <v>0</v>
      </c>
      <c r="CI132" s="3">
        <v>1.3973095975615001E-3</v>
      </c>
      <c r="CJ132" s="3">
        <v>4.6909679346707495E-3</v>
      </c>
      <c r="CK132" s="3">
        <v>6.7398002862658745E-3</v>
      </c>
      <c r="CL132" s="3">
        <v>1.6368483857149001E-2</v>
      </c>
      <c r="CM132" s="3">
        <v>4.3516213181200997E-2</v>
      </c>
      <c r="CN132" s="3">
        <v>6.0383736180336246E-2</v>
      </c>
      <c r="CO132" s="3">
        <v>7.2560291244800748E-2</v>
      </c>
      <c r="CP132" s="3">
        <v>0.13384229788071225</v>
      </c>
      <c r="CQ132" s="3">
        <v>0.39913150576060274</v>
      </c>
      <c r="CR132" s="3">
        <v>0.11747381402356324</v>
      </c>
      <c r="CS132" s="3">
        <v>2.29558005313675E-3</v>
      </c>
    </row>
    <row r="133" spans="3:97" x14ac:dyDescent="0.4">
      <c r="C133" s="2">
        <f t="shared" si="216"/>
        <v>10</v>
      </c>
      <c r="D133" s="5" t="b">
        <f t="shared" si="217"/>
        <v>1</v>
      </c>
      <c r="E133" s="5" t="b">
        <f t="shared" si="217"/>
        <v>1</v>
      </c>
      <c r="F133" s="5" t="b">
        <f t="shared" si="217"/>
        <v>1</v>
      </c>
      <c r="G133" s="5" t="b">
        <f t="shared" si="217"/>
        <v>1</v>
      </c>
      <c r="H133" s="5" t="b">
        <f t="shared" si="217"/>
        <v>1</v>
      </c>
      <c r="I133" s="5" t="b">
        <f t="shared" si="217"/>
        <v>1</v>
      </c>
      <c r="J133" s="5" t="b">
        <f t="shared" si="217"/>
        <v>1</v>
      </c>
      <c r="K133" s="5" t="b">
        <f t="shared" si="217"/>
        <v>1</v>
      </c>
      <c r="L133" s="5" t="b">
        <f t="shared" si="217"/>
        <v>1</v>
      </c>
      <c r="M133" s="5"/>
      <c r="N133" s="5" t="b">
        <f t="shared" ref="N133:O133" si="239">IF(N76&gt;=N75, TRUE, FALSE)</f>
        <v>1</v>
      </c>
      <c r="O133" s="5" t="b">
        <f t="shared" si="239"/>
        <v>1</v>
      </c>
      <c r="P133" s="5"/>
      <c r="AL133" s="2"/>
      <c r="AM133" s="3">
        <v>0</v>
      </c>
      <c r="AN133" s="3">
        <v>1.2999999999999999E-3</v>
      </c>
      <c r="AO133" s="3">
        <v>2.2343106042047056E-3</v>
      </c>
      <c r="AP133" s="3">
        <v>6.3652700837216573E-3</v>
      </c>
      <c r="AQ133" s="3">
        <v>6.6E-3</v>
      </c>
      <c r="AR133" s="3">
        <v>2.0045406624063851E-2</v>
      </c>
      <c r="AS133" s="3">
        <v>2.5952372966041956E-2</v>
      </c>
      <c r="AT133" s="3">
        <v>3.3599999999999998E-2</v>
      </c>
      <c r="AU133" s="3">
        <v>6.0600000000000001E-2</v>
      </c>
      <c r="AV133" s="3">
        <v>8.6999999999999994E-2</v>
      </c>
      <c r="AW133" s="3">
        <v>0.46529999999999999</v>
      </c>
      <c r="AX133" s="3">
        <v>1.5800000000000002E-2</v>
      </c>
      <c r="BB133" s="2"/>
      <c r="BC133" s="5" t="b">
        <f t="shared" si="212"/>
        <v>1</v>
      </c>
      <c r="BD133" s="5" t="b">
        <f t="shared" si="213"/>
        <v>1</v>
      </c>
      <c r="BE133" s="5" t="b">
        <f t="shared" si="219"/>
        <v>1</v>
      </c>
      <c r="BF133" s="5" t="b">
        <f t="shared" si="222"/>
        <v>1</v>
      </c>
      <c r="BG133" s="5" t="b">
        <f t="shared" si="225"/>
        <v>1</v>
      </c>
      <c r="BH133" s="5" t="b">
        <f t="shared" si="228"/>
        <v>1</v>
      </c>
      <c r="BI133" s="5" t="b">
        <f t="shared" si="231"/>
        <v>1</v>
      </c>
      <c r="BJ133" s="5" t="b">
        <f t="shared" si="234"/>
        <v>1</v>
      </c>
      <c r="BK133" s="5" t="b">
        <f t="shared" si="237"/>
        <v>1</v>
      </c>
      <c r="BL133" s="5" t="b">
        <f t="shared" ref="BL133:BL134" si="240">IF(AW133&lt;AV133,FALSE,TRUE)</f>
        <v>1</v>
      </c>
      <c r="BM133" s="6"/>
      <c r="BN133" s="5" t="b">
        <f>IF(AX133&gt;AW133,FALSE,TRUE)</f>
        <v>1</v>
      </c>
      <c r="BQ133" s="2"/>
      <c r="BR133" s="5" t="b">
        <f t="shared" si="214"/>
        <v>1</v>
      </c>
      <c r="BS133" s="5" t="b">
        <f t="shared" si="215"/>
        <v>1</v>
      </c>
      <c r="BT133" s="5" t="b">
        <f t="shared" si="220"/>
        <v>1</v>
      </c>
      <c r="BU133" s="5" t="b">
        <f t="shared" si="223"/>
        <v>1</v>
      </c>
      <c r="BV133" s="5" t="b">
        <f t="shared" si="226"/>
        <v>1</v>
      </c>
      <c r="BW133" s="5" t="b">
        <f t="shared" si="229"/>
        <v>1</v>
      </c>
      <c r="BX133" s="5" t="b">
        <f t="shared" si="232"/>
        <v>1</v>
      </c>
      <c r="BY133" s="5" t="b">
        <f t="shared" si="235"/>
        <v>1</v>
      </c>
      <c r="BZ133" s="5" t="b">
        <f t="shared" si="238"/>
        <v>1</v>
      </c>
      <c r="CA133" s="5" t="b">
        <f t="shared" ref="CA133:CA134" si="241">IF(AV132&gt;=AV133, TRUE, FALSE)</f>
        <v>1</v>
      </c>
      <c r="CB133" s="6"/>
      <c r="CC133" s="5" t="b">
        <f t="shared" si="210"/>
        <v>1</v>
      </c>
      <c r="CG133" s="2"/>
      <c r="CH133" s="3">
        <v>0</v>
      </c>
      <c r="CI133" s="3">
        <v>1.2542678130771242E-3</v>
      </c>
      <c r="CJ133" s="3">
        <v>2.1557106732852803E-3</v>
      </c>
      <c r="CK133" s="3">
        <v>6.1413487596575448E-3</v>
      </c>
      <c r="CL133" s="3">
        <v>6.3678212048530929E-3</v>
      </c>
      <c r="CM133" s="3">
        <v>1.9340237175850976E-2</v>
      </c>
      <c r="CN133" s="3">
        <v>2.5039404680214868E-2</v>
      </c>
      <c r="CO133" s="3">
        <v>3.2417998861070288E-2</v>
      </c>
      <c r="CP133" s="3">
        <v>5.8468176517287494E-2</v>
      </c>
      <c r="CQ133" s="3">
        <v>8.3939461336699855E-2</v>
      </c>
      <c r="CR133" s="3">
        <v>0.44893139494214307</v>
      </c>
      <c r="CS133" s="3">
        <v>1.5244178035860437E-2</v>
      </c>
    </row>
    <row r="134" spans="3:97" x14ac:dyDescent="0.4">
      <c r="C134" s="2">
        <f t="shared" si="216"/>
        <v>11</v>
      </c>
      <c r="D134" s="5" t="b">
        <f t="shared" si="217"/>
        <v>1</v>
      </c>
      <c r="E134" s="5" t="b">
        <f t="shared" si="217"/>
        <v>1</v>
      </c>
      <c r="F134" s="5" t="b">
        <f t="shared" si="217"/>
        <v>1</v>
      </c>
      <c r="G134" s="5" t="b">
        <f t="shared" si="217"/>
        <v>1</v>
      </c>
      <c r="H134" s="5" t="b">
        <f t="shared" si="217"/>
        <v>1</v>
      </c>
      <c r="I134" s="5" t="b">
        <f t="shared" si="217"/>
        <v>1</v>
      </c>
      <c r="J134" s="5" t="b">
        <f t="shared" si="217"/>
        <v>1</v>
      </c>
      <c r="K134" s="5" t="b">
        <f t="shared" si="217"/>
        <v>1</v>
      </c>
      <c r="L134" s="5" t="b">
        <f t="shared" si="217"/>
        <v>1</v>
      </c>
      <c r="M134" s="5" t="b">
        <f t="shared" si="217"/>
        <v>1</v>
      </c>
      <c r="N134" s="5"/>
      <c r="O134" s="5" t="b">
        <f t="shared" ref="O134" si="242">IF(O77&gt;=O76, TRUE, FALSE)</f>
        <v>1</v>
      </c>
      <c r="P134" s="5"/>
      <c r="AL134" s="2"/>
      <c r="AM134" s="3">
        <v>0</v>
      </c>
      <c r="AN134" s="3">
        <v>0</v>
      </c>
      <c r="AO134" s="3">
        <v>0</v>
      </c>
      <c r="AP134" s="3">
        <v>6.0000000000000001E-3</v>
      </c>
      <c r="AQ134" s="3">
        <v>6.0000000000000019E-3</v>
      </c>
      <c r="AR134" s="3">
        <v>9.2160166679830947E-3</v>
      </c>
      <c r="AS134" s="3">
        <v>1.415582720409036E-2</v>
      </c>
      <c r="AT134" s="3">
        <v>2.1743389910330861E-2</v>
      </c>
      <c r="AU134" s="3">
        <v>0.03</v>
      </c>
      <c r="AV134" s="3">
        <v>5.5317266743757323E-2</v>
      </c>
      <c r="AW134" s="3">
        <v>0.10199999999999999</v>
      </c>
      <c r="AX134" s="3">
        <v>0.12</v>
      </c>
      <c r="BB134" s="2"/>
      <c r="BC134" s="5" t="b">
        <f t="shared" si="212"/>
        <v>1</v>
      </c>
      <c r="BD134" s="5" t="b">
        <f t="shared" si="213"/>
        <v>1</v>
      </c>
      <c r="BE134" s="5" t="b">
        <f t="shared" si="219"/>
        <v>1</v>
      </c>
      <c r="BF134" s="5" t="b">
        <f t="shared" si="222"/>
        <v>1</v>
      </c>
      <c r="BG134" s="5" t="b">
        <f t="shared" si="225"/>
        <v>1</v>
      </c>
      <c r="BH134" s="5" t="b">
        <f t="shared" si="228"/>
        <v>1</v>
      </c>
      <c r="BI134" s="5" t="b">
        <f t="shared" si="231"/>
        <v>1</v>
      </c>
      <c r="BJ134" s="5" t="b">
        <f t="shared" si="234"/>
        <v>1</v>
      </c>
      <c r="BK134" s="5" t="b">
        <f t="shared" si="237"/>
        <v>1</v>
      </c>
      <c r="BL134" s="5" t="b">
        <f t="shared" si="240"/>
        <v>1</v>
      </c>
      <c r="BM134" s="5" t="b">
        <f t="shared" ref="BM134" si="243">IF(AX134&lt;AW134,FALSE,TRUE)</f>
        <v>1</v>
      </c>
      <c r="BN134" s="6"/>
      <c r="BQ134" s="2"/>
      <c r="BR134" s="5" t="b">
        <f t="shared" si="214"/>
        <v>1</v>
      </c>
      <c r="BS134" s="5" t="b">
        <f t="shared" si="215"/>
        <v>1</v>
      </c>
      <c r="BT134" s="5" t="b">
        <f t="shared" si="220"/>
        <v>1</v>
      </c>
      <c r="BU134" s="5" t="b">
        <f t="shared" si="223"/>
        <v>1</v>
      </c>
      <c r="BV134" s="5" t="b">
        <f t="shared" si="226"/>
        <v>1</v>
      </c>
      <c r="BW134" s="5" t="b">
        <f t="shared" si="229"/>
        <v>1</v>
      </c>
      <c r="BX134" s="5" t="b">
        <f t="shared" si="232"/>
        <v>1</v>
      </c>
      <c r="BY134" s="5" t="b">
        <f t="shared" si="235"/>
        <v>1</v>
      </c>
      <c r="BZ134" s="5" t="b">
        <f t="shared" si="238"/>
        <v>1</v>
      </c>
      <c r="CA134" s="5" t="b">
        <f t="shared" si="241"/>
        <v>1</v>
      </c>
      <c r="CB134" s="5" t="b">
        <f>IF(AW133&gt;=AW134, TRUE, FALSE)</f>
        <v>1</v>
      </c>
      <c r="CC134" s="6"/>
      <c r="CG134" s="2"/>
      <c r="CH134" s="3">
        <v>0</v>
      </c>
      <c r="CI134" s="3">
        <v>0</v>
      </c>
      <c r="CJ134" s="3">
        <v>0</v>
      </c>
      <c r="CK134" s="3">
        <v>4.7416188114538151E-3</v>
      </c>
      <c r="CL134" s="3">
        <v>4.7416188114538169E-3</v>
      </c>
      <c r="CM134" s="3">
        <v>7.2831396665967579E-3</v>
      </c>
      <c r="CN134" s="3">
        <v>1.1186922760434086E-2</v>
      </c>
      <c r="CO134" s="3">
        <v>1.7183144437266651E-2</v>
      </c>
      <c r="CP134" s="3">
        <v>2.3708094057269074E-2</v>
      </c>
      <c r="CQ134" s="3">
        <v>4.3715565431734708E-2</v>
      </c>
      <c r="CR134" s="3">
        <v>8.0607519794714852E-2</v>
      </c>
      <c r="CS134" s="3">
        <v>9.4832376229076296E-2</v>
      </c>
    </row>
    <row r="135" spans="3:97" x14ac:dyDescent="0.4">
      <c r="C135" s="2">
        <f t="shared" si="216"/>
        <v>12</v>
      </c>
      <c r="D135" s="5" t="b">
        <f t="shared" si="217"/>
        <v>1</v>
      </c>
      <c r="E135" s="5" t="b">
        <f t="shared" si="217"/>
        <v>1</v>
      </c>
      <c r="F135" s="5" t="b">
        <f t="shared" si="217"/>
        <v>1</v>
      </c>
      <c r="G135" s="5" t="b">
        <f t="shared" si="217"/>
        <v>1</v>
      </c>
      <c r="H135" s="5" t="b">
        <f t="shared" si="217"/>
        <v>1</v>
      </c>
      <c r="I135" s="5" t="b">
        <f t="shared" si="217"/>
        <v>1</v>
      </c>
      <c r="J135" s="5" t="b">
        <f t="shared" si="217"/>
        <v>1</v>
      </c>
      <c r="K135" s="5" t="b">
        <f t="shared" si="217"/>
        <v>1</v>
      </c>
      <c r="L135" s="5" t="b">
        <f t="shared" si="217"/>
        <v>1</v>
      </c>
      <c r="M135" s="5" t="b">
        <f t="shared" si="217"/>
        <v>1</v>
      </c>
      <c r="N135" s="5" t="b">
        <f>IF(N78&lt;=N77, TRUE, FALSE)</f>
        <v>1</v>
      </c>
      <c r="O135" s="5"/>
      <c r="P135" s="5"/>
    </row>
    <row r="137" spans="3:97" hidden="1" x14ac:dyDescent="0.4"/>
    <row r="138" spans="3:97" hidden="1" x14ac:dyDescent="0.4"/>
    <row r="139" spans="3:97" hidden="1" x14ac:dyDescent="0.4"/>
    <row r="140" spans="3:97" hidden="1" x14ac:dyDescent="0.4"/>
    <row r="141" spans="3:97" hidden="1" x14ac:dyDescent="0.4"/>
    <row r="142" spans="3:97" hidden="1" x14ac:dyDescent="0.4"/>
    <row r="143" spans="3:97" hidden="1" x14ac:dyDescent="0.4"/>
    <row r="144" spans="3:97" hidden="1" x14ac:dyDescent="0.4"/>
    <row r="145" spans="34:97" hidden="1" x14ac:dyDescent="0.4"/>
    <row r="146" spans="34:97" hidden="1" x14ac:dyDescent="0.4"/>
    <row r="147" spans="34:97" hidden="1" x14ac:dyDescent="0.4"/>
    <row r="148" spans="34:97" hidden="1" x14ac:dyDescent="0.4"/>
    <row r="149" spans="34:97" x14ac:dyDescent="0.4">
      <c r="AH149" s="10" t="s">
        <v>13</v>
      </c>
      <c r="AI149" s="10"/>
      <c r="AJ149" s="4">
        <v>1</v>
      </c>
    </row>
    <row r="150" spans="34:97" x14ac:dyDescent="0.4">
      <c r="AH150" s="10" t="s">
        <v>14</v>
      </c>
      <c r="AI150" s="10"/>
      <c r="AJ150" s="4">
        <v>1</v>
      </c>
      <c r="AL150" s="13" t="s">
        <v>22</v>
      </c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BB150" s="13" t="s">
        <v>33</v>
      </c>
      <c r="BC150" s="13"/>
      <c r="BD150" s="13"/>
      <c r="BE150" s="13"/>
      <c r="BF150" s="13"/>
      <c r="BG150" s="13"/>
      <c r="BH150" s="13"/>
      <c r="BI150" s="13"/>
      <c r="BJ150" s="13"/>
      <c r="BK150" s="13"/>
      <c r="BL150" s="13"/>
      <c r="BM150" s="13"/>
      <c r="BN150" s="13"/>
      <c r="BQ150" s="13" t="s">
        <v>34</v>
      </c>
      <c r="BR150" s="13"/>
      <c r="BS150" s="13"/>
      <c r="BT150" s="13"/>
      <c r="BU150" s="13"/>
      <c r="BV150" s="13"/>
      <c r="BW150" s="13"/>
      <c r="BX150" s="13"/>
      <c r="BY150" s="13"/>
      <c r="BZ150" s="13"/>
      <c r="CA150" s="13"/>
      <c r="CB150" s="13"/>
      <c r="CC150" s="13"/>
      <c r="CG150" s="13" t="s">
        <v>38</v>
      </c>
      <c r="CH150" s="13"/>
      <c r="CI150" s="13"/>
      <c r="CJ150" s="13"/>
      <c r="CK150" s="13"/>
      <c r="CL150" s="13"/>
      <c r="CM150" s="13"/>
      <c r="CN150" s="13"/>
      <c r="CO150" s="13"/>
      <c r="CP150" s="13"/>
      <c r="CQ150" s="13"/>
      <c r="CR150" s="13"/>
      <c r="CS150" s="13"/>
    </row>
    <row r="151" spans="34:97" x14ac:dyDescent="0.4">
      <c r="AH151" s="10" t="s">
        <v>15</v>
      </c>
      <c r="AI151" s="10"/>
      <c r="AJ151" s="4">
        <v>1</v>
      </c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</row>
    <row r="152" spans="34:97" x14ac:dyDescent="0.4">
      <c r="AL152" s="2"/>
      <c r="AM152" s="3">
        <v>0.54679999999999995</v>
      </c>
      <c r="AN152" s="3">
        <v>0.3906</v>
      </c>
      <c r="AO152" s="3">
        <v>4.6899999999999997E-2</v>
      </c>
      <c r="AP152" s="3">
        <v>3.2495515278611262E-2</v>
      </c>
      <c r="AQ152" s="3">
        <v>2.2515106891736841E-2</v>
      </c>
      <c r="AR152" s="3">
        <v>1.5599999999999999E-2</v>
      </c>
      <c r="AS152" s="3">
        <v>0</v>
      </c>
      <c r="AT152" s="3">
        <v>0</v>
      </c>
      <c r="AU152" s="3">
        <v>0</v>
      </c>
      <c r="AV152" s="3">
        <v>0</v>
      </c>
      <c r="AW152" s="3">
        <v>0</v>
      </c>
      <c r="AX152" s="3">
        <v>0</v>
      </c>
      <c r="BB152" s="2"/>
      <c r="BC152" s="6"/>
      <c r="BD152" s="5" t="b">
        <f>IF(AN152&gt;AM152,FALSE,TRUE)</f>
        <v>1</v>
      </c>
      <c r="BE152" s="5" t="b">
        <f t="shared" ref="BE152:BE153" si="244">IF(AO152&gt;AN152,FALSE,TRUE)</f>
        <v>1</v>
      </c>
      <c r="BF152" s="5" t="b">
        <f t="shared" ref="BF152:BF154" si="245">IF(AP152&gt;AO152,FALSE,TRUE)</f>
        <v>1</v>
      </c>
      <c r="BG152" s="5" t="b">
        <f t="shared" ref="BG152:BG155" si="246">IF(AQ152&gt;AP152,FALSE,TRUE)</f>
        <v>1</v>
      </c>
      <c r="BH152" s="5" t="b">
        <f t="shared" ref="BH152:BH156" si="247">IF(AR152&gt;AQ152,FALSE,TRUE)</f>
        <v>1</v>
      </c>
      <c r="BI152" s="5" t="b">
        <f t="shared" ref="BI152:BI157" si="248">IF(AS152&gt;AR152,FALSE,TRUE)</f>
        <v>1</v>
      </c>
      <c r="BJ152" s="5" t="b">
        <f t="shared" ref="BJ152:BJ158" si="249">IF(AT152&gt;AS152,FALSE,TRUE)</f>
        <v>1</v>
      </c>
      <c r="BK152" s="5" t="b">
        <f t="shared" ref="BK152:BK159" si="250">IF(AU152&gt;AT152,FALSE,TRUE)</f>
        <v>1</v>
      </c>
      <c r="BL152" s="5" t="b">
        <f t="shared" ref="BL152:BL160" si="251">IF(AV152&gt;AU152,FALSE,TRUE)</f>
        <v>1</v>
      </c>
      <c r="BM152" s="5" t="b">
        <f t="shared" ref="BM152:BM161" si="252">IF(AW152&gt;AV152,FALSE,TRUE)</f>
        <v>1</v>
      </c>
      <c r="BN152" s="5" t="b">
        <f t="shared" ref="BN152:BN161" si="253">IF(AX152&gt;AW152,FALSE,TRUE)</f>
        <v>1</v>
      </c>
      <c r="BQ152" s="2"/>
      <c r="BR152" s="6"/>
      <c r="BS152" s="5" t="b">
        <f>IF(AN152&lt;=AN153,TRUE,FALSE)</f>
        <v>1</v>
      </c>
      <c r="BT152" s="5" t="b">
        <f t="shared" ref="BT152:BT153" si="254">IF(AO152&lt;=AO153,TRUE,FALSE)</f>
        <v>1</v>
      </c>
      <c r="BU152" s="5" t="b">
        <f t="shared" ref="BU152:BU154" si="255">IF(AP152&lt;=AP153,TRUE,FALSE)</f>
        <v>1</v>
      </c>
      <c r="BV152" s="5" t="b">
        <f t="shared" ref="BV152:BV155" si="256">IF(AQ152&lt;=AQ153,TRUE,FALSE)</f>
        <v>1</v>
      </c>
      <c r="BW152" s="5" t="b">
        <f t="shared" ref="BW152:BW156" si="257">IF(AR152&lt;=AR153,TRUE,FALSE)</f>
        <v>1</v>
      </c>
      <c r="BX152" s="5" t="b">
        <f t="shared" ref="BX152:BX157" si="258">IF(AS152&lt;=AS153,TRUE,FALSE)</f>
        <v>1</v>
      </c>
      <c r="BY152" s="5" t="b">
        <f t="shared" ref="BY152:BY158" si="259">IF(AT152&lt;=AT153,TRUE,FALSE)</f>
        <v>1</v>
      </c>
      <c r="BZ152" s="5" t="b">
        <f t="shared" ref="BZ152:BZ159" si="260">IF(AU152&lt;=AU153,TRUE,FALSE)</f>
        <v>1</v>
      </c>
      <c r="CA152" s="5" t="b">
        <f t="shared" ref="CA152:CA160" si="261">IF(AV152&lt;=AV153,TRUE,FALSE)</f>
        <v>1</v>
      </c>
      <c r="CB152" s="5" t="b">
        <f t="shared" ref="CB152:CB161" si="262">IF(AW152&lt;=AW153,TRUE,FALSE)</f>
        <v>1</v>
      </c>
      <c r="CC152" s="5" t="b">
        <f t="shared" ref="CC152:CC162" si="263">IF(AX152&lt;=AX153,TRUE,FALSE)</f>
        <v>1</v>
      </c>
      <c r="CG152" s="2"/>
      <c r="CH152" s="3">
        <v>0.5182340840167593</v>
      </c>
      <c r="CI152" s="3">
        <v>0.37019428166961627</v>
      </c>
      <c r="CJ152" s="3">
        <v>4.4449851024846401E-2</v>
      </c>
      <c r="CK152" s="3">
        <v>3.079788514093583E-2</v>
      </c>
      <c r="CL152" s="3">
        <v>2.1338873073479637E-2</v>
      </c>
      <c r="CM152" s="3">
        <v>1.4785025074362555E-2</v>
      </c>
      <c r="CN152" s="3">
        <v>0</v>
      </c>
      <c r="CO152" s="3">
        <v>0</v>
      </c>
      <c r="CP152" s="3">
        <v>0</v>
      </c>
      <c r="CQ152" s="3">
        <v>0</v>
      </c>
      <c r="CR152" s="3">
        <v>0</v>
      </c>
      <c r="CS152" s="3">
        <v>0</v>
      </c>
    </row>
    <row r="153" spans="34:97" x14ac:dyDescent="0.4">
      <c r="AL153" s="2"/>
      <c r="AM153" s="3">
        <v>8.8000000000000005E-3</v>
      </c>
      <c r="AN153" s="3">
        <v>0.69</v>
      </c>
      <c r="AO153" s="3">
        <v>0.1918</v>
      </c>
      <c r="AP153" s="3">
        <v>6.7299999999999999E-2</v>
      </c>
      <c r="AQ153" s="3">
        <v>3.8694374375359782E-2</v>
      </c>
      <c r="AR153" s="3">
        <v>2.0674622124720925E-2</v>
      </c>
      <c r="AS153" s="3">
        <v>5.5999999999999999E-3</v>
      </c>
      <c r="AT153" s="3">
        <v>3.0611423190014617E-3</v>
      </c>
      <c r="AU153" s="3">
        <v>4.6451612903225802E-4</v>
      </c>
      <c r="AV153" s="3">
        <v>2.6666666666666663E-4</v>
      </c>
      <c r="AW153" s="3">
        <v>1.5308641975308641E-4</v>
      </c>
      <c r="AX153" s="3">
        <v>0</v>
      </c>
      <c r="BB153" s="2"/>
      <c r="BC153" s="5" t="b">
        <f>IF(AN153&lt;AM153,FALSE,TRUE)</f>
        <v>1</v>
      </c>
      <c r="BD153" s="6"/>
      <c r="BE153" s="5" t="b">
        <f t="shared" si="244"/>
        <v>1</v>
      </c>
      <c r="BF153" s="5" t="b">
        <f t="shared" si="245"/>
        <v>1</v>
      </c>
      <c r="BG153" s="5" t="b">
        <f t="shared" si="246"/>
        <v>1</v>
      </c>
      <c r="BH153" s="5" t="b">
        <f t="shared" si="247"/>
        <v>1</v>
      </c>
      <c r="BI153" s="5" t="b">
        <f t="shared" si="248"/>
        <v>1</v>
      </c>
      <c r="BJ153" s="5" t="b">
        <f t="shared" si="249"/>
        <v>1</v>
      </c>
      <c r="BK153" s="5" t="b">
        <f t="shared" si="250"/>
        <v>1</v>
      </c>
      <c r="BL153" s="5" t="b">
        <f t="shared" si="251"/>
        <v>1</v>
      </c>
      <c r="BM153" s="5" t="b">
        <f t="shared" si="252"/>
        <v>1</v>
      </c>
      <c r="BN153" s="5" t="b">
        <f t="shared" si="253"/>
        <v>1</v>
      </c>
      <c r="BQ153" s="2"/>
      <c r="BR153" s="5" t="b">
        <f>IF(AM152&gt;=AM153, TRUE, FALSE)</f>
        <v>1</v>
      </c>
      <c r="BS153" s="6"/>
      <c r="BT153" s="5" t="b">
        <f t="shared" si="254"/>
        <v>1</v>
      </c>
      <c r="BU153" s="5" t="b">
        <f t="shared" si="255"/>
        <v>1</v>
      </c>
      <c r="BV153" s="5" t="b">
        <f t="shared" si="256"/>
        <v>1</v>
      </c>
      <c r="BW153" s="5" t="b">
        <f t="shared" si="257"/>
        <v>1</v>
      </c>
      <c r="BX153" s="5" t="b">
        <f t="shared" si="258"/>
        <v>1</v>
      </c>
      <c r="BY153" s="5" t="b">
        <f t="shared" si="259"/>
        <v>1</v>
      </c>
      <c r="BZ153" s="5" t="b">
        <f t="shared" si="260"/>
        <v>1</v>
      </c>
      <c r="CA153" s="5" t="b">
        <f t="shared" si="261"/>
        <v>1</v>
      </c>
      <c r="CB153" s="5" t="b">
        <f t="shared" si="262"/>
        <v>1</v>
      </c>
      <c r="CC153" s="5" t="b">
        <f t="shared" si="263"/>
        <v>1</v>
      </c>
      <c r="CG153" s="2"/>
      <c r="CH153" s="3">
        <v>8.5641961499475228E-3</v>
      </c>
      <c r="CI153" s="3">
        <v>0.67151083448452153</v>
      </c>
      <c r="CJ153" s="3">
        <v>0.18666054790453804</v>
      </c>
      <c r="CK153" s="3">
        <v>6.549663646493957E-2</v>
      </c>
      <c r="CL153" s="3">
        <v>3.7657524096600482E-2</v>
      </c>
      <c r="CM153" s="3">
        <v>2.0120627182063044E-2</v>
      </c>
      <c r="CN153" s="3">
        <v>5.4499430045120588E-3</v>
      </c>
      <c r="CO153" s="3">
        <v>2.9791162798674707E-3</v>
      </c>
      <c r="CP153" s="3">
        <v>4.5206900498256708E-4</v>
      </c>
      <c r="CQ153" s="3">
        <v>2.5952109545295514E-4</v>
      </c>
      <c r="CR153" s="3">
        <v>1.4898433257484463E-4</v>
      </c>
      <c r="CS153" s="3">
        <v>0</v>
      </c>
    </row>
    <row r="154" spans="34:97" x14ac:dyDescent="0.4">
      <c r="AL154" s="2"/>
      <c r="AM154" s="3">
        <v>8.9999999999999998E-4</v>
      </c>
      <c r="AN154" s="3">
        <v>0.15129999999999999</v>
      </c>
      <c r="AO154" s="3">
        <v>0.5071</v>
      </c>
      <c r="AP154" s="3">
        <v>0.2301</v>
      </c>
      <c r="AQ154" s="3">
        <v>6.6500000000000004E-2</v>
      </c>
      <c r="AR154" s="3">
        <v>2.7400000000000001E-2</v>
      </c>
      <c r="AS154" s="3">
        <v>9.5999999999999992E-3</v>
      </c>
      <c r="AT154" s="3">
        <v>5.7843414340205531E-3</v>
      </c>
      <c r="AU154" s="3">
        <v>1.1999999999999999E-3</v>
      </c>
      <c r="AV154" s="3">
        <v>7.9999999999999993E-4</v>
      </c>
      <c r="AW154" s="3">
        <v>5.4772255750516611E-4</v>
      </c>
      <c r="AX154" s="3">
        <v>0</v>
      </c>
      <c r="BB154" s="2"/>
      <c r="BC154" s="5" t="b">
        <f t="shared" ref="BC154:BC163" si="264">IF(AN154&lt;AM154,FALSE,TRUE)</f>
        <v>1</v>
      </c>
      <c r="BD154" s="5" t="b">
        <f t="shared" ref="BD154:BD163" si="265">IF(AO154&lt;AN154,FALSE,TRUE)</f>
        <v>1</v>
      </c>
      <c r="BE154" s="6"/>
      <c r="BF154" s="5" t="b">
        <f t="shared" si="245"/>
        <v>1</v>
      </c>
      <c r="BG154" s="5" t="b">
        <f t="shared" si="246"/>
        <v>1</v>
      </c>
      <c r="BH154" s="5" t="b">
        <f t="shared" si="247"/>
        <v>1</v>
      </c>
      <c r="BI154" s="5" t="b">
        <f t="shared" si="248"/>
        <v>1</v>
      </c>
      <c r="BJ154" s="5" t="b">
        <f t="shared" si="249"/>
        <v>1</v>
      </c>
      <c r="BK154" s="5" t="b">
        <f t="shared" si="250"/>
        <v>1</v>
      </c>
      <c r="BL154" s="5" t="b">
        <f t="shared" si="251"/>
        <v>1</v>
      </c>
      <c r="BM154" s="5" t="b">
        <f t="shared" si="252"/>
        <v>1</v>
      </c>
      <c r="BN154" s="5" t="b">
        <f t="shared" si="253"/>
        <v>1</v>
      </c>
      <c r="BQ154" s="2"/>
      <c r="BR154" s="5" t="b">
        <f t="shared" ref="BR154:BR163" si="266">IF(AM153&gt;=AM154, TRUE, FALSE)</f>
        <v>1</v>
      </c>
      <c r="BS154" s="5" t="b">
        <f t="shared" ref="BS154:BS163" si="267">IF(AN153&gt;=AN154, TRUE, FALSE)</f>
        <v>1</v>
      </c>
      <c r="BT154" s="6"/>
      <c r="BU154" s="5" t="b">
        <f t="shared" si="255"/>
        <v>1</v>
      </c>
      <c r="BV154" s="5" t="b">
        <f t="shared" si="256"/>
        <v>1</v>
      </c>
      <c r="BW154" s="5" t="b">
        <f t="shared" si="257"/>
        <v>1</v>
      </c>
      <c r="BX154" s="5" t="b">
        <f t="shared" si="258"/>
        <v>1</v>
      </c>
      <c r="BY154" s="5" t="b">
        <f t="shared" si="259"/>
        <v>1</v>
      </c>
      <c r="BZ154" s="5" t="b">
        <f t="shared" si="260"/>
        <v>1</v>
      </c>
      <c r="CA154" s="5" t="b">
        <f t="shared" si="261"/>
        <v>1</v>
      </c>
      <c r="CB154" s="5" t="b">
        <f t="shared" si="262"/>
        <v>1</v>
      </c>
      <c r="CC154" s="5" t="b">
        <f t="shared" si="263"/>
        <v>1</v>
      </c>
      <c r="CG154" s="2"/>
      <c r="CH154" s="3">
        <v>8.970947218961638E-4</v>
      </c>
      <c r="CI154" s="3">
        <v>0.1508115904698773</v>
      </c>
      <c r="CJ154" s="3">
        <v>0.50546303719282748</v>
      </c>
      <c r="CK154" s="3">
        <v>0.22935721723145258</v>
      </c>
      <c r="CL154" s="3">
        <v>6.628533222899434E-2</v>
      </c>
      <c r="CM154" s="3">
        <v>2.7311550422172103E-2</v>
      </c>
      <c r="CN154" s="3">
        <v>9.5690103668924133E-3</v>
      </c>
      <c r="CO154" s="3">
        <v>5.7656690778945851E-3</v>
      </c>
      <c r="CP154" s="3">
        <v>1.1961262958615517E-3</v>
      </c>
      <c r="CQ154" s="3">
        <v>7.9741753057436778E-4</v>
      </c>
      <c r="CR154" s="3">
        <v>5.4595446155705849E-4</v>
      </c>
      <c r="CS154" s="3">
        <v>0</v>
      </c>
    </row>
    <row r="155" spans="34:97" x14ac:dyDescent="0.4">
      <c r="AL155" s="2"/>
      <c r="AM155" s="3">
        <v>0</v>
      </c>
      <c r="AN155" s="3">
        <v>2.5000000000000001E-2</v>
      </c>
      <c r="AO155" s="3">
        <v>0.153</v>
      </c>
      <c r="AP155" s="3">
        <v>0.51390000000000002</v>
      </c>
      <c r="AQ155" s="3">
        <v>0.1978</v>
      </c>
      <c r="AR155" s="3">
        <v>7.0199999999999999E-2</v>
      </c>
      <c r="AS155" s="3">
        <v>2.1700000000000001E-2</v>
      </c>
      <c r="AT155" s="3">
        <v>8.0999999999999996E-3</v>
      </c>
      <c r="AU155" s="3">
        <v>3.0999999999999999E-3</v>
      </c>
      <c r="AV155" s="3">
        <v>2.3999999999999998E-3</v>
      </c>
      <c r="AW155" s="3">
        <v>5.9999999999999995E-4</v>
      </c>
      <c r="AX155" s="3">
        <v>0</v>
      </c>
      <c r="BB155" s="2"/>
      <c r="BC155" s="5" t="b">
        <f t="shared" si="264"/>
        <v>1</v>
      </c>
      <c r="BD155" s="5" t="b">
        <f t="shared" si="265"/>
        <v>1</v>
      </c>
      <c r="BE155" s="5" t="b">
        <f t="shared" ref="BE155:BE163" si="268">IF(AP155&lt;AO155,FALSE,TRUE)</f>
        <v>1</v>
      </c>
      <c r="BF155" s="6"/>
      <c r="BG155" s="5" t="b">
        <f t="shared" si="246"/>
        <v>1</v>
      </c>
      <c r="BH155" s="5" t="b">
        <f t="shared" si="247"/>
        <v>1</v>
      </c>
      <c r="BI155" s="5" t="b">
        <f t="shared" si="248"/>
        <v>1</v>
      </c>
      <c r="BJ155" s="5" t="b">
        <f t="shared" si="249"/>
        <v>1</v>
      </c>
      <c r="BK155" s="5" t="b">
        <f t="shared" si="250"/>
        <v>1</v>
      </c>
      <c r="BL155" s="5" t="b">
        <f t="shared" si="251"/>
        <v>1</v>
      </c>
      <c r="BM155" s="5" t="b">
        <f t="shared" si="252"/>
        <v>1</v>
      </c>
      <c r="BN155" s="5" t="b">
        <f t="shared" si="253"/>
        <v>1</v>
      </c>
      <c r="BQ155" s="2"/>
      <c r="BR155" s="5" t="b">
        <f t="shared" si="266"/>
        <v>1</v>
      </c>
      <c r="BS155" s="5" t="b">
        <f t="shared" si="267"/>
        <v>1</v>
      </c>
      <c r="BT155" s="5" t="b">
        <f t="shared" ref="BT155:BT163" si="269">IF(AO154&gt;=AO155, TRUE, FALSE)</f>
        <v>1</v>
      </c>
      <c r="BU155" s="6"/>
      <c r="BV155" s="5" t="b">
        <f t="shared" si="256"/>
        <v>1</v>
      </c>
      <c r="BW155" s="5" t="b">
        <f t="shared" si="257"/>
        <v>1</v>
      </c>
      <c r="BX155" s="5" t="b">
        <f t="shared" si="258"/>
        <v>1</v>
      </c>
      <c r="BY155" s="5" t="b">
        <f t="shared" si="259"/>
        <v>1</v>
      </c>
      <c r="BZ155" s="5" t="b">
        <f t="shared" si="260"/>
        <v>1</v>
      </c>
      <c r="CA155" s="5" t="b">
        <f t="shared" si="261"/>
        <v>1</v>
      </c>
      <c r="CB155" s="5" t="b">
        <f t="shared" si="262"/>
        <v>1</v>
      </c>
      <c r="CC155" s="5" t="b">
        <f t="shared" si="263"/>
        <v>1</v>
      </c>
      <c r="CG155" s="2"/>
      <c r="CH155" s="3">
        <v>0</v>
      </c>
      <c r="CI155" s="3">
        <v>2.4997489455713999E-2</v>
      </c>
      <c r="CJ155" s="3">
        <v>0.15298463546896968</v>
      </c>
      <c r="CK155" s="3">
        <v>0.51384839325165699</v>
      </c>
      <c r="CL155" s="3">
        <v>0.19778013657360918</v>
      </c>
      <c r="CM155" s="3">
        <v>7.0192950391644901E-2</v>
      </c>
      <c r="CN155" s="3">
        <v>2.1697820847559751E-2</v>
      </c>
      <c r="CO155" s="3">
        <v>8.0991865836513351E-3</v>
      </c>
      <c r="CP155" s="3">
        <v>3.0996886925085359E-3</v>
      </c>
      <c r="CQ155" s="3">
        <v>2.3997589877485436E-3</v>
      </c>
      <c r="CR155" s="3">
        <v>5.9993974693713591E-4</v>
      </c>
      <c r="CS155" s="3">
        <v>0</v>
      </c>
    </row>
    <row r="156" spans="34:97" x14ac:dyDescent="0.4">
      <c r="AL156" s="2"/>
      <c r="AM156" s="3">
        <v>0</v>
      </c>
      <c r="AN156" s="3">
        <v>6.6E-3</v>
      </c>
      <c r="AO156" s="3">
        <v>3.0800000000000001E-2</v>
      </c>
      <c r="AP156" s="3">
        <v>0.1767</v>
      </c>
      <c r="AQ156" s="3">
        <v>0.4738</v>
      </c>
      <c r="AR156" s="3">
        <v>0.2059</v>
      </c>
      <c r="AS156" s="3">
        <v>6.4100000000000004E-2</v>
      </c>
      <c r="AT156" s="3">
        <v>2.1600000000000001E-2</v>
      </c>
      <c r="AU156" s="3">
        <v>7.1999999999999998E-3</v>
      </c>
      <c r="AV156" s="3">
        <v>4.3E-3</v>
      </c>
      <c r="AW156" s="3">
        <v>1.1999999999999999E-3</v>
      </c>
      <c r="AX156" s="3">
        <v>1E-4</v>
      </c>
      <c r="BB156" s="2"/>
      <c r="BC156" s="5" t="b">
        <f t="shared" si="264"/>
        <v>1</v>
      </c>
      <c r="BD156" s="5" t="b">
        <f t="shared" si="265"/>
        <v>1</v>
      </c>
      <c r="BE156" s="5" t="b">
        <f t="shared" si="268"/>
        <v>1</v>
      </c>
      <c r="BF156" s="5" t="b">
        <f t="shared" ref="BF156:BF163" si="270">IF(AQ156&lt;AP156,FALSE,TRUE)</f>
        <v>1</v>
      </c>
      <c r="BG156" s="6"/>
      <c r="BH156" s="5" t="b">
        <f t="shared" si="247"/>
        <v>1</v>
      </c>
      <c r="BI156" s="5" t="b">
        <f t="shared" si="248"/>
        <v>1</v>
      </c>
      <c r="BJ156" s="5" t="b">
        <f t="shared" si="249"/>
        <v>1</v>
      </c>
      <c r="BK156" s="5" t="b">
        <f t="shared" si="250"/>
        <v>1</v>
      </c>
      <c r="BL156" s="5" t="b">
        <f t="shared" si="251"/>
        <v>1</v>
      </c>
      <c r="BM156" s="5" t="b">
        <f t="shared" si="252"/>
        <v>1</v>
      </c>
      <c r="BN156" s="5" t="b">
        <f t="shared" si="253"/>
        <v>1</v>
      </c>
      <c r="BQ156" s="2"/>
      <c r="BR156" s="5" t="b">
        <f t="shared" si="266"/>
        <v>1</v>
      </c>
      <c r="BS156" s="5" t="b">
        <f t="shared" si="267"/>
        <v>1</v>
      </c>
      <c r="BT156" s="5" t="b">
        <f t="shared" si="269"/>
        <v>1</v>
      </c>
      <c r="BU156" s="5" t="b">
        <f t="shared" ref="BU156:BU163" si="271">IF(AP155&gt;=AP156, TRUE, FALSE)</f>
        <v>1</v>
      </c>
      <c r="BV156" s="6"/>
      <c r="BW156" s="5" t="b">
        <f t="shared" si="257"/>
        <v>1</v>
      </c>
      <c r="BX156" s="5" t="b">
        <f t="shared" si="258"/>
        <v>1</v>
      </c>
      <c r="BY156" s="5" t="b">
        <f t="shared" si="259"/>
        <v>1</v>
      </c>
      <c r="BZ156" s="5" t="b">
        <f t="shared" si="260"/>
        <v>1</v>
      </c>
      <c r="CA156" s="5" t="b">
        <f t="shared" si="261"/>
        <v>1</v>
      </c>
      <c r="CB156" s="5" t="b">
        <f t="shared" si="262"/>
        <v>1</v>
      </c>
      <c r="CC156" s="5" t="b">
        <f t="shared" si="263"/>
        <v>1</v>
      </c>
      <c r="CG156" s="2"/>
      <c r="CH156" s="3">
        <v>0</v>
      </c>
      <c r="CI156" s="3">
        <v>6.6000000000000008E-3</v>
      </c>
      <c r="CJ156" s="3">
        <v>3.0800000000000004E-2</v>
      </c>
      <c r="CK156" s="3">
        <v>0.17670000000000002</v>
      </c>
      <c r="CL156" s="3">
        <v>0.47380000000000005</v>
      </c>
      <c r="CM156" s="3">
        <v>0.20590000000000003</v>
      </c>
      <c r="CN156" s="3">
        <v>6.4100000000000018E-2</v>
      </c>
      <c r="CO156" s="3">
        <v>2.1600000000000005E-2</v>
      </c>
      <c r="CP156" s="3">
        <v>7.2000000000000007E-3</v>
      </c>
      <c r="CQ156" s="3">
        <v>4.3E-3</v>
      </c>
      <c r="CR156" s="3">
        <v>1.2000000000000001E-3</v>
      </c>
      <c r="CS156" s="3">
        <v>1.0000000000000002E-4</v>
      </c>
    </row>
    <row r="157" spans="34:97" x14ac:dyDescent="0.4">
      <c r="AL157" s="2"/>
      <c r="AM157" s="3">
        <v>0</v>
      </c>
      <c r="AN157" s="3">
        <v>2.0999999999999999E-3</v>
      </c>
      <c r="AO157" s="3">
        <v>1.0800000000000001E-2</v>
      </c>
      <c r="AP157" s="3">
        <v>4.9099999999999998E-2</v>
      </c>
      <c r="AQ157" s="3">
        <v>0.20730000000000001</v>
      </c>
      <c r="AR157" s="3">
        <v>0.43469999999999998</v>
      </c>
      <c r="AS157" s="3">
        <v>0.1797</v>
      </c>
      <c r="AT157" s="3">
        <v>6.2100000000000002E-2</v>
      </c>
      <c r="AU157" s="3">
        <v>1.7399999999999999E-2</v>
      </c>
      <c r="AV157" s="3">
        <v>1.5599999999999999E-2</v>
      </c>
      <c r="AW157" s="3">
        <v>3.8E-3</v>
      </c>
      <c r="AX157" s="3">
        <v>1.4142135623730951E-4</v>
      </c>
      <c r="BB157" s="2"/>
      <c r="BC157" s="5" t="b">
        <f t="shared" si="264"/>
        <v>1</v>
      </c>
      <c r="BD157" s="5" t="b">
        <f t="shared" si="265"/>
        <v>1</v>
      </c>
      <c r="BE157" s="5" t="b">
        <f t="shared" si="268"/>
        <v>1</v>
      </c>
      <c r="BF157" s="5" t="b">
        <f t="shared" si="270"/>
        <v>1</v>
      </c>
      <c r="BG157" s="5" t="b">
        <f t="shared" ref="BG157:BG163" si="272">IF(AR157&lt;AQ157,FALSE,TRUE)</f>
        <v>1</v>
      </c>
      <c r="BH157" s="6"/>
      <c r="BI157" s="5" t="b">
        <f t="shared" si="248"/>
        <v>1</v>
      </c>
      <c r="BJ157" s="5" t="b">
        <f t="shared" si="249"/>
        <v>1</v>
      </c>
      <c r="BK157" s="5" t="b">
        <f t="shared" si="250"/>
        <v>1</v>
      </c>
      <c r="BL157" s="5" t="b">
        <f t="shared" si="251"/>
        <v>1</v>
      </c>
      <c r="BM157" s="5" t="b">
        <f t="shared" si="252"/>
        <v>1</v>
      </c>
      <c r="BN157" s="5" t="b">
        <f t="shared" si="253"/>
        <v>1</v>
      </c>
      <c r="BQ157" s="2"/>
      <c r="BR157" s="5" t="b">
        <f t="shared" si="266"/>
        <v>1</v>
      </c>
      <c r="BS157" s="5" t="b">
        <f t="shared" si="267"/>
        <v>1</v>
      </c>
      <c r="BT157" s="5" t="b">
        <f t="shared" si="269"/>
        <v>1</v>
      </c>
      <c r="BU157" s="5" t="b">
        <f t="shared" si="271"/>
        <v>1</v>
      </c>
      <c r="BV157" s="5" t="b">
        <f t="shared" ref="BV157:BV163" si="273">IF(AQ156&gt;=AQ157, TRUE, FALSE)</f>
        <v>1</v>
      </c>
      <c r="BW157" s="6"/>
      <c r="BX157" s="5" t="b">
        <f t="shared" si="258"/>
        <v>1</v>
      </c>
      <c r="BY157" s="5" t="b">
        <f t="shared" si="259"/>
        <v>1</v>
      </c>
      <c r="BZ157" s="5" t="b">
        <f t="shared" si="260"/>
        <v>1</v>
      </c>
      <c r="CA157" s="5" t="b">
        <f t="shared" si="261"/>
        <v>1</v>
      </c>
      <c r="CB157" s="5" t="b">
        <f t="shared" si="262"/>
        <v>1</v>
      </c>
      <c r="CC157" s="5" t="b">
        <f t="shared" si="263"/>
        <v>1</v>
      </c>
      <c r="CG157" s="2"/>
      <c r="CH157" s="3">
        <v>0</v>
      </c>
      <c r="CI157" s="3">
        <v>2.1001251755031671E-3</v>
      </c>
      <c r="CJ157" s="3">
        <v>1.0800643759730576E-2</v>
      </c>
      <c r="CK157" s="3">
        <v>4.9102926722478818E-2</v>
      </c>
      <c r="CL157" s="3">
        <v>0.20731235661038414</v>
      </c>
      <c r="CM157" s="3">
        <v>0.43472591132915567</v>
      </c>
      <c r="CN157" s="3">
        <v>0.17971071144662817</v>
      </c>
      <c r="CO157" s="3">
        <v>6.2103701618450816E-2</v>
      </c>
      <c r="CP157" s="3">
        <v>1.7401037168454817E-2</v>
      </c>
      <c r="CQ157" s="3">
        <v>1.5600929875166387E-2</v>
      </c>
      <c r="CR157" s="3">
        <v>3.800226508053351E-3</v>
      </c>
      <c r="CS157" s="3">
        <v>1.4142978599417886E-4</v>
      </c>
    </row>
    <row r="158" spans="34:97" x14ac:dyDescent="0.4">
      <c r="AL158" s="2"/>
      <c r="AM158" s="3">
        <v>0</v>
      </c>
      <c r="AN158" s="3">
        <v>1.897564207580674E-3</v>
      </c>
      <c r="AO158" s="3">
        <v>8.7718719053578136E-3</v>
      </c>
      <c r="AP158" s="3">
        <v>1.1900000000000001E-2</v>
      </c>
      <c r="AQ158" s="3">
        <v>5.9400000000000001E-2</v>
      </c>
      <c r="AR158" s="3">
        <v>0.24210000000000001</v>
      </c>
      <c r="AS158" s="3">
        <v>0.36580000000000001</v>
      </c>
      <c r="AT158" s="3">
        <v>0.1741</v>
      </c>
      <c r="AU158" s="3">
        <v>6.4199999999999993E-2</v>
      </c>
      <c r="AV158" s="3">
        <v>3.3500000000000002E-2</v>
      </c>
      <c r="AW158" s="3">
        <v>1.12E-2</v>
      </c>
      <c r="AX158" s="3">
        <v>2.0000000000000001E-4</v>
      </c>
      <c r="BB158" s="2"/>
      <c r="BC158" s="5" t="b">
        <f t="shared" si="264"/>
        <v>1</v>
      </c>
      <c r="BD158" s="5" t="b">
        <f t="shared" si="265"/>
        <v>1</v>
      </c>
      <c r="BE158" s="5" t="b">
        <f t="shared" si="268"/>
        <v>1</v>
      </c>
      <c r="BF158" s="5" t="b">
        <f t="shared" si="270"/>
        <v>1</v>
      </c>
      <c r="BG158" s="5" t="b">
        <f t="shared" si="272"/>
        <v>1</v>
      </c>
      <c r="BH158" s="5" t="b">
        <f t="shared" ref="BH158:BH163" si="274">IF(AS158&lt;AR158,FALSE,TRUE)</f>
        <v>1</v>
      </c>
      <c r="BI158" s="6"/>
      <c r="BJ158" s="5" t="b">
        <f t="shared" si="249"/>
        <v>1</v>
      </c>
      <c r="BK158" s="5" t="b">
        <f t="shared" si="250"/>
        <v>1</v>
      </c>
      <c r="BL158" s="5" t="b">
        <f t="shared" si="251"/>
        <v>1</v>
      </c>
      <c r="BM158" s="5" t="b">
        <f t="shared" si="252"/>
        <v>1</v>
      </c>
      <c r="BN158" s="5" t="b">
        <f t="shared" si="253"/>
        <v>1</v>
      </c>
      <c r="BQ158" s="2"/>
      <c r="BR158" s="5" t="b">
        <f t="shared" si="266"/>
        <v>1</v>
      </c>
      <c r="BS158" s="5" t="b">
        <f t="shared" si="267"/>
        <v>1</v>
      </c>
      <c r="BT158" s="5" t="b">
        <f t="shared" si="269"/>
        <v>1</v>
      </c>
      <c r="BU158" s="5" t="b">
        <f t="shared" si="271"/>
        <v>1</v>
      </c>
      <c r="BV158" s="5" t="b">
        <f t="shared" si="273"/>
        <v>1</v>
      </c>
      <c r="BW158" s="5" t="b">
        <f t="shared" ref="BW158:BW163" si="275">IF(AR157&gt;=AR158, TRUE, FALSE)</f>
        <v>1</v>
      </c>
      <c r="BX158" s="6"/>
      <c r="BY158" s="5" t="b">
        <f t="shared" si="259"/>
        <v>1</v>
      </c>
      <c r="BZ158" s="5" t="b">
        <f t="shared" si="260"/>
        <v>1</v>
      </c>
      <c r="CA158" s="5" t="b">
        <f t="shared" si="261"/>
        <v>1</v>
      </c>
      <c r="CB158" s="5" t="b">
        <f t="shared" si="262"/>
        <v>1</v>
      </c>
      <c r="CC158" s="5" t="b">
        <f t="shared" si="263"/>
        <v>1</v>
      </c>
      <c r="CG158" s="2"/>
      <c r="CH158" s="3">
        <v>0</v>
      </c>
      <c r="CI158" s="3">
        <v>1.8849482832123364E-3</v>
      </c>
      <c r="CJ158" s="3">
        <v>8.7135522595273122E-3</v>
      </c>
      <c r="CK158" s="3">
        <v>1.1820883046073772E-2</v>
      </c>
      <c r="CL158" s="3">
        <v>5.9005080078721184E-2</v>
      </c>
      <c r="CM158" s="3">
        <v>0.24049040213903028</v>
      </c>
      <c r="CN158" s="3">
        <v>0.36336798472720894</v>
      </c>
      <c r="CO158" s="3">
        <v>0.17294249901860873</v>
      </c>
      <c r="CP158" s="3">
        <v>6.377316735780976E-2</v>
      </c>
      <c r="CQ158" s="3">
        <v>3.3277275801972386E-2</v>
      </c>
      <c r="CR158" s="3">
        <v>1.1125536984540019E-2</v>
      </c>
      <c r="CS158" s="3">
        <v>1.9867030329535752E-4</v>
      </c>
    </row>
    <row r="159" spans="34:97" x14ac:dyDescent="0.4">
      <c r="AL159" s="2"/>
      <c r="AM159" s="3">
        <v>0</v>
      </c>
      <c r="AN159" s="3">
        <v>1.7146428199482245E-3</v>
      </c>
      <c r="AO159" s="3">
        <v>7.1246052522227505E-3</v>
      </c>
      <c r="AP159" s="3">
        <v>7.6E-3</v>
      </c>
      <c r="AQ159" s="3">
        <v>2.29E-2</v>
      </c>
      <c r="AR159" s="3">
        <v>8.0399999999999999E-2</v>
      </c>
      <c r="AS159" s="3">
        <v>0.22700000000000001</v>
      </c>
      <c r="AT159" s="3">
        <v>0.34599999999999997</v>
      </c>
      <c r="AU159" s="3">
        <v>0.16639999999999999</v>
      </c>
      <c r="AV159" s="3">
        <v>6.4699999999999994E-2</v>
      </c>
      <c r="AW159" s="3">
        <v>2.4799999999999999E-2</v>
      </c>
      <c r="AX159" s="3">
        <v>5.0000000000000001E-4</v>
      </c>
      <c r="BB159" s="2"/>
      <c r="BC159" s="5" t="b">
        <f t="shared" si="264"/>
        <v>1</v>
      </c>
      <c r="BD159" s="5" t="b">
        <f t="shared" si="265"/>
        <v>1</v>
      </c>
      <c r="BE159" s="5" t="b">
        <f t="shared" si="268"/>
        <v>1</v>
      </c>
      <c r="BF159" s="5" t="b">
        <f t="shared" si="270"/>
        <v>1</v>
      </c>
      <c r="BG159" s="5" t="b">
        <f t="shared" si="272"/>
        <v>1</v>
      </c>
      <c r="BH159" s="5" t="b">
        <f t="shared" si="274"/>
        <v>1</v>
      </c>
      <c r="BI159" s="5" t="b">
        <f t="shared" ref="BI159:BI163" si="276">IF(AT159&lt;AS159,FALSE,TRUE)</f>
        <v>1</v>
      </c>
      <c r="BJ159" s="6"/>
      <c r="BK159" s="5" t="b">
        <f t="shared" si="250"/>
        <v>1</v>
      </c>
      <c r="BL159" s="5" t="b">
        <f t="shared" si="251"/>
        <v>1</v>
      </c>
      <c r="BM159" s="5" t="b">
        <f t="shared" si="252"/>
        <v>1</v>
      </c>
      <c r="BN159" s="5" t="b">
        <f t="shared" si="253"/>
        <v>1</v>
      </c>
      <c r="BQ159" s="2"/>
      <c r="BR159" s="5" t="b">
        <f t="shared" si="266"/>
        <v>1</v>
      </c>
      <c r="BS159" s="5" t="b">
        <f t="shared" si="267"/>
        <v>1</v>
      </c>
      <c r="BT159" s="5" t="b">
        <f t="shared" si="269"/>
        <v>1</v>
      </c>
      <c r="BU159" s="5" t="b">
        <f t="shared" si="271"/>
        <v>1</v>
      </c>
      <c r="BV159" s="5" t="b">
        <f t="shared" si="273"/>
        <v>1</v>
      </c>
      <c r="BW159" s="5" t="b">
        <f t="shared" si="275"/>
        <v>1</v>
      </c>
      <c r="BX159" s="5" t="b">
        <f t="shared" ref="BX159:BX163" si="277">IF(AS158&gt;=AS159, TRUE, FALSE)</f>
        <v>1</v>
      </c>
      <c r="BY159" s="6"/>
      <c r="BZ159" s="5" t="b">
        <f t="shared" si="260"/>
        <v>1</v>
      </c>
      <c r="CA159" s="5" t="b">
        <f t="shared" si="261"/>
        <v>1</v>
      </c>
      <c r="CB159" s="5" t="b">
        <f t="shared" si="262"/>
        <v>1</v>
      </c>
      <c r="CC159" s="5" t="b">
        <f t="shared" si="263"/>
        <v>1</v>
      </c>
      <c r="CG159" s="2"/>
      <c r="CH159" s="3">
        <v>0</v>
      </c>
      <c r="CI159" s="3">
        <v>1.7015649446480681E-3</v>
      </c>
      <c r="CJ159" s="3">
        <v>7.0702646642195758E-3</v>
      </c>
      <c r="CK159" s="3">
        <v>7.5420334946002393E-3</v>
      </c>
      <c r="CL159" s="3">
        <v>2.2725337766624408E-2</v>
      </c>
      <c r="CM159" s="3">
        <v>7.9786775390244632E-2</v>
      </c>
      <c r="CN159" s="3">
        <v>0.22526863200977035</v>
      </c>
      <c r="CO159" s="3">
        <v>0.34336099856995828</v>
      </c>
      <c r="CP159" s="3">
        <v>0.16513083861861577</v>
      </c>
      <c r="CQ159" s="3">
        <v>6.4206521986925724E-2</v>
      </c>
      <c r="CR159" s="3">
        <v>2.4610846140274464E-2</v>
      </c>
      <c r="CS159" s="3">
        <v>4.9618641411843683E-4</v>
      </c>
    </row>
    <row r="160" spans="34:97" x14ac:dyDescent="0.4">
      <c r="AL160" s="2"/>
      <c r="AM160" s="3">
        <v>0</v>
      </c>
      <c r="AN160" s="3">
        <v>1.5493546875804502E-3</v>
      </c>
      <c r="AO160" s="3">
        <v>5.7866782082164319E-3</v>
      </c>
      <c r="AP160" s="3">
        <v>7.1638751223794903E-3</v>
      </c>
      <c r="AQ160" s="3">
        <v>1.9379370474811614E-2</v>
      </c>
      <c r="AR160" s="3">
        <v>5.9206756371211554E-2</v>
      </c>
      <c r="AS160" s="3">
        <v>0.1023</v>
      </c>
      <c r="AT160" s="3">
        <v>0.19339999999999999</v>
      </c>
      <c r="AU160" s="3">
        <v>0.34399999999999997</v>
      </c>
      <c r="AV160" s="3">
        <v>0.15659999999999999</v>
      </c>
      <c r="AW160" s="3">
        <v>6.8599999999999994E-2</v>
      </c>
      <c r="AX160" s="3">
        <v>1.1000000000000001E-3</v>
      </c>
      <c r="BB160" s="2"/>
      <c r="BC160" s="5" t="b">
        <f t="shared" si="264"/>
        <v>1</v>
      </c>
      <c r="BD160" s="5" t="b">
        <f t="shared" si="265"/>
        <v>1</v>
      </c>
      <c r="BE160" s="5" t="b">
        <f t="shared" si="268"/>
        <v>1</v>
      </c>
      <c r="BF160" s="5" t="b">
        <f t="shared" si="270"/>
        <v>1</v>
      </c>
      <c r="BG160" s="5" t="b">
        <f t="shared" si="272"/>
        <v>1</v>
      </c>
      <c r="BH160" s="5" t="b">
        <f t="shared" si="274"/>
        <v>1</v>
      </c>
      <c r="BI160" s="5" t="b">
        <f t="shared" si="276"/>
        <v>1</v>
      </c>
      <c r="BJ160" s="5" t="b">
        <f t="shared" ref="BJ160:BJ163" si="278">IF(AU160&lt;AT160,FALSE,TRUE)</f>
        <v>1</v>
      </c>
      <c r="BK160" s="6"/>
      <c r="BL160" s="5" t="b">
        <f t="shared" si="251"/>
        <v>1</v>
      </c>
      <c r="BM160" s="5" t="b">
        <f t="shared" si="252"/>
        <v>1</v>
      </c>
      <c r="BN160" s="5" t="b">
        <f t="shared" si="253"/>
        <v>1</v>
      </c>
      <c r="BQ160" s="2"/>
      <c r="BR160" s="5" t="b">
        <f t="shared" si="266"/>
        <v>1</v>
      </c>
      <c r="BS160" s="5" t="b">
        <f t="shared" si="267"/>
        <v>1</v>
      </c>
      <c r="BT160" s="5" t="b">
        <f t="shared" si="269"/>
        <v>1</v>
      </c>
      <c r="BU160" s="5" t="b">
        <f t="shared" si="271"/>
        <v>1</v>
      </c>
      <c r="BV160" s="5" t="b">
        <f t="shared" si="273"/>
        <v>1</v>
      </c>
      <c r="BW160" s="5" t="b">
        <f t="shared" si="275"/>
        <v>1</v>
      </c>
      <c r="BX160" s="5" t="b">
        <f t="shared" si="277"/>
        <v>1</v>
      </c>
      <c r="BY160" s="5" t="b">
        <f t="shared" ref="BY160:BY163" si="279">IF(AT159&gt;=AT160, TRUE, FALSE)</f>
        <v>1</v>
      </c>
      <c r="BZ160" s="6"/>
      <c r="CA160" s="5" t="b">
        <f t="shared" si="261"/>
        <v>1</v>
      </c>
      <c r="CB160" s="5" t="b">
        <f t="shared" si="262"/>
        <v>1</v>
      </c>
      <c r="CC160" s="5" t="b">
        <f t="shared" si="263"/>
        <v>1</v>
      </c>
      <c r="CG160" s="2"/>
      <c r="CH160" s="3">
        <v>0</v>
      </c>
      <c r="CI160" s="3">
        <v>1.4703817857543973E-3</v>
      </c>
      <c r="CJ160" s="3">
        <v>5.4917226543334833E-3</v>
      </c>
      <c r="CK160" s="3">
        <v>6.7987218032145389E-3</v>
      </c>
      <c r="CL160" s="3">
        <v>1.8391575275800067E-2</v>
      </c>
      <c r="CM160" s="3">
        <v>5.6188900359400232E-2</v>
      </c>
      <c r="CN160" s="3">
        <v>9.7085617572551033E-2</v>
      </c>
      <c r="CO160" s="3">
        <v>0.18354211572366927</v>
      </c>
      <c r="CP160" s="3">
        <v>0.32646581080114906</v>
      </c>
      <c r="CQ160" s="3">
        <v>0.14861786619610448</v>
      </c>
      <c r="CR160" s="3">
        <v>6.5103356456275657E-2</v>
      </c>
      <c r="CS160" s="3">
        <v>1.0439313717478607E-3</v>
      </c>
    </row>
    <row r="161" spans="38:97" x14ac:dyDescent="0.4">
      <c r="AL161" s="2"/>
      <c r="AM161" s="3">
        <v>0</v>
      </c>
      <c r="AN161" s="3">
        <v>1.4E-3</v>
      </c>
      <c r="AO161" s="3">
        <v>4.7000000000000002E-3</v>
      </c>
      <c r="AP161" s="3">
        <v>6.7527772064536534E-3</v>
      </c>
      <c r="AQ161" s="3">
        <v>1.6400000000000001E-2</v>
      </c>
      <c r="AR161" s="3">
        <v>4.36E-2</v>
      </c>
      <c r="AS161" s="3">
        <v>6.0499999999999998E-2</v>
      </c>
      <c r="AT161" s="3">
        <v>7.2700000000000001E-2</v>
      </c>
      <c r="AU161" s="3">
        <v>0.1341</v>
      </c>
      <c r="AV161" s="3">
        <v>0.39989999999999998</v>
      </c>
      <c r="AW161" s="3">
        <v>0.1177</v>
      </c>
      <c r="AX161" s="3">
        <v>2.3E-3</v>
      </c>
      <c r="BB161" s="2"/>
      <c r="BC161" s="5" t="b">
        <f t="shared" si="264"/>
        <v>1</v>
      </c>
      <c r="BD161" s="5" t="b">
        <f t="shared" si="265"/>
        <v>1</v>
      </c>
      <c r="BE161" s="5" t="b">
        <f t="shared" si="268"/>
        <v>1</v>
      </c>
      <c r="BF161" s="5" t="b">
        <f t="shared" si="270"/>
        <v>1</v>
      </c>
      <c r="BG161" s="5" t="b">
        <f t="shared" si="272"/>
        <v>1</v>
      </c>
      <c r="BH161" s="5" t="b">
        <f t="shared" si="274"/>
        <v>1</v>
      </c>
      <c r="BI161" s="5" t="b">
        <f t="shared" si="276"/>
        <v>1</v>
      </c>
      <c r="BJ161" s="5" t="b">
        <f t="shared" si="278"/>
        <v>1</v>
      </c>
      <c r="BK161" s="5" t="b">
        <f t="shared" ref="BK161:BK163" si="280">IF(AV161&lt;AU161,FALSE,TRUE)</f>
        <v>1</v>
      </c>
      <c r="BL161" s="6"/>
      <c r="BM161" s="5" t="b">
        <f t="shared" si="252"/>
        <v>1</v>
      </c>
      <c r="BN161" s="5" t="b">
        <f t="shared" si="253"/>
        <v>1</v>
      </c>
      <c r="BQ161" s="2"/>
      <c r="BR161" s="5" t="b">
        <f t="shared" si="266"/>
        <v>1</v>
      </c>
      <c r="BS161" s="5" t="b">
        <f t="shared" si="267"/>
        <v>1</v>
      </c>
      <c r="BT161" s="5" t="b">
        <f t="shared" si="269"/>
        <v>1</v>
      </c>
      <c r="BU161" s="5" t="b">
        <f t="shared" si="271"/>
        <v>1</v>
      </c>
      <c r="BV161" s="5" t="b">
        <f t="shared" si="273"/>
        <v>1</v>
      </c>
      <c r="BW161" s="5" t="b">
        <f t="shared" si="275"/>
        <v>1</v>
      </c>
      <c r="BX161" s="5" t="b">
        <f t="shared" si="277"/>
        <v>1</v>
      </c>
      <c r="BY161" s="5" t="b">
        <f t="shared" si="279"/>
        <v>1</v>
      </c>
      <c r="BZ161" s="5" t="b">
        <f t="shared" ref="BZ161:BZ163" si="281">IF(AU160&gt;=AU161, TRUE, FALSE)</f>
        <v>1</v>
      </c>
      <c r="CA161" s="6"/>
      <c r="CB161" s="5" t="b">
        <f t="shared" si="262"/>
        <v>1</v>
      </c>
      <c r="CC161" s="5" t="b">
        <f t="shared" si="263"/>
        <v>1</v>
      </c>
      <c r="CG161" s="2"/>
      <c r="CH161" s="3">
        <v>0</v>
      </c>
      <c r="CI161" s="3">
        <v>1.3973095975615001E-3</v>
      </c>
      <c r="CJ161" s="3">
        <v>4.6909679346707495E-3</v>
      </c>
      <c r="CK161" s="3">
        <v>6.7398002862658745E-3</v>
      </c>
      <c r="CL161" s="3">
        <v>1.6368483857149001E-2</v>
      </c>
      <c r="CM161" s="3">
        <v>4.3516213181200997E-2</v>
      </c>
      <c r="CN161" s="3">
        <v>6.0383736180336246E-2</v>
      </c>
      <c r="CO161" s="3">
        <v>7.2560291244800748E-2</v>
      </c>
      <c r="CP161" s="3">
        <v>0.13384229788071225</v>
      </c>
      <c r="CQ161" s="3">
        <v>0.39913150576060274</v>
      </c>
      <c r="CR161" s="3">
        <v>0.11747381402356324</v>
      </c>
      <c r="CS161" s="3">
        <v>2.29558005313675E-3</v>
      </c>
    </row>
    <row r="162" spans="38:97" x14ac:dyDescent="0.4">
      <c r="AL162" s="2"/>
      <c r="AM162" s="3">
        <v>0</v>
      </c>
      <c r="AN162" s="3">
        <v>1.2999999999999999E-3</v>
      </c>
      <c r="AO162" s="3">
        <v>2.2343106042047056E-3</v>
      </c>
      <c r="AP162" s="3">
        <v>6.3652700837216573E-3</v>
      </c>
      <c r="AQ162" s="3">
        <v>6.6E-3</v>
      </c>
      <c r="AR162" s="3">
        <v>2.0045406624063851E-2</v>
      </c>
      <c r="AS162" s="3">
        <v>2.5952372966041956E-2</v>
      </c>
      <c r="AT162" s="3">
        <v>3.3599999999999998E-2</v>
      </c>
      <c r="AU162" s="3">
        <v>6.0600000000000001E-2</v>
      </c>
      <c r="AV162" s="3">
        <v>8.6999999999999994E-2</v>
      </c>
      <c r="AW162" s="3">
        <v>0.46529999999999999</v>
      </c>
      <c r="AX162" s="3">
        <v>1.5800000000000002E-2</v>
      </c>
      <c r="BB162" s="2"/>
      <c r="BC162" s="5" t="b">
        <f t="shared" si="264"/>
        <v>1</v>
      </c>
      <c r="BD162" s="5" t="b">
        <f t="shared" si="265"/>
        <v>1</v>
      </c>
      <c r="BE162" s="5" t="b">
        <f t="shared" si="268"/>
        <v>1</v>
      </c>
      <c r="BF162" s="5" t="b">
        <f t="shared" si="270"/>
        <v>1</v>
      </c>
      <c r="BG162" s="5" t="b">
        <f t="shared" si="272"/>
        <v>1</v>
      </c>
      <c r="BH162" s="5" t="b">
        <f t="shared" si="274"/>
        <v>1</v>
      </c>
      <c r="BI162" s="5" t="b">
        <f t="shared" si="276"/>
        <v>1</v>
      </c>
      <c r="BJ162" s="5" t="b">
        <f t="shared" si="278"/>
        <v>1</v>
      </c>
      <c r="BK162" s="5" t="b">
        <f t="shared" si="280"/>
        <v>1</v>
      </c>
      <c r="BL162" s="5" t="b">
        <f t="shared" ref="BL162:BL163" si="282">IF(AW162&lt;AV162,FALSE,TRUE)</f>
        <v>1</v>
      </c>
      <c r="BM162" s="6"/>
      <c r="BN162" s="5" t="b">
        <f>IF(AX162&gt;AW162,FALSE,TRUE)</f>
        <v>1</v>
      </c>
      <c r="BQ162" s="2"/>
      <c r="BR162" s="5" t="b">
        <f t="shared" si="266"/>
        <v>1</v>
      </c>
      <c r="BS162" s="5" t="b">
        <f t="shared" si="267"/>
        <v>1</v>
      </c>
      <c r="BT162" s="5" t="b">
        <f t="shared" si="269"/>
        <v>1</v>
      </c>
      <c r="BU162" s="5" t="b">
        <f t="shared" si="271"/>
        <v>1</v>
      </c>
      <c r="BV162" s="5" t="b">
        <f t="shared" si="273"/>
        <v>1</v>
      </c>
      <c r="BW162" s="5" t="b">
        <f t="shared" si="275"/>
        <v>1</v>
      </c>
      <c r="BX162" s="5" t="b">
        <f t="shared" si="277"/>
        <v>1</v>
      </c>
      <c r="BY162" s="5" t="b">
        <f t="shared" si="279"/>
        <v>1</v>
      </c>
      <c r="BZ162" s="5" t="b">
        <f t="shared" si="281"/>
        <v>1</v>
      </c>
      <c r="CA162" s="5" t="b">
        <f t="shared" ref="CA162:CA163" si="283">IF(AV161&gt;=AV162, TRUE, FALSE)</f>
        <v>1</v>
      </c>
      <c r="CB162" s="6"/>
      <c r="CC162" s="5" t="b">
        <f t="shared" si="263"/>
        <v>1</v>
      </c>
      <c r="CG162" s="2"/>
      <c r="CH162" s="3">
        <v>0</v>
      </c>
      <c r="CI162" s="3">
        <v>1.2542678130771242E-3</v>
      </c>
      <c r="CJ162" s="3">
        <v>2.1557106732852803E-3</v>
      </c>
      <c r="CK162" s="3">
        <v>6.1413487596575448E-3</v>
      </c>
      <c r="CL162" s="3">
        <v>6.3678212048530929E-3</v>
      </c>
      <c r="CM162" s="3">
        <v>1.9340237175850976E-2</v>
      </c>
      <c r="CN162" s="3">
        <v>2.5039404680214868E-2</v>
      </c>
      <c r="CO162" s="3">
        <v>3.2417998861070288E-2</v>
      </c>
      <c r="CP162" s="3">
        <v>5.8468176517287494E-2</v>
      </c>
      <c r="CQ162" s="3">
        <v>8.3939461336699855E-2</v>
      </c>
      <c r="CR162" s="3">
        <v>0.44893139494214307</v>
      </c>
      <c r="CS162" s="3">
        <v>1.5244178035860437E-2</v>
      </c>
    </row>
    <row r="163" spans="38:97" x14ac:dyDescent="0.4">
      <c r="AL163" s="2"/>
      <c r="AM163" s="3">
        <v>0</v>
      </c>
      <c r="AN163" s="3">
        <v>0</v>
      </c>
      <c r="AO163" s="3">
        <v>0</v>
      </c>
      <c r="AP163" s="3">
        <v>6.0000000000000001E-3</v>
      </c>
      <c r="AQ163" s="3">
        <v>6.0000000000000019E-3</v>
      </c>
      <c r="AR163" s="3">
        <v>9.2160166679830947E-3</v>
      </c>
      <c r="AS163" s="3">
        <v>1.415582720409036E-2</v>
      </c>
      <c r="AT163" s="3">
        <v>2.1743389910330861E-2</v>
      </c>
      <c r="AU163" s="3">
        <v>0.03</v>
      </c>
      <c r="AV163" s="3">
        <v>5.5317266743757323E-2</v>
      </c>
      <c r="AW163" s="3">
        <v>0.10199999999999999</v>
      </c>
      <c r="AX163" s="3">
        <v>0.12</v>
      </c>
      <c r="BB163" s="2"/>
      <c r="BC163" s="5" t="b">
        <f t="shared" si="264"/>
        <v>1</v>
      </c>
      <c r="BD163" s="5" t="b">
        <f t="shared" si="265"/>
        <v>1</v>
      </c>
      <c r="BE163" s="5" t="b">
        <f t="shared" si="268"/>
        <v>1</v>
      </c>
      <c r="BF163" s="5" t="b">
        <f t="shared" si="270"/>
        <v>1</v>
      </c>
      <c r="BG163" s="5" t="b">
        <f t="shared" si="272"/>
        <v>1</v>
      </c>
      <c r="BH163" s="5" t="b">
        <f t="shared" si="274"/>
        <v>1</v>
      </c>
      <c r="BI163" s="5" t="b">
        <f t="shared" si="276"/>
        <v>1</v>
      </c>
      <c r="BJ163" s="5" t="b">
        <f t="shared" si="278"/>
        <v>1</v>
      </c>
      <c r="BK163" s="5" t="b">
        <f t="shared" si="280"/>
        <v>1</v>
      </c>
      <c r="BL163" s="5" t="b">
        <f t="shared" si="282"/>
        <v>1</v>
      </c>
      <c r="BM163" s="5" t="b">
        <f t="shared" ref="BM163" si="284">IF(AX163&lt;AW163,FALSE,TRUE)</f>
        <v>1</v>
      </c>
      <c r="BN163" s="6"/>
      <c r="BQ163" s="2"/>
      <c r="BR163" s="5" t="b">
        <f t="shared" si="266"/>
        <v>1</v>
      </c>
      <c r="BS163" s="5" t="b">
        <f t="shared" si="267"/>
        <v>1</v>
      </c>
      <c r="BT163" s="5" t="b">
        <f t="shared" si="269"/>
        <v>1</v>
      </c>
      <c r="BU163" s="5" t="b">
        <f t="shared" si="271"/>
        <v>1</v>
      </c>
      <c r="BV163" s="5" t="b">
        <f t="shared" si="273"/>
        <v>1</v>
      </c>
      <c r="BW163" s="5" t="b">
        <f t="shared" si="275"/>
        <v>1</v>
      </c>
      <c r="BX163" s="5" t="b">
        <f t="shared" si="277"/>
        <v>1</v>
      </c>
      <c r="BY163" s="5" t="b">
        <f t="shared" si="279"/>
        <v>1</v>
      </c>
      <c r="BZ163" s="5" t="b">
        <f t="shared" si="281"/>
        <v>1</v>
      </c>
      <c r="CA163" s="5" t="b">
        <f t="shared" si="283"/>
        <v>1</v>
      </c>
      <c r="CB163" s="5" t="b">
        <f>IF(AW162&gt;=AW163, TRUE, FALSE)</f>
        <v>1</v>
      </c>
      <c r="CC163" s="6"/>
      <c r="CG163" s="2"/>
      <c r="CH163" s="3">
        <v>0</v>
      </c>
      <c r="CI163" s="3">
        <v>0</v>
      </c>
      <c r="CJ163" s="3">
        <v>0</v>
      </c>
      <c r="CK163" s="3">
        <v>4.7416188114538151E-3</v>
      </c>
      <c r="CL163" s="3">
        <v>4.7416188114538169E-3</v>
      </c>
      <c r="CM163" s="3">
        <v>7.2831396665967579E-3</v>
      </c>
      <c r="CN163" s="3">
        <v>1.1186922760434086E-2</v>
      </c>
      <c r="CO163" s="3">
        <v>1.7183144437266651E-2</v>
      </c>
      <c r="CP163" s="3">
        <v>2.3708094057269074E-2</v>
      </c>
      <c r="CQ163" s="3">
        <v>4.3715565431734708E-2</v>
      </c>
      <c r="CR163" s="3">
        <v>8.0607519794714852E-2</v>
      </c>
      <c r="CS163" s="3">
        <v>9.4832376229076296E-2</v>
      </c>
    </row>
  </sheetData>
  <mergeCells count="48">
    <mergeCell ref="CG150:CS150"/>
    <mergeCell ref="C93:O93"/>
    <mergeCell ref="C122:O122"/>
    <mergeCell ref="CG5:CS5"/>
    <mergeCell ref="CG34:CS34"/>
    <mergeCell ref="CG63:CS63"/>
    <mergeCell ref="CG92:CS92"/>
    <mergeCell ref="CG121:CS121"/>
    <mergeCell ref="BB92:BN92"/>
    <mergeCell ref="BQ92:CC92"/>
    <mergeCell ref="BB121:BN121"/>
    <mergeCell ref="BQ121:CC121"/>
    <mergeCell ref="BB150:BN150"/>
    <mergeCell ref="BQ150:CC150"/>
    <mergeCell ref="BB5:BN5"/>
    <mergeCell ref="BQ5:CC5"/>
    <mergeCell ref="BB34:BN34"/>
    <mergeCell ref="BQ34:CC34"/>
    <mergeCell ref="BB63:BN63"/>
    <mergeCell ref="BQ63:CC63"/>
    <mergeCell ref="AH151:AI151"/>
    <mergeCell ref="AL150:AX150"/>
    <mergeCell ref="AH93:AI93"/>
    <mergeCell ref="AH120:AI120"/>
    <mergeCell ref="AH121:AI121"/>
    <mergeCell ref="AH122:AI122"/>
    <mergeCell ref="AH149:AI149"/>
    <mergeCell ref="AH150:AI150"/>
    <mergeCell ref="AH35:AI35"/>
    <mergeCell ref="AH62:AI62"/>
    <mergeCell ref="AH63:AI63"/>
    <mergeCell ref="AH64:AI64"/>
    <mergeCell ref="AL5:AX5"/>
    <mergeCell ref="AL63:AX63"/>
    <mergeCell ref="AL121:AX121"/>
    <mergeCell ref="AL34:AX34"/>
    <mergeCell ref="AL92:AX92"/>
    <mergeCell ref="AH91:AI91"/>
    <mergeCell ref="AH92:AI92"/>
    <mergeCell ref="C4:P5"/>
    <mergeCell ref="AH4:AI4"/>
    <mergeCell ref="AH5:AI5"/>
    <mergeCell ref="AH6:AI6"/>
    <mergeCell ref="AH33:AI33"/>
    <mergeCell ref="AH34:AI34"/>
    <mergeCell ref="B32:C32"/>
    <mergeCell ref="B33:C33"/>
    <mergeCell ref="B34:C34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Parallel_Smoothing">
                <anchor moveWithCells="1" sizeWithCells="1">
                  <from>
                    <xdr:col>33</xdr:col>
                    <xdr:colOff>320040</xdr:colOff>
                    <xdr:row>6</xdr:row>
                    <xdr:rowOff>106680</xdr:rowOff>
                  </from>
                  <to>
                    <xdr:col>35</xdr:col>
                    <xdr:colOff>502920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Vertical_Smoothing">
                <anchor moveWithCells="1" sizeWithCells="1">
                  <from>
                    <xdr:col>33</xdr:col>
                    <xdr:colOff>198120</xdr:colOff>
                    <xdr:row>35</xdr:row>
                    <xdr:rowOff>114300</xdr:rowOff>
                  </from>
                  <to>
                    <xdr:col>35</xdr:col>
                    <xdr:colOff>335280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1.Parallel_Smoothing2">
                <anchor moveWithCells="1" sizeWithCells="1">
                  <from>
                    <xdr:col>33</xdr:col>
                    <xdr:colOff>396240</xdr:colOff>
                    <xdr:row>64</xdr:row>
                    <xdr:rowOff>76200</xdr:rowOff>
                  </from>
                  <to>
                    <xdr:col>35</xdr:col>
                    <xdr:colOff>518160</xdr:colOff>
                    <xdr:row>68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1.Vertical_Smoothing2">
                <anchor moveWithCells="1" sizeWithCells="1">
                  <from>
                    <xdr:col>33</xdr:col>
                    <xdr:colOff>289560</xdr:colOff>
                    <xdr:row>93</xdr:row>
                    <xdr:rowOff>68580</xdr:rowOff>
                  </from>
                  <to>
                    <xdr:col>35</xdr:col>
                    <xdr:colOff>464820</xdr:colOff>
                    <xdr:row>96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Sheet1.Parallel_Smoothing3">
                <anchor moveWithCells="1" sizeWithCells="1">
                  <from>
                    <xdr:col>33</xdr:col>
                    <xdr:colOff>236220</xdr:colOff>
                    <xdr:row>122</xdr:row>
                    <xdr:rowOff>68580</xdr:rowOff>
                  </from>
                  <to>
                    <xdr:col>35</xdr:col>
                    <xdr:colOff>411480</xdr:colOff>
                    <xdr:row>125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Sheet1.Vertical_Smoothing3">
                <anchor moveWithCells="1" sizeWithCells="1">
                  <from>
                    <xdr:col>33</xdr:col>
                    <xdr:colOff>182880</xdr:colOff>
                    <xdr:row>151</xdr:row>
                    <xdr:rowOff>121920</xdr:rowOff>
                  </from>
                  <to>
                    <xdr:col>35</xdr:col>
                    <xdr:colOff>525780</xdr:colOff>
                    <xdr:row>155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Sheet1.Smoothing">
                <anchor moveWithCells="1" sizeWithCells="1">
                  <from>
                    <xdr:col>4</xdr:col>
                    <xdr:colOff>198120</xdr:colOff>
                    <xdr:row>18</xdr:row>
                    <xdr:rowOff>205740</xdr:rowOff>
                  </from>
                  <to>
                    <xdr:col>6</xdr:col>
                    <xdr:colOff>236220</xdr:colOff>
                    <xdr:row>34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X145"/>
  <sheetViews>
    <sheetView workbookViewId="0">
      <selection activeCell="H18" sqref="H18"/>
    </sheetView>
  </sheetViews>
  <sheetFormatPr defaultRowHeight="17.399999999999999" x14ac:dyDescent="0.4"/>
  <cols>
    <col min="1" max="16384" width="8.796875" style="7"/>
  </cols>
  <sheetData>
    <row r="1" spans="1:258" x14ac:dyDescent="0.4">
      <c r="A1" s="7">
        <v>1</v>
      </c>
      <c r="B1" s="7">
        <f>A1+1</f>
        <v>2</v>
      </c>
      <c r="C1" s="7">
        <f t="shared" ref="C1:BN1" si="0">B1+1</f>
        <v>3</v>
      </c>
      <c r="D1" s="7">
        <f t="shared" si="0"/>
        <v>4</v>
      </c>
      <c r="E1" s="7">
        <f t="shared" si="0"/>
        <v>5</v>
      </c>
      <c r="F1" s="7">
        <f t="shared" si="0"/>
        <v>6</v>
      </c>
      <c r="G1" s="7">
        <f t="shared" si="0"/>
        <v>7</v>
      </c>
      <c r="H1" s="7">
        <f t="shared" si="0"/>
        <v>8</v>
      </c>
      <c r="I1" s="7">
        <f t="shared" si="0"/>
        <v>9</v>
      </c>
      <c r="J1" s="7">
        <f t="shared" si="0"/>
        <v>10</v>
      </c>
      <c r="K1" s="7">
        <f t="shared" si="0"/>
        <v>11</v>
      </c>
      <c r="L1" s="7">
        <f t="shared" si="0"/>
        <v>12</v>
      </c>
      <c r="M1" s="7">
        <f t="shared" si="0"/>
        <v>13</v>
      </c>
      <c r="N1" s="7">
        <f t="shared" si="0"/>
        <v>14</v>
      </c>
      <c r="O1" s="7">
        <f t="shared" si="0"/>
        <v>15</v>
      </c>
      <c r="P1" s="7">
        <f t="shared" si="0"/>
        <v>16</v>
      </c>
      <c r="Q1" s="7">
        <f t="shared" si="0"/>
        <v>17</v>
      </c>
      <c r="R1" s="7">
        <f t="shared" si="0"/>
        <v>18</v>
      </c>
      <c r="S1" s="7">
        <f t="shared" si="0"/>
        <v>19</v>
      </c>
      <c r="T1" s="7">
        <f t="shared" si="0"/>
        <v>20</v>
      </c>
      <c r="U1" s="7">
        <f t="shared" si="0"/>
        <v>21</v>
      </c>
      <c r="V1" s="7">
        <f t="shared" si="0"/>
        <v>22</v>
      </c>
      <c r="W1" s="7">
        <f t="shared" si="0"/>
        <v>23</v>
      </c>
      <c r="X1" s="7">
        <f t="shared" si="0"/>
        <v>24</v>
      </c>
      <c r="Y1" s="7">
        <f t="shared" si="0"/>
        <v>25</v>
      </c>
      <c r="Z1" s="7">
        <f t="shared" si="0"/>
        <v>26</v>
      </c>
      <c r="AA1" s="7">
        <f t="shared" si="0"/>
        <v>27</v>
      </c>
      <c r="AB1" s="7">
        <f t="shared" si="0"/>
        <v>28</v>
      </c>
      <c r="AC1" s="7">
        <f t="shared" si="0"/>
        <v>29</v>
      </c>
      <c r="AD1" s="7">
        <f t="shared" si="0"/>
        <v>30</v>
      </c>
      <c r="AE1" s="7">
        <f t="shared" si="0"/>
        <v>31</v>
      </c>
      <c r="AF1" s="7">
        <f t="shared" si="0"/>
        <v>32</v>
      </c>
      <c r="AG1" s="7">
        <f t="shared" si="0"/>
        <v>33</v>
      </c>
      <c r="AH1" s="7">
        <f t="shared" si="0"/>
        <v>34</v>
      </c>
      <c r="AI1" s="7">
        <f t="shared" si="0"/>
        <v>35</v>
      </c>
      <c r="AJ1" s="7">
        <f t="shared" si="0"/>
        <v>36</v>
      </c>
      <c r="AK1" s="7">
        <f t="shared" si="0"/>
        <v>37</v>
      </c>
      <c r="AL1" s="7">
        <f t="shared" si="0"/>
        <v>38</v>
      </c>
      <c r="AM1" s="7">
        <f t="shared" si="0"/>
        <v>39</v>
      </c>
      <c r="AN1" s="7">
        <f t="shared" si="0"/>
        <v>40</v>
      </c>
      <c r="AO1" s="7">
        <f t="shared" si="0"/>
        <v>41</v>
      </c>
      <c r="AP1" s="7">
        <f t="shared" si="0"/>
        <v>42</v>
      </c>
      <c r="AQ1" s="7">
        <f t="shared" si="0"/>
        <v>43</v>
      </c>
      <c r="AR1" s="7">
        <f t="shared" si="0"/>
        <v>44</v>
      </c>
      <c r="AS1" s="7">
        <f t="shared" si="0"/>
        <v>45</v>
      </c>
      <c r="AT1" s="7">
        <f t="shared" si="0"/>
        <v>46</v>
      </c>
      <c r="AU1" s="7">
        <f t="shared" si="0"/>
        <v>47</v>
      </c>
      <c r="AV1" s="7">
        <f t="shared" si="0"/>
        <v>48</v>
      </c>
      <c r="AW1" s="7">
        <f t="shared" si="0"/>
        <v>49</v>
      </c>
      <c r="AX1" s="7">
        <f t="shared" si="0"/>
        <v>50</v>
      </c>
      <c r="AY1" s="7">
        <f t="shared" si="0"/>
        <v>51</v>
      </c>
      <c r="AZ1" s="7">
        <f t="shared" si="0"/>
        <v>52</v>
      </c>
      <c r="BA1" s="7">
        <f t="shared" si="0"/>
        <v>53</v>
      </c>
      <c r="BB1" s="7">
        <f t="shared" si="0"/>
        <v>54</v>
      </c>
      <c r="BC1" s="7">
        <f t="shared" si="0"/>
        <v>55</v>
      </c>
      <c r="BD1" s="7">
        <f t="shared" si="0"/>
        <v>56</v>
      </c>
      <c r="BE1" s="7">
        <f t="shared" si="0"/>
        <v>57</v>
      </c>
      <c r="BF1" s="7">
        <f t="shared" si="0"/>
        <v>58</v>
      </c>
      <c r="BG1" s="7">
        <f t="shared" si="0"/>
        <v>59</v>
      </c>
      <c r="BH1" s="7">
        <f t="shared" si="0"/>
        <v>60</v>
      </c>
      <c r="BI1" s="7">
        <f t="shared" si="0"/>
        <v>61</v>
      </c>
      <c r="BJ1" s="7">
        <f t="shared" si="0"/>
        <v>62</v>
      </c>
      <c r="BK1" s="7">
        <f t="shared" si="0"/>
        <v>63</v>
      </c>
      <c r="BL1" s="7">
        <f t="shared" si="0"/>
        <v>64</v>
      </c>
      <c r="BM1" s="7">
        <f t="shared" si="0"/>
        <v>65</v>
      </c>
      <c r="BN1" s="7">
        <f t="shared" si="0"/>
        <v>66</v>
      </c>
      <c r="BO1" s="7">
        <f t="shared" ref="BO1:DD1" si="1">BN1+1</f>
        <v>67</v>
      </c>
      <c r="BP1" s="7">
        <f t="shared" si="1"/>
        <v>68</v>
      </c>
      <c r="BQ1" s="7">
        <f t="shared" si="1"/>
        <v>69</v>
      </c>
      <c r="BR1" s="7">
        <f t="shared" si="1"/>
        <v>70</v>
      </c>
      <c r="BS1" s="7">
        <f t="shared" si="1"/>
        <v>71</v>
      </c>
      <c r="BT1" s="7">
        <f t="shared" si="1"/>
        <v>72</v>
      </c>
      <c r="BU1" s="7">
        <f t="shared" si="1"/>
        <v>73</v>
      </c>
      <c r="BV1" s="7">
        <f t="shared" si="1"/>
        <v>74</v>
      </c>
      <c r="BW1" s="7">
        <f t="shared" si="1"/>
        <v>75</v>
      </c>
      <c r="BX1" s="7">
        <f t="shared" si="1"/>
        <v>76</v>
      </c>
      <c r="BY1" s="7">
        <f t="shared" si="1"/>
        <v>77</v>
      </c>
      <c r="BZ1" s="7">
        <f t="shared" si="1"/>
        <v>78</v>
      </c>
      <c r="CA1" s="7">
        <f t="shared" si="1"/>
        <v>79</v>
      </c>
      <c r="CB1" s="7">
        <f t="shared" si="1"/>
        <v>80</v>
      </c>
      <c r="CC1" s="7">
        <f t="shared" si="1"/>
        <v>81</v>
      </c>
      <c r="CD1" s="7">
        <f t="shared" si="1"/>
        <v>82</v>
      </c>
      <c r="CE1" s="7">
        <f t="shared" si="1"/>
        <v>83</v>
      </c>
      <c r="CF1" s="7">
        <f t="shared" si="1"/>
        <v>84</v>
      </c>
      <c r="CG1" s="7">
        <f t="shared" si="1"/>
        <v>85</v>
      </c>
      <c r="CH1" s="7">
        <f t="shared" si="1"/>
        <v>86</v>
      </c>
      <c r="CI1" s="7">
        <f t="shared" si="1"/>
        <v>87</v>
      </c>
      <c r="CJ1" s="7">
        <f t="shared" si="1"/>
        <v>88</v>
      </c>
      <c r="CK1" s="7">
        <f t="shared" si="1"/>
        <v>89</v>
      </c>
      <c r="CL1" s="7">
        <f t="shared" si="1"/>
        <v>90</v>
      </c>
      <c r="CM1" s="7">
        <f t="shared" si="1"/>
        <v>91</v>
      </c>
      <c r="CN1" s="7">
        <f t="shared" si="1"/>
        <v>92</v>
      </c>
      <c r="CO1" s="7">
        <f t="shared" si="1"/>
        <v>93</v>
      </c>
      <c r="CP1" s="7">
        <f t="shared" si="1"/>
        <v>94</v>
      </c>
      <c r="CQ1" s="7">
        <f t="shared" si="1"/>
        <v>95</v>
      </c>
      <c r="CR1" s="7">
        <f t="shared" si="1"/>
        <v>96</v>
      </c>
      <c r="CS1" s="7">
        <f t="shared" si="1"/>
        <v>97</v>
      </c>
      <c r="CT1" s="7">
        <f t="shared" si="1"/>
        <v>98</v>
      </c>
      <c r="CU1" s="7">
        <f t="shared" si="1"/>
        <v>99</v>
      </c>
      <c r="CV1" s="7">
        <f t="shared" si="1"/>
        <v>100</v>
      </c>
      <c r="CW1" s="7">
        <f t="shared" si="1"/>
        <v>101</v>
      </c>
      <c r="CX1" s="7">
        <f t="shared" si="1"/>
        <v>102</v>
      </c>
      <c r="CY1" s="7">
        <f t="shared" si="1"/>
        <v>103</v>
      </c>
      <c r="CZ1" s="7">
        <f t="shared" si="1"/>
        <v>104</v>
      </c>
      <c r="DA1" s="7">
        <f t="shared" si="1"/>
        <v>105</v>
      </c>
      <c r="DB1" s="7">
        <f t="shared" si="1"/>
        <v>106</v>
      </c>
      <c r="DC1" s="7">
        <f t="shared" si="1"/>
        <v>107</v>
      </c>
      <c r="DD1" s="7">
        <f t="shared" si="1"/>
        <v>108</v>
      </c>
    </row>
    <row r="3" spans="1:258" x14ac:dyDescent="0.4">
      <c r="B3" s="14" t="s">
        <v>42</v>
      </c>
      <c r="C3" s="14"/>
      <c r="D3" s="14"/>
      <c r="F3" s="20" t="s">
        <v>43</v>
      </c>
      <c r="G3" s="20"/>
      <c r="I3" s="16" t="s">
        <v>52</v>
      </c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</row>
    <row r="4" spans="1:258" x14ac:dyDescent="0.4">
      <c r="B4" s="14"/>
      <c r="C4" s="14"/>
      <c r="D4" s="14"/>
      <c r="F4" s="20"/>
      <c r="G4" s="20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</row>
    <row r="6" spans="1:258" x14ac:dyDescent="0.4">
      <c r="B6" s="17" t="s">
        <v>44</v>
      </c>
      <c r="C6" s="17"/>
      <c r="D6" s="8">
        <f>COUNT(B9:B29)</f>
        <v>10</v>
      </c>
      <c r="AF6" s="17" t="s">
        <v>53</v>
      </c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BC6" s="17" t="s">
        <v>54</v>
      </c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  <c r="BO6" s="17"/>
      <c r="BP6" s="17"/>
      <c r="BQ6" s="17"/>
      <c r="BZ6" s="17" t="s">
        <v>55</v>
      </c>
      <c r="CA6" s="17"/>
      <c r="CB6" s="17"/>
      <c r="CC6" s="17"/>
      <c r="CD6" s="17"/>
      <c r="CE6" s="17"/>
      <c r="CF6" s="17"/>
      <c r="CG6" s="17"/>
      <c r="CH6" s="17"/>
      <c r="CI6" s="17"/>
      <c r="CJ6" s="17"/>
      <c r="CK6" s="17"/>
      <c r="CL6" s="17"/>
      <c r="CM6" s="17"/>
      <c r="CN6" s="17"/>
      <c r="CW6" s="17" t="s">
        <v>56</v>
      </c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T6" s="17" t="s">
        <v>57</v>
      </c>
      <c r="DU6" s="17"/>
      <c r="DV6" s="17"/>
      <c r="DW6" s="17"/>
      <c r="DX6" s="17"/>
      <c r="DY6" s="17"/>
      <c r="DZ6" s="17"/>
      <c r="EA6" s="17"/>
      <c r="EB6" s="17"/>
      <c r="EC6" s="17"/>
      <c r="ED6" s="17"/>
      <c r="EE6" s="17"/>
      <c r="EF6" s="17"/>
      <c r="EG6" s="17"/>
      <c r="EH6" s="17"/>
      <c r="EQ6" s="17" t="s">
        <v>58</v>
      </c>
      <c r="ER6" s="17"/>
      <c r="ES6" s="17"/>
      <c r="ET6" s="17"/>
      <c r="EU6" s="17"/>
      <c r="EV6" s="17"/>
      <c r="EW6" s="17"/>
      <c r="EX6" s="17"/>
      <c r="EY6" s="17"/>
      <c r="EZ6" s="17"/>
      <c r="FA6" s="17"/>
      <c r="FB6" s="17"/>
      <c r="FC6" s="17"/>
      <c r="FD6" s="17"/>
      <c r="FE6" s="17"/>
      <c r="FN6" s="17" t="s">
        <v>59</v>
      </c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K6" s="17" t="s">
        <v>60</v>
      </c>
      <c r="GL6" s="17"/>
      <c r="GM6" s="17"/>
      <c r="GN6" s="17"/>
      <c r="GO6" s="17"/>
      <c r="GP6" s="17"/>
      <c r="GQ6" s="17"/>
      <c r="GR6" s="17"/>
      <c r="GS6" s="17"/>
      <c r="GT6" s="17"/>
      <c r="GU6" s="17"/>
      <c r="GV6" s="17"/>
      <c r="GW6" s="17"/>
      <c r="GX6" s="17"/>
      <c r="GY6" s="17"/>
      <c r="HH6" s="17" t="s">
        <v>61</v>
      </c>
      <c r="HI6" s="17"/>
      <c r="HJ6" s="17"/>
      <c r="HK6" s="17"/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IE6" s="17" t="s">
        <v>62</v>
      </c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</row>
    <row r="7" spans="1:258" x14ac:dyDescent="0.4"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  <c r="BO7" s="17"/>
      <c r="BP7" s="17"/>
      <c r="BQ7" s="17"/>
      <c r="BZ7" s="17"/>
      <c r="CA7" s="17"/>
      <c r="CB7" s="17"/>
      <c r="CC7" s="17"/>
      <c r="CD7" s="17"/>
      <c r="CE7" s="17"/>
      <c r="CF7" s="17"/>
      <c r="CG7" s="17"/>
      <c r="CH7" s="17"/>
      <c r="CI7" s="17"/>
      <c r="CJ7" s="17"/>
      <c r="CK7" s="17"/>
      <c r="CL7" s="17"/>
      <c r="CM7" s="17"/>
      <c r="CN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T7" s="17"/>
      <c r="DU7" s="17"/>
      <c r="DV7" s="17"/>
      <c r="DW7" s="17"/>
      <c r="DX7" s="17"/>
      <c r="DY7" s="17"/>
      <c r="DZ7" s="17"/>
      <c r="EA7" s="17"/>
      <c r="EB7" s="17"/>
      <c r="EC7" s="17"/>
      <c r="ED7" s="17"/>
      <c r="EE7" s="17"/>
      <c r="EF7" s="17"/>
      <c r="EG7" s="17"/>
      <c r="EH7" s="17"/>
      <c r="EQ7" s="17"/>
      <c r="ER7" s="17"/>
      <c r="ES7" s="17"/>
      <c r="ET7" s="17"/>
      <c r="EU7" s="17"/>
      <c r="EV7" s="17"/>
      <c r="EW7" s="17"/>
      <c r="EX7" s="17"/>
      <c r="EY7" s="17"/>
      <c r="EZ7" s="17"/>
      <c r="FA7" s="17"/>
      <c r="FB7" s="17"/>
      <c r="FC7" s="17"/>
      <c r="FD7" s="17"/>
      <c r="FE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K7" s="17"/>
      <c r="GL7" s="17"/>
      <c r="GM7" s="17"/>
      <c r="GN7" s="17"/>
      <c r="GO7" s="17"/>
      <c r="GP7" s="17"/>
      <c r="GQ7" s="17"/>
      <c r="GR7" s="17"/>
      <c r="GS7" s="17"/>
      <c r="GT7" s="17"/>
      <c r="GU7" s="17"/>
      <c r="GV7" s="17"/>
      <c r="GW7" s="17"/>
      <c r="GX7" s="17"/>
      <c r="GY7" s="17"/>
      <c r="HH7" s="17"/>
      <c r="HI7" s="17"/>
      <c r="HJ7" s="17"/>
      <c r="HK7" s="17"/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</row>
    <row r="8" spans="1:258" x14ac:dyDescent="0.4">
      <c r="B8" s="18" t="s">
        <v>45</v>
      </c>
      <c r="C8" s="18" t="s">
        <v>46</v>
      </c>
      <c r="D8" s="18" t="s">
        <v>47</v>
      </c>
      <c r="F8" s="21" t="s">
        <v>45</v>
      </c>
      <c r="G8" s="21" t="s">
        <v>48</v>
      </c>
      <c r="J8" s="8">
        <v>1</v>
      </c>
      <c r="K8" s="8">
        <v>2</v>
      </c>
      <c r="L8" s="8">
        <v>3</v>
      </c>
      <c r="M8" s="8">
        <v>4</v>
      </c>
      <c r="N8" s="8">
        <v>5</v>
      </c>
      <c r="O8" s="8">
        <v>6</v>
      </c>
      <c r="P8" s="8">
        <v>7</v>
      </c>
      <c r="Q8" s="8">
        <v>8</v>
      </c>
      <c r="R8" s="8">
        <v>9</v>
      </c>
      <c r="S8" s="8">
        <v>10</v>
      </c>
      <c r="T8" s="8"/>
      <c r="U8" s="8"/>
      <c r="V8" s="8"/>
      <c r="W8" s="8"/>
      <c r="X8" s="8"/>
      <c r="Y8" s="8"/>
      <c r="Z8" s="8"/>
      <c r="AA8" s="8"/>
      <c r="AB8" s="8"/>
      <c r="AC8" s="8"/>
      <c r="AF8" s="8">
        <v>1</v>
      </c>
      <c r="AG8" s="8">
        <v>2</v>
      </c>
      <c r="AH8" s="8">
        <v>3</v>
      </c>
      <c r="AI8" s="8">
        <v>4</v>
      </c>
      <c r="AJ8" s="8">
        <v>5</v>
      </c>
      <c r="AK8" s="8">
        <v>6</v>
      </c>
      <c r="AL8" s="8">
        <v>7</v>
      </c>
      <c r="AM8" s="8">
        <v>8</v>
      </c>
      <c r="AN8" s="8">
        <v>9</v>
      </c>
      <c r="AO8" s="8">
        <v>10</v>
      </c>
      <c r="AP8" s="8" t="str">
        <f t="shared" ref="AG8:AY8" si="2">IF(T8&gt;0,T8,"")</f>
        <v/>
      </c>
      <c r="AQ8" s="8" t="str">
        <f t="shared" si="2"/>
        <v/>
      </c>
      <c r="AR8" s="8" t="str">
        <f t="shared" si="2"/>
        <v/>
      </c>
      <c r="AS8" s="8" t="str">
        <f t="shared" si="2"/>
        <v/>
      </c>
      <c r="AT8" s="8" t="str">
        <f t="shared" si="2"/>
        <v/>
      </c>
      <c r="AU8" s="8" t="str">
        <f t="shared" si="2"/>
        <v/>
      </c>
      <c r="AV8" s="8" t="str">
        <f t="shared" si="2"/>
        <v/>
      </c>
      <c r="AW8" s="8" t="str">
        <f t="shared" si="2"/>
        <v/>
      </c>
      <c r="AX8" s="8" t="str">
        <f t="shared" si="2"/>
        <v/>
      </c>
      <c r="AY8" s="8" t="str">
        <f t="shared" si="2"/>
        <v/>
      </c>
      <c r="BC8" s="8">
        <f>IF(AF8&gt;0,AF8,"")</f>
        <v>1</v>
      </c>
      <c r="BD8" s="8">
        <f t="shared" ref="BD8:BV8" si="3">IF(AG8&gt;0,AG8,"")</f>
        <v>2</v>
      </c>
      <c r="BE8" s="8">
        <f t="shared" si="3"/>
        <v>3</v>
      </c>
      <c r="BF8" s="8">
        <f t="shared" si="3"/>
        <v>4</v>
      </c>
      <c r="BG8" s="8">
        <f t="shared" si="3"/>
        <v>5</v>
      </c>
      <c r="BH8" s="8">
        <f t="shared" si="3"/>
        <v>6</v>
      </c>
      <c r="BI8" s="8">
        <f t="shared" si="3"/>
        <v>7</v>
      </c>
      <c r="BJ8" s="8">
        <f t="shared" si="3"/>
        <v>8</v>
      </c>
      <c r="BK8" s="8">
        <f t="shared" si="3"/>
        <v>9</v>
      </c>
      <c r="BL8" s="8">
        <f t="shared" si="3"/>
        <v>10</v>
      </c>
      <c r="BM8" s="8" t="str">
        <f t="shared" si="3"/>
        <v/>
      </c>
      <c r="BN8" s="8" t="str">
        <f t="shared" si="3"/>
        <v/>
      </c>
      <c r="BO8" s="8" t="str">
        <f t="shared" si="3"/>
        <v/>
      </c>
      <c r="BP8" s="8" t="str">
        <f t="shared" si="3"/>
        <v/>
      </c>
      <c r="BQ8" s="8" t="str">
        <f t="shared" si="3"/>
        <v/>
      </c>
      <c r="BR8" s="8" t="str">
        <f t="shared" si="3"/>
        <v/>
      </c>
      <c r="BS8" s="8" t="str">
        <f t="shared" si="3"/>
        <v/>
      </c>
      <c r="BT8" s="8" t="str">
        <f t="shared" si="3"/>
        <v/>
      </c>
      <c r="BU8" s="8" t="str">
        <f t="shared" si="3"/>
        <v/>
      </c>
      <c r="BV8" s="8" t="str">
        <f t="shared" si="3"/>
        <v/>
      </c>
      <c r="BZ8" s="8">
        <f>BC8</f>
        <v>1</v>
      </c>
      <c r="CA8" s="8">
        <f t="shared" ref="CA8:CS8" si="4">BD8</f>
        <v>2</v>
      </c>
      <c r="CB8" s="8">
        <f t="shared" si="4"/>
        <v>3</v>
      </c>
      <c r="CC8" s="8">
        <f t="shared" si="4"/>
        <v>4</v>
      </c>
      <c r="CD8" s="8">
        <f t="shared" si="4"/>
        <v>5</v>
      </c>
      <c r="CE8" s="8">
        <f t="shared" si="4"/>
        <v>6</v>
      </c>
      <c r="CF8" s="8">
        <f t="shared" si="4"/>
        <v>7</v>
      </c>
      <c r="CG8" s="8">
        <f t="shared" si="4"/>
        <v>8</v>
      </c>
      <c r="CH8" s="8">
        <f t="shared" si="4"/>
        <v>9</v>
      </c>
      <c r="CI8" s="8">
        <f t="shared" si="4"/>
        <v>10</v>
      </c>
      <c r="CJ8" s="8" t="str">
        <f t="shared" si="4"/>
        <v/>
      </c>
      <c r="CK8" s="8" t="str">
        <f t="shared" si="4"/>
        <v/>
      </c>
      <c r="CL8" s="8" t="str">
        <f t="shared" si="4"/>
        <v/>
      </c>
      <c r="CM8" s="8" t="str">
        <f t="shared" si="4"/>
        <v/>
      </c>
      <c r="CN8" s="8" t="str">
        <f t="shared" si="4"/>
        <v/>
      </c>
      <c r="CO8" s="8" t="str">
        <f t="shared" si="4"/>
        <v/>
      </c>
      <c r="CP8" s="8" t="str">
        <f t="shared" si="4"/>
        <v/>
      </c>
      <c r="CQ8" s="8" t="str">
        <f t="shared" si="4"/>
        <v/>
      </c>
      <c r="CR8" s="8" t="str">
        <f t="shared" si="4"/>
        <v/>
      </c>
      <c r="CS8" s="8" t="str">
        <f t="shared" si="4"/>
        <v/>
      </c>
      <c r="CW8" s="8">
        <f>BZ8</f>
        <v>1</v>
      </c>
      <c r="CX8" s="8">
        <f t="shared" ref="CX8" si="5">CA8</f>
        <v>2</v>
      </c>
      <c r="CY8" s="8">
        <f t="shared" ref="CY8" si="6">CB8</f>
        <v>3</v>
      </c>
      <c r="CZ8" s="8">
        <f t="shared" ref="CZ8" si="7">CC8</f>
        <v>4</v>
      </c>
      <c r="DA8" s="8">
        <f t="shared" ref="DA8" si="8">CD8</f>
        <v>5</v>
      </c>
      <c r="DB8" s="8">
        <f t="shared" ref="DB8" si="9">CE8</f>
        <v>6</v>
      </c>
      <c r="DC8" s="8">
        <f t="shared" ref="DC8" si="10">CF8</f>
        <v>7</v>
      </c>
      <c r="DD8" s="8">
        <f t="shared" ref="DD8" si="11">CG8</f>
        <v>8</v>
      </c>
      <c r="DE8" s="8">
        <f t="shared" ref="DE8" si="12">CH8</f>
        <v>9</v>
      </c>
      <c r="DF8" s="8">
        <f t="shared" ref="DF8" si="13">CI8</f>
        <v>10</v>
      </c>
      <c r="DG8" s="8" t="str">
        <f t="shared" ref="DG8" si="14">CJ8</f>
        <v/>
      </c>
      <c r="DH8" s="8" t="str">
        <f t="shared" ref="DH8" si="15">CK8</f>
        <v/>
      </c>
      <c r="DI8" s="8" t="str">
        <f t="shared" ref="DI8" si="16">CL8</f>
        <v/>
      </c>
      <c r="DJ8" s="8" t="str">
        <f t="shared" ref="DJ8" si="17">CM8</f>
        <v/>
      </c>
      <c r="DK8" s="8" t="str">
        <f t="shared" ref="DK8" si="18">CN8</f>
        <v/>
      </c>
      <c r="DL8" s="8" t="str">
        <f t="shared" ref="DL8" si="19">CO8</f>
        <v/>
      </c>
      <c r="DM8" s="8" t="str">
        <f t="shared" ref="DM8" si="20">CP8</f>
        <v/>
      </c>
      <c r="DN8" s="8" t="str">
        <f t="shared" ref="DN8" si="21">CQ8</f>
        <v/>
      </c>
      <c r="DO8" s="8" t="str">
        <f t="shared" ref="DO8" si="22">CR8</f>
        <v/>
      </c>
      <c r="DP8" s="8" t="str">
        <f t="shared" ref="DP8" si="23">CS8</f>
        <v/>
      </c>
      <c r="DT8" s="8">
        <f>CW8</f>
        <v>1</v>
      </c>
      <c r="DU8" s="8">
        <f t="shared" ref="DU8" si="24">CX8</f>
        <v>2</v>
      </c>
      <c r="DV8" s="8">
        <f t="shared" ref="DV8" si="25">CY8</f>
        <v>3</v>
      </c>
      <c r="DW8" s="8">
        <f t="shared" ref="DW8" si="26">CZ8</f>
        <v>4</v>
      </c>
      <c r="DX8" s="8">
        <f t="shared" ref="DX8" si="27">DA8</f>
        <v>5</v>
      </c>
      <c r="DY8" s="8">
        <f t="shared" ref="DY8" si="28">DB8</f>
        <v>6</v>
      </c>
      <c r="DZ8" s="8">
        <f t="shared" ref="DZ8" si="29">DC8</f>
        <v>7</v>
      </c>
      <c r="EA8" s="8">
        <f t="shared" ref="EA8" si="30">DD8</f>
        <v>8</v>
      </c>
      <c r="EB8" s="8">
        <f t="shared" ref="EB8" si="31">DE8</f>
        <v>9</v>
      </c>
      <c r="EC8" s="8">
        <f t="shared" ref="EC8" si="32">DF8</f>
        <v>10</v>
      </c>
      <c r="ED8" s="8" t="str">
        <f t="shared" ref="ED8" si="33">DG8</f>
        <v/>
      </c>
      <c r="EE8" s="8" t="str">
        <f t="shared" ref="EE8" si="34">DH8</f>
        <v/>
      </c>
      <c r="EF8" s="8" t="str">
        <f t="shared" ref="EF8" si="35">DI8</f>
        <v/>
      </c>
      <c r="EG8" s="8" t="str">
        <f t="shared" ref="EG8" si="36">DJ8</f>
        <v/>
      </c>
      <c r="EH8" s="8" t="str">
        <f t="shared" ref="EH8" si="37">DK8</f>
        <v/>
      </c>
      <c r="EI8" s="8" t="str">
        <f t="shared" ref="EI8" si="38">DL8</f>
        <v/>
      </c>
      <c r="EJ8" s="8" t="str">
        <f t="shared" ref="EJ8" si="39">DM8</f>
        <v/>
      </c>
      <c r="EK8" s="8" t="str">
        <f t="shared" ref="EK8" si="40">DN8</f>
        <v/>
      </c>
      <c r="EL8" s="8" t="str">
        <f t="shared" ref="EL8" si="41">DO8</f>
        <v/>
      </c>
      <c r="EM8" s="8" t="str">
        <f t="shared" ref="EM8" si="42">DP8</f>
        <v/>
      </c>
      <c r="EQ8" s="8">
        <f>DT8</f>
        <v>1</v>
      </c>
      <c r="ER8" s="8">
        <f t="shared" ref="ER8" si="43">DU8</f>
        <v>2</v>
      </c>
      <c r="ES8" s="8">
        <f t="shared" ref="ES8" si="44">DV8</f>
        <v>3</v>
      </c>
      <c r="ET8" s="8">
        <f t="shared" ref="ET8" si="45">DW8</f>
        <v>4</v>
      </c>
      <c r="EU8" s="8">
        <f t="shared" ref="EU8" si="46">DX8</f>
        <v>5</v>
      </c>
      <c r="EV8" s="8">
        <f t="shared" ref="EV8" si="47">DY8</f>
        <v>6</v>
      </c>
      <c r="EW8" s="8">
        <f t="shared" ref="EW8" si="48">DZ8</f>
        <v>7</v>
      </c>
      <c r="EX8" s="8">
        <f t="shared" ref="EX8" si="49">EA8</f>
        <v>8</v>
      </c>
      <c r="EY8" s="8">
        <f t="shared" ref="EY8" si="50">EB8</f>
        <v>9</v>
      </c>
      <c r="EZ8" s="8">
        <f t="shared" ref="EZ8" si="51">EC8</f>
        <v>10</v>
      </c>
      <c r="FA8" s="8" t="str">
        <f t="shared" ref="FA8" si="52">ED8</f>
        <v/>
      </c>
      <c r="FB8" s="8" t="str">
        <f t="shared" ref="FB8" si="53">EE8</f>
        <v/>
      </c>
      <c r="FC8" s="8" t="str">
        <f t="shared" ref="FC8" si="54">EF8</f>
        <v/>
      </c>
      <c r="FD8" s="8" t="str">
        <f t="shared" ref="FD8" si="55">EG8</f>
        <v/>
      </c>
      <c r="FE8" s="8" t="str">
        <f t="shared" ref="FE8" si="56">EH8</f>
        <v/>
      </c>
      <c r="FF8" s="8" t="str">
        <f t="shared" ref="FF8" si="57">EI8</f>
        <v/>
      </c>
      <c r="FG8" s="8" t="str">
        <f t="shared" ref="FG8" si="58">EJ8</f>
        <v/>
      </c>
      <c r="FH8" s="8" t="str">
        <f t="shared" ref="FH8" si="59">EK8</f>
        <v/>
      </c>
      <c r="FI8" s="8" t="str">
        <f t="shared" ref="FI8" si="60">EL8</f>
        <v/>
      </c>
      <c r="FJ8" s="8" t="str">
        <f t="shared" ref="FJ8" si="61">EM8</f>
        <v/>
      </c>
      <c r="FN8" s="8">
        <f>EQ8</f>
        <v>1</v>
      </c>
      <c r="FO8" s="8">
        <f t="shared" ref="FO8" si="62">ER8</f>
        <v>2</v>
      </c>
      <c r="FP8" s="8">
        <f t="shared" ref="FP8" si="63">ES8</f>
        <v>3</v>
      </c>
      <c r="FQ8" s="8">
        <f t="shared" ref="FQ8" si="64">ET8</f>
        <v>4</v>
      </c>
      <c r="FR8" s="8">
        <f t="shared" ref="FR8" si="65">EU8</f>
        <v>5</v>
      </c>
      <c r="FS8" s="8">
        <f t="shared" ref="FS8" si="66">EV8</f>
        <v>6</v>
      </c>
      <c r="FT8" s="8">
        <f t="shared" ref="FT8" si="67">EW8</f>
        <v>7</v>
      </c>
      <c r="FU8" s="8">
        <f t="shared" ref="FU8" si="68">EX8</f>
        <v>8</v>
      </c>
      <c r="FV8" s="8">
        <f t="shared" ref="FV8" si="69">EY8</f>
        <v>9</v>
      </c>
      <c r="FW8" s="8">
        <f t="shared" ref="FW8" si="70">EZ8</f>
        <v>10</v>
      </c>
      <c r="FX8" s="8" t="str">
        <f t="shared" ref="FX8" si="71">FA8</f>
        <v/>
      </c>
      <c r="FY8" s="8" t="str">
        <f t="shared" ref="FY8" si="72">FB8</f>
        <v/>
      </c>
      <c r="FZ8" s="8" t="str">
        <f t="shared" ref="FZ8" si="73">FC8</f>
        <v/>
      </c>
      <c r="GA8" s="8" t="str">
        <f t="shared" ref="GA8" si="74">FD8</f>
        <v/>
      </c>
      <c r="GB8" s="8" t="str">
        <f t="shared" ref="GB8" si="75">FE8</f>
        <v/>
      </c>
      <c r="GC8" s="8" t="str">
        <f t="shared" ref="GC8" si="76">FF8</f>
        <v/>
      </c>
      <c r="GD8" s="8" t="str">
        <f t="shared" ref="GD8" si="77">FG8</f>
        <v/>
      </c>
      <c r="GE8" s="8" t="str">
        <f t="shared" ref="GE8" si="78">FH8</f>
        <v/>
      </c>
      <c r="GF8" s="8" t="str">
        <f t="shared" ref="GF8" si="79">FI8</f>
        <v/>
      </c>
      <c r="GG8" s="8" t="str">
        <f t="shared" ref="GG8" si="80">FJ8</f>
        <v/>
      </c>
      <c r="GK8" s="8">
        <f>FN8</f>
        <v>1</v>
      </c>
      <c r="GL8" s="8">
        <f t="shared" ref="GL8" si="81">FO8</f>
        <v>2</v>
      </c>
      <c r="GM8" s="8">
        <f t="shared" ref="GM8" si="82">FP8</f>
        <v>3</v>
      </c>
      <c r="GN8" s="8">
        <f t="shared" ref="GN8" si="83">FQ8</f>
        <v>4</v>
      </c>
      <c r="GO8" s="8">
        <f t="shared" ref="GO8" si="84">FR8</f>
        <v>5</v>
      </c>
      <c r="GP8" s="8">
        <f t="shared" ref="GP8" si="85">FS8</f>
        <v>6</v>
      </c>
      <c r="GQ8" s="8">
        <f t="shared" ref="GQ8" si="86">FT8</f>
        <v>7</v>
      </c>
      <c r="GR8" s="8">
        <f t="shared" ref="GR8" si="87">FU8</f>
        <v>8</v>
      </c>
      <c r="GS8" s="8">
        <f t="shared" ref="GS8" si="88">FV8</f>
        <v>9</v>
      </c>
      <c r="GT8" s="8">
        <f t="shared" ref="GT8" si="89">FW8</f>
        <v>10</v>
      </c>
      <c r="GU8" s="8" t="str">
        <f t="shared" ref="GU8" si="90">FX8</f>
        <v/>
      </c>
      <c r="GV8" s="8" t="str">
        <f t="shared" ref="GV8" si="91">FY8</f>
        <v/>
      </c>
      <c r="GW8" s="8" t="str">
        <f t="shared" ref="GW8" si="92">FZ8</f>
        <v/>
      </c>
      <c r="GX8" s="8" t="str">
        <f t="shared" ref="GX8" si="93">GA8</f>
        <v/>
      </c>
      <c r="GY8" s="8" t="str">
        <f t="shared" ref="GY8" si="94">GB8</f>
        <v/>
      </c>
      <c r="GZ8" s="8" t="str">
        <f t="shared" ref="GZ8" si="95">GC8</f>
        <v/>
      </c>
      <c r="HA8" s="8" t="str">
        <f t="shared" ref="HA8" si="96">GD8</f>
        <v/>
      </c>
      <c r="HB8" s="8" t="str">
        <f t="shared" ref="HB8" si="97">GE8</f>
        <v/>
      </c>
      <c r="HC8" s="8" t="str">
        <f t="shared" ref="HC8" si="98">GF8</f>
        <v/>
      </c>
      <c r="HD8" s="8" t="str">
        <f t="shared" ref="HD8" si="99">GG8</f>
        <v/>
      </c>
      <c r="HH8" s="8">
        <f>GK8</f>
        <v>1</v>
      </c>
      <c r="HI8" s="8">
        <f t="shared" ref="HI8" si="100">GL8</f>
        <v>2</v>
      </c>
      <c r="HJ8" s="8">
        <f t="shared" ref="HJ8" si="101">GM8</f>
        <v>3</v>
      </c>
      <c r="HK8" s="8">
        <f t="shared" ref="HK8" si="102">GN8</f>
        <v>4</v>
      </c>
      <c r="HL8" s="8">
        <f t="shared" ref="HL8" si="103">GO8</f>
        <v>5</v>
      </c>
      <c r="HM8" s="8">
        <f t="shared" ref="HM8" si="104">GP8</f>
        <v>6</v>
      </c>
      <c r="HN8" s="8">
        <f t="shared" ref="HN8" si="105">GQ8</f>
        <v>7</v>
      </c>
      <c r="HO8" s="8">
        <f t="shared" ref="HO8" si="106">GR8</f>
        <v>8</v>
      </c>
      <c r="HP8" s="8">
        <f t="shared" ref="HP8" si="107">GS8</f>
        <v>9</v>
      </c>
      <c r="HQ8" s="8">
        <f t="shared" ref="HQ8" si="108">GT8</f>
        <v>10</v>
      </c>
      <c r="HR8" s="8" t="str">
        <f t="shared" ref="HR8" si="109">GU8</f>
        <v/>
      </c>
      <c r="HS8" s="8" t="str">
        <f t="shared" ref="HS8" si="110">GV8</f>
        <v/>
      </c>
      <c r="HT8" s="8" t="str">
        <f t="shared" ref="HT8" si="111">GW8</f>
        <v/>
      </c>
      <c r="HU8" s="8" t="str">
        <f t="shared" ref="HU8" si="112">GX8</f>
        <v/>
      </c>
      <c r="HV8" s="8" t="str">
        <f t="shared" ref="HV8" si="113">GY8</f>
        <v/>
      </c>
      <c r="HW8" s="8" t="str">
        <f t="shared" ref="HW8" si="114">GZ8</f>
        <v/>
      </c>
      <c r="HX8" s="8" t="str">
        <f t="shared" ref="HX8" si="115">HA8</f>
        <v/>
      </c>
      <c r="HY8" s="8" t="str">
        <f t="shared" ref="HY8" si="116">HB8</f>
        <v/>
      </c>
      <c r="HZ8" s="8" t="str">
        <f t="shared" ref="HZ8" si="117">HC8</f>
        <v/>
      </c>
      <c r="IA8" s="8" t="str">
        <f t="shared" ref="IA8" si="118">HD8</f>
        <v/>
      </c>
      <c r="IE8" s="8">
        <f>HH8</f>
        <v>1</v>
      </c>
      <c r="IF8" s="8">
        <f t="shared" ref="IF8" si="119">HI8</f>
        <v>2</v>
      </c>
      <c r="IG8" s="8">
        <f t="shared" ref="IG8" si="120">HJ8</f>
        <v>3</v>
      </c>
      <c r="IH8" s="8">
        <f t="shared" ref="IH8" si="121">HK8</f>
        <v>4</v>
      </c>
      <c r="II8" s="8">
        <f t="shared" ref="II8" si="122">HL8</f>
        <v>5</v>
      </c>
      <c r="IJ8" s="8">
        <f t="shared" ref="IJ8" si="123">HM8</f>
        <v>6</v>
      </c>
      <c r="IK8" s="8">
        <f t="shared" ref="IK8" si="124">HN8</f>
        <v>7</v>
      </c>
      <c r="IL8" s="8">
        <f t="shared" ref="IL8" si="125">HO8</f>
        <v>8</v>
      </c>
      <c r="IM8" s="8">
        <f t="shared" ref="IM8" si="126">HP8</f>
        <v>9</v>
      </c>
      <c r="IN8" s="8">
        <f t="shared" ref="IN8" si="127">HQ8</f>
        <v>10</v>
      </c>
      <c r="IO8" s="8" t="str">
        <f t="shared" ref="IO8" si="128">HR8</f>
        <v/>
      </c>
      <c r="IP8" s="8" t="str">
        <f t="shared" ref="IP8" si="129">HS8</f>
        <v/>
      </c>
      <c r="IQ8" s="8" t="str">
        <f t="shared" ref="IQ8" si="130">HT8</f>
        <v/>
      </c>
      <c r="IR8" s="8" t="str">
        <f t="shared" ref="IR8" si="131">HU8</f>
        <v/>
      </c>
      <c r="IS8" s="8" t="str">
        <f t="shared" ref="IS8" si="132">HV8</f>
        <v/>
      </c>
      <c r="IT8" s="8" t="str">
        <f t="shared" ref="IT8" si="133">HW8</f>
        <v/>
      </c>
      <c r="IU8" s="8" t="str">
        <f t="shared" ref="IU8" si="134">HX8</f>
        <v/>
      </c>
      <c r="IV8" s="8" t="str">
        <f t="shared" ref="IV8" si="135">HY8</f>
        <v/>
      </c>
      <c r="IW8" s="8" t="str">
        <f t="shared" ref="IW8" si="136">HZ8</f>
        <v/>
      </c>
      <c r="IX8" s="8" t="str">
        <f t="shared" ref="IX8" si="137">IA8</f>
        <v/>
      </c>
    </row>
    <row r="9" spans="1:258" x14ac:dyDescent="0.4">
      <c r="B9" s="23">
        <v>1</v>
      </c>
      <c r="C9" s="23">
        <v>1.6408527999999999E-2</v>
      </c>
      <c r="D9" s="23">
        <v>0.03</v>
      </c>
      <c r="F9" s="24">
        <v>1</v>
      </c>
      <c r="G9" s="24">
        <v>0.03</v>
      </c>
      <c r="I9" s="8">
        <v>1</v>
      </c>
      <c r="J9" s="9">
        <v>1217720</v>
      </c>
      <c r="K9" s="9">
        <v>610028</v>
      </c>
      <c r="L9" s="9">
        <v>82171</v>
      </c>
      <c r="M9" s="9">
        <v>25769</v>
      </c>
      <c r="N9" s="9">
        <v>5753</v>
      </c>
      <c r="O9" s="9">
        <v>1414</v>
      </c>
      <c r="P9" s="9">
        <v>460</v>
      </c>
      <c r="Q9" s="9">
        <v>8</v>
      </c>
      <c r="R9" s="9">
        <v>30</v>
      </c>
      <c r="S9" s="9">
        <v>758</v>
      </c>
      <c r="T9" s="9"/>
      <c r="U9" s="9"/>
      <c r="V9" s="9"/>
      <c r="W9" s="9"/>
      <c r="X9" s="9"/>
      <c r="Y9" s="9"/>
      <c r="Z9" s="9"/>
      <c r="AA9" s="9"/>
      <c r="AB9" s="9"/>
      <c r="AC9" s="9"/>
      <c r="AE9" s="8">
        <v>1</v>
      </c>
      <c r="AF9" s="15">
        <v>0.62617550335346084</v>
      </c>
      <c r="AG9" s="15">
        <v>0.31368836018108021</v>
      </c>
      <c r="AH9" s="15">
        <v>4.2253939564150404E-2</v>
      </c>
      <c r="AI9" s="15">
        <v>1.325092512721753E-2</v>
      </c>
      <c r="AJ9" s="15">
        <v>2.9583054156887135E-3</v>
      </c>
      <c r="AK9" s="15">
        <v>7.2710652838238151E-4</v>
      </c>
      <c r="AL9" s="15">
        <v>2.3654102054872383E-4</v>
      </c>
      <c r="AM9" s="15">
        <v>4.1137568791082401E-6</v>
      </c>
      <c r="AN9" s="15">
        <v>1.5426588296655901E-5</v>
      </c>
      <c r="AO9" s="15">
        <v>3.8977846429550576E-4</v>
      </c>
      <c r="AP9" s="15"/>
      <c r="AQ9" s="15"/>
      <c r="AR9" s="15"/>
      <c r="AS9" s="15"/>
      <c r="AT9" s="15"/>
      <c r="AU9" s="15"/>
      <c r="AV9" s="15"/>
      <c r="AW9" s="15"/>
      <c r="AX9" s="15"/>
      <c r="AY9" s="15"/>
      <c r="BB9" s="8">
        <f>IF(I9 &gt; 0, I9, "")</f>
        <v>1</v>
      </c>
      <c r="BC9" s="15">
        <v>0.4374057983282984</v>
      </c>
      <c r="BD9" s="15">
        <v>0.41908581724310673</v>
      </c>
      <c r="BE9" s="15">
        <v>0.10165227435021802</v>
      </c>
      <c r="BF9" s="15">
        <v>2.8647990636716539E-2</v>
      </c>
      <c r="BG9" s="15">
        <v>8.2156025064675994E-3</v>
      </c>
      <c r="BH9" s="15">
        <v>2.2674847362503308E-3</v>
      </c>
      <c r="BI9" s="15">
        <v>8.7763888451027701E-4</v>
      </c>
      <c r="BJ9" s="15">
        <v>3.1339069445815281E-5</v>
      </c>
      <c r="BK9" s="15">
        <v>7.2331727895318641E-5</v>
      </c>
      <c r="BL9" s="15">
        <v>6.8414239879763142E-4</v>
      </c>
      <c r="BM9" s="15"/>
      <c r="BN9" s="15"/>
      <c r="BO9" s="15"/>
      <c r="BP9" s="15"/>
      <c r="BQ9" s="15"/>
      <c r="BR9" s="15"/>
      <c r="BS9" s="15"/>
      <c r="BT9" s="15"/>
      <c r="BU9" s="15"/>
      <c r="BV9" s="15"/>
      <c r="BY9" s="8">
        <f>BB9</f>
        <v>1</v>
      </c>
      <c r="BZ9" s="15">
        <v>0.33591482039802312</v>
      </c>
      <c r="CA9" s="15">
        <v>0.44836573808568042</v>
      </c>
      <c r="CB9" s="15">
        <v>0.14755351961391958</v>
      </c>
      <c r="CC9" s="15">
        <v>4.3986450452619494E-2</v>
      </c>
      <c r="CD9" s="15">
        <v>1.4422377919424516E-2</v>
      </c>
      <c r="CE9" s="15">
        <v>4.4037816356880966E-3</v>
      </c>
      <c r="CF9" s="15">
        <v>1.909175050764199E-3</v>
      </c>
      <c r="CG9" s="15">
        <v>7.5686287731954629E-5</v>
      </c>
      <c r="CH9" s="15">
        <v>1.6093500142657017E-4</v>
      </c>
      <c r="CI9" s="15">
        <v>9.6280797681344999E-4</v>
      </c>
      <c r="CJ9" s="15"/>
      <c r="CK9" s="15"/>
      <c r="CL9" s="15"/>
      <c r="CM9" s="15"/>
      <c r="CN9" s="15"/>
      <c r="CO9" s="15"/>
      <c r="CP9" s="15"/>
      <c r="CQ9" s="15"/>
      <c r="CR9" s="15"/>
      <c r="CS9" s="15"/>
      <c r="CV9" s="8">
        <f>BY9</f>
        <v>1</v>
      </c>
      <c r="CW9" s="15">
        <v>0.27801378110239156</v>
      </c>
      <c r="CX9" s="15">
        <v>0.45033181437422953</v>
      </c>
      <c r="CY9" s="15">
        <v>0.17820100031704805</v>
      </c>
      <c r="CZ9" s="15">
        <v>5.7267706464124463E-2</v>
      </c>
      <c r="DA9" s="15">
        <v>2.0643469797806274E-2</v>
      </c>
      <c r="DB9" s="15">
        <v>6.8223983357287308E-3</v>
      </c>
      <c r="DC9" s="15">
        <v>3.2174377909561275E-3</v>
      </c>
      <c r="DD9" s="15">
        <v>1.3347397179264904E-4</v>
      </c>
      <c r="DE9" s="15">
        <v>2.7470917364989426E-4</v>
      </c>
      <c r="DF9" s="15">
        <v>1.2269466479364504E-3</v>
      </c>
      <c r="DG9" s="15"/>
      <c r="DH9" s="15"/>
      <c r="DI9" s="15"/>
      <c r="DJ9" s="15"/>
      <c r="DK9" s="15"/>
      <c r="DL9" s="15"/>
      <c r="DM9" s="15"/>
      <c r="DN9" s="15"/>
      <c r="DO9" s="15"/>
      <c r="DP9" s="15"/>
      <c r="DS9" s="8">
        <f>CV9</f>
        <v>1</v>
      </c>
      <c r="DT9" s="15">
        <v>0.24310130741493258</v>
      </c>
      <c r="DU9" s="15">
        <v>0.44324184583479492</v>
      </c>
      <c r="DV9" s="15">
        <v>0.19750667817278425</v>
      </c>
      <c r="DW9" s="15">
        <v>6.7905444859340996E-2</v>
      </c>
      <c r="DX9" s="15">
        <v>2.6325011208596556E-2</v>
      </c>
      <c r="DY9" s="15">
        <v>9.2592221762415796E-3</v>
      </c>
      <c r="DZ9" s="15">
        <v>4.6599144454688409E-3</v>
      </c>
      <c r="EA9" s="15">
        <v>1.9919609615970721E-4</v>
      </c>
      <c r="EB9" s="15">
        <v>4.0302384085949566E-4</v>
      </c>
      <c r="EC9" s="15">
        <v>1.4721884679564131E-3</v>
      </c>
      <c r="ED9" s="15"/>
      <c r="EE9" s="15"/>
      <c r="EF9" s="15"/>
      <c r="EG9" s="15"/>
      <c r="EH9" s="15"/>
      <c r="EI9" s="15"/>
      <c r="EJ9" s="15"/>
      <c r="EK9" s="15"/>
      <c r="EL9" s="15"/>
      <c r="EM9" s="15"/>
      <c r="EP9" s="8">
        <f>DS9</f>
        <v>1</v>
      </c>
      <c r="EQ9" s="15">
        <v>0.22094521298503697</v>
      </c>
      <c r="ER9" s="15">
        <v>0.43389444321128245</v>
      </c>
      <c r="ES9" s="15">
        <v>0.20930789503319561</v>
      </c>
      <c r="ET9" s="15">
        <v>7.6077293638164761E-2</v>
      </c>
      <c r="EU9" s="15">
        <v>3.1224615315473051E-2</v>
      </c>
      <c r="EV9" s="15">
        <v>1.1539808139791458E-2</v>
      </c>
      <c r="EW9" s="15">
        <v>6.1109340345772674E-3</v>
      </c>
      <c r="EX9" s="15">
        <v>2.6720116214598279E-4</v>
      </c>
      <c r="EY9" s="15">
        <v>5.3511422037091211E-4</v>
      </c>
      <c r="EZ9" s="15">
        <v>1.6943090428179247E-3</v>
      </c>
      <c r="FA9" s="15"/>
      <c r="FB9" s="15"/>
      <c r="FC9" s="15"/>
      <c r="FD9" s="15"/>
      <c r="FE9" s="15"/>
      <c r="FF9" s="15"/>
      <c r="FG9" s="15"/>
      <c r="FH9" s="15"/>
      <c r="FI9" s="15"/>
      <c r="FJ9" s="15"/>
      <c r="FM9" s="8">
        <f>EP9</f>
        <v>1</v>
      </c>
      <c r="FN9" s="15">
        <v>0.2062079864958857</v>
      </c>
      <c r="FO9" s="15">
        <v>0.42472065258081393</v>
      </c>
      <c r="FP9" s="15">
        <v>0.21635526869462304</v>
      </c>
      <c r="FQ9" s="15">
        <v>8.2215586621958173E-2</v>
      </c>
      <c r="FR9" s="15">
        <v>3.5297457902328466E-2</v>
      </c>
      <c r="FS9" s="15">
        <v>1.357100896274349E-2</v>
      </c>
      <c r="FT9" s="15">
        <v>7.4803678478313623E-3</v>
      </c>
      <c r="FU9" s="15">
        <v>3.3293926373036088E-4</v>
      </c>
      <c r="FV9" s="15">
        <v>6.6239132667568739E-4</v>
      </c>
      <c r="FW9" s="15">
        <v>1.8904614892449542E-3</v>
      </c>
      <c r="FX9" s="15"/>
      <c r="FY9" s="15"/>
      <c r="FZ9" s="15"/>
      <c r="GA9" s="15"/>
      <c r="GB9" s="15"/>
      <c r="GC9" s="15"/>
      <c r="GD9" s="15"/>
      <c r="GE9" s="15"/>
      <c r="GF9" s="15"/>
      <c r="GG9" s="15"/>
      <c r="GJ9" s="8">
        <f>FM9</f>
        <v>1</v>
      </c>
      <c r="GK9" s="15">
        <v>0.19597538225319552</v>
      </c>
      <c r="GL9" s="15">
        <v>0.41648119577669662</v>
      </c>
      <c r="GM9" s="15">
        <v>0.2204363668911275</v>
      </c>
      <c r="GN9" s="15">
        <v>8.6768448613321114E-2</v>
      </c>
      <c r="GO9" s="15">
        <v>3.8601127153230261E-2</v>
      </c>
      <c r="GP9" s="15">
        <v>1.5318079606462852E-2</v>
      </c>
      <c r="GQ9" s="15">
        <v>8.7145514011347548E-3</v>
      </c>
      <c r="GR9" s="15">
        <v>3.9336841213684256E-4</v>
      </c>
      <c r="GS9" s="15">
        <v>7.7914772666036372E-4</v>
      </c>
      <c r="GT9" s="15">
        <v>2.059599797664919E-3</v>
      </c>
      <c r="GU9" s="15"/>
      <c r="GV9" s="15"/>
      <c r="GW9" s="15"/>
      <c r="GX9" s="15"/>
      <c r="GY9" s="15"/>
      <c r="GZ9" s="15"/>
      <c r="HA9" s="15"/>
      <c r="HB9" s="15"/>
      <c r="HC9" s="15"/>
      <c r="HD9" s="15"/>
      <c r="HG9" s="8">
        <f>GJ9</f>
        <v>1</v>
      </c>
      <c r="HH9" s="15">
        <v>0.18858775003305325</v>
      </c>
      <c r="HI9" s="15">
        <v>0.40931035685715284</v>
      </c>
      <c r="HJ9" s="15">
        <v>0.22266935301831714</v>
      </c>
      <c r="HK9" s="15">
        <v>9.0116417948385819E-2</v>
      </c>
      <c r="HL9" s="15">
        <v>4.1234795401019313E-2</v>
      </c>
      <c r="HM9" s="15">
        <v>1.6782623419750221E-2</v>
      </c>
      <c r="HN9" s="15">
        <v>9.7891658003224514E-3</v>
      </c>
      <c r="HO9" s="15">
        <v>4.4684263180726864E-4</v>
      </c>
      <c r="HP9" s="15">
        <v>8.8232249852430772E-4</v>
      </c>
      <c r="HQ9" s="15">
        <v>2.2023250192586136E-3</v>
      </c>
      <c r="HR9" s="15"/>
      <c r="HS9" s="15"/>
      <c r="HT9" s="15"/>
      <c r="HU9" s="15"/>
      <c r="HV9" s="15"/>
      <c r="HW9" s="15"/>
      <c r="HX9" s="15"/>
      <c r="HY9" s="15"/>
      <c r="HZ9" s="15"/>
      <c r="IA9" s="15"/>
      <c r="ID9" s="8">
        <f>HG9</f>
        <v>1</v>
      </c>
      <c r="IE9" s="15">
        <v>0.18306241370455392</v>
      </c>
      <c r="IF9" s="15">
        <v>0.40312335935438925</v>
      </c>
      <c r="IG9" s="15">
        <v>0.22374412529367546</v>
      </c>
      <c r="IH9" s="15">
        <v>9.2557513230315677E-2</v>
      </c>
      <c r="II9" s="15">
        <v>4.330610904841091E-2</v>
      </c>
      <c r="IJ9" s="15">
        <v>1.798606545567805E-2</v>
      </c>
      <c r="IK9" s="15">
        <v>1.0700279295192752E-2</v>
      </c>
      <c r="IL9" s="15">
        <v>4.927863348983991E-4</v>
      </c>
      <c r="IM9" s="15">
        <v>9.7087898215528733E-4</v>
      </c>
      <c r="IN9" s="15">
        <v>2.3204399377148356E-3</v>
      </c>
      <c r="IO9" s="15"/>
      <c r="IP9" s="15"/>
      <c r="IQ9" s="15"/>
      <c r="IR9" s="15"/>
      <c r="IS9" s="15"/>
      <c r="IT9" s="15"/>
      <c r="IU9" s="15"/>
      <c r="IV9" s="15"/>
      <c r="IW9" s="15"/>
      <c r="IX9" s="15"/>
    </row>
    <row r="10" spans="1:258" x14ac:dyDescent="0.4">
      <c r="B10" s="23">
        <v>2</v>
      </c>
      <c r="C10" s="23">
        <v>3.6645970999999999E-2</v>
      </c>
      <c r="D10" s="23"/>
      <c r="F10" s="24">
        <v>2</v>
      </c>
      <c r="G10" s="24">
        <v>5.0237443E-2</v>
      </c>
      <c r="I10" s="8">
        <v>2</v>
      </c>
      <c r="J10" s="9">
        <v>790417</v>
      </c>
      <c r="K10" s="9">
        <v>3775671</v>
      </c>
      <c r="L10" s="9">
        <v>857394</v>
      </c>
      <c r="M10" s="9">
        <v>162549</v>
      </c>
      <c r="N10" s="9">
        <v>42417</v>
      </c>
      <c r="O10" s="9">
        <v>9678</v>
      </c>
      <c r="P10" s="9">
        <v>3206</v>
      </c>
      <c r="Q10" s="9">
        <v>91</v>
      </c>
      <c r="R10" s="9">
        <v>179</v>
      </c>
      <c r="S10" s="9">
        <v>4312</v>
      </c>
      <c r="T10" s="9"/>
      <c r="U10" s="9"/>
      <c r="V10" s="9"/>
      <c r="W10" s="9"/>
      <c r="X10" s="9"/>
      <c r="Y10" s="9"/>
      <c r="Z10" s="9"/>
      <c r="AA10" s="9"/>
      <c r="AB10" s="9"/>
      <c r="AC10" s="9"/>
      <c r="AE10" s="8">
        <v>2</v>
      </c>
      <c r="AF10" s="15">
        <v>0.1399277273281461</v>
      </c>
      <c r="AG10" s="15">
        <v>0.6684080202839624</v>
      </c>
      <c r="AH10" s="15">
        <v>0.15178468307841114</v>
      </c>
      <c r="AI10" s="15">
        <v>2.8776091796435071E-2</v>
      </c>
      <c r="AJ10" s="15">
        <v>7.509092555041166E-3</v>
      </c>
      <c r="AK10" s="15">
        <v>1.7132988600723391E-3</v>
      </c>
      <c r="AL10" s="15">
        <v>5.6755901481627606E-4</v>
      </c>
      <c r="AM10" s="15">
        <v>1.6109753695658491E-5</v>
      </c>
      <c r="AN10" s="15">
        <v>3.1688416610141424E-5</v>
      </c>
      <c r="AO10" s="15">
        <v>7.6335448280966383E-4</v>
      </c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BB10" s="8">
        <f t="shared" ref="BB10:BB29" si="138">IF(I10 &gt; 0, I10, "")</f>
        <v>2</v>
      </c>
      <c r="BC10" s="15">
        <v>0.18605980475077782</v>
      </c>
      <c r="BD10" s="15">
        <v>0.53591326104161052</v>
      </c>
      <c r="BE10" s="15">
        <v>0.20048484410084194</v>
      </c>
      <c r="BF10" s="15">
        <v>5.2025834201967769E-2</v>
      </c>
      <c r="BG10" s="15">
        <v>1.6070438015231579E-2</v>
      </c>
      <c r="BH10" s="15">
        <v>4.5364314017188106E-3</v>
      </c>
      <c r="BI10" s="15">
        <v>1.8041444876302811E-3</v>
      </c>
      <c r="BJ10" s="15">
        <v>6.902153842568681E-5</v>
      </c>
      <c r="BK10" s="15">
        <v>1.476169479074895E-4</v>
      </c>
      <c r="BL10" s="15">
        <v>1.1007484261110535E-3</v>
      </c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Y10" s="8">
        <f t="shared" ref="BY10:BY29" si="139">BB10</f>
        <v>2</v>
      </c>
      <c r="BZ10" s="15">
        <v>0.19812137854359121</v>
      </c>
      <c r="CA10" s="15">
        <v>0.47745996330248641</v>
      </c>
      <c r="CB10" s="15">
        <v>0.21694352888359386</v>
      </c>
      <c r="CC10" s="15">
        <v>6.731994070451805E-2</v>
      </c>
      <c r="CD10" s="15">
        <v>2.3741785823813977E-2</v>
      </c>
      <c r="CE10" s="15">
        <v>7.5952659135888013E-3</v>
      </c>
      <c r="CF10" s="15">
        <v>3.4318156619641384E-3</v>
      </c>
      <c r="CG10" s="15">
        <v>1.4017205460971132E-4</v>
      </c>
      <c r="CH10" s="15">
        <v>2.8952014756330921E-4</v>
      </c>
      <c r="CI10" s="15">
        <v>1.3718719477645084E-3</v>
      </c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V10" s="8">
        <f t="shared" ref="CV10:CV29" si="140">BY10</f>
        <v>2</v>
      </c>
      <c r="CW10" s="15">
        <v>0.19815096215474384</v>
      </c>
      <c r="CX10" s="15">
        <v>0.44807817197458427</v>
      </c>
      <c r="CY10" s="15">
        <v>0.22292845915422094</v>
      </c>
      <c r="CZ10" s="15">
        <v>7.7159544655768159E-2</v>
      </c>
      <c r="DA10" s="15">
        <v>2.9952403697535466E-2</v>
      </c>
      <c r="DB10" s="15">
        <v>1.0437491624487621E-2</v>
      </c>
      <c r="DC10" s="15">
        <v>5.1630423193676344E-3</v>
      </c>
      <c r="DD10" s="15">
        <v>2.1895728036245971E-4</v>
      </c>
      <c r="DE10" s="15">
        <v>4.4302159878379478E-4</v>
      </c>
      <c r="DF10" s="15">
        <v>1.6164580688507E-3</v>
      </c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S10" s="8">
        <f t="shared" ref="DS10:DS29" si="141">CV10</f>
        <v>2</v>
      </c>
      <c r="DT10" s="15">
        <v>0.19434244051999608</v>
      </c>
      <c r="DU10" s="15">
        <v>0.43096626236320412</v>
      </c>
      <c r="DV10" s="15">
        <v>0.22527285027782978</v>
      </c>
      <c r="DW10" s="15">
        <v>8.3657609791047291E-2</v>
      </c>
      <c r="DX10" s="15">
        <v>3.478135978424865E-2</v>
      </c>
      <c r="DY10" s="15">
        <v>1.2891110248352265E-2</v>
      </c>
      <c r="DZ10" s="15">
        <v>6.8076346567191338E-3</v>
      </c>
      <c r="EA10" s="15">
        <v>2.9685770051093917E-4</v>
      </c>
      <c r="EB10" s="15">
        <v>5.9367670755343784E-4</v>
      </c>
      <c r="EC10" s="15">
        <v>1.8344498611723885E-3</v>
      </c>
      <c r="ED10" s="15"/>
      <c r="EE10" s="15"/>
      <c r="EF10" s="15"/>
      <c r="EG10" s="15"/>
      <c r="EH10" s="15"/>
      <c r="EI10" s="15"/>
      <c r="EJ10" s="15"/>
      <c r="EK10" s="15"/>
      <c r="EL10" s="15"/>
      <c r="EM10" s="15"/>
      <c r="EP10" s="8">
        <f t="shared" ref="EP10:EP29" si="142">DS10</f>
        <v>2</v>
      </c>
      <c r="EQ10" s="15">
        <v>0.18970348896282158</v>
      </c>
      <c r="ER10" s="15">
        <v>0.41955502241741521</v>
      </c>
      <c r="ES10" s="15">
        <v>0.22618748279710524</v>
      </c>
      <c r="ET10" s="15">
        <v>8.8099057715827031E-2</v>
      </c>
      <c r="EU10" s="15">
        <v>3.8484116133595696E-2</v>
      </c>
      <c r="EV10" s="15">
        <v>1.4927839334175E-2</v>
      </c>
      <c r="EW10" s="15">
        <v>8.2687307992455328E-3</v>
      </c>
      <c r="EX10" s="15">
        <v>3.6828616487551906E-4</v>
      </c>
      <c r="EY10" s="15">
        <v>7.3142377673521676E-4</v>
      </c>
      <c r="EZ10" s="15">
        <v>2.0226774828747238E-3</v>
      </c>
      <c r="FA10" s="15"/>
      <c r="FB10" s="15"/>
      <c r="FC10" s="15"/>
      <c r="FD10" s="15"/>
      <c r="FE10" s="15"/>
      <c r="FF10" s="15"/>
      <c r="FG10" s="15"/>
      <c r="FH10" s="15"/>
      <c r="FI10" s="15"/>
      <c r="FJ10" s="15"/>
      <c r="FM10" s="8">
        <f t="shared" ref="FM10:FM29" si="143">EP10</f>
        <v>2</v>
      </c>
      <c r="FN10" s="15">
        <v>0.18527777731766992</v>
      </c>
      <c r="FO10" s="15">
        <v>0.41112040775370456</v>
      </c>
      <c r="FP10" s="15">
        <v>0.22642935159717115</v>
      </c>
      <c r="FQ10" s="15">
        <v>9.1218039161182443E-2</v>
      </c>
      <c r="FR10" s="15">
        <v>4.1312981997817272E-2</v>
      </c>
      <c r="FS10" s="15">
        <v>1.6580364060856039E-2</v>
      </c>
      <c r="FT10" s="15">
        <v>9.5129693536000082E-3</v>
      </c>
      <c r="FU10" s="15">
        <v>4.3054007964970267E-4</v>
      </c>
      <c r="FV10" s="15">
        <v>8.5133017257933545E-4</v>
      </c>
      <c r="FW10" s="15">
        <v>2.1804876415414212E-3</v>
      </c>
      <c r="FX10" s="15"/>
      <c r="FY10" s="15"/>
      <c r="FZ10" s="15"/>
      <c r="GA10" s="15"/>
      <c r="GB10" s="15"/>
      <c r="GC10" s="15"/>
      <c r="GD10" s="15"/>
      <c r="GE10" s="15"/>
      <c r="GF10" s="15"/>
      <c r="GG10" s="15"/>
      <c r="GJ10" s="8">
        <f t="shared" ref="GJ10:GJ29" si="144">FM10</f>
        <v>2</v>
      </c>
      <c r="GK10" s="15">
        <v>0.18136785498625493</v>
      </c>
      <c r="GL10" s="15">
        <v>0.4044406492190365</v>
      </c>
      <c r="GM10" s="15">
        <v>0.22628782886183982</v>
      </c>
      <c r="GN10" s="15">
        <v>9.3440961596673783E-2</v>
      </c>
      <c r="GO10" s="15">
        <v>4.3471574840295769E-2</v>
      </c>
      <c r="GP10" s="15">
        <v>1.7901327382843082E-2</v>
      </c>
      <c r="GQ10" s="15">
        <v>1.0543010676363176E-2</v>
      </c>
      <c r="GR10" s="15">
        <v>4.8294699148218573E-4</v>
      </c>
      <c r="GS10" s="15">
        <v>9.5220667278017568E-4</v>
      </c>
      <c r="GT10" s="15">
        <v>2.3096472734649366E-3</v>
      </c>
      <c r="GU10" s="15"/>
      <c r="GV10" s="15"/>
      <c r="GW10" s="15"/>
      <c r="GX10" s="15"/>
      <c r="GY10" s="15"/>
      <c r="GZ10" s="15"/>
      <c r="HA10" s="15"/>
      <c r="HB10" s="15"/>
      <c r="HC10" s="15"/>
      <c r="HD10" s="15"/>
      <c r="HG10" s="8">
        <f t="shared" ref="HG10:HG29" si="145">GJ10</f>
        <v>2</v>
      </c>
      <c r="HH10" s="15">
        <v>0.17800527912862918</v>
      </c>
      <c r="HI10" s="15">
        <v>0.39891019283793916</v>
      </c>
      <c r="HJ10" s="15">
        <v>0.22589477471254404</v>
      </c>
      <c r="HK10" s="15">
        <v>9.5027930196073099E-2</v>
      </c>
      <c r="HL10" s="15">
        <v>4.5114540206400391E-2</v>
      </c>
      <c r="HM10" s="15">
        <v>1.8945354829533155E-2</v>
      </c>
      <c r="HN10" s="15">
        <v>1.13788112004099E-2</v>
      </c>
      <c r="HO10" s="15">
        <v>5.2599509867258597E-4</v>
      </c>
      <c r="HP10" s="15">
        <v>1.0350333964064104E-3</v>
      </c>
      <c r="HQ10" s="15">
        <v>2.4132917769620387E-3</v>
      </c>
      <c r="HR10" s="15"/>
      <c r="HS10" s="15"/>
      <c r="HT10" s="15"/>
      <c r="HU10" s="15"/>
      <c r="HV10" s="15"/>
      <c r="HW10" s="15"/>
      <c r="HX10" s="15"/>
      <c r="HY10" s="15"/>
      <c r="HZ10" s="15"/>
      <c r="IA10" s="15"/>
      <c r="ID10" s="8">
        <f t="shared" ref="ID10:ID29" si="146">HG10</f>
        <v>2</v>
      </c>
      <c r="IE10" s="15">
        <v>0.17513175153201466</v>
      </c>
      <c r="IF10" s="15">
        <v>0.39419297832400957</v>
      </c>
      <c r="IG10" s="15">
        <v>0.22532349933323953</v>
      </c>
      <c r="IH10" s="15">
        <v>9.6147217411506516E-2</v>
      </c>
      <c r="II10" s="15">
        <v>4.6357899472342042E-2</v>
      </c>
      <c r="IJ10" s="15">
        <v>1.9762112571651416E-2</v>
      </c>
      <c r="IK10" s="15">
        <v>1.2046629722110359E-2</v>
      </c>
      <c r="IL10" s="15">
        <v>5.6071375939108724E-4</v>
      </c>
      <c r="IM10" s="15">
        <v>1.1018074617364804E-3</v>
      </c>
      <c r="IN10" s="15">
        <v>2.4950402943021126E-3</v>
      </c>
      <c r="IO10" s="15"/>
      <c r="IP10" s="15"/>
      <c r="IQ10" s="15"/>
      <c r="IR10" s="15"/>
      <c r="IS10" s="15"/>
      <c r="IT10" s="15"/>
      <c r="IU10" s="15"/>
      <c r="IV10" s="15"/>
      <c r="IW10" s="15"/>
      <c r="IX10" s="15"/>
    </row>
    <row r="11" spans="1:258" x14ac:dyDescent="0.4">
      <c r="B11" s="23">
        <v>3</v>
      </c>
      <c r="C11" s="23">
        <v>8.6354651000000004E-2</v>
      </c>
      <c r="D11" s="23"/>
      <c r="F11" s="24">
        <v>3</v>
      </c>
      <c r="G11" s="24">
        <v>9.9946122999999998E-2</v>
      </c>
      <c r="I11" s="8">
        <v>3</v>
      </c>
      <c r="J11" s="9">
        <v>142042</v>
      </c>
      <c r="K11" s="9">
        <v>1318456</v>
      </c>
      <c r="L11" s="9">
        <v>2567042</v>
      </c>
      <c r="M11" s="9">
        <v>466169</v>
      </c>
      <c r="N11" s="9">
        <v>106971</v>
      </c>
      <c r="O11" s="9">
        <v>26220</v>
      </c>
      <c r="P11" s="9">
        <v>8574</v>
      </c>
      <c r="Q11" s="9">
        <v>296</v>
      </c>
      <c r="R11" s="9">
        <v>572</v>
      </c>
      <c r="S11" s="9">
        <v>7699</v>
      </c>
      <c r="T11" s="9"/>
      <c r="U11" s="9"/>
      <c r="V11" s="9"/>
      <c r="W11" s="9"/>
      <c r="X11" s="9"/>
      <c r="Y11" s="9"/>
      <c r="Z11" s="9"/>
      <c r="AA11" s="9"/>
      <c r="AB11" s="9"/>
      <c r="AC11" s="9"/>
      <c r="AE11" s="8">
        <v>3</v>
      </c>
      <c r="AF11" s="15">
        <v>3.0555293230177846E-2</v>
      </c>
      <c r="AG11" s="15">
        <v>0.28361899783928246</v>
      </c>
      <c r="AH11" s="15">
        <v>0.5522079458482857</v>
      </c>
      <c r="AI11" s="15">
        <v>0.10027970945085803</v>
      </c>
      <c r="AJ11" s="15">
        <v>2.3011012743592418E-2</v>
      </c>
      <c r="AK11" s="15">
        <v>5.6403020831533139E-3</v>
      </c>
      <c r="AL11" s="15">
        <v>1.8443916880608894E-3</v>
      </c>
      <c r="AM11" s="15">
        <v>6.3673890793797895E-5</v>
      </c>
      <c r="AN11" s="15">
        <v>1.2304549166909597E-4</v>
      </c>
      <c r="AO11" s="15">
        <v>1.6561665041265206E-3</v>
      </c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BB11" s="8">
        <f t="shared" si="138"/>
        <v>3</v>
      </c>
      <c r="BC11" s="15">
        <v>7.6640912079371043E-2</v>
      </c>
      <c r="BD11" s="15">
        <v>0.36339753005944703</v>
      </c>
      <c r="BE11" s="15">
        <v>0.38146551881297835</v>
      </c>
      <c r="BF11" s="15">
        <v>0.11776596482022428</v>
      </c>
      <c r="BG11" s="15">
        <v>3.8232815182196234E-2</v>
      </c>
      <c r="BH11" s="15">
        <v>1.1596318906496955E-2</v>
      </c>
      <c r="BI11" s="15">
        <v>4.7877566258299207E-3</v>
      </c>
      <c r="BJ11" s="15">
        <v>1.8901406754552076E-4</v>
      </c>
      <c r="BK11" s="15">
        <v>3.9239031604788508E-4</v>
      </c>
      <c r="BL11" s="15">
        <v>1.978259653096177E-3</v>
      </c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Y11" s="8">
        <f t="shared" si="139"/>
        <v>3</v>
      </c>
      <c r="BZ11" s="15">
        <v>0.11163234294147091</v>
      </c>
      <c r="CA11" s="15">
        <v>0.38427666216126338</v>
      </c>
      <c r="CB11" s="15">
        <v>0.30775751762366443</v>
      </c>
      <c r="CC11" s="15">
        <v>0.11682902250455073</v>
      </c>
      <c r="CD11" s="15">
        <v>4.5975300968233206E-2</v>
      </c>
      <c r="CE11" s="15">
        <v>1.5957491409202246E-2</v>
      </c>
      <c r="CF11" s="15">
        <v>7.676977631872319E-3</v>
      </c>
      <c r="CG11" s="15">
        <v>3.204917418921212E-4</v>
      </c>
      <c r="CH11" s="15">
        <v>6.4711010655665196E-4</v>
      </c>
      <c r="CI11" s="15">
        <v>2.2031377432498089E-3</v>
      </c>
      <c r="CJ11" s="15"/>
      <c r="CK11" s="15"/>
      <c r="CL11" s="15"/>
      <c r="CM11" s="15"/>
      <c r="CN11" s="15"/>
      <c r="CO11" s="15"/>
      <c r="CP11" s="15"/>
      <c r="CQ11" s="15"/>
      <c r="CR11" s="15"/>
      <c r="CS11" s="15"/>
      <c r="CV11" s="8">
        <f t="shared" si="140"/>
        <v>3</v>
      </c>
      <c r="CW11" s="15">
        <v>0.13422019910061736</v>
      </c>
      <c r="CX11" s="15">
        <v>0.38837711139876452</v>
      </c>
      <c r="CY11" s="15">
        <v>0.27207832559371575</v>
      </c>
      <c r="CZ11" s="15">
        <v>0.11291016757369593</v>
      </c>
      <c r="DA11" s="15">
        <v>4.9534331571015118E-2</v>
      </c>
      <c r="DB11" s="15">
        <v>1.8798793271708206E-2</v>
      </c>
      <c r="DC11" s="15">
        <v>9.9982730903964701E-3</v>
      </c>
      <c r="DD11" s="15">
        <v>4.3482360311987423E-4</v>
      </c>
      <c r="DE11" s="15">
        <v>8.6484706703482579E-4</v>
      </c>
      <c r="DF11" s="15">
        <v>2.3960954521705133E-3</v>
      </c>
      <c r="DG11" s="15"/>
      <c r="DH11" s="15"/>
      <c r="DI11" s="15"/>
      <c r="DJ11" s="15"/>
      <c r="DK11" s="15"/>
      <c r="DL11" s="15"/>
      <c r="DM11" s="15"/>
      <c r="DN11" s="15"/>
      <c r="DO11" s="15"/>
      <c r="DP11" s="15"/>
      <c r="DS11" s="8">
        <f t="shared" si="141"/>
        <v>3</v>
      </c>
      <c r="DT11" s="15">
        <v>0.14782048496471334</v>
      </c>
      <c r="DU11" s="15">
        <v>0.38787148913423491</v>
      </c>
      <c r="DV11" s="15">
        <v>0.25309527287271105</v>
      </c>
      <c r="DW11" s="15">
        <v>0.10937784891074781</v>
      </c>
      <c r="DX11" s="15">
        <v>5.1049540427588483E-2</v>
      </c>
      <c r="DY11" s="15">
        <v>2.0558444163296351E-2</v>
      </c>
      <c r="DZ11" s="15">
        <v>1.167903309563202E-2</v>
      </c>
      <c r="EA11" s="15">
        <v>5.2336847638364799E-4</v>
      </c>
      <c r="EB11" s="15">
        <v>1.0332345383173508E-3</v>
      </c>
      <c r="EC11" s="15">
        <v>2.546028678026693E-3</v>
      </c>
      <c r="ED11" s="15"/>
      <c r="EE11" s="15"/>
      <c r="EF11" s="15"/>
      <c r="EG11" s="15"/>
      <c r="EH11" s="15"/>
      <c r="EI11" s="15"/>
      <c r="EJ11" s="15"/>
      <c r="EK11" s="15"/>
      <c r="EL11" s="15"/>
      <c r="EM11" s="15"/>
      <c r="EP11" s="8">
        <f t="shared" si="142"/>
        <v>3</v>
      </c>
      <c r="EQ11" s="15">
        <v>0.15565791450173869</v>
      </c>
      <c r="ER11" s="15">
        <v>0.38619445401928071</v>
      </c>
      <c r="ES11" s="15">
        <v>0.2421991086160043</v>
      </c>
      <c r="ET11" s="15">
        <v>0.10671023585398098</v>
      </c>
      <c r="EU11" s="15">
        <v>5.1614208393704675E-2</v>
      </c>
      <c r="EV11" s="15">
        <v>2.1615773486695872E-2</v>
      </c>
      <c r="EW11" s="15">
        <v>1.2820995413543968E-2</v>
      </c>
      <c r="EX11" s="15">
        <v>5.8668460065416038E-4</v>
      </c>
      <c r="EY11" s="15">
        <v>1.1537718553544366E-3</v>
      </c>
      <c r="EZ11" s="15">
        <v>2.6522480036468986E-3</v>
      </c>
      <c r="FA11" s="15"/>
      <c r="FB11" s="15"/>
      <c r="FC11" s="15"/>
      <c r="FD11" s="15"/>
      <c r="FE11" s="15"/>
      <c r="FF11" s="15"/>
      <c r="FG11" s="15"/>
      <c r="FH11" s="15"/>
      <c r="FI11" s="15"/>
      <c r="FJ11" s="15"/>
      <c r="FM11" s="8">
        <f t="shared" si="143"/>
        <v>3</v>
      </c>
      <c r="FN11" s="15">
        <v>0.15997565572592229</v>
      </c>
      <c r="FO11" s="15">
        <v>0.3842643455563064</v>
      </c>
      <c r="FP11" s="15">
        <v>0.23552315209236946</v>
      </c>
      <c r="FQ11" s="15">
        <v>0.10476835821266578</v>
      </c>
      <c r="FR11" s="15">
        <v>5.1744431405022495E-2</v>
      </c>
      <c r="FS11" s="15">
        <v>2.2231933266018342E-2</v>
      </c>
      <c r="FT11" s="15">
        <v>1.3561954285498595E-2</v>
      </c>
      <c r="FU11" s="15">
        <v>6.294227230569441E-4</v>
      </c>
      <c r="FV11" s="15">
        <v>1.2352173102841333E-3</v>
      </c>
      <c r="FW11" s="15">
        <v>2.7220425941236115E-3</v>
      </c>
      <c r="FX11" s="15"/>
      <c r="FY11" s="15"/>
      <c r="FZ11" s="15"/>
      <c r="GA11" s="15"/>
      <c r="GB11" s="15"/>
      <c r="GC11" s="15"/>
      <c r="GD11" s="15"/>
      <c r="GE11" s="15"/>
      <c r="GF11" s="15"/>
      <c r="GG11" s="15"/>
      <c r="GJ11" s="8">
        <f t="shared" si="144"/>
        <v>3</v>
      </c>
      <c r="GK11" s="15">
        <v>0.16218846885488966</v>
      </c>
      <c r="GL11" s="15">
        <v>0.38230109456423594</v>
      </c>
      <c r="GM11" s="15">
        <v>0.23116691494293723</v>
      </c>
      <c r="GN11" s="15">
        <v>0.10333993712845883</v>
      </c>
      <c r="GO11" s="15">
        <v>5.1676482682448885E-2</v>
      </c>
      <c r="GP11" s="15">
        <v>2.2573946323973287E-2</v>
      </c>
      <c r="GQ11" s="15">
        <v>1.4023095047959986E-2</v>
      </c>
      <c r="GR11" s="15">
        <v>6.5694434069608985E-4</v>
      </c>
      <c r="GS11" s="15">
        <v>1.2876838358700144E-3</v>
      </c>
      <c r="GT11" s="15">
        <v>2.7645698795450723E-3</v>
      </c>
      <c r="GU11" s="15"/>
      <c r="GV11" s="15"/>
      <c r="GW11" s="15"/>
      <c r="GX11" s="15"/>
      <c r="GY11" s="15"/>
      <c r="GZ11" s="15"/>
      <c r="HA11" s="15"/>
      <c r="HB11" s="15"/>
      <c r="HC11" s="15"/>
      <c r="HD11" s="15"/>
      <c r="HG11" s="8">
        <f t="shared" si="145"/>
        <v>3</v>
      </c>
      <c r="HH11" s="15">
        <v>0.16315354949246499</v>
      </c>
      <c r="HI11" s="15">
        <v>0.3803456671603242</v>
      </c>
      <c r="HJ11" s="15">
        <v>0.22813088658124228</v>
      </c>
      <c r="HK11" s="15">
        <v>0.10225311528826973</v>
      </c>
      <c r="HL11" s="15">
        <v>5.1517362071131875E-2</v>
      </c>
      <c r="HM11" s="15">
        <v>2.2745918769894558E-2</v>
      </c>
      <c r="HN11" s="15">
        <v>1.4296199640851142E-2</v>
      </c>
      <c r="HO11" s="15">
        <v>6.7384812069490796E-4</v>
      </c>
      <c r="HP11" s="15">
        <v>1.3198874181193749E-3</v>
      </c>
      <c r="HQ11" s="15">
        <v>2.7879170384372746E-3</v>
      </c>
      <c r="HR11" s="15"/>
      <c r="HS11" s="15"/>
      <c r="HT11" s="15"/>
      <c r="HU11" s="15"/>
      <c r="HV11" s="15"/>
      <c r="HW11" s="15"/>
      <c r="HX11" s="15"/>
      <c r="HY11" s="15"/>
      <c r="HZ11" s="15"/>
      <c r="IA11" s="15"/>
      <c r="ID11" s="8">
        <f t="shared" si="146"/>
        <v>3</v>
      </c>
      <c r="IE11" s="15">
        <v>0.16338155347287153</v>
      </c>
      <c r="IF11" s="15">
        <v>0.37840068921304632</v>
      </c>
      <c r="IG11" s="15">
        <v>0.22586403347453565</v>
      </c>
      <c r="IH11" s="15">
        <v>0.10138706319275301</v>
      </c>
      <c r="II11" s="15">
        <v>5.1315475334785941E-2</v>
      </c>
      <c r="IJ11" s="15">
        <v>2.2812246469312819E-2</v>
      </c>
      <c r="IK11" s="15">
        <v>1.4445846083227725E-2</v>
      </c>
      <c r="IL11" s="15">
        <v>6.8360519237897364E-4</v>
      </c>
      <c r="IM11" s="15">
        <v>1.3384313039970809E-3</v>
      </c>
      <c r="IN11" s="15">
        <v>2.79827888542337E-3</v>
      </c>
      <c r="IO11" s="15"/>
      <c r="IP11" s="15"/>
      <c r="IQ11" s="15"/>
      <c r="IR11" s="15"/>
      <c r="IS11" s="15"/>
      <c r="IT11" s="15"/>
      <c r="IU11" s="15"/>
      <c r="IV11" s="15"/>
      <c r="IW11" s="15"/>
      <c r="IX11" s="15"/>
    </row>
    <row r="12" spans="1:258" x14ac:dyDescent="0.4">
      <c r="B12" s="23">
        <v>4</v>
      </c>
      <c r="C12" s="23">
        <v>0.217970896</v>
      </c>
      <c r="D12" s="23"/>
      <c r="F12" s="24">
        <v>4</v>
      </c>
      <c r="G12" s="24">
        <v>0.23156236799999999</v>
      </c>
      <c r="I12" s="8">
        <v>4</v>
      </c>
      <c r="J12" s="9">
        <v>27276</v>
      </c>
      <c r="K12" s="9">
        <v>218059</v>
      </c>
      <c r="L12" s="9">
        <v>916287</v>
      </c>
      <c r="M12" s="9">
        <v>1398488</v>
      </c>
      <c r="N12" s="9">
        <v>323276</v>
      </c>
      <c r="O12" s="9">
        <v>85968</v>
      </c>
      <c r="P12" s="9">
        <v>26679</v>
      </c>
      <c r="Q12" s="9">
        <v>867</v>
      </c>
      <c r="R12" s="9">
        <v>1664</v>
      </c>
      <c r="S12" s="9">
        <v>9177</v>
      </c>
      <c r="T12" s="9"/>
      <c r="U12" s="9"/>
      <c r="V12" s="9"/>
      <c r="W12" s="9"/>
      <c r="X12" s="9"/>
      <c r="Y12" s="9"/>
      <c r="Z12" s="9"/>
      <c r="AA12" s="9"/>
      <c r="AB12" s="9"/>
      <c r="AC12" s="9"/>
      <c r="AE12" s="8">
        <v>4</v>
      </c>
      <c r="AF12" s="15">
        <v>9.0476005242819506E-3</v>
      </c>
      <c r="AG12" s="15">
        <v>7.2331380067619813E-2</v>
      </c>
      <c r="AH12" s="15">
        <v>0.30393748136063709</v>
      </c>
      <c r="AI12" s="15">
        <v>0.46388622825934955</v>
      </c>
      <c r="AJ12" s="15">
        <v>0.1072324427000943</v>
      </c>
      <c r="AK12" s="15">
        <v>2.8516062541115664E-2</v>
      </c>
      <c r="AL12" s="15">
        <v>8.8495723121908704E-3</v>
      </c>
      <c r="AM12" s="15">
        <v>2.8758871002172064E-4</v>
      </c>
      <c r="AN12" s="15">
        <v>5.5195803169105328E-4</v>
      </c>
      <c r="AO12" s="15">
        <v>3.0440618129980741E-3</v>
      </c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BB12" s="8">
        <f t="shared" si="138"/>
        <v>4</v>
      </c>
      <c r="BC12" s="15">
        <v>2.9465753814953588E-2</v>
      </c>
      <c r="BD12" s="15">
        <v>0.17267449468445989</v>
      </c>
      <c r="BE12" s="15">
        <v>0.32823321704234565</v>
      </c>
      <c r="BF12" s="15">
        <v>0.28218933249947098</v>
      </c>
      <c r="BG12" s="15">
        <v>0.11642294654689282</v>
      </c>
      <c r="BH12" s="15">
        <v>3.9787831099464432E-2</v>
      </c>
      <c r="BI12" s="15">
        <v>1.7569763289048117E-2</v>
      </c>
      <c r="BJ12" s="15">
        <v>6.7004859971207082E-4</v>
      </c>
      <c r="BK12" s="15">
        <v>1.333509119369698E-3</v>
      </c>
      <c r="BL12" s="15">
        <v>3.8822255271566135E-3</v>
      </c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Y12" s="8">
        <f t="shared" si="139"/>
        <v>4</v>
      </c>
      <c r="BZ12" s="15">
        <v>5.541494095609209E-2</v>
      </c>
      <c r="CA12" s="15">
        <v>0.24010672152411225</v>
      </c>
      <c r="CB12" s="15">
        <v>0.3035074415323194</v>
      </c>
      <c r="CC12" s="15">
        <v>0.20781222040670894</v>
      </c>
      <c r="CD12" s="15">
        <v>0.10648939764131984</v>
      </c>
      <c r="CE12" s="15">
        <v>4.2393359325023028E-2</v>
      </c>
      <c r="CF12" s="15">
        <v>2.2652638360619436E-2</v>
      </c>
      <c r="CG12" s="15">
        <v>9.5855841568022904E-4</v>
      </c>
      <c r="CH12" s="15">
        <v>1.8840184541561379E-3</v>
      </c>
      <c r="CI12" s="15">
        <v>4.2237916979328063E-3</v>
      </c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V12" s="8">
        <f t="shared" si="140"/>
        <v>4</v>
      </c>
      <c r="CW12" s="15">
        <v>7.9657631566895079E-2</v>
      </c>
      <c r="CX12" s="15">
        <v>0.28080302257367457</v>
      </c>
      <c r="CY12" s="15">
        <v>0.27802099295046506</v>
      </c>
      <c r="CZ12" s="15">
        <v>0.17079756730185688</v>
      </c>
      <c r="DA12" s="15">
        <v>9.5008237627094913E-2</v>
      </c>
      <c r="DB12" s="15">
        <v>4.1456658303838372E-2</v>
      </c>
      <c r="DC12" s="15">
        <v>2.4708383072947888E-2</v>
      </c>
      <c r="DD12" s="15">
        <v>1.1118642161659831E-3</v>
      </c>
      <c r="DE12" s="15">
        <v>2.1714945764684237E-3</v>
      </c>
      <c r="DF12" s="15">
        <v>4.3110259411685802E-3</v>
      </c>
      <c r="DG12" s="15"/>
      <c r="DH12" s="15"/>
      <c r="DI12" s="15"/>
      <c r="DJ12" s="15"/>
      <c r="DK12" s="15"/>
      <c r="DL12" s="15"/>
      <c r="DM12" s="15"/>
      <c r="DN12" s="15"/>
      <c r="DO12" s="15"/>
      <c r="DP12" s="15"/>
      <c r="DS12" s="8">
        <f t="shared" si="141"/>
        <v>4</v>
      </c>
      <c r="DT12" s="15">
        <v>9.9399835886926927E-2</v>
      </c>
      <c r="DU12" s="15">
        <v>0.30553378099091505</v>
      </c>
      <c r="DV12" s="15">
        <v>0.25911719615707635</v>
      </c>
      <c r="DW12" s="15">
        <v>0.1492611929086517</v>
      </c>
      <c r="DX12" s="15">
        <v>8.5347088435836382E-2</v>
      </c>
      <c r="DY12" s="15">
        <v>3.9262885337813871E-2</v>
      </c>
      <c r="DZ12" s="15">
        <v>2.4911597427491827E-2</v>
      </c>
      <c r="EA12" s="15">
        <v>1.1622475313174568E-3</v>
      </c>
      <c r="EB12" s="15">
        <v>2.2641636194745476E-3</v>
      </c>
      <c r="EC12" s="15">
        <v>4.2439121809184754E-3</v>
      </c>
      <c r="ED12" s="15"/>
      <c r="EE12" s="15"/>
      <c r="EF12" s="15"/>
      <c r="EG12" s="15"/>
      <c r="EH12" s="15"/>
      <c r="EI12" s="15"/>
      <c r="EJ12" s="15"/>
      <c r="EK12" s="15"/>
      <c r="EL12" s="15"/>
      <c r="EM12" s="15"/>
      <c r="EP12" s="8">
        <f t="shared" si="142"/>
        <v>4</v>
      </c>
      <c r="EQ12" s="15">
        <v>0.11443280615668805</v>
      </c>
      <c r="ER12" s="15">
        <v>0.32118485724844276</v>
      </c>
      <c r="ES12" s="15">
        <v>0.24601356302950264</v>
      </c>
      <c r="ET12" s="15">
        <v>0.13534071040271536</v>
      </c>
      <c r="EU12" s="15">
        <v>7.7714113310596258E-2</v>
      </c>
      <c r="EV12" s="15">
        <v>3.6770901753902546E-2</v>
      </c>
      <c r="EW12" s="15">
        <v>2.4152689399864466E-2</v>
      </c>
      <c r="EX12" s="15">
        <v>1.1505060921992085E-3</v>
      </c>
      <c r="EY12" s="15">
        <v>2.2394113540351824E-3</v>
      </c>
      <c r="EZ12" s="15">
        <v>4.0950041513989127E-3</v>
      </c>
      <c r="FA12" s="15"/>
      <c r="FB12" s="15"/>
      <c r="FC12" s="15"/>
      <c r="FD12" s="15"/>
      <c r="FE12" s="15"/>
      <c r="FF12" s="15"/>
      <c r="FG12" s="15"/>
      <c r="FH12" s="15"/>
      <c r="FI12" s="15"/>
      <c r="FJ12" s="15"/>
      <c r="FM12" s="8">
        <f t="shared" si="143"/>
        <v>4</v>
      </c>
      <c r="FN12" s="15">
        <v>0.12549549980347044</v>
      </c>
      <c r="FO12" s="15">
        <v>0.33151230482635141</v>
      </c>
      <c r="FP12" s="15">
        <v>0.23697138828201783</v>
      </c>
      <c r="FQ12" s="15">
        <v>0.12571525280370976</v>
      </c>
      <c r="FR12" s="15">
        <v>7.1737696900152789E-2</v>
      </c>
      <c r="FS12" s="15">
        <v>3.4373517091656904E-2</v>
      </c>
      <c r="FT12" s="15">
        <v>2.2980172822848807E-2</v>
      </c>
      <c r="FU12" s="15">
        <v>1.1072021840931542E-3</v>
      </c>
      <c r="FV12" s="15">
        <v>2.1549277015504653E-3</v>
      </c>
      <c r="FW12" s="15">
        <v>3.9135863112927279E-3</v>
      </c>
      <c r="FX12" s="15"/>
      <c r="FY12" s="15"/>
      <c r="FZ12" s="15"/>
      <c r="GA12" s="15"/>
      <c r="GB12" s="15"/>
      <c r="GC12" s="15"/>
      <c r="GD12" s="15"/>
      <c r="GE12" s="15"/>
      <c r="GF12" s="15"/>
      <c r="GG12" s="15"/>
      <c r="GJ12" s="8">
        <f t="shared" si="144"/>
        <v>4</v>
      </c>
      <c r="GK12" s="15">
        <v>0.13349281627385287</v>
      </c>
      <c r="GL12" s="15">
        <v>0.3385226758235953</v>
      </c>
      <c r="GM12" s="15">
        <v>0.23061235647898437</v>
      </c>
      <c r="GN12" s="15">
        <v>0.1187506980351231</v>
      </c>
      <c r="GO12" s="15">
        <v>6.7032953259671943E-2</v>
      </c>
      <c r="GP12" s="15">
        <v>3.2220189389039554E-2</v>
      </c>
      <c r="GQ12" s="15">
        <v>2.1699203897401421E-2</v>
      </c>
      <c r="GR12" s="15">
        <v>1.0513994993618073E-3</v>
      </c>
      <c r="GS12" s="15">
        <v>2.0468458651472887E-3</v>
      </c>
      <c r="GT12" s="15">
        <v>3.7289668924321553E-3</v>
      </c>
      <c r="GU12" s="15"/>
      <c r="GV12" s="15"/>
      <c r="GW12" s="15"/>
      <c r="GX12" s="15"/>
      <c r="GY12" s="15"/>
      <c r="GZ12" s="15"/>
      <c r="HA12" s="15"/>
      <c r="HB12" s="15"/>
      <c r="HC12" s="15"/>
      <c r="HD12" s="15"/>
      <c r="HG12" s="8">
        <f t="shared" si="145"/>
        <v>4</v>
      </c>
      <c r="HH12" s="15">
        <v>0.13921479161152675</v>
      </c>
      <c r="HI12" s="15">
        <v>0.34332753283336381</v>
      </c>
      <c r="HJ12" s="15">
        <v>0.22600196397007793</v>
      </c>
      <c r="HK12" s="15">
        <v>0.11354080546999774</v>
      </c>
      <c r="HL12" s="15">
        <v>6.3297336168856647E-2</v>
      </c>
      <c r="HM12" s="15">
        <v>3.0352764134962941E-2</v>
      </c>
      <c r="HN12" s="15">
        <v>2.0465538470631917E-2</v>
      </c>
      <c r="HO12" s="15">
        <v>9.9374925585637335E-4</v>
      </c>
      <c r="HP12" s="15">
        <v>1.9354274144336467E-3</v>
      </c>
      <c r="HQ12" s="15">
        <v>3.5563987373932611E-3</v>
      </c>
      <c r="HR12" s="15"/>
      <c r="HS12" s="15"/>
      <c r="HT12" s="15"/>
      <c r="HU12" s="15"/>
      <c r="HV12" s="15"/>
      <c r="HW12" s="15"/>
      <c r="HX12" s="15"/>
      <c r="HY12" s="15"/>
      <c r="HZ12" s="15"/>
      <c r="IA12" s="15"/>
      <c r="ID12" s="8">
        <f t="shared" si="146"/>
        <v>4</v>
      </c>
      <c r="IE12" s="15">
        <v>0.14327447922939948</v>
      </c>
      <c r="IF12" s="15">
        <v>0.34658311235453387</v>
      </c>
      <c r="IG12" s="15">
        <v>0.2225328056144944</v>
      </c>
      <c r="IH12" s="15">
        <v>0.10953888161902063</v>
      </c>
      <c r="II12" s="15">
        <v>6.0305644270942226E-2</v>
      </c>
      <c r="IJ12" s="15">
        <v>2.8765145015891506E-2</v>
      </c>
      <c r="IK12" s="15">
        <v>1.9349411860341125E-2</v>
      </c>
      <c r="IL12" s="15">
        <v>9.3961155163122499E-4</v>
      </c>
      <c r="IM12" s="15">
        <v>1.8308869846616412E-3</v>
      </c>
      <c r="IN12" s="15">
        <v>3.4024504226024327E-3</v>
      </c>
      <c r="IO12" s="15"/>
      <c r="IP12" s="15"/>
      <c r="IQ12" s="15"/>
      <c r="IR12" s="15"/>
      <c r="IS12" s="15"/>
      <c r="IT12" s="15"/>
      <c r="IU12" s="15"/>
      <c r="IV12" s="15"/>
      <c r="IW12" s="15"/>
      <c r="IX12" s="15"/>
    </row>
    <row r="13" spans="1:258" x14ac:dyDescent="0.4">
      <c r="B13" s="23">
        <v>5</v>
      </c>
      <c r="C13" s="23">
        <v>0.52152634200000003</v>
      </c>
      <c r="D13" s="23"/>
      <c r="F13" s="24">
        <v>5</v>
      </c>
      <c r="G13" s="24">
        <v>0.53511781400000002</v>
      </c>
      <c r="I13" s="8">
        <v>5</v>
      </c>
      <c r="J13" s="9">
        <v>3003</v>
      </c>
      <c r="K13" s="9">
        <v>27282</v>
      </c>
      <c r="L13" s="9">
        <v>126023</v>
      </c>
      <c r="M13" s="9">
        <v>534735</v>
      </c>
      <c r="N13" s="9">
        <v>886249</v>
      </c>
      <c r="O13" s="9">
        <v>205493</v>
      </c>
      <c r="P13" s="9">
        <v>66803</v>
      </c>
      <c r="Q13" s="9">
        <v>1942</v>
      </c>
      <c r="R13" s="9">
        <v>4009</v>
      </c>
      <c r="S13" s="9">
        <v>12823</v>
      </c>
      <c r="T13" s="9"/>
      <c r="U13" s="9"/>
      <c r="V13" s="9"/>
      <c r="W13" s="9"/>
      <c r="X13" s="9"/>
      <c r="Y13" s="9"/>
      <c r="Z13" s="9"/>
      <c r="AA13" s="9"/>
      <c r="AB13" s="9"/>
      <c r="AC13" s="9"/>
      <c r="AE13" s="8">
        <v>5</v>
      </c>
      <c r="AF13" s="15">
        <v>1.598689339670567E-3</v>
      </c>
      <c r="AG13" s="15">
        <v>1.4523956898066069E-2</v>
      </c>
      <c r="AH13" s="15">
        <v>6.7090118765668949E-2</v>
      </c>
      <c r="AI13" s="15">
        <v>0.28467370764193828</v>
      </c>
      <c r="AJ13" s="15">
        <v>0.47180713572883792</v>
      </c>
      <c r="AK13" s="15">
        <v>0.10939709239990802</v>
      </c>
      <c r="AL13" s="15">
        <v>3.556351780153609E-2</v>
      </c>
      <c r="AM13" s="15">
        <v>1.0338510481652484E-3</v>
      </c>
      <c r="AN13" s="15">
        <v>2.1342476066397945E-3</v>
      </c>
      <c r="AO13" s="15">
        <v>6.8265046295689913E-3</v>
      </c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BB13" s="8">
        <f t="shared" si="138"/>
        <v>5</v>
      </c>
      <c r="BC13" s="15">
        <v>8.5042782529178504E-3</v>
      </c>
      <c r="BD13" s="15">
        <v>5.7356707684205997E-2</v>
      </c>
      <c r="BE13" s="15">
        <v>0.16076090228669596</v>
      </c>
      <c r="BF13" s="15">
        <v>0.28813712108944878</v>
      </c>
      <c r="BG13" s="15">
        <v>0.28761544487114971</v>
      </c>
      <c r="BH13" s="15">
        <v>0.11032427704863071</v>
      </c>
      <c r="BI13" s="15">
        <v>5.4612548236708164E-2</v>
      </c>
      <c r="BJ13" s="15">
        <v>2.0981636950255646E-3</v>
      </c>
      <c r="BK13" s="15">
        <v>4.1275550628338421E-3</v>
      </c>
      <c r="BL13" s="15">
        <v>8.157839143883577E-3</v>
      </c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Y13" s="8">
        <f t="shared" si="139"/>
        <v>5</v>
      </c>
      <c r="BZ13" s="15">
        <v>2.1423724520832611E-2</v>
      </c>
      <c r="CA13" s="15">
        <v>0.11232180048643911</v>
      </c>
      <c r="CB13" s="15">
        <v>0.20813731317857093</v>
      </c>
      <c r="CC13" s="15">
        <v>0.24887176261193886</v>
      </c>
      <c r="CD13" s="15">
        <v>0.20556094057204385</v>
      </c>
      <c r="CE13" s="15">
        <v>9.6078058834742949E-2</v>
      </c>
      <c r="CF13" s="15">
        <v>5.8380606209832424E-2</v>
      </c>
      <c r="CG13" s="15">
        <v>2.5679279474295309E-3</v>
      </c>
      <c r="CH13" s="15">
        <v>4.9787529194601056E-3</v>
      </c>
      <c r="CI13" s="15">
        <v>8.3363618268027084E-3</v>
      </c>
      <c r="CJ13" s="15"/>
      <c r="CK13" s="15"/>
      <c r="CL13" s="15"/>
      <c r="CM13" s="15"/>
      <c r="CN13" s="15"/>
      <c r="CO13" s="15"/>
      <c r="CP13" s="15"/>
      <c r="CQ13" s="15"/>
      <c r="CR13" s="15"/>
      <c r="CS13" s="15"/>
      <c r="CV13" s="8">
        <f t="shared" si="140"/>
        <v>5</v>
      </c>
      <c r="CW13" s="15">
        <v>3.8154982295110426E-2</v>
      </c>
      <c r="CX13" s="15">
        <v>0.16244022578732803</v>
      </c>
      <c r="CY13" s="15">
        <v>0.22538405306042153</v>
      </c>
      <c r="CZ13" s="15">
        <v>0.21222567664490138</v>
      </c>
      <c r="DA13" s="15">
        <v>0.16066983006300081</v>
      </c>
      <c r="DB13" s="15">
        <v>8.1970747896274149E-2</v>
      </c>
      <c r="DC13" s="15">
        <v>5.5184486119930896E-2</v>
      </c>
      <c r="DD13" s="15">
        <v>2.5981841611134914E-3</v>
      </c>
      <c r="DE13" s="15">
        <v>5.0230854741320002E-3</v>
      </c>
      <c r="DF13" s="15">
        <v>7.9132775090040089E-3</v>
      </c>
      <c r="DG13" s="15"/>
      <c r="DH13" s="15"/>
      <c r="DI13" s="15"/>
      <c r="DJ13" s="15"/>
      <c r="DK13" s="15"/>
      <c r="DL13" s="15"/>
      <c r="DM13" s="15"/>
      <c r="DN13" s="15"/>
      <c r="DO13" s="15"/>
      <c r="DP13" s="15"/>
      <c r="DS13" s="8">
        <f t="shared" si="141"/>
        <v>5</v>
      </c>
      <c r="DT13" s="15">
        <v>5.5756740354334547E-2</v>
      </c>
      <c r="DU13" s="15">
        <v>0.20269155280625614</v>
      </c>
      <c r="DV13" s="15">
        <v>0.22866144536878866</v>
      </c>
      <c r="DW13" s="15">
        <v>0.18401192281876977</v>
      </c>
      <c r="DX13" s="15">
        <v>0.13227906869969749</v>
      </c>
      <c r="DY13" s="15">
        <v>7.0102538900151112E-2</v>
      </c>
      <c r="DZ13" s="15">
        <v>4.9615226066527955E-2</v>
      </c>
      <c r="EA13" s="15">
        <v>2.4178210933026821E-3</v>
      </c>
      <c r="EB13" s="15">
        <v>4.6745330431373321E-3</v>
      </c>
      <c r="EC13" s="15">
        <v>7.2250925097350621E-3</v>
      </c>
      <c r="ED13" s="15"/>
      <c r="EE13" s="15"/>
      <c r="EF13" s="15"/>
      <c r="EG13" s="15"/>
      <c r="EH13" s="15"/>
      <c r="EI13" s="15"/>
      <c r="EJ13" s="15"/>
      <c r="EK13" s="15"/>
      <c r="EL13" s="15"/>
      <c r="EM13" s="15"/>
      <c r="EP13" s="8">
        <f t="shared" si="142"/>
        <v>5</v>
      </c>
      <c r="EQ13" s="15">
        <v>7.2200241348935171E-2</v>
      </c>
      <c r="ER13" s="15">
        <v>0.23351855499457425</v>
      </c>
      <c r="ES13" s="15">
        <v>0.22647825196898327</v>
      </c>
      <c r="ET13" s="15">
        <v>0.16291248999255944</v>
      </c>
      <c r="EU13" s="15">
        <v>0.11257282529045579</v>
      </c>
      <c r="EV13" s="15">
        <v>6.041583928574018E-2</v>
      </c>
      <c r="EW13" s="15">
        <v>4.3714967717593062E-2</v>
      </c>
      <c r="EX13" s="15">
        <v>2.1663933899802438E-3</v>
      </c>
      <c r="EY13" s="15">
        <v>4.1911989708750645E-3</v>
      </c>
      <c r="EZ13" s="15">
        <v>6.4827692856345752E-3</v>
      </c>
      <c r="FA13" s="15"/>
      <c r="FB13" s="15"/>
      <c r="FC13" s="15"/>
      <c r="FD13" s="15"/>
      <c r="FE13" s="15"/>
      <c r="FF13" s="15"/>
      <c r="FG13" s="15"/>
      <c r="FH13" s="15"/>
      <c r="FI13" s="15"/>
      <c r="FJ13" s="15"/>
      <c r="FM13" s="8">
        <f t="shared" si="143"/>
        <v>5</v>
      </c>
      <c r="FN13" s="15">
        <v>8.6512837417345598E-2</v>
      </c>
      <c r="FO13" s="15">
        <v>0.25678718947646889</v>
      </c>
      <c r="FP13" s="15">
        <v>0.22260275077601432</v>
      </c>
      <c r="FQ13" s="15">
        <v>0.14700207861237674</v>
      </c>
      <c r="FR13" s="15">
        <v>9.8085960160039037E-2</v>
      </c>
      <c r="FS13" s="15">
        <v>5.2566259014699322E-2</v>
      </c>
      <c r="FT13" s="15">
        <v>3.8291997244287022E-2</v>
      </c>
      <c r="FU13" s="15">
        <v>1.9114053273447116E-3</v>
      </c>
      <c r="FV13" s="15">
        <v>3.7007771833613558E-3</v>
      </c>
      <c r="FW13" s="15">
        <v>5.789713844299966E-3</v>
      </c>
      <c r="FX13" s="15"/>
      <c r="FY13" s="15"/>
      <c r="FZ13" s="15"/>
      <c r="GA13" s="15"/>
      <c r="GB13" s="15"/>
      <c r="GC13" s="15"/>
      <c r="GD13" s="15"/>
      <c r="GE13" s="15"/>
      <c r="GF13" s="15"/>
      <c r="GG13" s="15"/>
      <c r="GJ13" s="8">
        <f t="shared" si="144"/>
        <v>5</v>
      </c>
      <c r="GK13" s="15">
        <v>9.8438581881186912E-2</v>
      </c>
      <c r="GL13" s="15">
        <v>0.27431767205168545</v>
      </c>
      <c r="GM13" s="15">
        <v>0.21853667933142903</v>
      </c>
      <c r="GN13" s="15">
        <v>0.13480954449700588</v>
      </c>
      <c r="GO13" s="15">
        <v>8.705589783055373E-2</v>
      </c>
      <c r="GP13" s="15">
        <v>4.6222092254976248E-2</v>
      </c>
      <c r="GQ13" s="15">
        <v>3.3604302998992412E-2</v>
      </c>
      <c r="GR13" s="15">
        <v>1.6805662847502708E-3</v>
      </c>
      <c r="GS13" s="15">
        <v>3.2564703986906387E-3</v>
      </c>
      <c r="GT13" s="15">
        <v>5.1847738506033587E-3</v>
      </c>
      <c r="GU13" s="15"/>
      <c r="GV13" s="15"/>
      <c r="GW13" s="15"/>
      <c r="GX13" s="15"/>
      <c r="GY13" s="15"/>
      <c r="GZ13" s="15"/>
      <c r="HA13" s="15"/>
      <c r="HB13" s="15"/>
      <c r="HC13" s="15"/>
      <c r="HD13" s="15"/>
      <c r="HG13" s="8">
        <f t="shared" si="145"/>
        <v>5</v>
      </c>
      <c r="HH13" s="15">
        <v>0.108101431227716</v>
      </c>
      <c r="HI13" s="15">
        <v>0.28753865008623647</v>
      </c>
      <c r="HJ13" s="15">
        <v>0.21480214689356245</v>
      </c>
      <c r="HK13" s="15">
        <v>0.12532022060370984</v>
      </c>
      <c r="HL13" s="15">
        <v>7.8474823684769837E-2</v>
      </c>
      <c r="HM13" s="15">
        <v>4.1102164065577762E-2</v>
      </c>
      <c r="HN13" s="15">
        <v>2.9675717239050107E-2</v>
      </c>
      <c r="HO13" s="15">
        <v>1.4823769261295121E-3</v>
      </c>
      <c r="HP13" s="15">
        <v>2.8748111002767523E-3</v>
      </c>
      <c r="HQ13" s="15">
        <v>4.6747848463291088E-3</v>
      </c>
      <c r="HR13" s="15"/>
      <c r="HS13" s="15"/>
      <c r="HT13" s="15"/>
      <c r="HU13" s="15"/>
      <c r="HV13" s="15"/>
      <c r="HW13" s="15"/>
      <c r="HX13" s="15"/>
      <c r="HY13" s="15"/>
      <c r="HZ13" s="15"/>
      <c r="IA13" s="15"/>
      <c r="ID13" s="8">
        <f t="shared" si="146"/>
        <v>5</v>
      </c>
      <c r="IE13" s="15">
        <v>0.11578385327155509</v>
      </c>
      <c r="IF13" s="15">
        <v>0.29750237556634335</v>
      </c>
      <c r="IG13" s="15">
        <v>0.21152599238021319</v>
      </c>
      <c r="IH13" s="15">
        <v>0.117838602983645</v>
      </c>
      <c r="II13" s="15">
        <v>7.1707817031385068E-2</v>
      </c>
      <c r="IJ13" s="15">
        <v>3.6973687576993472E-2</v>
      </c>
      <c r="IK13" s="15">
        <v>2.6438280567577306E-2</v>
      </c>
      <c r="IL13" s="15">
        <v>1.3168586949866249E-3</v>
      </c>
      <c r="IM13" s="15">
        <v>2.5559658614880171E-3</v>
      </c>
      <c r="IN13" s="15">
        <v>4.2528366472689514E-3</v>
      </c>
      <c r="IO13" s="15"/>
      <c r="IP13" s="15"/>
      <c r="IQ13" s="15"/>
      <c r="IR13" s="15"/>
      <c r="IS13" s="15"/>
      <c r="IT13" s="15"/>
      <c r="IU13" s="15"/>
      <c r="IV13" s="15"/>
      <c r="IW13" s="15"/>
      <c r="IX13" s="15"/>
    </row>
    <row r="14" spans="1:258" x14ac:dyDescent="0.4">
      <c r="B14" s="23">
        <v>6</v>
      </c>
      <c r="C14" s="23">
        <v>1.511625716</v>
      </c>
      <c r="D14" s="23"/>
      <c r="F14" s="24">
        <v>6</v>
      </c>
      <c r="G14" s="24">
        <v>1.5252171880000001</v>
      </c>
      <c r="I14" s="8">
        <v>6</v>
      </c>
      <c r="J14" s="9">
        <v>812</v>
      </c>
      <c r="K14" s="9">
        <v>5939</v>
      </c>
      <c r="L14" s="9">
        <v>28153</v>
      </c>
      <c r="M14" s="9">
        <v>123924</v>
      </c>
      <c r="N14" s="9">
        <v>277377</v>
      </c>
      <c r="O14" s="9">
        <v>385810</v>
      </c>
      <c r="P14" s="9">
        <v>160960</v>
      </c>
      <c r="Q14" s="9">
        <v>4243</v>
      </c>
      <c r="R14" s="9">
        <v>8235</v>
      </c>
      <c r="S14" s="9">
        <v>13130</v>
      </c>
      <c r="T14" s="9"/>
      <c r="U14" s="9"/>
      <c r="V14" s="9"/>
      <c r="W14" s="9"/>
      <c r="X14" s="9"/>
      <c r="Y14" s="9"/>
      <c r="Z14" s="9"/>
      <c r="AA14" s="9"/>
      <c r="AB14" s="9"/>
      <c r="AC14" s="9"/>
      <c r="AE14" s="8">
        <v>6</v>
      </c>
      <c r="AF14" s="15">
        <v>7.9281054353825121E-4</v>
      </c>
      <c r="AG14" s="15">
        <v>5.7986475592040317E-3</v>
      </c>
      <c r="AH14" s="15">
        <v>2.7487678857429049E-2</v>
      </c>
      <c r="AI14" s="15">
        <v>0.12099538645004218</v>
      </c>
      <c r="AJ14" s="15">
        <v>0.2708219336638048</v>
      </c>
      <c r="AK14" s="15">
        <v>0.37669240862375947</v>
      </c>
      <c r="AL14" s="15">
        <v>0.15715613927083366</v>
      </c>
      <c r="AM14" s="15">
        <v>4.1427280002866987E-3</v>
      </c>
      <c r="AN14" s="15">
        <v>8.0403877167949493E-3</v>
      </c>
      <c r="AO14" s="15">
        <v>1.2819707434306944E-2</v>
      </c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BB14" s="8">
        <f t="shared" si="138"/>
        <v>6</v>
      </c>
      <c r="BC14" s="15">
        <v>3.9915685155078187E-3</v>
      </c>
      <c r="BD14" s="15">
        <v>2.6968706960833391E-2</v>
      </c>
      <c r="BE14" s="15">
        <v>8.2517726472614947E-2</v>
      </c>
      <c r="BF14" s="15">
        <v>0.1877422118071965</v>
      </c>
      <c r="BG14" s="15">
        <v>0.25755239479763264</v>
      </c>
      <c r="BH14" s="15">
        <v>0.2146870508184848</v>
      </c>
      <c r="BI14" s="15">
        <v>0.14801959748314139</v>
      </c>
      <c r="BJ14" s="15">
        <v>6.2671981266144202E-3</v>
      </c>
      <c r="BK14" s="15">
        <v>1.1830998744053878E-2</v>
      </c>
      <c r="BL14" s="15">
        <v>1.5910997093528438E-2</v>
      </c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Y14" s="8">
        <f t="shared" si="139"/>
        <v>6</v>
      </c>
      <c r="BZ14" s="15">
        <v>1.1091880730434574E-2</v>
      </c>
      <c r="CA14" s="15">
        <v>6.1416525602616109E-2</v>
      </c>
      <c r="CB14" s="15">
        <v>0.13113647159599295</v>
      </c>
      <c r="CC14" s="15">
        <v>0.20117467392018726</v>
      </c>
      <c r="CD14" s="15">
        <v>0.21527390620956574</v>
      </c>
      <c r="CE14" s="15">
        <v>0.15241544873420304</v>
      </c>
      <c r="CF14" s="15">
        <v>0.12052360168163552</v>
      </c>
      <c r="CG14" s="15">
        <v>5.8969199412581656E-3</v>
      </c>
      <c r="CH14" s="15">
        <v>1.1247153226184846E-2</v>
      </c>
      <c r="CI14" s="15">
        <v>1.4798349372690908E-2</v>
      </c>
      <c r="CJ14" s="15"/>
      <c r="CK14" s="15"/>
      <c r="CL14" s="15"/>
      <c r="CM14" s="15"/>
      <c r="CN14" s="15"/>
      <c r="CO14" s="15"/>
      <c r="CP14" s="15"/>
      <c r="CQ14" s="15"/>
      <c r="CR14" s="15"/>
      <c r="CS14" s="15"/>
      <c r="CV14" s="8">
        <f t="shared" si="140"/>
        <v>6</v>
      </c>
      <c r="CW14" s="15">
        <v>2.1845300997448906E-2</v>
      </c>
      <c r="CX14" s="15">
        <v>0.10042374562343176</v>
      </c>
      <c r="CY14" s="15">
        <v>0.1628512262412147</v>
      </c>
      <c r="CZ14" s="15">
        <v>0.19275106705106235</v>
      </c>
      <c r="DA14" s="15">
        <v>0.17884768175848512</v>
      </c>
      <c r="DB14" s="15">
        <v>0.11818000876280789</v>
      </c>
      <c r="DC14" s="15">
        <v>9.6218376191364988E-2</v>
      </c>
      <c r="DD14" s="15">
        <v>4.9353631783658428E-3</v>
      </c>
      <c r="DE14" s="15">
        <v>9.4764199571936453E-3</v>
      </c>
      <c r="DF14" s="15">
        <v>1.2602869874107091E-2</v>
      </c>
      <c r="DG14" s="15"/>
      <c r="DH14" s="15"/>
      <c r="DI14" s="15"/>
      <c r="DJ14" s="15"/>
      <c r="DK14" s="15"/>
      <c r="DL14" s="15"/>
      <c r="DM14" s="15"/>
      <c r="DN14" s="15"/>
      <c r="DO14" s="15"/>
      <c r="DP14" s="15"/>
      <c r="DS14" s="8">
        <f t="shared" si="141"/>
        <v>6</v>
      </c>
      <c r="DT14" s="15">
        <v>3.4841754887454612E-2</v>
      </c>
      <c r="DU14" s="15">
        <v>0.13750004290151868</v>
      </c>
      <c r="DV14" s="15">
        <v>0.18061973472510987</v>
      </c>
      <c r="DW14" s="15">
        <v>0.17784470062177746</v>
      </c>
      <c r="DX14" s="15">
        <v>0.15034863295136638</v>
      </c>
      <c r="DY14" s="15">
        <v>9.5164148078562313E-2</v>
      </c>
      <c r="DZ14" s="15">
        <v>7.7198392592105772E-2</v>
      </c>
      <c r="EA14" s="15">
        <v>4.0100385864606358E-3</v>
      </c>
      <c r="EB14" s="15">
        <v>7.7251135709615571E-3</v>
      </c>
      <c r="EC14" s="15">
        <v>1.0488456350965328E-2</v>
      </c>
      <c r="ED14" s="15"/>
      <c r="EE14" s="15"/>
      <c r="EF14" s="15"/>
      <c r="EG14" s="15"/>
      <c r="EH14" s="15"/>
      <c r="EI14" s="15"/>
      <c r="EJ14" s="15"/>
      <c r="EK14" s="15"/>
      <c r="EL14" s="15"/>
      <c r="EM14" s="15"/>
      <c r="EP14" s="8">
        <f t="shared" si="142"/>
        <v>6</v>
      </c>
      <c r="EQ14" s="15">
        <v>4.8509890880834523E-2</v>
      </c>
      <c r="ER14" s="15">
        <v>0.16975107559232908</v>
      </c>
      <c r="ES14" s="15">
        <v>0.18939615384856437</v>
      </c>
      <c r="ET14" s="15">
        <v>0.16232123511400148</v>
      </c>
      <c r="EU14" s="15">
        <v>0.12807421908474048</v>
      </c>
      <c r="EV14" s="15">
        <v>7.8293271899103539E-2</v>
      </c>
      <c r="EW14" s="15">
        <v>6.2641257354685662E-2</v>
      </c>
      <c r="EX14" s="15">
        <v>3.2539661529984096E-3</v>
      </c>
      <c r="EY14" s="15">
        <v>6.2793569008409971E-3</v>
      </c>
      <c r="EZ14" s="15">
        <v>8.7384012858154701E-3</v>
      </c>
      <c r="FA14" s="15"/>
      <c r="FB14" s="15"/>
      <c r="FC14" s="15"/>
      <c r="FD14" s="15"/>
      <c r="FE14" s="15"/>
      <c r="FF14" s="15"/>
      <c r="FG14" s="15"/>
      <c r="FH14" s="15"/>
      <c r="FI14" s="15"/>
      <c r="FJ14" s="15"/>
      <c r="FM14" s="8">
        <f t="shared" si="143"/>
        <v>6</v>
      </c>
      <c r="FN14" s="15">
        <v>6.1658410888572997E-2</v>
      </c>
      <c r="FO14" s="15">
        <v>0.19652371357420212</v>
      </c>
      <c r="FP14" s="15">
        <v>0.19293403422047825</v>
      </c>
      <c r="FQ14" s="15">
        <v>0.14816635479543111</v>
      </c>
      <c r="FR14" s="15">
        <v>0.11049570648901205</v>
      </c>
      <c r="FS14" s="15">
        <v>6.5469863227227337E-2</v>
      </c>
      <c r="FT14" s="15">
        <v>5.1504837331401133E-2</v>
      </c>
      <c r="FU14" s="15">
        <v>2.6635257344066704E-3</v>
      </c>
      <c r="FV14" s="15">
        <v>5.1456800705209534E-3</v>
      </c>
      <c r="FW14" s="15">
        <v>7.3544388075606577E-3</v>
      </c>
      <c r="FX14" s="15"/>
      <c r="FY14" s="15"/>
      <c r="FZ14" s="15"/>
      <c r="GA14" s="15"/>
      <c r="GB14" s="15"/>
      <c r="GC14" s="15"/>
      <c r="GD14" s="15"/>
      <c r="GE14" s="15"/>
      <c r="GF14" s="15"/>
      <c r="GG14" s="15"/>
      <c r="GJ14" s="8">
        <f t="shared" si="144"/>
        <v>6</v>
      </c>
      <c r="GK14" s="15">
        <v>7.3578403882425397E-2</v>
      </c>
      <c r="GL14" s="15">
        <v>0.21818038436578599</v>
      </c>
      <c r="GM14" s="15">
        <v>0.19359255693039693</v>
      </c>
      <c r="GN14" s="15">
        <v>0.13591459860693131</v>
      </c>
      <c r="GO14" s="15">
        <v>9.652215433581407E-2</v>
      </c>
      <c r="GP14" s="15">
        <v>5.555328277531426E-2</v>
      </c>
      <c r="GQ14" s="15">
        <v>4.2940717794187851E-2</v>
      </c>
      <c r="GR14" s="15">
        <v>2.2073236480095425E-3</v>
      </c>
      <c r="GS14" s="15">
        <v>4.26826487379989E-3</v>
      </c>
      <c r="GT14" s="15">
        <v>6.2730920621922549E-3</v>
      </c>
      <c r="GU14" s="15"/>
      <c r="GV14" s="15"/>
      <c r="GW14" s="15"/>
      <c r="GX14" s="15"/>
      <c r="GY14" s="15"/>
      <c r="GZ14" s="15"/>
      <c r="HA14" s="15"/>
      <c r="HB14" s="15"/>
      <c r="HC14" s="15"/>
      <c r="HD14" s="15"/>
      <c r="HG14" s="8">
        <f t="shared" si="145"/>
        <v>6</v>
      </c>
      <c r="HH14" s="15">
        <v>8.3950860138474151E-2</v>
      </c>
      <c r="HI14" s="15">
        <v>0.2354253105814125</v>
      </c>
      <c r="HJ14" s="15">
        <v>0.19275137572478071</v>
      </c>
      <c r="HK14" s="15">
        <v>0.12557047704693189</v>
      </c>
      <c r="HL14" s="15">
        <v>8.5365748089926391E-2</v>
      </c>
      <c r="HM14" s="15">
        <v>4.7808884046519187E-2</v>
      </c>
      <c r="HN14" s="15">
        <v>3.6311846731770438E-2</v>
      </c>
      <c r="HO14" s="15">
        <v>1.8545235434487943E-3</v>
      </c>
      <c r="HP14" s="15">
        <v>3.5892152826809149E-3</v>
      </c>
      <c r="HQ14" s="15">
        <v>5.4285491950304635E-3</v>
      </c>
      <c r="HR14" s="15"/>
      <c r="HS14" s="15"/>
      <c r="HT14" s="15"/>
      <c r="HU14" s="15"/>
      <c r="HV14" s="15"/>
      <c r="HW14" s="15"/>
      <c r="HX14" s="15"/>
      <c r="HY14" s="15"/>
      <c r="HZ14" s="15"/>
      <c r="IA14" s="15"/>
      <c r="ID14" s="8">
        <f t="shared" si="146"/>
        <v>6</v>
      </c>
      <c r="IE14" s="15">
        <v>9.2714846144013888E-2</v>
      </c>
      <c r="IF14" s="15">
        <v>0.24900432180064611</v>
      </c>
      <c r="IG14" s="15">
        <v>0.19118949458344922</v>
      </c>
      <c r="IH14" s="15">
        <v>0.11695281135794261</v>
      </c>
      <c r="II14" s="15">
        <v>7.6434733224297099E-2</v>
      </c>
      <c r="IJ14" s="15">
        <v>4.1720857967553898E-2</v>
      </c>
      <c r="IK14" s="15">
        <v>3.1148210269794634E-2</v>
      </c>
      <c r="IL14" s="15">
        <v>1.5804324186483058E-3</v>
      </c>
      <c r="IM14" s="15">
        <v>3.0614614048075348E-3</v>
      </c>
      <c r="IN14" s="15">
        <v>4.7666777831379932E-3</v>
      </c>
      <c r="IO14" s="15"/>
      <c r="IP14" s="15"/>
      <c r="IQ14" s="15"/>
      <c r="IR14" s="15"/>
      <c r="IS14" s="15"/>
      <c r="IT14" s="15"/>
      <c r="IU14" s="15"/>
      <c r="IV14" s="15"/>
      <c r="IW14" s="15"/>
      <c r="IX14" s="15"/>
    </row>
    <row r="15" spans="1:258" x14ac:dyDescent="0.4">
      <c r="B15" s="23">
        <v>7</v>
      </c>
      <c r="C15" s="23">
        <v>5.3609662220000001</v>
      </c>
      <c r="D15" s="23"/>
      <c r="F15" s="24">
        <v>7</v>
      </c>
      <c r="G15" s="24">
        <v>5.3745576939999999</v>
      </c>
      <c r="I15" s="8">
        <v>7</v>
      </c>
      <c r="J15" s="9">
        <v>85</v>
      </c>
      <c r="K15" s="9">
        <v>911</v>
      </c>
      <c r="L15" s="9">
        <v>5812</v>
      </c>
      <c r="M15" s="9">
        <v>31003</v>
      </c>
      <c r="N15" s="9">
        <v>72704</v>
      </c>
      <c r="O15" s="9">
        <v>203665</v>
      </c>
      <c r="P15" s="9">
        <v>383878</v>
      </c>
      <c r="Q15" s="9">
        <v>17311</v>
      </c>
      <c r="R15" s="9">
        <v>29903</v>
      </c>
      <c r="S15" s="9">
        <v>30036</v>
      </c>
      <c r="T15" s="9"/>
      <c r="U15" s="9"/>
      <c r="V15" s="9"/>
      <c r="W15" s="9"/>
      <c r="X15" s="9"/>
      <c r="Y15" s="9"/>
      <c r="Z15" s="9"/>
      <c r="AA15" s="9"/>
      <c r="AB15" s="9"/>
      <c r="AC15" s="9"/>
      <c r="AE15" s="8">
        <v>7</v>
      </c>
      <c r="AF15" s="15">
        <v>1.0374151428864399E-4</v>
      </c>
      <c r="AG15" s="15">
        <v>1.1118649354935845E-3</v>
      </c>
      <c r="AH15" s="15">
        <v>7.0934786005364577E-3</v>
      </c>
      <c r="AI15" s="15">
        <v>3.7838801970480347E-2</v>
      </c>
      <c r="AJ15" s="15">
        <v>8.8734388880489096E-2</v>
      </c>
      <c r="AK15" s="15">
        <v>0.24857077067760797</v>
      </c>
      <c r="AL15" s="15">
        <v>0.4685186473187774</v>
      </c>
      <c r="AM15" s="15">
        <v>2.1127874751184897E-2</v>
      </c>
      <c r="AN15" s="15">
        <v>3.6496264726744956E-2</v>
      </c>
      <c r="AO15" s="15">
        <v>3.66585896843966E-2</v>
      </c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BB15" s="8">
        <f t="shared" si="138"/>
        <v>7</v>
      </c>
      <c r="BC15" s="15">
        <v>1.1706477462005301E-3</v>
      </c>
      <c r="BD15" s="15">
        <v>8.7872685026369347E-3</v>
      </c>
      <c r="BE15" s="15">
        <v>3.1739708544965856E-2</v>
      </c>
      <c r="BF15" s="15">
        <v>9.1613741954051503E-2</v>
      </c>
      <c r="BG15" s="15">
        <v>0.15573629323363414</v>
      </c>
      <c r="BH15" s="15">
        <v>0.22315685583173336</v>
      </c>
      <c r="BI15" s="15">
        <v>0.28211279551477747</v>
      </c>
      <c r="BJ15" s="15">
        <v>1.5845099687806497E-2</v>
      </c>
      <c r="BK15" s="15">
        <v>2.9647610886195549E-2</v>
      </c>
      <c r="BL15" s="15">
        <v>3.2413992848678942E-2</v>
      </c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Y15" s="8">
        <f t="shared" si="139"/>
        <v>7</v>
      </c>
      <c r="BZ15" s="15">
        <v>4.2195528915199782E-3</v>
      </c>
      <c r="CA15" s="15">
        <v>2.5749020158305786E-2</v>
      </c>
      <c r="CB15" s="15">
        <v>6.5371740807152579E-2</v>
      </c>
      <c r="CC15" s="15">
        <v>0.12816039288720424</v>
      </c>
      <c r="CD15" s="15">
        <v>0.17015638919666343</v>
      </c>
      <c r="CE15" s="15">
        <v>0.17578058691932288</v>
      </c>
      <c r="CF15" s="15">
        <v>0.18947983225764597</v>
      </c>
      <c r="CG15" s="15">
        <v>1.0891581861557805E-2</v>
      </c>
      <c r="CH15" s="15">
        <v>2.083897765004324E-2</v>
      </c>
      <c r="CI15" s="15">
        <v>2.4018343974141165E-2</v>
      </c>
      <c r="CJ15" s="15"/>
      <c r="CK15" s="15"/>
      <c r="CL15" s="15"/>
      <c r="CM15" s="15"/>
      <c r="CN15" s="15"/>
      <c r="CO15" s="15"/>
      <c r="CP15" s="15"/>
      <c r="CQ15" s="15"/>
      <c r="CR15" s="15"/>
      <c r="CS15" s="15"/>
      <c r="CV15" s="8">
        <f t="shared" si="140"/>
        <v>7</v>
      </c>
      <c r="CW15" s="15">
        <v>9.8355040715019156E-3</v>
      </c>
      <c r="CX15" s="15">
        <v>5.0053985493156469E-2</v>
      </c>
      <c r="CY15" s="15">
        <v>9.6753777324582541E-2</v>
      </c>
      <c r="CZ15" s="15">
        <v>0.14382333865605132</v>
      </c>
      <c r="DA15" s="15">
        <v>0.16056166993701054</v>
      </c>
      <c r="DB15" s="15">
        <v>0.13722027985755361</v>
      </c>
      <c r="DC15" s="15">
        <v>0.13479659458736185</v>
      </c>
      <c r="DD15" s="15">
        <v>7.6236261055605487E-3</v>
      </c>
      <c r="DE15" s="15">
        <v>1.4672743808814297E-2</v>
      </c>
      <c r="DF15" s="15">
        <v>1.7633524120085141E-2</v>
      </c>
      <c r="DG15" s="15"/>
      <c r="DH15" s="15"/>
      <c r="DI15" s="15"/>
      <c r="DJ15" s="15"/>
      <c r="DK15" s="15"/>
      <c r="DL15" s="15"/>
      <c r="DM15" s="15"/>
      <c r="DN15" s="15"/>
      <c r="DO15" s="15"/>
      <c r="DP15" s="15"/>
      <c r="DS15" s="8">
        <f t="shared" si="141"/>
        <v>7</v>
      </c>
      <c r="DT15" s="15">
        <v>1.7801424094499644E-2</v>
      </c>
      <c r="DU15" s="15">
        <v>7.7668971478907667E-2</v>
      </c>
      <c r="DV15" s="15">
        <v>0.12067197135493007</v>
      </c>
      <c r="DW15" s="15">
        <v>0.14550271864125819</v>
      </c>
      <c r="DX15" s="15">
        <v>0.14321953629253228</v>
      </c>
      <c r="DY15" s="15">
        <v>0.10836118572725666</v>
      </c>
      <c r="DZ15" s="15">
        <v>9.9727477771157994E-2</v>
      </c>
      <c r="EA15" s="15">
        <v>5.518602399671925E-3</v>
      </c>
      <c r="EB15" s="15">
        <v>1.0638731290267456E-2</v>
      </c>
      <c r="EC15" s="15">
        <v>1.3279495174752397E-2</v>
      </c>
      <c r="ED15" s="15"/>
      <c r="EE15" s="15"/>
      <c r="EF15" s="15"/>
      <c r="EG15" s="15"/>
      <c r="EH15" s="15"/>
      <c r="EI15" s="15"/>
      <c r="EJ15" s="15"/>
      <c r="EK15" s="15"/>
      <c r="EL15" s="15"/>
      <c r="EM15" s="15"/>
      <c r="EP15" s="8">
        <f t="shared" si="142"/>
        <v>7</v>
      </c>
      <c r="EQ15" s="15">
        <v>2.734495618324816E-2</v>
      </c>
      <c r="ER15" s="15">
        <v>0.10507140955336351</v>
      </c>
      <c r="ES15" s="15">
        <v>0.13670837415463882</v>
      </c>
      <c r="ET15" s="15">
        <v>0.1397978567305585</v>
      </c>
      <c r="EU15" s="15">
        <v>0.12499261039827707</v>
      </c>
      <c r="EV15" s="15">
        <v>8.6876862259903639E-2</v>
      </c>
      <c r="EW15" s="15">
        <v>7.6094486095088953E-2</v>
      </c>
      <c r="EX15" s="15">
        <v>4.1288107674757879E-3</v>
      </c>
      <c r="EY15" s="15">
        <v>7.9649706176798552E-3</v>
      </c>
      <c r="EZ15" s="15">
        <v>1.0305269175859484E-2</v>
      </c>
      <c r="FA15" s="15"/>
      <c r="FB15" s="15"/>
      <c r="FC15" s="15"/>
      <c r="FD15" s="15"/>
      <c r="FE15" s="15"/>
      <c r="FF15" s="15"/>
      <c r="FG15" s="15"/>
      <c r="FH15" s="15"/>
      <c r="FI15" s="15"/>
      <c r="FJ15" s="15"/>
      <c r="FM15" s="8">
        <f t="shared" si="143"/>
        <v>7</v>
      </c>
      <c r="FN15" s="15">
        <v>3.7544718510145569E-2</v>
      </c>
      <c r="FO15" s="15">
        <v>0.13010018481927163</v>
      </c>
      <c r="FP15" s="15">
        <v>0.14640836248650393</v>
      </c>
      <c r="FQ15" s="15">
        <v>0.1309741107846423</v>
      </c>
      <c r="FR15" s="15">
        <v>0.10841663557057259</v>
      </c>
      <c r="FS15" s="15">
        <v>7.0741354643081178E-2</v>
      </c>
      <c r="FT15" s="15">
        <v>5.9582384090214803E-2</v>
      </c>
      <c r="FU15" s="15">
        <v>3.1803624739390754E-3</v>
      </c>
      <c r="FV15" s="15">
        <v>6.1388144433141062E-3</v>
      </c>
      <c r="FW15" s="15">
        <v>8.2208747930434152E-3</v>
      </c>
      <c r="FX15" s="15"/>
      <c r="FY15" s="15"/>
      <c r="FZ15" s="15"/>
      <c r="GA15" s="15"/>
      <c r="GB15" s="15"/>
      <c r="GC15" s="15"/>
      <c r="GD15" s="15"/>
      <c r="GE15" s="15"/>
      <c r="GF15" s="15"/>
      <c r="GG15" s="15"/>
      <c r="GJ15" s="8">
        <f t="shared" si="144"/>
        <v>7</v>
      </c>
      <c r="GK15" s="15">
        <v>4.7609128631018842E-2</v>
      </c>
      <c r="GL15" s="15">
        <v>0.15178870837397876</v>
      </c>
      <c r="GM15" s="15">
        <v>0.15163804805240427</v>
      </c>
      <c r="GN15" s="15">
        <v>0.12140077042123365</v>
      </c>
      <c r="GO15" s="15">
        <v>9.4220372664230292E-2</v>
      </c>
      <c r="GP15" s="15">
        <v>5.849228543680543E-2</v>
      </c>
      <c r="GQ15" s="15">
        <v>4.7710525467607595E-2</v>
      </c>
      <c r="GR15" s="15">
        <v>2.5124659367849918E-3</v>
      </c>
      <c r="GS15" s="15">
        <v>4.8527232793931967E-3</v>
      </c>
      <c r="GT15" s="15">
        <v>6.7192196285018871E-3</v>
      </c>
      <c r="GU15" s="15"/>
      <c r="GV15" s="15"/>
      <c r="GW15" s="15"/>
      <c r="GX15" s="15"/>
      <c r="GY15" s="15"/>
      <c r="GZ15" s="15"/>
      <c r="HA15" s="15"/>
      <c r="HB15" s="15"/>
      <c r="HC15" s="15"/>
      <c r="HD15" s="15"/>
      <c r="HG15" s="8">
        <f t="shared" si="145"/>
        <v>7</v>
      </c>
      <c r="HH15" s="15">
        <v>5.698543957519054E-2</v>
      </c>
      <c r="HI15" s="15">
        <v>0.16994248209725543</v>
      </c>
      <c r="HJ15" s="15">
        <v>0.15395864317096739</v>
      </c>
      <c r="HK15" s="15">
        <v>0.11226037832771683</v>
      </c>
      <c r="HL15" s="15">
        <v>8.2412933213548728E-2</v>
      </c>
      <c r="HM15" s="15">
        <v>4.9099932198584946E-2</v>
      </c>
      <c r="HN15" s="15">
        <v>3.8975472022525652E-2</v>
      </c>
      <c r="HO15" s="15">
        <v>2.0292856767609069E-3</v>
      </c>
      <c r="HP15" s="15">
        <v>3.9223314050981428E-3</v>
      </c>
      <c r="HQ15" s="15">
        <v>5.6112336007744833E-3</v>
      </c>
      <c r="HR15" s="15"/>
      <c r="HS15" s="15"/>
      <c r="HT15" s="15"/>
      <c r="HU15" s="15"/>
      <c r="HV15" s="15"/>
      <c r="HW15" s="15"/>
      <c r="HX15" s="15"/>
      <c r="HY15" s="15"/>
      <c r="HZ15" s="15"/>
      <c r="IA15" s="15"/>
      <c r="ID15" s="8">
        <f t="shared" si="146"/>
        <v>7</v>
      </c>
      <c r="IE15" s="15">
        <v>6.5357745799256364E-2</v>
      </c>
      <c r="IF15" s="15">
        <v>0.18477886594265833</v>
      </c>
      <c r="IG15" s="15">
        <v>0.15450024846984342</v>
      </c>
      <c r="IH15" s="15">
        <v>0.10406503433696172</v>
      </c>
      <c r="II15" s="15">
        <v>7.2742401251051358E-2</v>
      </c>
      <c r="IJ15" s="15">
        <v>4.1834812317810319E-2</v>
      </c>
      <c r="IK15" s="15">
        <v>3.2427919659909293E-2</v>
      </c>
      <c r="IL15" s="15">
        <v>1.6719063707980556E-3</v>
      </c>
      <c r="IM15" s="15">
        <v>3.2341638374963765E-3</v>
      </c>
      <c r="IN15" s="15">
        <v>4.7777783721092036E-3</v>
      </c>
      <c r="IO15" s="15"/>
      <c r="IP15" s="15"/>
      <c r="IQ15" s="15"/>
      <c r="IR15" s="15"/>
      <c r="IS15" s="15"/>
      <c r="IT15" s="15"/>
      <c r="IU15" s="15"/>
      <c r="IV15" s="15"/>
      <c r="IW15" s="15"/>
      <c r="IX15" s="15"/>
    </row>
    <row r="16" spans="1:258" x14ac:dyDescent="0.4">
      <c r="B16" s="23">
        <v>8</v>
      </c>
      <c r="C16" s="23">
        <v>17.1711943</v>
      </c>
      <c r="D16" s="23"/>
      <c r="F16" s="24">
        <v>8</v>
      </c>
      <c r="G16" s="24">
        <v>17.184785772000001</v>
      </c>
      <c r="I16" s="8">
        <v>8</v>
      </c>
      <c r="J16" s="9">
        <v>0</v>
      </c>
      <c r="K16" s="9">
        <v>2</v>
      </c>
      <c r="L16" s="9">
        <v>31</v>
      </c>
      <c r="M16" s="9">
        <v>329</v>
      </c>
      <c r="N16" s="9">
        <v>1164</v>
      </c>
      <c r="O16" s="9">
        <v>3365</v>
      </c>
      <c r="P16" s="9">
        <v>26202</v>
      </c>
      <c r="Q16" s="9">
        <v>5538</v>
      </c>
      <c r="R16" s="9">
        <v>6496</v>
      </c>
      <c r="S16" s="9">
        <v>5169</v>
      </c>
      <c r="T16" s="9"/>
      <c r="U16" s="9"/>
      <c r="V16" s="9"/>
      <c r="W16" s="9"/>
      <c r="X16" s="9"/>
      <c r="Y16" s="9"/>
      <c r="Z16" s="9"/>
      <c r="AA16" s="9"/>
      <c r="AB16" s="9"/>
      <c r="AC16" s="9"/>
      <c r="AE16" s="8">
        <v>8</v>
      </c>
      <c r="AF16" s="15">
        <v>0</v>
      </c>
      <c r="AG16" s="15">
        <v>3.429485432665231E-5</v>
      </c>
      <c r="AH16" s="15">
        <v>5.3157024206311086E-4</v>
      </c>
      <c r="AI16" s="15">
        <v>5.6415035367343045E-3</v>
      </c>
      <c r="AJ16" s="15">
        <v>1.9959605218111645E-2</v>
      </c>
      <c r="AK16" s="15">
        <v>5.7701092404592515E-2</v>
      </c>
      <c r="AL16" s="15">
        <v>0.44929688653347194</v>
      </c>
      <c r="AM16" s="15">
        <v>9.4962451630500253E-2</v>
      </c>
      <c r="AN16" s="15">
        <v>0.1113896868529667</v>
      </c>
      <c r="AO16" s="15">
        <v>8.8635051007232887E-2</v>
      </c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BB16" s="8">
        <f t="shared" si="138"/>
        <v>8</v>
      </c>
      <c r="BC16" s="15">
        <v>2.0476290376694769E-4</v>
      </c>
      <c r="BD16" s="15">
        <v>1.7358862751053307E-3</v>
      </c>
      <c r="BE16" s="15">
        <v>8.2478744652077964E-3</v>
      </c>
      <c r="BF16" s="15">
        <v>3.3240524211312857E-2</v>
      </c>
      <c r="BG16" s="15">
        <v>6.8389643402159639E-2</v>
      </c>
      <c r="BH16" s="15">
        <v>0.14424406268650306</v>
      </c>
      <c r="BI16" s="15">
        <v>0.29395047963853188</v>
      </c>
      <c r="BJ16" s="15">
        <v>2.7055918492802946E-2</v>
      </c>
      <c r="BK16" s="15">
        <v>5.0888212240441232E-2</v>
      </c>
      <c r="BL16" s="15">
        <v>5.1644810198283778E-2</v>
      </c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Y16" s="8">
        <f t="shared" si="139"/>
        <v>8</v>
      </c>
      <c r="BZ16" s="15">
        <v>1.1829686506294433E-3</v>
      </c>
      <c r="CA16" s="15">
        <v>8.1410097238266959E-3</v>
      </c>
      <c r="CB16" s="15">
        <v>2.5622319567191368E-2</v>
      </c>
      <c r="CC16" s="15">
        <v>6.4682105895417216E-2</v>
      </c>
      <c r="CD16" s="15">
        <v>0.10218006239823116</v>
      </c>
      <c r="CE16" s="15">
        <v>0.13886052083268396</v>
      </c>
      <c r="CF16" s="15">
        <v>0.19001539300856249</v>
      </c>
      <c r="CG16" s="15">
        <v>1.3378731166289811E-2</v>
      </c>
      <c r="CH16" s="15">
        <v>2.6223209786840524E-2</v>
      </c>
      <c r="CI16" s="15">
        <v>2.8844675763532997E-2</v>
      </c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V16" s="8">
        <f t="shared" si="140"/>
        <v>8</v>
      </c>
      <c r="CW16" s="15">
        <v>3.543909176055324E-3</v>
      </c>
      <c r="CX16" s="15">
        <v>2.0267706981919233E-2</v>
      </c>
      <c r="CY16" s="15">
        <v>4.7143014359210637E-2</v>
      </c>
      <c r="CZ16" s="15">
        <v>8.6078377187702365E-2</v>
      </c>
      <c r="DA16" s="15">
        <v>0.11077299452204109</v>
      </c>
      <c r="DB16" s="15">
        <v>0.11423352880264928</v>
      </c>
      <c r="DC16" s="15">
        <v>0.12882410408342887</v>
      </c>
      <c r="DD16" s="15">
        <v>8.0338490424912441E-3</v>
      </c>
      <c r="DE16" s="15">
        <v>1.564067647171383E-2</v>
      </c>
      <c r="DF16" s="15">
        <v>1.7981872303144689E-2</v>
      </c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S16" s="8">
        <f t="shared" si="141"/>
        <v>8</v>
      </c>
      <c r="DT16" s="15">
        <v>7.5571231917220868E-3</v>
      </c>
      <c r="DU16" s="15">
        <v>3.6675722291665526E-2</v>
      </c>
      <c r="DV16" s="15">
        <v>6.6924736528393799E-2</v>
      </c>
      <c r="DW16" s="15">
        <v>9.56242424741202E-2</v>
      </c>
      <c r="DX16" s="15">
        <v>0.10541353793401181</v>
      </c>
      <c r="DY16" s="15">
        <v>9.0836809529362489E-2</v>
      </c>
      <c r="DZ16" s="15">
        <v>9.1356253426251213E-2</v>
      </c>
      <c r="EA16" s="15">
        <v>5.3312408214047438E-3</v>
      </c>
      <c r="EB16" s="15">
        <v>1.0322139249856045E-2</v>
      </c>
      <c r="EC16" s="15">
        <v>1.2350128012407105E-2</v>
      </c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P16" s="8">
        <f t="shared" si="142"/>
        <v>8</v>
      </c>
      <c r="EQ16" s="15">
        <v>1.3025300445508675E-2</v>
      </c>
      <c r="ER16" s="15">
        <v>5.4945865476892043E-2</v>
      </c>
      <c r="ES16" s="15">
        <v>8.2135546443272422E-2</v>
      </c>
      <c r="ET16" s="15">
        <v>9.6752155054538908E-2</v>
      </c>
      <c r="EU16" s="15">
        <v>9.4735680013478429E-2</v>
      </c>
      <c r="EV16" s="15">
        <v>7.2233509057726006E-2</v>
      </c>
      <c r="EW16" s="15">
        <v>6.7299833111622562E-2</v>
      </c>
      <c r="EX16" s="15">
        <v>3.7721946581502821E-3</v>
      </c>
      <c r="EY16" s="15">
        <v>7.2866528504023148E-3</v>
      </c>
      <c r="EZ16" s="15">
        <v>9.0629652272574933E-3</v>
      </c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M16" s="8">
        <f t="shared" si="143"/>
        <v>8</v>
      </c>
      <c r="FN16" s="15">
        <v>1.9446187206476218E-2</v>
      </c>
      <c r="FO16" s="15">
        <v>7.2977997844151807E-2</v>
      </c>
      <c r="FP16" s="15">
        <v>9.2480347763283552E-2</v>
      </c>
      <c r="FQ16" s="15">
        <v>9.3177852979382372E-2</v>
      </c>
      <c r="FR16" s="15">
        <v>8.309059773722742E-2</v>
      </c>
      <c r="FS16" s="15">
        <v>5.8055820673721725E-2</v>
      </c>
      <c r="FT16" s="15">
        <v>5.1185509275376725E-2</v>
      </c>
      <c r="FU16" s="15">
        <v>2.7930083468776191E-3</v>
      </c>
      <c r="FV16" s="15">
        <v>5.3917391163415609E-3</v>
      </c>
      <c r="FW16" s="15">
        <v>6.9601957347425556E-3</v>
      </c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J16" s="8">
        <f t="shared" si="144"/>
        <v>8</v>
      </c>
      <c r="GK16" s="15">
        <v>2.6242005665979611E-2</v>
      </c>
      <c r="GL16" s="15">
        <v>8.9450504395904143E-2</v>
      </c>
      <c r="GM16" s="15">
        <v>9.8827365564495034E-2</v>
      </c>
      <c r="GN16" s="15">
        <v>8.7508197318757336E-2</v>
      </c>
      <c r="GO16" s="15">
        <v>7.2299158178321402E-2</v>
      </c>
      <c r="GP16" s="15">
        <v>4.731767098824699E-2</v>
      </c>
      <c r="GQ16" s="15">
        <v>3.9994835161760577E-2</v>
      </c>
      <c r="GR16" s="15">
        <v>2.140557560114865E-3</v>
      </c>
      <c r="GS16" s="15">
        <v>4.1327714180219239E-3</v>
      </c>
      <c r="GT16" s="15">
        <v>5.5280630002080416E-3</v>
      </c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G16" s="8">
        <f t="shared" si="145"/>
        <v>8</v>
      </c>
      <c r="HH16" s="15">
        <v>3.2917916964566946E-2</v>
      </c>
      <c r="HI16" s="15">
        <v>0.10375077781455579</v>
      </c>
      <c r="HJ16" s="15">
        <v>0.10229646403322741</v>
      </c>
      <c r="HK16" s="15">
        <v>8.1275411108074583E-2</v>
      </c>
      <c r="HL16" s="15">
        <v>6.296386361776482E-2</v>
      </c>
      <c r="HM16" s="15">
        <v>3.9144399102013096E-2</v>
      </c>
      <c r="HN16" s="15">
        <v>3.1987337821433245E-2</v>
      </c>
      <c r="HO16" s="15">
        <v>1.6867133920798016E-3</v>
      </c>
      <c r="HP16" s="15">
        <v>3.2581480524482729E-3</v>
      </c>
      <c r="HQ16" s="15">
        <v>4.5099222328082349E-3</v>
      </c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D16" s="8">
        <f t="shared" si="146"/>
        <v>8</v>
      </c>
      <c r="IE16" s="15">
        <v>3.9126489953218609E-2</v>
      </c>
      <c r="IF16" s="15">
        <v>0.11574422641801901</v>
      </c>
      <c r="IG16" s="15">
        <v>0.10386161518174844</v>
      </c>
      <c r="IH16" s="15">
        <v>7.5276572623173832E-2</v>
      </c>
      <c r="II16" s="15">
        <v>5.515684992958543E-2</v>
      </c>
      <c r="IJ16" s="15">
        <v>3.2874003263126512E-2</v>
      </c>
      <c r="IK16" s="15">
        <v>2.611625478926026E-2</v>
      </c>
      <c r="IL16" s="15">
        <v>1.3606357333900687E-3</v>
      </c>
      <c r="IM16" s="15">
        <v>2.6300729553779788E-3</v>
      </c>
      <c r="IN16" s="15">
        <v>3.7637519447465909E-3</v>
      </c>
      <c r="IO16" s="15"/>
      <c r="IP16" s="15"/>
      <c r="IQ16" s="15"/>
      <c r="IR16" s="15"/>
      <c r="IS16" s="15"/>
      <c r="IT16" s="15"/>
      <c r="IU16" s="15"/>
      <c r="IV16" s="15"/>
      <c r="IW16" s="15"/>
      <c r="IX16" s="15"/>
    </row>
    <row r="17" spans="2:258" x14ac:dyDescent="0.4">
      <c r="B17" s="23">
        <v>9</v>
      </c>
      <c r="C17" s="23">
        <v>35.824148665999999</v>
      </c>
      <c r="D17" s="23"/>
      <c r="F17" s="24">
        <v>9</v>
      </c>
      <c r="G17" s="24">
        <v>35.837740138000001</v>
      </c>
      <c r="I17" s="8">
        <v>9</v>
      </c>
      <c r="J17" s="9">
        <v>0</v>
      </c>
      <c r="K17" s="9">
        <v>2</v>
      </c>
      <c r="L17" s="9">
        <v>19</v>
      </c>
      <c r="M17" s="9">
        <v>292</v>
      </c>
      <c r="N17" s="9">
        <v>1037</v>
      </c>
      <c r="O17" s="9">
        <v>3273</v>
      </c>
      <c r="P17" s="9">
        <v>32741</v>
      </c>
      <c r="Q17" s="9">
        <v>8971</v>
      </c>
      <c r="R17" s="9">
        <v>24547</v>
      </c>
      <c r="S17" s="9">
        <v>18125</v>
      </c>
      <c r="T17" s="9"/>
      <c r="U17" s="9"/>
      <c r="V17" s="9"/>
      <c r="W17" s="9"/>
      <c r="X17" s="9"/>
      <c r="Y17" s="9"/>
      <c r="Z17" s="9"/>
      <c r="AA17" s="9"/>
      <c r="AB17" s="9"/>
      <c r="AC17" s="9"/>
      <c r="AE17" s="8">
        <v>9</v>
      </c>
      <c r="AF17" s="15">
        <v>0</v>
      </c>
      <c r="AG17" s="15">
        <v>1.4417351413259633E-5</v>
      </c>
      <c r="AH17" s="15">
        <v>1.3696483842596651E-4</v>
      </c>
      <c r="AI17" s="15">
        <v>2.1049333063359065E-3</v>
      </c>
      <c r="AJ17" s="15">
        <v>7.4753967077751202E-3</v>
      </c>
      <c r="AK17" s="15">
        <v>2.3593995587799389E-2</v>
      </c>
      <c r="AL17" s="15">
        <v>0.23601925131076681</v>
      </c>
      <c r="AM17" s="15">
        <v>6.4669029764176073E-2</v>
      </c>
      <c r="AN17" s="15">
        <v>0.17695136257064209</v>
      </c>
      <c r="AO17" s="15">
        <v>0.13065724718266541</v>
      </c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BB17" s="8">
        <f t="shared" si="138"/>
        <v>9</v>
      </c>
      <c r="BC17" s="15">
        <v>9.2791146237010213E-5</v>
      </c>
      <c r="BD17" s="15">
        <v>7.5051964112521103E-4</v>
      </c>
      <c r="BE17" s="15">
        <v>3.6837444055863827E-3</v>
      </c>
      <c r="BF17" s="15">
        <v>1.5839844040898027E-2</v>
      </c>
      <c r="BG17" s="15">
        <v>3.389716863802561E-2</v>
      </c>
      <c r="BH17" s="15">
        <v>7.6887731222034392E-2</v>
      </c>
      <c r="BI17" s="15">
        <v>0.19226275385493036</v>
      </c>
      <c r="BJ17" s="15">
        <v>2.4269943056424458E-2</v>
      </c>
      <c r="BK17" s="15">
        <v>5.2778948048987182E-2</v>
      </c>
      <c r="BL17" s="15">
        <v>5.4535282536418178E-2</v>
      </c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Y17" s="8">
        <f t="shared" si="139"/>
        <v>9</v>
      </c>
      <c r="BZ17" s="15">
        <v>5.5926341066794719E-4</v>
      </c>
      <c r="CA17" s="15">
        <v>3.8903183181198636E-3</v>
      </c>
      <c r="CB17" s="15">
        <v>1.2772684117627414E-2</v>
      </c>
      <c r="CC17" s="15">
        <v>3.4298646760183536E-2</v>
      </c>
      <c r="CD17" s="15">
        <v>5.662566211850964E-2</v>
      </c>
      <c r="CE17" s="15">
        <v>8.3810185822054559E-2</v>
      </c>
      <c r="CF17" s="15">
        <v>0.12974419709804444</v>
      </c>
      <c r="CG17" s="15">
        <v>1.0803222729672483E-2</v>
      </c>
      <c r="CH17" s="15">
        <v>2.2031255459060109E-2</v>
      </c>
      <c r="CI17" s="15">
        <v>2.4325582386029852E-2</v>
      </c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V17" s="8">
        <f t="shared" si="140"/>
        <v>9</v>
      </c>
      <c r="CW17" s="15">
        <v>1.7678954411807263E-3</v>
      </c>
      <c r="CX17" s="15">
        <v>1.0339486653894147E-2</v>
      </c>
      <c r="CY17" s="15">
        <v>2.5139315670542423E-2</v>
      </c>
      <c r="CZ17" s="15">
        <v>4.8624984637095296E-2</v>
      </c>
      <c r="DA17" s="15">
        <v>6.5346114126986668E-2</v>
      </c>
      <c r="DB17" s="15">
        <v>7.2318229336856887E-2</v>
      </c>
      <c r="DC17" s="15">
        <v>8.7635007309505408E-2</v>
      </c>
      <c r="DD17" s="15">
        <v>5.904905165079407E-3</v>
      </c>
      <c r="DE17" s="15">
        <v>1.1665739043576312E-2</v>
      </c>
      <c r="DF17" s="15">
        <v>1.3285851726768749E-2</v>
      </c>
      <c r="DG17" s="15"/>
      <c r="DH17" s="15"/>
      <c r="DI17" s="15"/>
      <c r="DJ17" s="15"/>
      <c r="DK17" s="15"/>
      <c r="DL17" s="15"/>
      <c r="DM17" s="15"/>
      <c r="DN17" s="15"/>
      <c r="DO17" s="15"/>
      <c r="DP17" s="15"/>
      <c r="DS17" s="8">
        <f t="shared" si="141"/>
        <v>9</v>
      </c>
      <c r="DT17" s="15">
        <v>3.9340276365218063E-3</v>
      </c>
      <c r="DU17" s="15">
        <v>1.958268836219209E-2</v>
      </c>
      <c r="DV17" s="15">
        <v>3.7311941887728177E-2</v>
      </c>
      <c r="DW17" s="15">
        <v>5.6144923540961809E-2</v>
      </c>
      <c r="DX17" s="15">
        <v>6.4292775613185846E-2</v>
      </c>
      <c r="DY17" s="15">
        <v>5.8392923313403677E-2</v>
      </c>
      <c r="DZ17" s="15">
        <v>6.1335873805405124E-2</v>
      </c>
      <c r="EA17" s="15">
        <v>3.7115797311145491E-3</v>
      </c>
      <c r="EB17" s="15">
        <v>7.225057264953226E-3</v>
      </c>
      <c r="EC17" s="15">
        <v>8.5267842760438119E-3</v>
      </c>
      <c r="ED17" s="15"/>
      <c r="EE17" s="15"/>
      <c r="EF17" s="15"/>
      <c r="EG17" s="15"/>
      <c r="EH17" s="15"/>
      <c r="EI17" s="15"/>
      <c r="EJ17" s="15"/>
      <c r="EK17" s="15"/>
      <c r="EL17" s="15"/>
      <c r="EM17" s="15"/>
      <c r="EP17" s="8">
        <f t="shared" si="142"/>
        <v>9</v>
      </c>
      <c r="EQ17" s="15">
        <v>7.0078581677698436E-3</v>
      </c>
      <c r="ER17" s="15">
        <v>3.0309942392254784E-2</v>
      </c>
      <c r="ES17" s="15">
        <v>4.7169055508650866E-2</v>
      </c>
      <c r="ET17" s="15">
        <v>5.8139841128307584E-2</v>
      </c>
      <c r="EU17" s="15">
        <v>5.876911631744626E-2</v>
      </c>
      <c r="EV17" s="15">
        <v>4.6544173274038619E-2</v>
      </c>
      <c r="EW17" s="15">
        <v>4.4599274223445347E-2</v>
      </c>
      <c r="EX17" s="15">
        <v>2.546775825079737E-3</v>
      </c>
      <c r="EY17" s="15">
        <v>4.928642802340991E-3</v>
      </c>
      <c r="EZ17" s="15">
        <v>6.0460960076617618E-3</v>
      </c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M17" s="8">
        <f t="shared" si="143"/>
        <v>9</v>
      </c>
      <c r="FN17" s="15">
        <v>1.0732695848244376E-2</v>
      </c>
      <c r="FO17" s="15">
        <v>4.1215989256100607E-2</v>
      </c>
      <c r="FP17" s="15">
        <v>5.4159163403551265E-2</v>
      </c>
      <c r="FQ17" s="15">
        <v>5.6748593668316007E-2</v>
      </c>
      <c r="FR17" s="15">
        <v>5.1955272377722225E-2</v>
      </c>
      <c r="FS17" s="15">
        <v>3.7317648762616069E-2</v>
      </c>
      <c r="FT17" s="15">
        <v>3.3546173003484218E-2</v>
      </c>
      <c r="FU17" s="15">
        <v>1.8503949658365295E-3</v>
      </c>
      <c r="FV17" s="15">
        <v>3.5740197393346442E-3</v>
      </c>
      <c r="FW17" s="15">
        <v>4.5549289029287888E-3</v>
      </c>
      <c r="FX17" s="15"/>
      <c r="FY17" s="15"/>
      <c r="FZ17" s="15"/>
      <c r="GA17" s="15"/>
      <c r="GB17" s="15"/>
      <c r="GC17" s="15"/>
      <c r="GD17" s="15"/>
      <c r="GE17" s="15"/>
      <c r="GF17" s="15"/>
      <c r="GG17" s="15"/>
      <c r="GJ17" s="8">
        <f t="shared" si="144"/>
        <v>9</v>
      </c>
      <c r="GK17" s="15">
        <v>1.4772657333224019E-2</v>
      </c>
      <c r="GL17" s="15">
        <v>5.1390790261664897E-2</v>
      </c>
      <c r="GM17" s="15">
        <v>5.8618395809536171E-2</v>
      </c>
      <c r="GN17" s="15">
        <v>5.3684000013073552E-2</v>
      </c>
      <c r="GO17" s="15">
        <v>4.5339242919206116E-2</v>
      </c>
      <c r="GP17" s="15">
        <v>3.0291950161537642E-2</v>
      </c>
      <c r="GQ17" s="15">
        <v>2.5971893374418957E-2</v>
      </c>
      <c r="GR17" s="15">
        <v>1.3999236293619182E-3</v>
      </c>
      <c r="GS17" s="15">
        <v>2.7029983482330239E-3</v>
      </c>
      <c r="GT17" s="15">
        <v>3.5730814063397237E-3</v>
      </c>
      <c r="GU17" s="15"/>
      <c r="GV17" s="15"/>
      <c r="GW17" s="15"/>
      <c r="GX17" s="15"/>
      <c r="GY17" s="15"/>
      <c r="GZ17" s="15"/>
      <c r="HA17" s="15"/>
      <c r="HB17" s="15"/>
      <c r="HC17" s="15"/>
      <c r="HD17" s="15"/>
      <c r="HG17" s="8">
        <f t="shared" si="145"/>
        <v>9</v>
      </c>
      <c r="HH17" s="15">
        <v>1.8817618971187368E-2</v>
      </c>
      <c r="HI17" s="15">
        <v>6.0356494821943933E-2</v>
      </c>
      <c r="HJ17" s="15">
        <v>6.1172754847800347E-2</v>
      </c>
      <c r="HK17" s="15">
        <v>5.0029917543666487E-2</v>
      </c>
      <c r="HL17" s="15">
        <v>3.948831613260266E-2</v>
      </c>
      <c r="HM17" s="15">
        <v>2.4946377352371804E-2</v>
      </c>
      <c r="HN17" s="15">
        <v>2.0612008286686412E-2</v>
      </c>
      <c r="HO17" s="15">
        <v>1.0924569045549554E-3</v>
      </c>
      <c r="HP17" s="15">
        <v>2.1099887577778736E-3</v>
      </c>
      <c r="HQ17" s="15">
        <v>2.8885746443157488E-3</v>
      </c>
      <c r="HR17" s="15"/>
      <c r="HS17" s="15"/>
      <c r="HT17" s="15"/>
      <c r="HU17" s="15"/>
      <c r="HV17" s="15"/>
      <c r="HW17" s="15"/>
      <c r="HX17" s="15"/>
      <c r="HY17" s="15"/>
      <c r="HZ17" s="15"/>
      <c r="IA17" s="15"/>
      <c r="ID17" s="8">
        <f t="shared" si="146"/>
        <v>9</v>
      </c>
      <c r="IE17" s="15">
        <v>2.2635801174052134E-2</v>
      </c>
      <c r="IF17" s="15">
        <v>6.7956111767422472E-2</v>
      </c>
      <c r="IG17" s="15">
        <v>6.2426273842037631E-2</v>
      </c>
      <c r="IH17" s="15">
        <v>4.6383358053422766E-2</v>
      </c>
      <c r="II17" s="15">
        <v>3.4539144397644446E-2</v>
      </c>
      <c r="IJ17" s="15">
        <v>2.0854263950033855E-2</v>
      </c>
      <c r="IK17" s="15">
        <v>1.6716949559842344E-2</v>
      </c>
      <c r="IL17" s="15">
        <v>8.7440042121669738E-4</v>
      </c>
      <c r="IM17" s="15">
        <v>1.6898507839044439E-3</v>
      </c>
      <c r="IN17" s="15">
        <v>2.393074293149867E-3</v>
      </c>
      <c r="IO17" s="15"/>
      <c r="IP17" s="15"/>
      <c r="IQ17" s="15"/>
      <c r="IR17" s="15"/>
      <c r="IS17" s="15"/>
      <c r="IT17" s="15"/>
      <c r="IU17" s="15"/>
      <c r="IV17" s="15"/>
      <c r="IW17" s="15"/>
      <c r="IX17" s="15"/>
    </row>
    <row r="18" spans="2:258" x14ac:dyDescent="0.4">
      <c r="B18" s="23">
        <v>10</v>
      </c>
      <c r="C18" s="23">
        <v>75.76130766</v>
      </c>
      <c r="D18" s="23"/>
      <c r="F18" s="24">
        <v>10</v>
      </c>
      <c r="G18" s="24">
        <v>75.774899132000002</v>
      </c>
      <c r="I18" s="8">
        <v>10</v>
      </c>
      <c r="J18" s="9">
        <v>7</v>
      </c>
      <c r="K18" s="9">
        <v>21</v>
      </c>
      <c r="L18" s="9">
        <v>47</v>
      </c>
      <c r="M18" s="9">
        <v>112</v>
      </c>
      <c r="N18" s="9">
        <v>110</v>
      </c>
      <c r="O18" s="9">
        <v>309</v>
      </c>
      <c r="P18" s="9">
        <v>3878</v>
      </c>
      <c r="Q18" s="9">
        <v>899</v>
      </c>
      <c r="R18" s="9">
        <v>3072</v>
      </c>
      <c r="S18" s="9">
        <v>9409</v>
      </c>
      <c r="T18" s="9"/>
      <c r="U18" s="9"/>
      <c r="V18" s="9"/>
      <c r="W18" s="9"/>
      <c r="X18" s="9"/>
      <c r="Y18" s="9"/>
      <c r="Z18" s="9"/>
      <c r="AA18" s="9"/>
      <c r="AB18" s="9"/>
      <c r="AC18" s="9"/>
      <c r="AE18" s="8">
        <v>10</v>
      </c>
      <c r="AF18" s="15">
        <v>9.492594384012539E-5</v>
      </c>
      <c r="AG18" s="15">
        <v>2.8477783152037616E-4</v>
      </c>
      <c r="AH18" s="15">
        <v>6.3735990864084192E-4</v>
      </c>
      <c r="AI18" s="15">
        <v>1.5188151014420062E-3</v>
      </c>
      <c r="AJ18" s="15">
        <v>1.4916934032019704E-3</v>
      </c>
      <c r="AK18" s="15">
        <v>4.190302378085535E-3</v>
      </c>
      <c r="AL18" s="15">
        <v>5.2588972887429468E-2</v>
      </c>
      <c r="AM18" s="15">
        <v>1.2191203358896103E-2</v>
      </c>
      <c r="AN18" s="15">
        <v>4.1658928496695023E-2</v>
      </c>
      <c r="AO18" s="15">
        <v>0.12759402937024855</v>
      </c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BB18" s="8">
        <f t="shared" si="138"/>
        <v>10</v>
      </c>
      <c r="BC18" s="15">
        <v>1.5577948022952855E-4</v>
      </c>
      <c r="BD18" s="15">
        <v>6.5254019140694548E-4</v>
      </c>
      <c r="BE18" s="15">
        <v>1.5426238862024733E-3</v>
      </c>
      <c r="BF18" s="15">
        <v>4.0497389247597859E-3</v>
      </c>
      <c r="BG18" s="15">
        <v>7.4300993439942956E-3</v>
      </c>
      <c r="BH18" s="15">
        <v>1.7082189887524614E-2</v>
      </c>
      <c r="BI18" s="15">
        <v>4.7385114315207866E-2</v>
      </c>
      <c r="BJ18" s="15">
        <v>6.5377508653197344E-3</v>
      </c>
      <c r="BK18" s="15">
        <v>1.6002112641424319E-2</v>
      </c>
      <c r="BL18" s="15">
        <v>2.4801517589630125E-2</v>
      </c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Y18" s="8">
        <f t="shared" si="139"/>
        <v>10</v>
      </c>
      <c r="BZ18" s="15">
        <v>3.0532097746751983E-4</v>
      </c>
      <c r="CA18" s="15">
        <v>1.4826416832677712E-3</v>
      </c>
      <c r="CB18" s="15">
        <v>3.513980304453183E-3</v>
      </c>
      <c r="CC18" s="15">
        <v>8.1374048651519232E-3</v>
      </c>
      <c r="CD18" s="15">
        <v>1.3098725636712405E-2</v>
      </c>
      <c r="CE18" s="15">
        <v>2.0010246639560157E-2</v>
      </c>
      <c r="CF18" s="15">
        <v>3.3207196098575212E-2</v>
      </c>
      <c r="CG18" s="15">
        <v>3.0389115733917178E-3</v>
      </c>
      <c r="CH18" s="15">
        <v>6.4780712629917154E-3</v>
      </c>
      <c r="CI18" s="15">
        <v>7.8570145156975028E-3</v>
      </c>
      <c r="CJ18" s="15"/>
      <c r="CK18" s="15"/>
      <c r="CL18" s="15"/>
      <c r="CM18" s="15"/>
      <c r="CN18" s="15"/>
      <c r="CO18" s="15"/>
      <c r="CP18" s="15"/>
      <c r="CQ18" s="15"/>
      <c r="CR18" s="15"/>
      <c r="CS18" s="15"/>
      <c r="CV18" s="8">
        <f t="shared" si="140"/>
        <v>10</v>
      </c>
      <c r="CW18" s="15">
        <v>6.2063781194415107E-4</v>
      </c>
      <c r="CX18" s="15">
        <v>3.0176412560619843E-3</v>
      </c>
      <c r="CY18" s="15">
        <v>6.3235487333823419E-3</v>
      </c>
      <c r="CZ18" s="15">
        <v>1.1623165518572986E-2</v>
      </c>
      <c r="DA18" s="15">
        <v>1.5632198622046987E-2</v>
      </c>
      <c r="DB18" s="15">
        <v>1.7840753063459315E-2</v>
      </c>
      <c r="DC18" s="15">
        <v>2.2555683245031599E-2</v>
      </c>
      <c r="DD18" s="15">
        <v>1.6039252742321946E-3</v>
      </c>
      <c r="DE18" s="15">
        <v>3.2178820140695563E-3</v>
      </c>
      <c r="DF18" s="15">
        <v>3.7133834652233193E-3</v>
      </c>
      <c r="DG18" s="15"/>
      <c r="DH18" s="15"/>
      <c r="DI18" s="15"/>
      <c r="DJ18" s="15"/>
      <c r="DK18" s="15"/>
      <c r="DL18" s="15"/>
      <c r="DM18" s="15"/>
      <c r="DN18" s="15"/>
      <c r="DO18" s="15"/>
      <c r="DP18" s="15"/>
      <c r="DS18" s="8">
        <f t="shared" si="141"/>
        <v>10</v>
      </c>
      <c r="DT18" s="15">
        <v>1.1510873449821827E-3</v>
      </c>
      <c r="DU18" s="15">
        <v>5.2026320131701772E-3</v>
      </c>
      <c r="DV18" s="15">
        <v>9.2117109306846714E-3</v>
      </c>
      <c r="DW18" s="15">
        <v>1.3604676692940132E-2</v>
      </c>
      <c r="DX18" s="15">
        <v>1.5686510232354799E-2</v>
      </c>
      <c r="DY18" s="15">
        <v>1.4594043052725252E-2</v>
      </c>
      <c r="DZ18" s="15">
        <v>1.5719264448783965E-2</v>
      </c>
      <c r="EA18" s="15">
        <v>9.7610150245371345E-4</v>
      </c>
      <c r="EB18" s="15">
        <v>1.9100714406826628E-3</v>
      </c>
      <c r="EC18" s="15">
        <v>2.2470951363450743E-3</v>
      </c>
      <c r="ED18" s="15"/>
      <c r="EE18" s="15"/>
      <c r="EF18" s="15"/>
      <c r="EG18" s="15"/>
      <c r="EH18" s="15"/>
      <c r="EI18" s="15"/>
      <c r="EJ18" s="15"/>
      <c r="EK18" s="15"/>
      <c r="EL18" s="15"/>
      <c r="EM18" s="15"/>
      <c r="EP18" s="8">
        <f t="shared" si="142"/>
        <v>10</v>
      </c>
      <c r="EQ18" s="15">
        <v>1.8918235958083011E-3</v>
      </c>
      <c r="ER18" s="15">
        <v>7.7658594748667084E-3</v>
      </c>
      <c r="ES18" s="15">
        <v>1.162735212260513E-2</v>
      </c>
      <c r="ET18" s="15">
        <v>1.4238821458606108E-2</v>
      </c>
      <c r="EU18" s="15">
        <v>1.4498652690514861E-2</v>
      </c>
      <c r="EV18" s="15">
        <v>1.1681337135557199E-2</v>
      </c>
      <c r="EW18" s="15">
        <v>1.1364335540701889E-2</v>
      </c>
      <c r="EX18" s="15">
        <v>6.5698921393874386E-4</v>
      </c>
      <c r="EY18" s="15">
        <v>1.2736693489844148E-3</v>
      </c>
      <c r="EZ18" s="15">
        <v>1.5543085935711849E-3</v>
      </c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M18" s="8">
        <f t="shared" si="143"/>
        <v>10</v>
      </c>
      <c r="FN18" s="15">
        <v>2.7891434078475856E-3</v>
      </c>
      <c r="FO18" s="15">
        <v>1.0403290259043289E-2</v>
      </c>
      <c r="FP18" s="15">
        <v>1.33830394655974E-2</v>
      </c>
      <c r="FQ18" s="15">
        <v>1.3999254235392172E-2</v>
      </c>
      <c r="FR18" s="15">
        <v>1.2895822362382561E-2</v>
      </c>
      <c r="FS18" s="15">
        <v>9.3719937776242206E-3</v>
      </c>
      <c r="FT18" s="15">
        <v>8.5056611901527055E-3</v>
      </c>
      <c r="FU18" s="15">
        <v>4.7215963891453168E-4</v>
      </c>
      <c r="FV18" s="15">
        <v>9.1249737019551505E-4</v>
      </c>
      <c r="FW18" s="15">
        <v>1.1575600371627971E-3</v>
      </c>
      <c r="FX18" s="15"/>
      <c r="FY18" s="15"/>
      <c r="FZ18" s="15"/>
      <c r="GA18" s="15"/>
      <c r="GB18" s="15"/>
      <c r="GC18" s="15"/>
      <c r="GD18" s="15"/>
      <c r="GE18" s="15"/>
      <c r="GF18" s="15"/>
      <c r="GG18" s="15"/>
      <c r="GJ18" s="8">
        <f t="shared" si="144"/>
        <v>10</v>
      </c>
      <c r="GK18" s="15">
        <v>3.7668232970278527E-3</v>
      </c>
      <c r="GL18" s="15">
        <v>1.2888293487752722E-2</v>
      </c>
      <c r="GM18" s="15">
        <v>1.4526276300819046E-2</v>
      </c>
      <c r="GN18" s="15">
        <v>1.3305689480193984E-2</v>
      </c>
      <c r="GO18" s="15">
        <v>1.1290701187850851E-2</v>
      </c>
      <c r="GP18" s="15">
        <v>7.6035471942713095E-3</v>
      </c>
      <c r="GQ18" s="15">
        <v>6.5600649455540934E-3</v>
      </c>
      <c r="GR18" s="15">
        <v>3.5488157704914662E-4</v>
      </c>
      <c r="GS18" s="15">
        <v>6.8533269652306826E-4</v>
      </c>
      <c r="GT18" s="15">
        <v>9.0256487364214193E-4</v>
      </c>
      <c r="GU18" s="15"/>
      <c r="GV18" s="15"/>
      <c r="GW18" s="15"/>
      <c r="GX18" s="15"/>
      <c r="GY18" s="15"/>
      <c r="GZ18" s="15"/>
      <c r="HA18" s="15"/>
      <c r="HB18" s="15"/>
      <c r="HC18" s="15"/>
      <c r="HD18" s="15"/>
      <c r="HG18" s="8">
        <f t="shared" si="145"/>
        <v>10</v>
      </c>
      <c r="HH18" s="15">
        <v>4.7512060098745092E-3</v>
      </c>
      <c r="HI18" s="15">
        <v>1.5094243103482492E-2</v>
      </c>
      <c r="HJ18" s="15">
        <v>1.5194921408715064E-2</v>
      </c>
      <c r="HK18" s="15">
        <v>1.2437005857209691E-2</v>
      </c>
      <c r="HL18" s="15">
        <v>9.850885591935938E-3</v>
      </c>
      <c r="HM18" s="15">
        <v>6.2566164382386619E-3</v>
      </c>
      <c r="HN18" s="15">
        <v>5.1914054662408156E-3</v>
      </c>
      <c r="HO18" s="15">
        <v>2.7577077234743416E-4</v>
      </c>
      <c r="HP18" s="15">
        <v>5.326491678969335E-4</v>
      </c>
      <c r="HQ18" s="15">
        <v>7.2706235946781695E-4</v>
      </c>
      <c r="HR18" s="15"/>
      <c r="HS18" s="15"/>
      <c r="HT18" s="15"/>
      <c r="HU18" s="15"/>
      <c r="HV18" s="15"/>
      <c r="HW18" s="15"/>
      <c r="HX18" s="15"/>
      <c r="HY18" s="15"/>
      <c r="HZ18" s="15"/>
      <c r="IA18" s="15"/>
      <c r="ID18" s="8">
        <f t="shared" si="146"/>
        <v>10</v>
      </c>
      <c r="IE18" s="15">
        <v>5.6853186865513019E-3</v>
      </c>
      <c r="IF18" s="15">
        <v>1.6974015433589257E-2</v>
      </c>
      <c r="IG18" s="15">
        <v>1.5533045669131476E-2</v>
      </c>
      <c r="IH18" s="15">
        <v>1.155193688044512E-2</v>
      </c>
      <c r="II18" s="15">
        <v>8.6240744978064131E-3</v>
      </c>
      <c r="IJ18" s="15">
        <v>5.2261099891229585E-3</v>
      </c>
      <c r="IK18" s="15">
        <v>4.2015002643997941E-3</v>
      </c>
      <c r="IL18" s="15">
        <v>2.2009168365772017E-4</v>
      </c>
      <c r="IM18" s="15">
        <v>4.2534239342013853E-4</v>
      </c>
      <c r="IN18" s="15">
        <v>6.0096946813832143E-4</v>
      </c>
      <c r="IO18" s="15"/>
      <c r="IP18" s="15"/>
      <c r="IQ18" s="15"/>
      <c r="IR18" s="15"/>
      <c r="IS18" s="15"/>
      <c r="IT18" s="15"/>
      <c r="IU18" s="15"/>
      <c r="IV18" s="15"/>
      <c r="IW18" s="15"/>
      <c r="IX18" s="15"/>
    </row>
    <row r="19" spans="2:258" x14ac:dyDescent="0.4">
      <c r="B19" s="23"/>
      <c r="C19" s="23"/>
      <c r="D19" s="23"/>
      <c r="F19" s="24"/>
      <c r="G19" s="24"/>
      <c r="I19" s="8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E19" s="8" t="str">
        <f t="shared" ref="AE10:AE29" si="147">IF(I19&gt;0,I19,"")</f>
        <v/>
      </c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BB19" s="8" t="str">
        <f t="shared" si="138"/>
        <v/>
      </c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Y19" s="8" t="str">
        <f t="shared" si="139"/>
        <v/>
      </c>
      <c r="BZ19" s="15"/>
      <c r="CA19" s="15"/>
      <c r="CB19" s="15"/>
      <c r="CC19" s="15"/>
      <c r="CD19" s="15"/>
      <c r="CE19" s="15"/>
      <c r="CF19" s="15"/>
      <c r="CG19" s="15"/>
      <c r="CH19" s="15"/>
      <c r="CI19" s="15"/>
      <c r="CJ19" s="15"/>
      <c r="CK19" s="15"/>
      <c r="CL19" s="15"/>
      <c r="CM19" s="15"/>
      <c r="CN19" s="15"/>
      <c r="CO19" s="15"/>
      <c r="CP19" s="15"/>
      <c r="CQ19" s="15"/>
      <c r="CR19" s="15"/>
      <c r="CS19" s="15"/>
      <c r="CV19" s="8" t="str">
        <f t="shared" si="140"/>
        <v/>
      </c>
      <c r="CW19" s="15"/>
      <c r="CX19" s="15"/>
      <c r="CY19" s="15"/>
      <c r="CZ19" s="15"/>
      <c r="DA19" s="15"/>
      <c r="DB19" s="15"/>
      <c r="DC19" s="15"/>
      <c r="DD19" s="15"/>
      <c r="DE19" s="15"/>
      <c r="DF19" s="15"/>
      <c r="DG19" s="15"/>
      <c r="DH19" s="15"/>
      <c r="DI19" s="15"/>
      <c r="DJ19" s="15"/>
      <c r="DK19" s="15"/>
      <c r="DL19" s="15"/>
      <c r="DM19" s="15"/>
      <c r="DN19" s="15"/>
      <c r="DO19" s="15"/>
      <c r="DP19" s="15"/>
      <c r="DS19" s="8" t="str">
        <f t="shared" si="141"/>
        <v/>
      </c>
      <c r="DT19" s="15"/>
      <c r="DU19" s="15"/>
      <c r="DV19" s="15"/>
      <c r="DW19" s="15"/>
      <c r="DX19" s="15"/>
      <c r="DY19" s="15"/>
      <c r="DZ19" s="15"/>
      <c r="EA19" s="15"/>
      <c r="EB19" s="15"/>
      <c r="EC19" s="15"/>
      <c r="ED19" s="15"/>
      <c r="EE19" s="15"/>
      <c r="EF19" s="15"/>
      <c r="EG19" s="15"/>
      <c r="EH19" s="15"/>
      <c r="EI19" s="15"/>
      <c r="EJ19" s="15"/>
      <c r="EK19" s="15"/>
      <c r="EL19" s="15"/>
      <c r="EM19" s="15"/>
      <c r="EP19" s="8" t="str">
        <f t="shared" si="142"/>
        <v/>
      </c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M19" s="8" t="str">
        <f t="shared" si="143"/>
        <v/>
      </c>
      <c r="FN19" s="15"/>
      <c r="FO19" s="15"/>
      <c r="FP19" s="15"/>
      <c r="FQ19" s="15"/>
      <c r="FR19" s="15"/>
      <c r="FS19" s="15"/>
      <c r="FT19" s="15"/>
      <c r="FU19" s="15"/>
      <c r="FV19" s="15"/>
      <c r="FW19" s="15"/>
      <c r="FX19" s="15"/>
      <c r="FY19" s="15"/>
      <c r="FZ19" s="15"/>
      <c r="GA19" s="15"/>
      <c r="GB19" s="15"/>
      <c r="GC19" s="15"/>
      <c r="GD19" s="15"/>
      <c r="GE19" s="15"/>
      <c r="GF19" s="15"/>
      <c r="GG19" s="15"/>
      <c r="GJ19" s="8" t="str">
        <f t="shared" si="144"/>
        <v/>
      </c>
      <c r="GK19" s="15"/>
      <c r="GL19" s="15"/>
      <c r="GM19" s="15"/>
      <c r="GN19" s="15"/>
      <c r="GO19" s="15"/>
      <c r="GP19" s="15"/>
      <c r="GQ19" s="15"/>
      <c r="GR19" s="15"/>
      <c r="GS19" s="15"/>
      <c r="GT19" s="15"/>
      <c r="GU19" s="15"/>
      <c r="GV19" s="15"/>
      <c r="GW19" s="15"/>
      <c r="GX19" s="15"/>
      <c r="GY19" s="15"/>
      <c r="GZ19" s="15"/>
      <c r="HA19" s="15"/>
      <c r="HB19" s="15"/>
      <c r="HC19" s="15"/>
      <c r="HD19" s="15"/>
      <c r="HG19" s="8" t="str">
        <f t="shared" si="145"/>
        <v/>
      </c>
      <c r="HH19" s="15"/>
      <c r="HI19" s="15"/>
      <c r="HJ19" s="15"/>
      <c r="HK19" s="15"/>
      <c r="HL19" s="15"/>
      <c r="HM19" s="15"/>
      <c r="HN19" s="15"/>
      <c r="HO19" s="15"/>
      <c r="HP19" s="15"/>
      <c r="HQ19" s="15"/>
      <c r="HR19" s="15"/>
      <c r="HS19" s="15"/>
      <c r="HT19" s="15"/>
      <c r="HU19" s="15"/>
      <c r="HV19" s="15"/>
      <c r="HW19" s="15"/>
      <c r="HX19" s="15"/>
      <c r="HY19" s="15"/>
      <c r="HZ19" s="15"/>
      <c r="IA19" s="15"/>
      <c r="ID19" s="8" t="str">
        <f t="shared" si="146"/>
        <v/>
      </c>
      <c r="IE19" s="15"/>
      <c r="IF19" s="15"/>
      <c r="IG19" s="15"/>
      <c r="IH19" s="15"/>
      <c r="II19" s="15"/>
      <c r="IJ19" s="15"/>
      <c r="IK19" s="15"/>
      <c r="IL19" s="15"/>
      <c r="IM19" s="15"/>
      <c r="IN19" s="15"/>
      <c r="IO19" s="15"/>
      <c r="IP19" s="15"/>
      <c r="IQ19" s="15"/>
      <c r="IR19" s="15"/>
      <c r="IS19" s="15"/>
      <c r="IT19" s="15"/>
      <c r="IU19" s="15"/>
      <c r="IV19" s="15"/>
      <c r="IW19" s="15"/>
      <c r="IX19" s="15"/>
    </row>
    <row r="20" spans="2:258" x14ac:dyDescent="0.4">
      <c r="B20" s="23"/>
      <c r="C20" s="23"/>
      <c r="D20" s="23"/>
      <c r="F20" s="24"/>
      <c r="G20" s="24"/>
      <c r="I20" s="8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E20" s="8" t="str">
        <f t="shared" si="147"/>
        <v/>
      </c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BB20" s="8" t="str">
        <f t="shared" si="138"/>
        <v/>
      </c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Y20" s="8" t="str">
        <f t="shared" si="139"/>
        <v/>
      </c>
      <c r="BZ20" s="15"/>
      <c r="CA20" s="15"/>
      <c r="CB20" s="15"/>
      <c r="CC20" s="15"/>
      <c r="CD20" s="15"/>
      <c r="CE20" s="15"/>
      <c r="CF20" s="15"/>
      <c r="CG20" s="15"/>
      <c r="CH20" s="15"/>
      <c r="CI20" s="15"/>
      <c r="CJ20" s="15"/>
      <c r="CK20" s="15"/>
      <c r="CL20" s="15"/>
      <c r="CM20" s="15"/>
      <c r="CN20" s="15"/>
      <c r="CO20" s="15"/>
      <c r="CP20" s="15"/>
      <c r="CQ20" s="15"/>
      <c r="CR20" s="15"/>
      <c r="CS20" s="15"/>
      <c r="CV20" s="8" t="str">
        <f t="shared" si="140"/>
        <v/>
      </c>
      <c r="CW20" s="15"/>
      <c r="CX20" s="15"/>
      <c r="CY20" s="15"/>
      <c r="CZ20" s="15"/>
      <c r="DA20" s="15"/>
      <c r="DB20" s="15"/>
      <c r="DC20" s="15"/>
      <c r="DD20" s="15"/>
      <c r="DE20" s="15"/>
      <c r="DF20" s="15"/>
      <c r="DG20" s="15"/>
      <c r="DH20" s="15"/>
      <c r="DI20" s="15"/>
      <c r="DJ20" s="15"/>
      <c r="DK20" s="15"/>
      <c r="DL20" s="15"/>
      <c r="DM20" s="15"/>
      <c r="DN20" s="15"/>
      <c r="DO20" s="15"/>
      <c r="DP20" s="15"/>
      <c r="DS20" s="8" t="str">
        <f t="shared" si="141"/>
        <v/>
      </c>
      <c r="DT20" s="15"/>
      <c r="DU20" s="15"/>
      <c r="DV20" s="15"/>
      <c r="DW20" s="15"/>
      <c r="DX20" s="15"/>
      <c r="DY20" s="15"/>
      <c r="DZ20" s="15"/>
      <c r="EA20" s="15"/>
      <c r="EB20" s="15"/>
      <c r="EC20" s="15"/>
      <c r="ED20" s="15"/>
      <c r="EE20" s="15"/>
      <c r="EF20" s="15"/>
      <c r="EG20" s="15"/>
      <c r="EH20" s="15"/>
      <c r="EI20" s="15"/>
      <c r="EJ20" s="15"/>
      <c r="EK20" s="15"/>
      <c r="EL20" s="15"/>
      <c r="EM20" s="15"/>
      <c r="EP20" s="8" t="str">
        <f t="shared" si="142"/>
        <v/>
      </c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M20" s="8" t="str">
        <f t="shared" si="143"/>
        <v/>
      </c>
      <c r="FN20" s="15"/>
      <c r="FO20" s="15"/>
      <c r="FP20" s="15"/>
      <c r="FQ20" s="15"/>
      <c r="FR20" s="15"/>
      <c r="FS20" s="15"/>
      <c r="FT20" s="15"/>
      <c r="FU20" s="15"/>
      <c r="FV20" s="15"/>
      <c r="FW20" s="15"/>
      <c r="FX20" s="15"/>
      <c r="FY20" s="15"/>
      <c r="FZ20" s="15"/>
      <c r="GA20" s="15"/>
      <c r="GB20" s="15"/>
      <c r="GC20" s="15"/>
      <c r="GD20" s="15"/>
      <c r="GE20" s="15"/>
      <c r="GF20" s="15"/>
      <c r="GG20" s="15"/>
      <c r="GJ20" s="8" t="str">
        <f t="shared" si="144"/>
        <v/>
      </c>
      <c r="GK20" s="15"/>
      <c r="GL20" s="15"/>
      <c r="GM20" s="15"/>
      <c r="GN20" s="15"/>
      <c r="GO20" s="15"/>
      <c r="GP20" s="15"/>
      <c r="GQ20" s="15"/>
      <c r="GR20" s="15"/>
      <c r="GS20" s="15"/>
      <c r="GT20" s="15"/>
      <c r="GU20" s="15"/>
      <c r="GV20" s="15"/>
      <c r="GW20" s="15"/>
      <c r="GX20" s="15"/>
      <c r="GY20" s="15"/>
      <c r="GZ20" s="15"/>
      <c r="HA20" s="15"/>
      <c r="HB20" s="15"/>
      <c r="HC20" s="15"/>
      <c r="HD20" s="15"/>
      <c r="HG20" s="8" t="str">
        <f t="shared" si="145"/>
        <v/>
      </c>
      <c r="HH20" s="15"/>
      <c r="HI20" s="15"/>
      <c r="HJ20" s="15"/>
      <c r="HK20" s="15"/>
      <c r="HL20" s="15"/>
      <c r="HM20" s="15"/>
      <c r="HN20" s="15"/>
      <c r="HO20" s="15"/>
      <c r="HP20" s="15"/>
      <c r="HQ20" s="15"/>
      <c r="HR20" s="15"/>
      <c r="HS20" s="15"/>
      <c r="HT20" s="15"/>
      <c r="HU20" s="15"/>
      <c r="HV20" s="15"/>
      <c r="HW20" s="15"/>
      <c r="HX20" s="15"/>
      <c r="HY20" s="15"/>
      <c r="HZ20" s="15"/>
      <c r="IA20" s="15"/>
      <c r="ID20" s="8" t="str">
        <f t="shared" si="146"/>
        <v/>
      </c>
      <c r="IE20" s="15"/>
      <c r="IF20" s="15"/>
      <c r="IG20" s="15"/>
      <c r="IH20" s="15"/>
      <c r="II20" s="15"/>
      <c r="IJ20" s="15"/>
      <c r="IK20" s="15"/>
      <c r="IL20" s="15"/>
      <c r="IM20" s="15"/>
      <c r="IN20" s="15"/>
      <c r="IO20" s="15"/>
      <c r="IP20" s="15"/>
      <c r="IQ20" s="15"/>
      <c r="IR20" s="15"/>
      <c r="IS20" s="15"/>
      <c r="IT20" s="15"/>
      <c r="IU20" s="15"/>
      <c r="IV20" s="15"/>
      <c r="IW20" s="15"/>
      <c r="IX20" s="15"/>
    </row>
    <row r="21" spans="2:258" x14ac:dyDescent="0.4">
      <c r="B21" s="23"/>
      <c r="C21" s="23"/>
      <c r="D21" s="23"/>
      <c r="F21" s="24"/>
      <c r="G21" s="24"/>
      <c r="I21" s="8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E21" s="8" t="str">
        <f t="shared" si="147"/>
        <v/>
      </c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BB21" s="8" t="str">
        <f t="shared" si="138"/>
        <v/>
      </c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Y21" s="8" t="str">
        <f t="shared" si="139"/>
        <v/>
      </c>
      <c r="BZ21" s="15"/>
      <c r="CA21" s="15"/>
      <c r="CB21" s="15"/>
      <c r="CC21" s="15"/>
      <c r="CD21" s="15"/>
      <c r="CE21" s="15"/>
      <c r="CF21" s="15"/>
      <c r="CG21" s="15"/>
      <c r="CH21" s="15"/>
      <c r="CI21" s="15"/>
      <c r="CJ21" s="15"/>
      <c r="CK21" s="15"/>
      <c r="CL21" s="15"/>
      <c r="CM21" s="15"/>
      <c r="CN21" s="15"/>
      <c r="CO21" s="15"/>
      <c r="CP21" s="15"/>
      <c r="CQ21" s="15"/>
      <c r="CR21" s="15"/>
      <c r="CS21" s="15"/>
      <c r="CV21" s="8" t="str">
        <f t="shared" si="140"/>
        <v/>
      </c>
      <c r="CW21" s="15"/>
      <c r="CX21" s="15"/>
      <c r="CY21" s="15"/>
      <c r="CZ21" s="15"/>
      <c r="DA21" s="15"/>
      <c r="DB21" s="15"/>
      <c r="DC21" s="15"/>
      <c r="DD21" s="15"/>
      <c r="DE21" s="15"/>
      <c r="DF21" s="15"/>
      <c r="DG21" s="15"/>
      <c r="DH21" s="15"/>
      <c r="DI21" s="15"/>
      <c r="DJ21" s="15"/>
      <c r="DK21" s="15"/>
      <c r="DL21" s="15"/>
      <c r="DM21" s="15"/>
      <c r="DN21" s="15"/>
      <c r="DO21" s="15"/>
      <c r="DP21" s="15"/>
      <c r="DS21" s="8" t="str">
        <f t="shared" si="141"/>
        <v/>
      </c>
      <c r="DT21" s="15"/>
      <c r="DU21" s="15"/>
      <c r="DV21" s="15"/>
      <c r="DW21" s="15"/>
      <c r="DX21" s="15"/>
      <c r="DY21" s="15"/>
      <c r="DZ21" s="15"/>
      <c r="EA21" s="15"/>
      <c r="EB21" s="15"/>
      <c r="EC21" s="15"/>
      <c r="ED21" s="15"/>
      <c r="EE21" s="15"/>
      <c r="EF21" s="15"/>
      <c r="EG21" s="15"/>
      <c r="EH21" s="15"/>
      <c r="EI21" s="15"/>
      <c r="EJ21" s="15"/>
      <c r="EK21" s="15"/>
      <c r="EL21" s="15"/>
      <c r="EM21" s="15"/>
      <c r="EP21" s="8" t="str">
        <f t="shared" si="142"/>
        <v/>
      </c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M21" s="8" t="str">
        <f t="shared" si="143"/>
        <v/>
      </c>
      <c r="FN21" s="15"/>
      <c r="FO21" s="15"/>
      <c r="FP21" s="15"/>
      <c r="FQ21" s="15"/>
      <c r="FR21" s="15"/>
      <c r="FS21" s="15"/>
      <c r="FT21" s="15"/>
      <c r="FU21" s="15"/>
      <c r="FV21" s="15"/>
      <c r="FW21" s="15"/>
      <c r="FX21" s="15"/>
      <c r="FY21" s="15"/>
      <c r="FZ21" s="15"/>
      <c r="GA21" s="15"/>
      <c r="GB21" s="15"/>
      <c r="GC21" s="15"/>
      <c r="GD21" s="15"/>
      <c r="GE21" s="15"/>
      <c r="GF21" s="15"/>
      <c r="GG21" s="15"/>
      <c r="GJ21" s="8" t="str">
        <f t="shared" si="144"/>
        <v/>
      </c>
      <c r="GK21" s="15"/>
      <c r="GL21" s="15"/>
      <c r="GM21" s="15"/>
      <c r="GN21" s="15"/>
      <c r="GO21" s="15"/>
      <c r="GP21" s="15"/>
      <c r="GQ21" s="15"/>
      <c r="GR21" s="15"/>
      <c r="GS21" s="15"/>
      <c r="GT21" s="15"/>
      <c r="GU21" s="15"/>
      <c r="GV21" s="15"/>
      <c r="GW21" s="15"/>
      <c r="GX21" s="15"/>
      <c r="GY21" s="15"/>
      <c r="GZ21" s="15"/>
      <c r="HA21" s="15"/>
      <c r="HB21" s="15"/>
      <c r="HC21" s="15"/>
      <c r="HD21" s="15"/>
      <c r="HG21" s="8" t="str">
        <f t="shared" si="145"/>
        <v/>
      </c>
      <c r="HH21" s="15"/>
      <c r="HI21" s="15"/>
      <c r="HJ21" s="15"/>
      <c r="HK21" s="15"/>
      <c r="HL21" s="15"/>
      <c r="HM21" s="15"/>
      <c r="HN21" s="15"/>
      <c r="HO21" s="15"/>
      <c r="HP21" s="15"/>
      <c r="HQ21" s="15"/>
      <c r="HR21" s="15"/>
      <c r="HS21" s="15"/>
      <c r="HT21" s="15"/>
      <c r="HU21" s="15"/>
      <c r="HV21" s="15"/>
      <c r="HW21" s="15"/>
      <c r="HX21" s="15"/>
      <c r="HY21" s="15"/>
      <c r="HZ21" s="15"/>
      <c r="IA21" s="15"/>
      <c r="ID21" s="8" t="str">
        <f t="shared" si="146"/>
        <v/>
      </c>
      <c r="IE21" s="15"/>
      <c r="IF21" s="15"/>
      <c r="IG21" s="15"/>
      <c r="IH21" s="15"/>
      <c r="II21" s="15"/>
      <c r="IJ21" s="15"/>
      <c r="IK21" s="15"/>
      <c r="IL21" s="15"/>
      <c r="IM21" s="15"/>
      <c r="IN21" s="15"/>
      <c r="IO21" s="15"/>
      <c r="IP21" s="15"/>
      <c r="IQ21" s="15"/>
      <c r="IR21" s="15"/>
      <c r="IS21" s="15"/>
      <c r="IT21" s="15"/>
      <c r="IU21" s="15"/>
      <c r="IV21" s="15"/>
      <c r="IW21" s="15"/>
      <c r="IX21" s="15"/>
    </row>
    <row r="22" spans="2:258" x14ac:dyDescent="0.4">
      <c r="B22" s="23"/>
      <c r="C22" s="23"/>
      <c r="D22" s="23"/>
      <c r="F22" s="24"/>
      <c r="G22" s="24"/>
      <c r="I22" s="8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E22" s="8" t="str">
        <f t="shared" si="147"/>
        <v/>
      </c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BB22" s="8" t="str">
        <f t="shared" si="138"/>
        <v/>
      </c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Y22" s="8" t="str">
        <f t="shared" si="139"/>
        <v/>
      </c>
      <c r="BZ22" s="15"/>
      <c r="CA22" s="15"/>
      <c r="CB22" s="15"/>
      <c r="CC22" s="15"/>
      <c r="CD22" s="15"/>
      <c r="CE22" s="15"/>
      <c r="CF22" s="15"/>
      <c r="CG22" s="15"/>
      <c r="CH22" s="15"/>
      <c r="CI22" s="15"/>
      <c r="CJ22" s="15"/>
      <c r="CK22" s="15"/>
      <c r="CL22" s="15"/>
      <c r="CM22" s="15"/>
      <c r="CN22" s="15"/>
      <c r="CO22" s="15"/>
      <c r="CP22" s="15"/>
      <c r="CQ22" s="15"/>
      <c r="CR22" s="15"/>
      <c r="CS22" s="15"/>
      <c r="CV22" s="8" t="str">
        <f t="shared" si="140"/>
        <v/>
      </c>
      <c r="CW22" s="15"/>
      <c r="CX22" s="15"/>
      <c r="CY22" s="15"/>
      <c r="CZ22" s="15"/>
      <c r="DA22" s="15"/>
      <c r="DB22" s="15"/>
      <c r="DC22" s="15"/>
      <c r="DD22" s="15"/>
      <c r="DE22" s="15"/>
      <c r="DF22" s="15"/>
      <c r="DG22" s="15"/>
      <c r="DH22" s="15"/>
      <c r="DI22" s="15"/>
      <c r="DJ22" s="15"/>
      <c r="DK22" s="15"/>
      <c r="DL22" s="15"/>
      <c r="DM22" s="15"/>
      <c r="DN22" s="15"/>
      <c r="DO22" s="15"/>
      <c r="DP22" s="15"/>
      <c r="DS22" s="8" t="str">
        <f t="shared" si="141"/>
        <v/>
      </c>
      <c r="DT22" s="15"/>
      <c r="DU22" s="15"/>
      <c r="DV22" s="15"/>
      <c r="DW22" s="15"/>
      <c r="DX22" s="15"/>
      <c r="DY22" s="15"/>
      <c r="DZ22" s="15"/>
      <c r="EA22" s="15"/>
      <c r="EB22" s="15"/>
      <c r="EC22" s="15"/>
      <c r="ED22" s="15"/>
      <c r="EE22" s="15"/>
      <c r="EF22" s="15"/>
      <c r="EG22" s="15"/>
      <c r="EH22" s="15"/>
      <c r="EI22" s="15"/>
      <c r="EJ22" s="15"/>
      <c r="EK22" s="15"/>
      <c r="EL22" s="15"/>
      <c r="EM22" s="15"/>
      <c r="EP22" s="8" t="str">
        <f t="shared" si="142"/>
        <v/>
      </c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M22" s="8" t="str">
        <f t="shared" si="143"/>
        <v/>
      </c>
      <c r="FN22" s="15"/>
      <c r="FO22" s="15"/>
      <c r="FP22" s="15"/>
      <c r="FQ22" s="15"/>
      <c r="FR22" s="15"/>
      <c r="FS22" s="15"/>
      <c r="FT22" s="15"/>
      <c r="FU22" s="15"/>
      <c r="FV22" s="15"/>
      <c r="FW22" s="15"/>
      <c r="FX22" s="15"/>
      <c r="FY22" s="15"/>
      <c r="FZ22" s="15"/>
      <c r="GA22" s="15"/>
      <c r="GB22" s="15"/>
      <c r="GC22" s="15"/>
      <c r="GD22" s="15"/>
      <c r="GE22" s="15"/>
      <c r="GF22" s="15"/>
      <c r="GG22" s="15"/>
      <c r="GJ22" s="8" t="str">
        <f t="shared" si="144"/>
        <v/>
      </c>
      <c r="GK22" s="15"/>
      <c r="GL22" s="15"/>
      <c r="GM22" s="15"/>
      <c r="GN22" s="15"/>
      <c r="GO22" s="15"/>
      <c r="GP22" s="15"/>
      <c r="GQ22" s="15"/>
      <c r="GR22" s="15"/>
      <c r="GS22" s="15"/>
      <c r="GT22" s="15"/>
      <c r="GU22" s="15"/>
      <c r="GV22" s="15"/>
      <c r="GW22" s="15"/>
      <c r="GX22" s="15"/>
      <c r="GY22" s="15"/>
      <c r="GZ22" s="15"/>
      <c r="HA22" s="15"/>
      <c r="HB22" s="15"/>
      <c r="HC22" s="15"/>
      <c r="HD22" s="15"/>
      <c r="HG22" s="8" t="str">
        <f t="shared" si="145"/>
        <v/>
      </c>
      <c r="HH22" s="15"/>
      <c r="HI22" s="15"/>
      <c r="HJ22" s="15"/>
      <c r="HK22" s="15"/>
      <c r="HL22" s="15"/>
      <c r="HM22" s="15"/>
      <c r="HN22" s="15"/>
      <c r="HO22" s="15"/>
      <c r="HP22" s="15"/>
      <c r="HQ22" s="15"/>
      <c r="HR22" s="15"/>
      <c r="HS22" s="15"/>
      <c r="HT22" s="15"/>
      <c r="HU22" s="15"/>
      <c r="HV22" s="15"/>
      <c r="HW22" s="15"/>
      <c r="HX22" s="15"/>
      <c r="HY22" s="15"/>
      <c r="HZ22" s="15"/>
      <c r="IA22" s="15"/>
      <c r="ID22" s="8" t="str">
        <f t="shared" si="146"/>
        <v/>
      </c>
      <c r="IE22" s="15"/>
      <c r="IF22" s="15"/>
      <c r="IG22" s="15"/>
      <c r="IH22" s="15"/>
      <c r="II22" s="15"/>
      <c r="IJ22" s="15"/>
      <c r="IK22" s="15"/>
      <c r="IL22" s="15"/>
      <c r="IM22" s="15"/>
      <c r="IN22" s="15"/>
      <c r="IO22" s="15"/>
      <c r="IP22" s="15"/>
      <c r="IQ22" s="15"/>
      <c r="IR22" s="15"/>
      <c r="IS22" s="15"/>
      <c r="IT22" s="15"/>
      <c r="IU22" s="15"/>
      <c r="IV22" s="15"/>
      <c r="IW22" s="15"/>
      <c r="IX22" s="15"/>
    </row>
    <row r="23" spans="2:258" x14ac:dyDescent="0.4">
      <c r="B23" s="23"/>
      <c r="C23" s="23"/>
      <c r="D23" s="23"/>
      <c r="F23" s="24"/>
      <c r="G23" s="24"/>
      <c r="I23" s="8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E23" s="8" t="str">
        <f t="shared" si="147"/>
        <v/>
      </c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BB23" s="8" t="str">
        <f t="shared" si="138"/>
        <v/>
      </c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Y23" s="8" t="str">
        <f t="shared" si="139"/>
        <v/>
      </c>
      <c r="BZ23" s="15"/>
      <c r="CA23" s="15"/>
      <c r="CB23" s="15"/>
      <c r="CC23" s="15"/>
      <c r="CD23" s="15"/>
      <c r="CE23" s="15"/>
      <c r="CF23" s="15"/>
      <c r="CG23" s="15"/>
      <c r="CH23" s="15"/>
      <c r="CI23" s="15"/>
      <c r="CJ23" s="15"/>
      <c r="CK23" s="15"/>
      <c r="CL23" s="15"/>
      <c r="CM23" s="15"/>
      <c r="CN23" s="15"/>
      <c r="CO23" s="15"/>
      <c r="CP23" s="15"/>
      <c r="CQ23" s="15"/>
      <c r="CR23" s="15"/>
      <c r="CS23" s="15"/>
      <c r="CV23" s="8" t="str">
        <f t="shared" si="140"/>
        <v/>
      </c>
      <c r="CW23" s="15"/>
      <c r="CX23" s="15"/>
      <c r="CY23" s="15"/>
      <c r="CZ23" s="15"/>
      <c r="DA23" s="15"/>
      <c r="DB23" s="15"/>
      <c r="DC23" s="15"/>
      <c r="DD23" s="15"/>
      <c r="DE23" s="15"/>
      <c r="DF23" s="15"/>
      <c r="DG23" s="15"/>
      <c r="DH23" s="15"/>
      <c r="DI23" s="15"/>
      <c r="DJ23" s="15"/>
      <c r="DK23" s="15"/>
      <c r="DL23" s="15"/>
      <c r="DM23" s="15"/>
      <c r="DN23" s="15"/>
      <c r="DO23" s="15"/>
      <c r="DP23" s="15"/>
      <c r="DS23" s="8" t="str">
        <f t="shared" si="141"/>
        <v/>
      </c>
      <c r="DT23" s="15"/>
      <c r="DU23" s="15"/>
      <c r="DV23" s="15"/>
      <c r="DW23" s="15"/>
      <c r="DX23" s="15"/>
      <c r="DY23" s="15"/>
      <c r="DZ23" s="15"/>
      <c r="EA23" s="15"/>
      <c r="EB23" s="15"/>
      <c r="EC23" s="15"/>
      <c r="ED23" s="15"/>
      <c r="EE23" s="15"/>
      <c r="EF23" s="15"/>
      <c r="EG23" s="15"/>
      <c r="EH23" s="15"/>
      <c r="EI23" s="15"/>
      <c r="EJ23" s="15"/>
      <c r="EK23" s="15"/>
      <c r="EL23" s="15"/>
      <c r="EM23" s="15"/>
      <c r="EP23" s="8" t="str">
        <f t="shared" si="142"/>
        <v/>
      </c>
      <c r="EQ23" s="15"/>
      <c r="ER23" s="15"/>
      <c r="ES23" s="15"/>
      <c r="ET23" s="15"/>
      <c r="EU23" s="15"/>
      <c r="EV23" s="15"/>
      <c r="EW23" s="15"/>
      <c r="EX23" s="15"/>
      <c r="EY23" s="15"/>
      <c r="EZ23" s="15"/>
      <c r="FA23" s="15"/>
      <c r="FB23" s="15"/>
      <c r="FC23" s="15"/>
      <c r="FD23" s="15"/>
      <c r="FE23" s="15"/>
      <c r="FF23" s="15"/>
      <c r="FG23" s="15"/>
      <c r="FH23" s="15"/>
      <c r="FI23" s="15"/>
      <c r="FJ23" s="15"/>
      <c r="FM23" s="8" t="str">
        <f t="shared" si="143"/>
        <v/>
      </c>
      <c r="FN23" s="15"/>
      <c r="FO23" s="15"/>
      <c r="FP23" s="15"/>
      <c r="FQ23" s="15"/>
      <c r="FR23" s="15"/>
      <c r="FS23" s="15"/>
      <c r="FT23" s="15"/>
      <c r="FU23" s="15"/>
      <c r="FV23" s="15"/>
      <c r="FW23" s="15"/>
      <c r="FX23" s="15"/>
      <c r="FY23" s="15"/>
      <c r="FZ23" s="15"/>
      <c r="GA23" s="15"/>
      <c r="GB23" s="15"/>
      <c r="GC23" s="15"/>
      <c r="GD23" s="15"/>
      <c r="GE23" s="15"/>
      <c r="GF23" s="15"/>
      <c r="GG23" s="15"/>
      <c r="GJ23" s="8" t="str">
        <f t="shared" si="144"/>
        <v/>
      </c>
      <c r="GK23" s="15"/>
      <c r="GL23" s="15"/>
      <c r="GM23" s="15"/>
      <c r="GN23" s="15"/>
      <c r="GO23" s="15"/>
      <c r="GP23" s="15"/>
      <c r="GQ23" s="15"/>
      <c r="GR23" s="15"/>
      <c r="GS23" s="15"/>
      <c r="GT23" s="15"/>
      <c r="GU23" s="15"/>
      <c r="GV23" s="15"/>
      <c r="GW23" s="15"/>
      <c r="GX23" s="15"/>
      <c r="GY23" s="15"/>
      <c r="GZ23" s="15"/>
      <c r="HA23" s="15"/>
      <c r="HB23" s="15"/>
      <c r="HC23" s="15"/>
      <c r="HD23" s="15"/>
      <c r="HG23" s="8" t="str">
        <f t="shared" si="145"/>
        <v/>
      </c>
      <c r="HH23" s="15"/>
      <c r="HI23" s="15"/>
      <c r="HJ23" s="15"/>
      <c r="HK23" s="15"/>
      <c r="HL23" s="15"/>
      <c r="HM23" s="15"/>
      <c r="HN23" s="15"/>
      <c r="HO23" s="15"/>
      <c r="HP23" s="15"/>
      <c r="HQ23" s="15"/>
      <c r="HR23" s="15"/>
      <c r="HS23" s="15"/>
      <c r="HT23" s="15"/>
      <c r="HU23" s="15"/>
      <c r="HV23" s="15"/>
      <c r="HW23" s="15"/>
      <c r="HX23" s="15"/>
      <c r="HY23" s="15"/>
      <c r="HZ23" s="15"/>
      <c r="IA23" s="15"/>
      <c r="ID23" s="8" t="str">
        <f t="shared" si="146"/>
        <v/>
      </c>
      <c r="IE23" s="15"/>
      <c r="IF23" s="15"/>
      <c r="IG23" s="15"/>
      <c r="IH23" s="15"/>
      <c r="II23" s="15"/>
      <c r="IJ23" s="15"/>
      <c r="IK23" s="15"/>
      <c r="IL23" s="15"/>
      <c r="IM23" s="15"/>
      <c r="IN23" s="15"/>
      <c r="IO23" s="15"/>
      <c r="IP23" s="15"/>
      <c r="IQ23" s="15"/>
      <c r="IR23" s="15"/>
      <c r="IS23" s="15"/>
      <c r="IT23" s="15"/>
      <c r="IU23" s="15"/>
      <c r="IV23" s="15"/>
      <c r="IW23" s="15"/>
      <c r="IX23" s="15"/>
    </row>
    <row r="24" spans="2:258" x14ac:dyDescent="0.4">
      <c r="B24" s="23"/>
      <c r="C24" s="23"/>
      <c r="D24" s="23"/>
      <c r="F24" s="24"/>
      <c r="G24" s="24"/>
      <c r="I24" s="8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E24" s="8" t="str">
        <f t="shared" si="147"/>
        <v/>
      </c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BB24" s="8" t="str">
        <f t="shared" si="138"/>
        <v/>
      </c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Y24" s="8" t="str">
        <f t="shared" si="139"/>
        <v/>
      </c>
      <c r="BZ24" s="15"/>
      <c r="CA24" s="15"/>
      <c r="CB24" s="15"/>
      <c r="CC24" s="15"/>
      <c r="CD24" s="15"/>
      <c r="CE24" s="15"/>
      <c r="CF24" s="15"/>
      <c r="CG24" s="15"/>
      <c r="CH24" s="15"/>
      <c r="CI24" s="15"/>
      <c r="CJ24" s="15"/>
      <c r="CK24" s="15"/>
      <c r="CL24" s="15"/>
      <c r="CM24" s="15"/>
      <c r="CN24" s="15"/>
      <c r="CO24" s="15"/>
      <c r="CP24" s="15"/>
      <c r="CQ24" s="15"/>
      <c r="CR24" s="15"/>
      <c r="CS24" s="15"/>
      <c r="CV24" s="8" t="str">
        <f t="shared" si="140"/>
        <v/>
      </c>
      <c r="CW24" s="15"/>
      <c r="CX24" s="15"/>
      <c r="CY24" s="15"/>
      <c r="CZ24" s="15"/>
      <c r="DA24" s="15"/>
      <c r="DB24" s="15"/>
      <c r="DC24" s="15"/>
      <c r="DD24" s="15"/>
      <c r="DE24" s="15"/>
      <c r="DF24" s="15"/>
      <c r="DG24" s="15"/>
      <c r="DH24" s="15"/>
      <c r="DI24" s="15"/>
      <c r="DJ24" s="15"/>
      <c r="DK24" s="15"/>
      <c r="DL24" s="15"/>
      <c r="DM24" s="15"/>
      <c r="DN24" s="15"/>
      <c r="DO24" s="15"/>
      <c r="DP24" s="15"/>
      <c r="DS24" s="8" t="str">
        <f t="shared" si="141"/>
        <v/>
      </c>
      <c r="DT24" s="15"/>
      <c r="DU24" s="15"/>
      <c r="DV24" s="15"/>
      <c r="DW24" s="15"/>
      <c r="DX24" s="15"/>
      <c r="DY24" s="15"/>
      <c r="DZ24" s="15"/>
      <c r="EA24" s="15"/>
      <c r="EB24" s="15"/>
      <c r="EC24" s="15"/>
      <c r="ED24" s="15"/>
      <c r="EE24" s="15"/>
      <c r="EF24" s="15"/>
      <c r="EG24" s="15"/>
      <c r="EH24" s="15"/>
      <c r="EI24" s="15"/>
      <c r="EJ24" s="15"/>
      <c r="EK24" s="15"/>
      <c r="EL24" s="15"/>
      <c r="EM24" s="15"/>
      <c r="EP24" s="8" t="str">
        <f t="shared" si="142"/>
        <v/>
      </c>
      <c r="EQ24" s="15"/>
      <c r="ER24" s="15"/>
      <c r="ES24" s="15"/>
      <c r="ET24" s="15"/>
      <c r="EU24" s="15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15"/>
      <c r="FH24" s="15"/>
      <c r="FI24" s="15"/>
      <c r="FJ24" s="15"/>
      <c r="FM24" s="8" t="str">
        <f t="shared" si="143"/>
        <v/>
      </c>
      <c r="FN24" s="15"/>
      <c r="FO24" s="15"/>
      <c r="FP24" s="15"/>
      <c r="FQ24" s="15"/>
      <c r="FR24" s="15"/>
      <c r="FS24" s="15"/>
      <c r="FT24" s="15"/>
      <c r="FU24" s="15"/>
      <c r="FV24" s="15"/>
      <c r="FW24" s="15"/>
      <c r="FX24" s="15"/>
      <c r="FY24" s="15"/>
      <c r="FZ24" s="15"/>
      <c r="GA24" s="15"/>
      <c r="GB24" s="15"/>
      <c r="GC24" s="15"/>
      <c r="GD24" s="15"/>
      <c r="GE24" s="15"/>
      <c r="GF24" s="15"/>
      <c r="GG24" s="15"/>
      <c r="GJ24" s="8" t="str">
        <f t="shared" si="144"/>
        <v/>
      </c>
      <c r="GK24" s="15"/>
      <c r="GL24" s="15"/>
      <c r="GM24" s="15"/>
      <c r="GN24" s="15"/>
      <c r="GO24" s="15"/>
      <c r="GP24" s="15"/>
      <c r="GQ24" s="15"/>
      <c r="GR24" s="15"/>
      <c r="GS24" s="15"/>
      <c r="GT24" s="15"/>
      <c r="GU24" s="15"/>
      <c r="GV24" s="15"/>
      <c r="GW24" s="15"/>
      <c r="GX24" s="15"/>
      <c r="GY24" s="15"/>
      <c r="GZ24" s="15"/>
      <c r="HA24" s="15"/>
      <c r="HB24" s="15"/>
      <c r="HC24" s="15"/>
      <c r="HD24" s="15"/>
      <c r="HG24" s="8" t="str">
        <f t="shared" si="145"/>
        <v/>
      </c>
      <c r="HH24" s="15"/>
      <c r="HI24" s="15"/>
      <c r="HJ24" s="15"/>
      <c r="HK24" s="15"/>
      <c r="HL24" s="15"/>
      <c r="HM24" s="15"/>
      <c r="HN24" s="15"/>
      <c r="HO24" s="15"/>
      <c r="HP24" s="15"/>
      <c r="HQ24" s="15"/>
      <c r="HR24" s="15"/>
      <c r="HS24" s="15"/>
      <c r="HT24" s="15"/>
      <c r="HU24" s="15"/>
      <c r="HV24" s="15"/>
      <c r="HW24" s="15"/>
      <c r="HX24" s="15"/>
      <c r="HY24" s="15"/>
      <c r="HZ24" s="15"/>
      <c r="IA24" s="15"/>
      <c r="ID24" s="8" t="str">
        <f t="shared" si="146"/>
        <v/>
      </c>
      <c r="IE24" s="15"/>
      <c r="IF24" s="15"/>
      <c r="IG24" s="15"/>
      <c r="IH24" s="15"/>
      <c r="II24" s="15"/>
      <c r="IJ24" s="15"/>
      <c r="IK24" s="15"/>
      <c r="IL24" s="15"/>
      <c r="IM24" s="15"/>
      <c r="IN24" s="15"/>
      <c r="IO24" s="15"/>
      <c r="IP24" s="15"/>
      <c r="IQ24" s="15"/>
      <c r="IR24" s="15"/>
      <c r="IS24" s="15"/>
      <c r="IT24" s="15"/>
      <c r="IU24" s="15"/>
      <c r="IV24" s="15"/>
      <c r="IW24" s="15"/>
      <c r="IX24" s="15"/>
    </row>
    <row r="25" spans="2:258" x14ac:dyDescent="0.4">
      <c r="B25" s="23"/>
      <c r="C25" s="23"/>
      <c r="D25" s="23"/>
      <c r="F25" s="24"/>
      <c r="G25" s="24"/>
      <c r="I25" s="8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E25" s="8" t="str">
        <f t="shared" si="147"/>
        <v/>
      </c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BB25" s="8" t="str">
        <f t="shared" si="138"/>
        <v/>
      </c>
      <c r="BC25" s="15"/>
      <c r="BD25" s="15"/>
      <c r="BE25" s="15"/>
      <c r="BF25" s="15"/>
      <c r="BG25" s="15"/>
      <c r="BH25" s="15"/>
      <c r="BI25" s="15"/>
      <c r="BJ25" s="15"/>
      <c r="BK25" s="15"/>
      <c r="BL25" s="15"/>
      <c r="BM25" s="15"/>
      <c r="BN25" s="15"/>
      <c r="BO25" s="15"/>
      <c r="BP25" s="15"/>
      <c r="BQ25" s="15"/>
      <c r="BR25" s="15"/>
      <c r="BS25" s="15"/>
      <c r="BT25" s="15"/>
      <c r="BU25" s="15"/>
      <c r="BV25" s="15"/>
      <c r="BY25" s="8" t="str">
        <f t="shared" si="139"/>
        <v/>
      </c>
      <c r="BZ25" s="15"/>
      <c r="CA25" s="15"/>
      <c r="CB25" s="15"/>
      <c r="CC25" s="15"/>
      <c r="CD25" s="15"/>
      <c r="CE25" s="15"/>
      <c r="CF25" s="15"/>
      <c r="CG25" s="15"/>
      <c r="CH25" s="15"/>
      <c r="CI25" s="15"/>
      <c r="CJ25" s="15"/>
      <c r="CK25" s="15"/>
      <c r="CL25" s="15"/>
      <c r="CM25" s="15"/>
      <c r="CN25" s="15"/>
      <c r="CO25" s="15"/>
      <c r="CP25" s="15"/>
      <c r="CQ25" s="15"/>
      <c r="CR25" s="15"/>
      <c r="CS25" s="15"/>
      <c r="CV25" s="8" t="str">
        <f t="shared" si="140"/>
        <v/>
      </c>
      <c r="CW25" s="15"/>
      <c r="CX25" s="15"/>
      <c r="CY25" s="15"/>
      <c r="CZ25" s="15"/>
      <c r="DA25" s="15"/>
      <c r="DB25" s="15"/>
      <c r="DC25" s="15"/>
      <c r="DD25" s="15"/>
      <c r="DE25" s="15"/>
      <c r="DF25" s="15"/>
      <c r="DG25" s="15"/>
      <c r="DH25" s="15"/>
      <c r="DI25" s="15"/>
      <c r="DJ25" s="15"/>
      <c r="DK25" s="15"/>
      <c r="DL25" s="15"/>
      <c r="DM25" s="15"/>
      <c r="DN25" s="15"/>
      <c r="DO25" s="15"/>
      <c r="DP25" s="15"/>
      <c r="DS25" s="8" t="str">
        <f t="shared" si="141"/>
        <v/>
      </c>
      <c r="DT25" s="15"/>
      <c r="DU25" s="15"/>
      <c r="DV25" s="15"/>
      <c r="DW25" s="15"/>
      <c r="DX25" s="15"/>
      <c r="DY25" s="15"/>
      <c r="DZ25" s="15"/>
      <c r="EA25" s="15"/>
      <c r="EB25" s="15"/>
      <c r="EC25" s="15"/>
      <c r="ED25" s="15"/>
      <c r="EE25" s="15"/>
      <c r="EF25" s="15"/>
      <c r="EG25" s="15"/>
      <c r="EH25" s="15"/>
      <c r="EI25" s="15"/>
      <c r="EJ25" s="15"/>
      <c r="EK25" s="15"/>
      <c r="EL25" s="15"/>
      <c r="EM25" s="15"/>
      <c r="EP25" s="8" t="str">
        <f t="shared" si="142"/>
        <v/>
      </c>
      <c r="EQ25" s="15"/>
      <c r="ER25" s="15"/>
      <c r="ES25" s="15"/>
      <c r="ET25" s="15"/>
      <c r="EU25" s="15"/>
      <c r="EV25" s="15"/>
      <c r="EW25" s="15"/>
      <c r="EX25" s="15"/>
      <c r="EY25" s="15"/>
      <c r="EZ25" s="15"/>
      <c r="FA25" s="15"/>
      <c r="FB25" s="15"/>
      <c r="FC25" s="15"/>
      <c r="FD25" s="15"/>
      <c r="FE25" s="15"/>
      <c r="FF25" s="15"/>
      <c r="FG25" s="15"/>
      <c r="FH25" s="15"/>
      <c r="FI25" s="15"/>
      <c r="FJ25" s="15"/>
      <c r="FM25" s="8" t="str">
        <f t="shared" si="143"/>
        <v/>
      </c>
      <c r="FN25" s="15"/>
      <c r="FO25" s="15"/>
      <c r="FP25" s="15"/>
      <c r="FQ25" s="15"/>
      <c r="FR25" s="15"/>
      <c r="FS25" s="15"/>
      <c r="FT25" s="15"/>
      <c r="FU25" s="15"/>
      <c r="FV25" s="15"/>
      <c r="FW25" s="15"/>
      <c r="FX25" s="15"/>
      <c r="FY25" s="15"/>
      <c r="FZ25" s="15"/>
      <c r="GA25" s="15"/>
      <c r="GB25" s="15"/>
      <c r="GC25" s="15"/>
      <c r="GD25" s="15"/>
      <c r="GE25" s="15"/>
      <c r="GF25" s="15"/>
      <c r="GG25" s="15"/>
      <c r="GJ25" s="8" t="str">
        <f t="shared" si="144"/>
        <v/>
      </c>
      <c r="GK25" s="15"/>
      <c r="GL25" s="15"/>
      <c r="GM25" s="15"/>
      <c r="GN25" s="15"/>
      <c r="GO25" s="15"/>
      <c r="GP25" s="15"/>
      <c r="GQ25" s="15"/>
      <c r="GR25" s="15"/>
      <c r="GS25" s="15"/>
      <c r="GT25" s="15"/>
      <c r="GU25" s="15"/>
      <c r="GV25" s="15"/>
      <c r="GW25" s="15"/>
      <c r="GX25" s="15"/>
      <c r="GY25" s="15"/>
      <c r="GZ25" s="15"/>
      <c r="HA25" s="15"/>
      <c r="HB25" s="15"/>
      <c r="HC25" s="15"/>
      <c r="HD25" s="15"/>
      <c r="HG25" s="8" t="str">
        <f t="shared" si="145"/>
        <v/>
      </c>
      <c r="HH25" s="15"/>
      <c r="HI25" s="15"/>
      <c r="HJ25" s="15"/>
      <c r="HK25" s="15"/>
      <c r="HL25" s="15"/>
      <c r="HM25" s="15"/>
      <c r="HN25" s="15"/>
      <c r="HO25" s="15"/>
      <c r="HP25" s="15"/>
      <c r="HQ25" s="15"/>
      <c r="HR25" s="15"/>
      <c r="HS25" s="15"/>
      <c r="HT25" s="15"/>
      <c r="HU25" s="15"/>
      <c r="HV25" s="15"/>
      <c r="HW25" s="15"/>
      <c r="HX25" s="15"/>
      <c r="HY25" s="15"/>
      <c r="HZ25" s="15"/>
      <c r="IA25" s="15"/>
      <c r="ID25" s="8" t="str">
        <f t="shared" si="146"/>
        <v/>
      </c>
      <c r="IE25" s="15"/>
      <c r="IF25" s="15"/>
      <c r="IG25" s="15"/>
      <c r="IH25" s="15"/>
      <c r="II25" s="15"/>
      <c r="IJ25" s="15"/>
      <c r="IK25" s="15"/>
      <c r="IL25" s="15"/>
      <c r="IM25" s="15"/>
      <c r="IN25" s="15"/>
      <c r="IO25" s="15"/>
      <c r="IP25" s="15"/>
      <c r="IQ25" s="15"/>
      <c r="IR25" s="15"/>
      <c r="IS25" s="15"/>
      <c r="IT25" s="15"/>
      <c r="IU25" s="15"/>
      <c r="IV25" s="15"/>
      <c r="IW25" s="15"/>
      <c r="IX25" s="15"/>
    </row>
    <row r="26" spans="2:258" x14ac:dyDescent="0.4">
      <c r="B26" s="23"/>
      <c r="C26" s="23"/>
      <c r="D26" s="23"/>
      <c r="F26" s="24"/>
      <c r="G26" s="24"/>
      <c r="I26" s="8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E26" s="8" t="str">
        <f t="shared" si="147"/>
        <v/>
      </c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BB26" s="8" t="str">
        <f t="shared" si="138"/>
        <v/>
      </c>
      <c r="BC26" s="15"/>
      <c r="BD26" s="15"/>
      <c r="BE26" s="15"/>
      <c r="BF26" s="15"/>
      <c r="BG26" s="15"/>
      <c r="BH26" s="15"/>
      <c r="BI26" s="15"/>
      <c r="BJ26" s="15"/>
      <c r="BK26" s="15"/>
      <c r="BL26" s="15"/>
      <c r="BM26" s="15"/>
      <c r="BN26" s="15"/>
      <c r="BO26" s="15"/>
      <c r="BP26" s="15"/>
      <c r="BQ26" s="15"/>
      <c r="BR26" s="15"/>
      <c r="BS26" s="15"/>
      <c r="BT26" s="15"/>
      <c r="BU26" s="15"/>
      <c r="BV26" s="15"/>
      <c r="BY26" s="8" t="str">
        <f t="shared" si="139"/>
        <v/>
      </c>
      <c r="BZ26" s="15"/>
      <c r="CA26" s="15"/>
      <c r="CB26" s="15"/>
      <c r="CC26" s="15"/>
      <c r="CD26" s="15"/>
      <c r="CE26" s="15"/>
      <c r="CF26" s="15"/>
      <c r="CG26" s="15"/>
      <c r="CH26" s="15"/>
      <c r="CI26" s="15"/>
      <c r="CJ26" s="15"/>
      <c r="CK26" s="15"/>
      <c r="CL26" s="15"/>
      <c r="CM26" s="15"/>
      <c r="CN26" s="15"/>
      <c r="CO26" s="15"/>
      <c r="CP26" s="15"/>
      <c r="CQ26" s="15"/>
      <c r="CR26" s="15"/>
      <c r="CS26" s="15"/>
      <c r="CV26" s="8" t="str">
        <f t="shared" si="140"/>
        <v/>
      </c>
      <c r="CW26" s="15"/>
      <c r="CX26" s="15"/>
      <c r="CY26" s="15"/>
      <c r="CZ26" s="15"/>
      <c r="DA26" s="15"/>
      <c r="DB26" s="15"/>
      <c r="DC26" s="15"/>
      <c r="DD26" s="15"/>
      <c r="DE26" s="15"/>
      <c r="DF26" s="15"/>
      <c r="DG26" s="15"/>
      <c r="DH26" s="15"/>
      <c r="DI26" s="15"/>
      <c r="DJ26" s="15"/>
      <c r="DK26" s="15"/>
      <c r="DL26" s="15"/>
      <c r="DM26" s="15"/>
      <c r="DN26" s="15"/>
      <c r="DO26" s="15"/>
      <c r="DP26" s="15"/>
      <c r="DS26" s="8" t="str">
        <f t="shared" si="141"/>
        <v/>
      </c>
      <c r="DT26" s="15"/>
      <c r="DU26" s="15"/>
      <c r="DV26" s="15"/>
      <c r="DW26" s="15"/>
      <c r="DX26" s="15"/>
      <c r="DY26" s="15"/>
      <c r="DZ26" s="15"/>
      <c r="EA26" s="15"/>
      <c r="EB26" s="15"/>
      <c r="EC26" s="15"/>
      <c r="ED26" s="15"/>
      <c r="EE26" s="15"/>
      <c r="EF26" s="15"/>
      <c r="EG26" s="15"/>
      <c r="EH26" s="15"/>
      <c r="EI26" s="15"/>
      <c r="EJ26" s="15"/>
      <c r="EK26" s="15"/>
      <c r="EL26" s="15"/>
      <c r="EM26" s="15"/>
      <c r="EP26" s="8" t="str">
        <f t="shared" si="142"/>
        <v/>
      </c>
      <c r="EQ26" s="15"/>
      <c r="ER26" s="15"/>
      <c r="ES26" s="15"/>
      <c r="ET26" s="15"/>
      <c r="EU26" s="15"/>
      <c r="EV26" s="15"/>
      <c r="EW26" s="15"/>
      <c r="EX26" s="15"/>
      <c r="EY26" s="15"/>
      <c r="EZ26" s="15"/>
      <c r="FA26" s="15"/>
      <c r="FB26" s="15"/>
      <c r="FC26" s="15"/>
      <c r="FD26" s="15"/>
      <c r="FE26" s="15"/>
      <c r="FF26" s="15"/>
      <c r="FG26" s="15"/>
      <c r="FH26" s="15"/>
      <c r="FI26" s="15"/>
      <c r="FJ26" s="15"/>
      <c r="FM26" s="8" t="str">
        <f t="shared" si="143"/>
        <v/>
      </c>
      <c r="FN26" s="15"/>
      <c r="FO26" s="15"/>
      <c r="FP26" s="15"/>
      <c r="FQ26" s="15"/>
      <c r="FR26" s="15"/>
      <c r="FS26" s="15"/>
      <c r="FT26" s="15"/>
      <c r="FU26" s="15"/>
      <c r="FV26" s="15"/>
      <c r="FW26" s="15"/>
      <c r="FX26" s="15"/>
      <c r="FY26" s="15"/>
      <c r="FZ26" s="15"/>
      <c r="GA26" s="15"/>
      <c r="GB26" s="15"/>
      <c r="GC26" s="15"/>
      <c r="GD26" s="15"/>
      <c r="GE26" s="15"/>
      <c r="GF26" s="15"/>
      <c r="GG26" s="15"/>
      <c r="GJ26" s="8" t="str">
        <f t="shared" si="144"/>
        <v/>
      </c>
      <c r="GK26" s="15"/>
      <c r="GL26" s="15"/>
      <c r="GM26" s="15"/>
      <c r="GN26" s="15"/>
      <c r="GO26" s="15"/>
      <c r="GP26" s="15"/>
      <c r="GQ26" s="15"/>
      <c r="GR26" s="15"/>
      <c r="GS26" s="15"/>
      <c r="GT26" s="15"/>
      <c r="GU26" s="15"/>
      <c r="GV26" s="15"/>
      <c r="GW26" s="15"/>
      <c r="GX26" s="15"/>
      <c r="GY26" s="15"/>
      <c r="GZ26" s="15"/>
      <c r="HA26" s="15"/>
      <c r="HB26" s="15"/>
      <c r="HC26" s="15"/>
      <c r="HD26" s="15"/>
      <c r="HG26" s="8" t="str">
        <f t="shared" si="145"/>
        <v/>
      </c>
      <c r="HH26" s="15"/>
      <c r="HI26" s="15"/>
      <c r="HJ26" s="15"/>
      <c r="HK26" s="15"/>
      <c r="HL26" s="15"/>
      <c r="HM26" s="15"/>
      <c r="HN26" s="15"/>
      <c r="HO26" s="15"/>
      <c r="HP26" s="15"/>
      <c r="HQ26" s="15"/>
      <c r="HR26" s="15"/>
      <c r="HS26" s="15"/>
      <c r="HT26" s="15"/>
      <c r="HU26" s="15"/>
      <c r="HV26" s="15"/>
      <c r="HW26" s="15"/>
      <c r="HX26" s="15"/>
      <c r="HY26" s="15"/>
      <c r="HZ26" s="15"/>
      <c r="IA26" s="15"/>
      <c r="ID26" s="8" t="str">
        <f t="shared" si="146"/>
        <v/>
      </c>
      <c r="IE26" s="15"/>
      <c r="IF26" s="15"/>
      <c r="IG26" s="15"/>
      <c r="IH26" s="15"/>
      <c r="II26" s="15"/>
      <c r="IJ26" s="15"/>
      <c r="IK26" s="15"/>
      <c r="IL26" s="15"/>
      <c r="IM26" s="15"/>
      <c r="IN26" s="15"/>
      <c r="IO26" s="15"/>
      <c r="IP26" s="15"/>
      <c r="IQ26" s="15"/>
      <c r="IR26" s="15"/>
      <c r="IS26" s="15"/>
      <c r="IT26" s="15"/>
      <c r="IU26" s="15"/>
      <c r="IV26" s="15"/>
      <c r="IW26" s="15"/>
      <c r="IX26" s="15"/>
    </row>
    <row r="27" spans="2:258" x14ac:dyDescent="0.4">
      <c r="B27" s="23"/>
      <c r="C27" s="23"/>
      <c r="D27" s="23"/>
      <c r="F27" s="24"/>
      <c r="G27" s="24"/>
      <c r="I27" s="8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E27" s="8" t="str">
        <f t="shared" si="147"/>
        <v/>
      </c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BB27" s="8" t="str">
        <f t="shared" si="138"/>
        <v/>
      </c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Y27" s="8" t="str">
        <f t="shared" si="139"/>
        <v/>
      </c>
      <c r="BZ27" s="15"/>
      <c r="CA27" s="15"/>
      <c r="CB27" s="15"/>
      <c r="CC27" s="15"/>
      <c r="CD27" s="15"/>
      <c r="CE27" s="15"/>
      <c r="CF27" s="15"/>
      <c r="CG27" s="15"/>
      <c r="CH27" s="15"/>
      <c r="CI27" s="15"/>
      <c r="CJ27" s="15"/>
      <c r="CK27" s="15"/>
      <c r="CL27" s="15"/>
      <c r="CM27" s="15"/>
      <c r="CN27" s="15"/>
      <c r="CO27" s="15"/>
      <c r="CP27" s="15"/>
      <c r="CQ27" s="15"/>
      <c r="CR27" s="15"/>
      <c r="CS27" s="15"/>
      <c r="CV27" s="8" t="str">
        <f t="shared" si="140"/>
        <v/>
      </c>
      <c r="CW27" s="15"/>
      <c r="CX27" s="15"/>
      <c r="CY27" s="15"/>
      <c r="CZ27" s="15"/>
      <c r="DA27" s="15"/>
      <c r="DB27" s="15"/>
      <c r="DC27" s="15"/>
      <c r="DD27" s="15"/>
      <c r="DE27" s="15"/>
      <c r="DF27" s="15"/>
      <c r="DG27" s="15"/>
      <c r="DH27" s="15"/>
      <c r="DI27" s="15"/>
      <c r="DJ27" s="15"/>
      <c r="DK27" s="15"/>
      <c r="DL27" s="15"/>
      <c r="DM27" s="15"/>
      <c r="DN27" s="15"/>
      <c r="DO27" s="15"/>
      <c r="DP27" s="15"/>
      <c r="DS27" s="8" t="str">
        <f t="shared" si="141"/>
        <v/>
      </c>
      <c r="DT27" s="15"/>
      <c r="DU27" s="15"/>
      <c r="DV27" s="15"/>
      <c r="DW27" s="15"/>
      <c r="DX27" s="15"/>
      <c r="DY27" s="15"/>
      <c r="DZ27" s="15"/>
      <c r="EA27" s="15"/>
      <c r="EB27" s="15"/>
      <c r="EC27" s="15"/>
      <c r="ED27" s="15"/>
      <c r="EE27" s="15"/>
      <c r="EF27" s="15"/>
      <c r="EG27" s="15"/>
      <c r="EH27" s="15"/>
      <c r="EI27" s="15"/>
      <c r="EJ27" s="15"/>
      <c r="EK27" s="15"/>
      <c r="EL27" s="15"/>
      <c r="EM27" s="15"/>
      <c r="EP27" s="8" t="str">
        <f t="shared" si="142"/>
        <v/>
      </c>
      <c r="EQ27" s="15"/>
      <c r="ER27" s="15"/>
      <c r="ES27" s="15"/>
      <c r="ET27" s="15"/>
      <c r="EU27" s="15"/>
      <c r="EV27" s="15"/>
      <c r="EW27" s="15"/>
      <c r="EX27" s="15"/>
      <c r="EY27" s="15"/>
      <c r="EZ27" s="15"/>
      <c r="FA27" s="15"/>
      <c r="FB27" s="15"/>
      <c r="FC27" s="15"/>
      <c r="FD27" s="15"/>
      <c r="FE27" s="15"/>
      <c r="FF27" s="15"/>
      <c r="FG27" s="15"/>
      <c r="FH27" s="15"/>
      <c r="FI27" s="15"/>
      <c r="FJ27" s="15"/>
      <c r="FM27" s="8" t="str">
        <f t="shared" si="143"/>
        <v/>
      </c>
      <c r="FN27" s="15"/>
      <c r="FO27" s="15"/>
      <c r="FP27" s="15"/>
      <c r="FQ27" s="15"/>
      <c r="FR27" s="15"/>
      <c r="FS27" s="15"/>
      <c r="FT27" s="15"/>
      <c r="FU27" s="15"/>
      <c r="FV27" s="15"/>
      <c r="FW27" s="15"/>
      <c r="FX27" s="15"/>
      <c r="FY27" s="15"/>
      <c r="FZ27" s="15"/>
      <c r="GA27" s="15"/>
      <c r="GB27" s="15"/>
      <c r="GC27" s="15"/>
      <c r="GD27" s="15"/>
      <c r="GE27" s="15"/>
      <c r="GF27" s="15"/>
      <c r="GG27" s="15"/>
      <c r="GJ27" s="8" t="str">
        <f t="shared" si="144"/>
        <v/>
      </c>
      <c r="GK27" s="15"/>
      <c r="GL27" s="15"/>
      <c r="GM27" s="15"/>
      <c r="GN27" s="15"/>
      <c r="GO27" s="15"/>
      <c r="GP27" s="15"/>
      <c r="GQ27" s="15"/>
      <c r="GR27" s="15"/>
      <c r="GS27" s="15"/>
      <c r="GT27" s="15"/>
      <c r="GU27" s="15"/>
      <c r="GV27" s="15"/>
      <c r="GW27" s="15"/>
      <c r="GX27" s="15"/>
      <c r="GY27" s="15"/>
      <c r="GZ27" s="15"/>
      <c r="HA27" s="15"/>
      <c r="HB27" s="15"/>
      <c r="HC27" s="15"/>
      <c r="HD27" s="15"/>
      <c r="HG27" s="8" t="str">
        <f t="shared" si="145"/>
        <v/>
      </c>
      <c r="HH27" s="15"/>
      <c r="HI27" s="15"/>
      <c r="HJ27" s="15"/>
      <c r="HK27" s="15"/>
      <c r="HL27" s="15"/>
      <c r="HM27" s="15"/>
      <c r="HN27" s="15"/>
      <c r="HO27" s="15"/>
      <c r="HP27" s="15"/>
      <c r="HQ27" s="15"/>
      <c r="HR27" s="15"/>
      <c r="HS27" s="15"/>
      <c r="HT27" s="15"/>
      <c r="HU27" s="15"/>
      <c r="HV27" s="15"/>
      <c r="HW27" s="15"/>
      <c r="HX27" s="15"/>
      <c r="HY27" s="15"/>
      <c r="HZ27" s="15"/>
      <c r="IA27" s="15"/>
      <c r="ID27" s="8" t="str">
        <f t="shared" si="146"/>
        <v/>
      </c>
      <c r="IE27" s="15"/>
      <c r="IF27" s="15"/>
      <c r="IG27" s="15"/>
      <c r="IH27" s="15"/>
      <c r="II27" s="15"/>
      <c r="IJ27" s="15"/>
      <c r="IK27" s="15"/>
      <c r="IL27" s="15"/>
      <c r="IM27" s="15"/>
      <c r="IN27" s="15"/>
      <c r="IO27" s="15"/>
      <c r="IP27" s="15"/>
      <c r="IQ27" s="15"/>
      <c r="IR27" s="15"/>
      <c r="IS27" s="15"/>
      <c r="IT27" s="15"/>
      <c r="IU27" s="15"/>
      <c r="IV27" s="15"/>
      <c r="IW27" s="15"/>
      <c r="IX27" s="15"/>
    </row>
    <row r="28" spans="2:258" x14ac:dyDescent="0.4">
      <c r="B28" s="23"/>
      <c r="C28" s="23"/>
      <c r="D28" s="23"/>
      <c r="F28" s="24"/>
      <c r="G28" s="24"/>
      <c r="I28" s="8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E28" s="8" t="str">
        <f t="shared" si="147"/>
        <v/>
      </c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BB28" s="8" t="str">
        <f t="shared" si="138"/>
        <v/>
      </c>
      <c r="BC28" s="15"/>
      <c r="BD28" s="15"/>
      <c r="BE28" s="15"/>
      <c r="BF28" s="15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Y28" s="8" t="str">
        <f t="shared" si="139"/>
        <v/>
      </c>
      <c r="BZ28" s="15"/>
      <c r="CA28" s="15"/>
      <c r="CB28" s="15"/>
      <c r="CC28" s="15"/>
      <c r="CD28" s="15"/>
      <c r="CE28" s="15"/>
      <c r="CF28" s="15"/>
      <c r="CG28" s="15"/>
      <c r="CH28" s="15"/>
      <c r="CI28" s="15"/>
      <c r="CJ28" s="15"/>
      <c r="CK28" s="15"/>
      <c r="CL28" s="15"/>
      <c r="CM28" s="15"/>
      <c r="CN28" s="15"/>
      <c r="CO28" s="15"/>
      <c r="CP28" s="15"/>
      <c r="CQ28" s="15"/>
      <c r="CR28" s="15"/>
      <c r="CS28" s="15"/>
      <c r="CV28" s="8" t="str">
        <f t="shared" si="140"/>
        <v/>
      </c>
      <c r="CW28" s="15"/>
      <c r="CX28" s="15"/>
      <c r="CY28" s="15"/>
      <c r="CZ28" s="15"/>
      <c r="DA28" s="15"/>
      <c r="DB28" s="15"/>
      <c r="DC28" s="15"/>
      <c r="DD28" s="15"/>
      <c r="DE28" s="15"/>
      <c r="DF28" s="15"/>
      <c r="DG28" s="15"/>
      <c r="DH28" s="15"/>
      <c r="DI28" s="15"/>
      <c r="DJ28" s="15"/>
      <c r="DK28" s="15"/>
      <c r="DL28" s="15"/>
      <c r="DM28" s="15"/>
      <c r="DN28" s="15"/>
      <c r="DO28" s="15"/>
      <c r="DP28" s="15"/>
      <c r="DS28" s="8" t="str">
        <f t="shared" si="141"/>
        <v/>
      </c>
      <c r="DT28" s="15"/>
      <c r="DU28" s="15"/>
      <c r="DV28" s="15"/>
      <c r="DW28" s="15"/>
      <c r="DX28" s="15"/>
      <c r="DY28" s="15"/>
      <c r="DZ28" s="15"/>
      <c r="EA28" s="15"/>
      <c r="EB28" s="15"/>
      <c r="EC28" s="15"/>
      <c r="ED28" s="15"/>
      <c r="EE28" s="15"/>
      <c r="EF28" s="15"/>
      <c r="EG28" s="15"/>
      <c r="EH28" s="15"/>
      <c r="EI28" s="15"/>
      <c r="EJ28" s="15"/>
      <c r="EK28" s="15"/>
      <c r="EL28" s="15"/>
      <c r="EM28" s="15"/>
      <c r="EP28" s="8" t="str">
        <f t="shared" si="142"/>
        <v/>
      </c>
      <c r="EQ28" s="15"/>
      <c r="ER28" s="15"/>
      <c r="ES28" s="15"/>
      <c r="ET28" s="15"/>
      <c r="EU28" s="15"/>
      <c r="EV28" s="15"/>
      <c r="EW28" s="15"/>
      <c r="EX28" s="15"/>
      <c r="EY28" s="15"/>
      <c r="EZ28" s="15"/>
      <c r="FA28" s="15"/>
      <c r="FB28" s="15"/>
      <c r="FC28" s="15"/>
      <c r="FD28" s="15"/>
      <c r="FE28" s="15"/>
      <c r="FF28" s="15"/>
      <c r="FG28" s="15"/>
      <c r="FH28" s="15"/>
      <c r="FI28" s="15"/>
      <c r="FJ28" s="15"/>
      <c r="FM28" s="8" t="str">
        <f t="shared" si="143"/>
        <v/>
      </c>
      <c r="FN28" s="15"/>
      <c r="FO28" s="15"/>
      <c r="FP28" s="15"/>
      <c r="FQ28" s="15"/>
      <c r="FR28" s="15"/>
      <c r="FS28" s="15"/>
      <c r="FT28" s="15"/>
      <c r="FU28" s="15"/>
      <c r="FV28" s="15"/>
      <c r="FW28" s="15"/>
      <c r="FX28" s="15"/>
      <c r="FY28" s="15"/>
      <c r="FZ28" s="15"/>
      <c r="GA28" s="15"/>
      <c r="GB28" s="15"/>
      <c r="GC28" s="15"/>
      <c r="GD28" s="15"/>
      <c r="GE28" s="15"/>
      <c r="GF28" s="15"/>
      <c r="GG28" s="15"/>
      <c r="GJ28" s="8" t="str">
        <f t="shared" si="144"/>
        <v/>
      </c>
      <c r="GK28" s="15"/>
      <c r="GL28" s="15"/>
      <c r="GM28" s="15"/>
      <c r="GN28" s="15"/>
      <c r="GO28" s="15"/>
      <c r="GP28" s="15"/>
      <c r="GQ28" s="15"/>
      <c r="GR28" s="15"/>
      <c r="GS28" s="15"/>
      <c r="GT28" s="15"/>
      <c r="GU28" s="15"/>
      <c r="GV28" s="15"/>
      <c r="GW28" s="15"/>
      <c r="GX28" s="15"/>
      <c r="GY28" s="15"/>
      <c r="GZ28" s="15"/>
      <c r="HA28" s="15"/>
      <c r="HB28" s="15"/>
      <c r="HC28" s="15"/>
      <c r="HD28" s="15"/>
      <c r="HG28" s="8" t="str">
        <f t="shared" si="145"/>
        <v/>
      </c>
      <c r="HH28" s="15"/>
      <c r="HI28" s="15"/>
      <c r="HJ28" s="15"/>
      <c r="HK28" s="15"/>
      <c r="HL28" s="15"/>
      <c r="HM28" s="15"/>
      <c r="HN28" s="15"/>
      <c r="HO28" s="15"/>
      <c r="HP28" s="15"/>
      <c r="HQ28" s="15"/>
      <c r="HR28" s="15"/>
      <c r="HS28" s="15"/>
      <c r="HT28" s="15"/>
      <c r="HU28" s="15"/>
      <c r="HV28" s="15"/>
      <c r="HW28" s="15"/>
      <c r="HX28" s="15"/>
      <c r="HY28" s="15"/>
      <c r="HZ28" s="15"/>
      <c r="IA28" s="15"/>
      <c r="ID28" s="8" t="str">
        <f t="shared" si="146"/>
        <v/>
      </c>
      <c r="IE28" s="15"/>
      <c r="IF28" s="15"/>
      <c r="IG28" s="15"/>
      <c r="IH28" s="15"/>
      <c r="II28" s="15"/>
      <c r="IJ28" s="15"/>
      <c r="IK28" s="15"/>
      <c r="IL28" s="15"/>
      <c r="IM28" s="15"/>
      <c r="IN28" s="15"/>
      <c r="IO28" s="15"/>
      <c r="IP28" s="15"/>
      <c r="IQ28" s="15"/>
      <c r="IR28" s="15"/>
      <c r="IS28" s="15"/>
      <c r="IT28" s="15"/>
      <c r="IU28" s="15"/>
      <c r="IV28" s="15"/>
      <c r="IW28" s="15"/>
      <c r="IX28" s="15"/>
    </row>
    <row r="29" spans="2:258" x14ac:dyDescent="0.4">
      <c r="B29" s="23"/>
      <c r="C29" s="23"/>
      <c r="D29" s="23"/>
      <c r="F29" s="24"/>
      <c r="G29" s="24"/>
      <c r="I29" s="8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E29" s="8" t="str">
        <f t="shared" si="147"/>
        <v/>
      </c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BB29" s="8" t="str">
        <f t="shared" si="138"/>
        <v/>
      </c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Y29" s="8" t="str">
        <f t="shared" si="139"/>
        <v/>
      </c>
      <c r="BZ29" s="15"/>
      <c r="CA29" s="15"/>
      <c r="CB29" s="15"/>
      <c r="CC29" s="15"/>
      <c r="CD29" s="15"/>
      <c r="CE29" s="15"/>
      <c r="CF29" s="15"/>
      <c r="CG29" s="15"/>
      <c r="CH29" s="15"/>
      <c r="CI29" s="15"/>
      <c r="CJ29" s="15"/>
      <c r="CK29" s="15"/>
      <c r="CL29" s="15"/>
      <c r="CM29" s="15"/>
      <c r="CN29" s="15"/>
      <c r="CO29" s="15"/>
      <c r="CP29" s="15"/>
      <c r="CQ29" s="15"/>
      <c r="CR29" s="15"/>
      <c r="CS29" s="15"/>
      <c r="CV29" s="8" t="str">
        <f t="shared" si="140"/>
        <v/>
      </c>
      <c r="CW29" s="15"/>
      <c r="CX29" s="15"/>
      <c r="CY29" s="15"/>
      <c r="CZ29" s="15"/>
      <c r="DA29" s="15"/>
      <c r="DB29" s="15"/>
      <c r="DC29" s="15"/>
      <c r="DD29" s="15"/>
      <c r="DE29" s="15"/>
      <c r="DF29" s="15"/>
      <c r="DG29" s="15"/>
      <c r="DH29" s="15"/>
      <c r="DI29" s="15"/>
      <c r="DJ29" s="15"/>
      <c r="DK29" s="15"/>
      <c r="DL29" s="15"/>
      <c r="DM29" s="15"/>
      <c r="DN29" s="15"/>
      <c r="DO29" s="15"/>
      <c r="DP29" s="15"/>
      <c r="DS29" s="8" t="str">
        <f t="shared" si="141"/>
        <v/>
      </c>
      <c r="DT29" s="15"/>
      <c r="DU29" s="15"/>
      <c r="DV29" s="15"/>
      <c r="DW29" s="15"/>
      <c r="DX29" s="15"/>
      <c r="DY29" s="15"/>
      <c r="DZ29" s="15"/>
      <c r="EA29" s="15"/>
      <c r="EB29" s="15"/>
      <c r="EC29" s="15"/>
      <c r="ED29" s="15"/>
      <c r="EE29" s="15"/>
      <c r="EF29" s="15"/>
      <c r="EG29" s="15"/>
      <c r="EH29" s="15"/>
      <c r="EI29" s="15"/>
      <c r="EJ29" s="15"/>
      <c r="EK29" s="15"/>
      <c r="EL29" s="15"/>
      <c r="EM29" s="15"/>
      <c r="EP29" s="8" t="str">
        <f t="shared" si="142"/>
        <v/>
      </c>
      <c r="EQ29" s="15"/>
      <c r="ER29" s="15"/>
      <c r="ES29" s="15"/>
      <c r="ET29" s="15"/>
      <c r="EU29" s="15"/>
      <c r="EV29" s="15"/>
      <c r="EW29" s="15"/>
      <c r="EX29" s="15"/>
      <c r="EY29" s="15"/>
      <c r="EZ29" s="15"/>
      <c r="FA29" s="15"/>
      <c r="FB29" s="15"/>
      <c r="FC29" s="15"/>
      <c r="FD29" s="15"/>
      <c r="FE29" s="15"/>
      <c r="FF29" s="15"/>
      <c r="FG29" s="15"/>
      <c r="FH29" s="15"/>
      <c r="FI29" s="15"/>
      <c r="FJ29" s="15"/>
      <c r="FM29" s="8" t="str">
        <f t="shared" si="143"/>
        <v/>
      </c>
      <c r="FN29" s="15"/>
      <c r="FO29" s="15"/>
      <c r="FP29" s="15"/>
      <c r="FQ29" s="15"/>
      <c r="FR29" s="15"/>
      <c r="FS29" s="15"/>
      <c r="FT29" s="15"/>
      <c r="FU29" s="15"/>
      <c r="FV29" s="15"/>
      <c r="FW29" s="15"/>
      <c r="FX29" s="15"/>
      <c r="FY29" s="15"/>
      <c r="FZ29" s="15"/>
      <c r="GA29" s="15"/>
      <c r="GB29" s="15"/>
      <c r="GC29" s="15"/>
      <c r="GD29" s="15"/>
      <c r="GE29" s="15"/>
      <c r="GF29" s="15"/>
      <c r="GG29" s="15"/>
      <c r="GJ29" s="8" t="str">
        <f t="shared" si="144"/>
        <v/>
      </c>
      <c r="GK29" s="15"/>
      <c r="GL29" s="15"/>
      <c r="GM29" s="15"/>
      <c r="GN29" s="15"/>
      <c r="GO29" s="15"/>
      <c r="GP29" s="15"/>
      <c r="GQ29" s="15"/>
      <c r="GR29" s="15"/>
      <c r="GS29" s="15"/>
      <c r="GT29" s="15"/>
      <c r="GU29" s="15"/>
      <c r="GV29" s="15"/>
      <c r="GW29" s="15"/>
      <c r="GX29" s="15"/>
      <c r="GY29" s="15"/>
      <c r="GZ29" s="15"/>
      <c r="HA29" s="15"/>
      <c r="HB29" s="15"/>
      <c r="HC29" s="15"/>
      <c r="HD29" s="15"/>
      <c r="HG29" s="8" t="str">
        <f t="shared" si="145"/>
        <v/>
      </c>
      <c r="HH29" s="15"/>
      <c r="HI29" s="15"/>
      <c r="HJ29" s="15"/>
      <c r="HK29" s="15"/>
      <c r="HL29" s="15"/>
      <c r="HM29" s="15"/>
      <c r="HN29" s="15"/>
      <c r="HO29" s="15"/>
      <c r="HP29" s="15"/>
      <c r="HQ29" s="15"/>
      <c r="HR29" s="15"/>
      <c r="HS29" s="15"/>
      <c r="HT29" s="15"/>
      <c r="HU29" s="15"/>
      <c r="HV29" s="15"/>
      <c r="HW29" s="15"/>
      <c r="HX29" s="15"/>
      <c r="HY29" s="15"/>
      <c r="HZ29" s="15"/>
      <c r="IA29" s="15"/>
      <c r="ID29" s="8" t="str">
        <f t="shared" si="146"/>
        <v/>
      </c>
      <c r="IE29" s="15"/>
      <c r="IF29" s="15"/>
      <c r="IG29" s="15"/>
      <c r="IH29" s="15"/>
      <c r="II29" s="15"/>
      <c r="IJ29" s="15"/>
      <c r="IK29" s="15"/>
      <c r="IL29" s="15"/>
      <c r="IM29" s="15"/>
      <c r="IN29" s="15"/>
      <c r="IO29" s="15"/>
      <c r="IP29" s="15"/>
      <c r="IQ29" s="15"/>
      <c r="IR29" s="15"/>
      <c r="IS29" s="15"/>
      <c r="IT29" s="15"/>
      <c r="IU29" s="15"/>
      <c r="IV29" s="15"/>
      <c r="IW29" s="15"/>
      <c r="IX29" s="15"/>
    </row>
    <row r="31" spans="2:258" x14ac:dyDescent="0.4">
      <c r="B31" s="17" t="s">
        <v>65</v>
      </c>
      <c r="C31" s="17"/>
      <c r="D31" s="8">
        <v>50</v>
      </c>
    </row>
    <row r="33" spans="1:52" x14ac:dyDescent="0.4">
      <c r="C33" s="22" t="s">
        <v>49</v>
      </c>
      <c r="D33" s="22"/>
      <c r="E33" s="22"/>
      <c r="F33" s="22"/>
      <c r="G33" s="22"/>
      <c r="H33" s="22"/>
      <c r="I33" s="22"/>
      <c r="J33" s="22"/>
      <c r="K33" s="22"/>
      <c r="L33" s="22"/>
    </row>
    <row r="34" spans="1:52" s="21" customFormat="1" x14ac:dyDescent="0.4">
      <c r="A34" s="7"/>
      <c r="B34" s="7"/>
      <c r="C34" s="21" t="s">
        <v>66</v>
      </c>
      <c r="D34" s="21" t="s">
        <v>70</v>
      </c>
      <c r="E34" s="21" t="s">
        <v>74</v>
      </c>
      <c r="F34" s="21" t="s">
        <v>78</v>
      </c>
      <c r="G34" s="21" t="s">
        <v>82</v>
      </c>
      <c r="H34" s="21" t="s">
        <v>86</v>
      </c>
      <c r="I34" s="21" t="s">
        <v>90</v>
      </c>
      <c r="J34" s="21" t="s">
        <v>94</v>
      </c>
      <c r="K34" s="21" t="s">
        <v>98</v>
      </c>
      <c r="L34" s="21" t="s">
        <v>101</v>
      </c>
      <c r="M34" s="21" t="s">
        <v>266</v>
      </c>
      <c r="N34" s="21" t="s">
        <v>268</v>
      </c>
      <c r="O34" s="21" t="s">
        <v>113</v>
      </c>
      <c r="P34" s="21" t="s">
        <v>117</v>
      </c>
      <c r="Q34" s="21" t="s">
        <v>121</v>
      </c>
      <c r="R34" s="21" t="s">
        <v>125</v>
      </c>
      <c r="S34" s="21" t="s">
        <v>129</v>
      </c>
      <c r="T34" s="21" t="s">
        <v>133</v>
      </c>
      <c r="U34" s="21" t="s">
        <v>137</v>
      </c>
      <c r="V34" s="21" t="s">
        <v>141</v>
      </c>
      <c r="W34" s="21" t="s">
        <v>145</v>
      </c>
      <c r="X34" s="21" t="s">
        <v>149</v>
      </c>
      <c r="Y34" s="21" t="s">
        <v>153</v>
      </c>
      <c r="Z34" s="21" t="s">
        <v>157</v>
      </c>
      <c r="AA34" s="21" t="s">
        <v>161</v>
      </c>
      <c r="AB34" s="21" t="s">
        <v>165</v>
      </c>
      <c r="AC34" s="21" t="s">
        <v>169</v>
      </c>
      <c r="AD34" s="21" t="s">
        <v>173</v>
      </c>
      <c r="AE34" s="21" t="s">
        <v>177</v>
      </c>
      <c r="AF34" s="21" t="s">
        <v>181</v>
      </c>
      <c r="AG34" s="21" t="s">
        <v>185</v>
      </c>
      <c r="AH34" s="21" t="s">
        <v>189</v>
      </c>
      <c r="AI34" s="21" t="s">
        <v>193</v>
      </c>
      <c r="AJ34" s="21" t="s">
        <v>197</v>
      </c>
      <c r="AK34" s="21" t="s">
        <v>201</v>
      </c>
      <c r="AL34" s="21" t="s">
        <v>205</v>
      </c>
      <c r="AM34" s="21" t="s">
        <v>209</v>
      </c>
      <c r="AN34" s="21" t="s">
        <v>213</v>
      </c>
      <c r="AO34" s="21" t="s">
        <v>217</v>
      </c>
      <c r="AP34" s="21" t="s">
        <v>221</v>
      </c>
      <c r="AQ34" s="21" t="s">
        <v>225</v>
      </c>
      <c r="AR34" s="21" t="s">
        <v>229</v>
      </c>
      <c r="AS34" s="21" t="s">
        <v>233</v>
      </c>
      <c r="AT34" s="21" t="s">
        <v>237</v>
      </c>
      <c r="AU34" s="21" t="s">
        <v>241</v>
      </c>
      <c r="AV34" s="21" t="s">
        <v>245</v>
      </c>
      <c r="AW34" s="21" t="s">
        <v>249</v>
      </c>
      <c r="AX34" s="21" t="s">
        <v>253</v>
      </c>
      <c r="AY34" s="21" t="s">
        <v>257</v>
      </c>
      <c r="AZ34" s="21" t="s">
        <v>261</v>
      </c>
    </row>
    <row r="35" spans="1:52" s="19" customFormat="1" x14ac:dyDescent="0.4">
      <c r="A35" s="7"/>
      <c r="B35" s="21">
        <f>IF(B9&gt;0,B9,"")</f>
        <v>1</v>
      </c>
      <c r="C35" s="19">
        <v>0.03</v>
      </c>
      <c r="D35" s="19">
        <v>0.10595801182934178</v>
      </c>
      <c r="E35" s="19">
        <v>0.22447075779085521</v>
      </c>
      <c r="F35" s="19">
        <v>0.38672620243362921</v>
      </c>
      <c r="G35" s="19">
        <v>0.59261674828646238</v>
      </c>
      <c r="H35" s="19">
        <v>0.84031732171436746</v>
      </c>
      <c r="I35" s="19">
        <v>1.1265878814164816</v>
      </c>
      <c r="J35" s="19">
        <v>1.4472732368369208</v>
      </c>
      <c r="K35" s="19">
        <v>1.7978047372408688</v>
      </c>
      <c r="L35" s="19">
        <v>2.1736029363015468</v>
      </c>
      <c r="M35" s="19">
        <v>2.5479630383213179</v>
      </c>
      <c r="N35" s="19">
        <v>2.9208905465812163</v>
      </c>
      <c r="O35" s="19">
        <v>3.2923909433024239</v>
      </c>
      <c r="P35" s="19">
        <v>3.6624696897268678</v>
      </c>
      <c r="Q35" s="19">
        <v>4.0311322261975038</v>
      </c>
      <c r="R35" s="19">
        <v>4.3983839722382907</v>
      </c>
      <c r="S35" s="19">
        <v>4.7642303266338635</v>
      </c>
      <c r="T35" s="19">
        <v>5.1286766675088939</v>
      </c>
      <c r="U35" s="19">
        <v>5.4917283524071552</v>
      </c>
      <c r="V35" s="19">
        <v>5.853390718370278</v>
      </c>
      <c r="W35" s="19">
        <v>6.2136690820162093</v>
      </c>
      <c r="X35" s="19">
        <v>6.5725687396173686</v>
      </c>
      <c r="Y35" s="19">
        <v>6.9300949671785057</v>
      </c>
      <c r="Z35" s="19">
        <v>7.2862530205142608</v>
      </c>
      <c r="AA35" s="19">
        <v>7.6410481353264279</v>
      </c>
      <c r="AB35" s="19">
        <v>7.9944855272809212</v>
      </c>
      <c r="AC35" s="19">
        <v>8.3465703920844501</v>
      </c>
      <c r="AD35" s="19">
        <v>8.6973079055608959</v>
      </c>
      <c r="AE35" s="19">
        <v>9.0467032237274037</v>
      </c>
      <c r="AF35" s="19">
        <v>9.3947614828701695</v>
      </c>
      <c r="AG35" s="19">
        <v>9.7414877996199571</v>
      </c>
      <c r="AH35" s="19">
        <v>10.086887271027308</v>
      </c>
      <c r="AI35" s="19">
        <v>10.430964974637471</v>
      </c>
      <c r="AJ35" s="19">
        <v>10.773725968565049</v>
      </c>
      <c r="AK35" s="19">
        <v>11.115175291568351</v>
      </c>
      <c r="AL35" s="19">
        <v>11.455317963123466</v>
      </c>
      <c r="AM35" s="19">
        <v>11.794158983498056</v>
      </c>
      <c r="AN35" s="19">
        <v>12.131703333824852</v>
      </c>
      <c r="AO35" s="19">
        <v>12.467955976174892</v>
      </c>
      <c r="AP35" s="19">
        <v>12.802921853630457</v>
      </c>
      <c r="AQ35" s="19">
        <v>13.136605890357739</v>
      </c>
      <c r="AR35" s="19">
        <v>13.46901299167923</v>
      </c>
      <c r="AS35" s="19">
        <v>13.800148044145832</v>
      </c>
      <c r="AT35" s="19">
        <v>14.130015915608691</v>
      </c>
      <c r="AU35" s="19">
        <v>14.458621455290759</v>
      </c>
      <c r="AV35" s="19">
        <v>14.785969493858076</v>
      </c>
      <c r="AW35" s="19">
        <v>15.112064843490787</v>
      </c>
      <c r="AX35" s="19">
        <v>15.436912297953882</v>
      </c>
      <c r="AY35" s="19">
        <v>15.760516632667668</v>
      </c>
      <c r="AZ35" s="19">
        <v>16.082882604777968</v>
      </c>
    </row>
    <row r="36" spans="1:52" s="19" customFormat="1" x14ac:dyDescent="0.4">
      <c r="A36" s="7"/>
      <c r="B36" s="21">
        <f t="shared" ref="B36:B49" si="148">IF(B10&gt;0,B10,"")</f>
        <v>2</v>
      </c>
      <c r="C36" s="19">
        <v>5.0237443E-2</v>
      </c>
      <c r="D36" s="19">
        <v>0.17878550877768271</v>
      </c>
      <c r="E36" s="19">
        <v>0.35847570165059384</v>
      </c>
      <c r="F36" s="19">
        <v>0.58514874712948894</v>
      </c>
      <c r="G36" s="19">
        <v>0.85557480893657145</v>
      </c>
      <c r="H36" s="19">
        <v>1.1651874415329062</v>
      </c>
      <c r="I36" s="19">
        <v>1.5085750864227816</v>
      </c>
      <c r="J36" s="19">
        <v>1.8801991498965327</v>
      </c>
      <c r="K36" s="19">
        <v>2.2748796616429949</v>
      </c>
      <c r="L36" s="19">
        <v>2.6880350117696081</v>
      </c>
      <c r="M36" s="19">
        <v>3.0994436529359715</v>
      </c>
      <c r="N36" s="19">
        <v>3.5091129697546251</v>
      </c>
      <c r="O36" s="19">
        <v>3.9170503156180083</v>
      </c>
      <c r="P36" s="19">
        <v>4.3232630128303962</v>
      </c>
      <c r="Q36" s="19">
        <v>4.7277583527393441</v>
      </c>
      <c r="R36" s="19">
        <v>5.1305435958665626</v>
      </c>
      <c r="S36" s="19">
        <v>5.5316259720382446</v>
      </c>
      <c r="T36" s="19">
        <v>5.9310126805148338</v>
      </c>
      <c r="U36" s="19">
        <v>6.3287108901202496</v>
      </c>
      <c r="V36" s="19">
        <v>6.7247277393705662</v>
      </c>
      <c r="W36" s="19">
        <v>7.1190703366021433</v>
      </c>
      <c r="X36" s="19">
        <v>7.5117457600992195</v>
      </c>
      <c r="Y36" s="19">
        <v>7.902761058220964</v>
      </c>
      <c r="Z36" s="19">
        <v>8.2921232495279913</v>
      </c>
      <c r="AA36" s="19">
        <v>8.679839322908343</v>
      </c>
      <c r="AB36" s="19">
        <v>9.0659162377029325</v>
      </c>
      <c r="AC36" s="19">
        <v>9.4503609238304662</v>
      </c>
      <c r="AD36" s="19">
        <v>9.8331802819118295</v>
      </c>
      <c r="AE36" s="19">
        <v>10.21438118339395</v>
      </c>
      <c r="AF36" s="19">
        <v>10.59397047067314</v>
      </c>
      <c r="AG36" s="19">
        <v>10.971954957217912</v>
      </c>
      <c r="AH36" s="19">
        <v>11.348341427691278</v>
      </c>
      <c r="AI36" s="19">
        <v>11.72313663807253</v>
      </c>
      <c r="AJ36" s="19">
        <v>12.096347315778512</v>
      </c>
      <c r="AK36" s="19">
        <v>12.46798015978437</v>
      </c>
      <c r="AL36" s="19">
        <v>12.838041840743795</v>
      </c>
      <c r="AM36" s="19">
        <v>13.206539001108762</v>
      </c>
      <c r="AN36" s="19">
        <v>13.573478255248757</v>
      </c>
      <c r="AO36" s="19">
        <v>13.938866189569502</v>
      </c>
      <c r="AP36" s="19">
        <v>14.302709362631182</v>
      </c>
      <c r="AQ36" s="19">
        <v>14.66501430526616</v>
      </c>
      <c r="AR36" s="19">
        <v>15.025787520696213</v>
      </c>
      <c r="AS36" s="19">
        <v>15.385035484649253</v>
      </c>
      <c r="AT36" s="19">
        <v>15.742764645475569</v>
      </c>
      <c r="AU36" s="19">
        <v>16.098981424263574</v>
      </c>
      <c r="AV36" s="19">
        <v>16.453692214955051</v>
      </c>
      <c r="AW36" s="19">
        <v>16.806903384459936</v>
      </c>
      <c r="AX36" s="19">
        <v>17.158621272770585</v>
      </c>
      <c r="AY36" s="19">
        <v>17.50885219307559</v>
      </c>
      <c r="AZ36" s="19">
        <v>17.85760243187309</v>
      </c>
    </row>
    <row r="37" spans="1:52" s="19" customFormat="1" x14ac:dyDescent="0.4">
      <c r="A37" s="7"/>
      <c r="B37" s="21">
        <f t="shared" si="148"/>
        <v>3</v>
      </c>
      <c r="C37" s="19">
        <v>9.9946122999999998E-2</v>
      </c>
      <c r="D37" s="19">
        <v>0.35535194767666323</v>
      </c>
      <c r="E37" s="19">
        <v>0.6723945168044223</v>
      </c>
      <c r="F37" s="19">
        <v>1.0387032277761461</v>
      </c>
      <c r="G37" s="19">
        <v>1.4445254738348292</v>
      </c>
      <c r="H37" s="19">
        <v>1.8794605255395203</v>
      </c>
      <c r="I37" s="19">
        <v>2.3343486828731939</v>
      </c>
      <c r="J37" s="19">
        <v>2.802086239898498</v>
      </c>
      <c r="K37" s="19">
        <v>3.2775648418569641</v>
      </c>
      <c r="L37" s="19">
        <v>3.7572777377667737</v>
      </c>
      <c r="M37" s="19">
        <v>4.2346114084004078</v>
      </c>
      <c r="N37" s="19">
        <v>4.7095776539678651</v>
      </c>
      <c r="O37" s="19">
        <v>5.1821882161538193</v>
      </c>
      <c r="P37" s="19">
        <v>5.6524547784078738</v>
      </c>
      <c r="Q37" s="19">
        <v>6.1203889662333939</v>
      </c>
      <c r="R37" s="19">
        <v>6.5860023474748992</v>
      </c>
      <c r="S37" s="19">
        <v>7.049306432604034</v>
      </c>
      <c r="T37" s="19">
        <v>7.5103126750041183</v>
      </c>
      <c r="U37" s="19">
        <v>7.9690324712532901</v>
      </c>
      <c r="V37" s="19">
        <v>8.4254771614062385</v>
      </c>
      <c r="W37" s="19">
        <v>8.8796580292745446</v>
      </c>
      <c r="X37" s="19">
        <v>9.3315863027056274</v>
      </c>
      <c r="Y37" s="19">
        <v>9.7812731538603099</v>
      </c>
      <c r="Z37" s="19">
        <v>10.228729699489007</v>
      </c>
      <c r="AA37" s="19">
        <v>10.673967001206542</v>
      </c>
      <c r="AB37" s="19">
        <v>11.116996065765607</v>
      </c>
      <c r="AC37" s="19">
        <v>11.557827845328855</v>
      </c>
      <c r="AD37" s="19">
        <v>11.996473237739654</v>
      </c>
      <c r="AE37" s="19">
        <v>12.432943086791491</v>
      </c>
      <c r="AF37" s="19">
        <v>12.867248182496045</v>
      </c>
      <c r="AG37" s="19">
        <v>13.299399261349926</v>
      </c>
      <c r="AH37" s="19">
        <v>13.729407006600093</v>
      </c>
      <c r="AI37" s="19">
        <v>14.157282048507955</v>
      </c>
      <c r="AJ37" s="19">
        <v>14.583034964612166</v>
      </c>
      <c r="AK37" s="19">
        <v>15.006676279990106</v>
      </c>
      <c r="AL37" s="19">
        <v>15.428216467518086</v>
      </c>
      <c r="AM37" s="19">
        <v>15.84766594813023</v>
      </c>
      <c r="AN37" s="19">
        <v>16.265035091076111</v>
      </c>
      <c r="AO37" s="19">
        <v>16.680334214177076</v>
      </c>
      <c r="AP37" s="19">
        <v>17.093573584081319</v>
      </c>
      <c r="AQ37" s="19">
        <v>17.504763416517687</v>
      </c>
      <c r="AR37" s="19">
        <v>17.913913876548222</v>
      </c>
      <c r="AS37" s="19">
        <v>18.321035078819445</v>
      </c>
      <c r="AT37" s="19">
        <v>18.726137087812411</v>
      </c>
      <c r="AU37" s="19">
        <v>19.129229918091514</v>
      </c>
      <c r="AV37" s="19">
        <v>19.53032353455205</v>
      </c>
      <c r="AW37" s="19">
        <v>19.929427852666564</v>
      </c>
      <c r="AX37" s="19">
        <v>20.326552738729973</v>
      </c>
      <c r="AY37" s="19">
        <v>20.721708010103473</v>
      </c>
      <c r="AZ37" s="19">
        <v>21.114903435457229</v>
      </c>
    </row>
    <row r="38" spans="1:52" s="19" customFormat="1" x14ac:dyDescent="0.4">
      <c r="A38" s="7"/>
      <c r="B38" s="21">
        <f t="shared" si="148"/>
        <v>4</v>
      </c>
      <c r="C38" s="19">
        <v>0.23156236799999999</v>
      </c>
      <c r="D38" s="19">
        <v>0.77708777771263005</v>
      </c>
      <c r="E38" s="19">
        <v>1.4556911686036011</v>
      </c>
      <c r="F38" s="19">
        <v>2.1953121869424339</v>
      </c>
      <c r="G38" s="19">
        <v>2.9496099523577537</v>
      </c>
      <c r="H38" s="19">
        <v>3.6905437100654761</v>
      </c>
      <c r="I38" s="19">
        <v>4.4038451272855852</v>
      </c>
      <c r="J38" s="19">
        <v>5.0841894585390222</v>
      </c>
      <c r="K38" s="19">
        <v>5.7313691932899014</v>
      </c>
      <c r="L38" s="19">
        <v>6.3477571076481505</v>
      </c>
      <c r="M38" s="19">
        <v>6.9601146880796696</v>
      </c>
      <c r="N38" s="19">
        <v>7.5684682874560467</v>
      </c>
      <c r="O38" s="19">
        <v>8.1728440863371485</v>
      </c>
      <c r="P38" s="19">
        <v>8.7732680940977783</v>
      </c>
      <c r="Q38" s="19">
        <v>9.3697661500470044</v>
      </c>
      <c r="R38" s="19">
        <v>9.9623639245401527</v>
      </c>
      <c r="S38" s="19">
        <v>10.551086920083534</v>
      </c>
      <c r="T38" s="19">
        <v>11.135960472431949</v>
      </c>
      <c r="U38" s="19">
        <v>11.717009751679011</v>
      </c>
      <c r="V38" s="19">
        <v>12.294259763340351</v>
      </c>
      <c r="W38" s="19">
        <v>12.867735349429722</v>
      </c>
      <c r="X38" s="19">
        <v>13.437461189528088</v>
      </c>
      <c r="Y38" s="19">
        <v>14.003461801845706</v>
      </c>
      <c r="Z38" s="19">
        <v>14.565761544277272</v>
      </c>
      <c r="AA38" s="19">
        <v>15.124384615450165</v>
      </c>
      <c r="AB38" s="19">
        <v>15.679355055765836</v>
      </c>
      <c r="AC38" s="19">
        <v>16.23069674843439</v>
      </c>
      <c r="AD38" s="19">
        <v>16.778433420502406</v>
      </c>
      <c r="AE38" s="19">
        <v>17.322588643874028</v>
      </c>
      <c r="AF38" s="19">
        <v>17.863185836325385</v>
      </c>
      <c r="AG38" s="19">
        <v>18.400248262512385</v>
      </c>
      <c r="AH38" s="19">
        <v>18.933799034971894</v>
      </c>
      <c r="AI38" s="19">
        <v>19.463861115116408</v>
      </c>
      <c r="AJ38" s="19">
        <v>19.990457314222187</v>
      </c>
      <c r="AK38" s="19">
        <v>20.513610294410938</v>
      </c>
      <c r="AL38" s="19">
        <v>21.033342569625095</v>
      </c>
      <c r="AM38" s="19">
        <v>21.549676506596693</v>
      </c>
      <c r="AN38" s="19">
        <v>22.062634325809938</v>
      </c>
      <c r="AO38" s="19">
        <v>22.572238102457455</v>
      </c>
      <c r="AP38" s="19">
        <v>23.078509767390301</v>
      </c>
      <c r="AQ38" s="19">
        <v>23.581471108061766</v>
      </c>
      <c r="AR38" s="19">
        <v>24.081143769464994</v>
      </c>
      <c r="AS38" s="19">
        <v>24.577549255064472</v>
      </c>
      <c r="AT38" s="19">
        <v>25.070708927721448</v>
      </c>
      <c r="AU38" s="19">
        <v>25.560644010613267</v>
      </c>
      <c r="AV38" s="19">
        <v>26.047375588146725</v>
      </c>
      <c r="AW38" s="19">
        <v>26.530924606865433</v>
      </c>
      <c r="AX38" s="19">
        <v>27.011311876351261</v>
      </c>
      <c r="AY38" s="19">
        <v>27.488558070119865</v>
      </c>
      <c r="AZ38" s="19">
        <v>27.962683726510395</v>
      </c>
    </row>
    <row r="39" spans="1:52" s="19" customFormat="1" x14ac:dyDescent="0.4">
      <c r="A39" s="7"/>
      <c r="B39" s="21">
        <f t="shared" si="148"/>
        <v>5</v>
      </c>
      <c r="C39" s="19">
        <v>0.53511781400000002</v>
      </c>
      <c r="D39" s="19">
        <v>1.8305162628499732</v>
      </c>
      <c r="E39" s="19">
        <v>3.3342750891906916</v>
      </c>
      <c r="F39" s="19">
        <v>4.8435450988783204</v>
      </c>
      <c r="G39" s="19">
        <v>6.2564058339299171</v>
      </c>
      <c r="H39" s="19">
        <v>7.5346467754668849</v>
      </c>
      <c r="I39" s="19">
        <v>8.6749030943762939</v>
      </c>
      <c r="J39" s="19">
        <v>9.6893418620125864</v>
      </c>
      <c r="K39" s="19">
        <v>10.595287332664199</v>
      </c>
      <c r="L39" s="19">
        <v>11.410372941854389</v>
      </c>
      <c r="M39" s="19">
        <v>12.218027571955357</v>
      </c>
      <c r="N39" s="19">
        <v>13.018318969777505</v>
      </c>
      <c r="O39" s="19">
        <v>13.811314264496557</v>
      </c>
      <c r="P39" s="19">
        <v>14.59707997328443</v>
      </c>
      <c r="Q39" s="19">
        <v>15.375682006888743</v>
      </c>
      <c r="R39" s="19">
        <v>16.147185675161484</v>
      </c>
      <c r="S39" s="19">
        <v>16.911655692537249</v>
      </c>
      <c r="T39" s="19">
        <v>17.669156183461549</v>
      </c>
      <c r="U39" s="19">
        <v>18.419750687769639</v>
      </c>
      <c r="V39" s="19">
        <v>19.163502166016283</v>
      </c>
      <c r="W39" s="19">
        <v>19.900473004756947</v>
      </c>
      <c r="X39" s="19">
        <v>20.630725021780847</v>
      </c>
      <c r="Y39" s="19">
        <v>21.354319471296275</v>
      </c>
      <c r="Z39" s="19">
        <v>22.071317049068661</v>
      </c>
      <c r="AA39" s="19">
        <v>22.781777897511788</v>
      </c>
      <c r="AB39" s="19">
        <v>23.485761610732595</v>
      </c>
      <c r="AC39" s="19">
        <v>24.183327239529984</v>
      </c>
      <c r="AD39" s="19">
        <v>24.874533296348051</v>
      </c>
      <c r="AE39" s="19">
        <v>25.559437760184171</v>
      </c>
      <c r="AF39" s="19">
        <v>26.238098081452321</v>
      </c>
      <c r="AG39" s="19">
        <v>26.910571186802088</v>
      </c>
      <c r="AH39" s="19">
        <v>27.576913483893708</v>
      </c>
      <c r="AI39" s="19">
        <v>28.237180866129609</v>
      </c>
      <c r="AJ39" s="19">
        <v>28.891428717342794</v>
      </c>
      <c r="AK39" s="19">
        <v>29.539711916442485</v>
      </c>
      <c r="AL39" s="19">
        <v>30.182084842017421</v>
      </c>
      <c r="AM39" s="19">
        <v>30.818601376897185</v>
      </c>
      <c r="AN39" s="19">
        <v>31.449314912671941</v>
      </c>
      <c r="AO39" s="19">
        <v>32.074278354170971</v>
      </c>
      <c r="AP39" s="19">
        <v>32.693544123900381</v>
      </c>
      <c r="AQ39" s="19">
        <v>33.307164166440344</v>
      </c>
      <c r="AR39" s="19">
        <v>33.915189952802265</v>
      </c>
      <c r="AS39" s="19">
        <v>34.517672484746221</v>
      </c>
      <c r="AT39" s="19">
        <v>35.114662299059027</v>
      </c>
      <c r="AU39" s="19">
        <v>35.706209471793308</v>
      </c>
      <c r="AV39" s="19">
        <v>36.292363622467924</v>
      </c>
      <c r="AW39" s="19">
        <v>36.873173918230108</v>
      </c>
      <c r="AX39" s="19">
        <v>37.448689077979644</v>
      </c>
      <c r="AY39" s="19">
        <v>38.018957376455454</v>
      </c>
      <c r="AZ39" s="19">
        <v>38.584026648284933</v>
      </c>
    </row>
    <row r="40" spans="1:52" s="19" customFormat="1" x14ac:dyDescent="0.4">
      <c r="A40" s="7"/>
      <c r="B40" s="21">
        <f t="shared" si="148"/>
        <v>6</v>
      </c>
      <c r="C40" s="19">
        <v>1.5252171880000001</v>
      </c>
      <c r="D40" s="19">
        <v>4.4511549180391716</v>
      </c>
      <c r="E40" s="19">
        <v>7.5025068985230847</v>
      </c>
      <c r="F40" s="19">
        <v>10.186794036451779</v>
      </c>
      <c r="G40" s="19">
        <v>12.425898473371749</v>
      </c>
      <c r="H40" s="19">
        <v>14.274117188608603</v>
      </c>
      <c r="I40" s="19">
        <v>15.808343486118677</v>
      </c>
      <c r="J40" s="19">
        <v>17.09692207251425</v>
      </c>
      <c r="K40" s="19">
        <v>18.194320961902456</v>
      </c>
      <c r="L40" s="19">
        <v>19.142615304570864</v>
      </c>
      <c r="M40" s="19">
        <v>20.079916985471648</v>
      </c>
      <c r="N40" s="19">
        <v>21.006353431931217</v>
      </c>
      <c r="O40" s="19">
        <v>21.922050594133879</v>
      </c>
      <c r="P40" s="19">
        <v>22.827132962244921</v>
      </c>
      <c r="Q40" s="19">
        <v>23.721723583335212</v>
      </c>
      <c r="R40" s="19">
        <v>24.605944078109591</v>
      </c>
      <c r="S40" s="19">
        <v>25.479914657441356</v>
      </c>
      <c r="T40" s="19">
        <v>26.343754138715088</v>
      </c>
      <c r="U40" s="19">
        <v>27.197579961980015</v>
      </c>
      <c r="V40" s="19">
        <v>28.041508205916138</v>
      </c>
      <c r="W40" s="19">
        <v>28.875653603615266</v>
      </c>
      <c r="X40" s="19">
        <v>29.700129558179125</v>
      </c>
      <c r="Y40" s="19">
        <v>30.515048158136647</v>
      </c>
      <c r="Z40" s="19">
        <v>31.320520192682554</v>
      </c>
      <c r="AA40" s="19">
        <v>32.116655166739278</v>
      </c>
      <c r="AB40" s="19">
        <v>32.903561315844293</v>
      </c>
      <c r="AC40" s="19">
        <v>33.681345620864867</v>
      </c>
      <c r="AD40" s="19">
        <v>34.450113822542249</v>
      </c>
      <c r="AE40" s="19">
        <v>35.209970435867255</v>
      </c>
      <c r="AF40" s="19">
        <v>35.961018764289214</v>
      </c>
      <c r="AG40" s="19">
        <v>36.703360913760179</v>
      </c>
      <c r="AH40" s="19">
        <v>37.437097806616379</v>
      </c>
      <c r="AI40" s="19">
        <v>38.162329195298739</v>
      </c>
      <c r="AJ40" s="19">
        <v>38.879153675914324</v>
      </c>
      <c r="AK40" s="19">
        <v>39.587668701640631</v>
      </c>
      <c r="AL40" s="19">
        <v>40.28797059597445</v>
      </c>
      <c r="AM40" s="19">
        <v>40.980154565827164</v>
      </c>
      <c r="AN40" s="19">
        <v>41.664314714468254</v>
      </c>
      <c r="AO40" s="19">
        <v>42.340544054318755</v>
      </c>
      <c r="AP40" s="19">
        <v>43.008934519596401</v>
      </c>
      <c r="AQ40" s="19">
        <v>43.669576978814213</v>
      </c>
      <c r="AR40" s="19">
        <v>44.322561247134168</v>
      </c>
      <c r="AS40" s="19">
        <v>44.967976098577687</v>
      </c>
      <c r="AT40" s="19">
        <v>45.605909278094572</v>
      </c>
      <c r="AU40" s="19">
        <v>46.23644751349206</v>
      </c>
      <c r="AV40" s="19">
        <v>46.859676527225545</v>
      </c>
      <c r="AW40" s="19">
        <v>47.475681048052678</v>
      </c>
      <c r="AX40" s="19">
        <v>48.084544822552324</v>
      </c>
      <c r="AY40" s="19">
        <v>48.686350626510041</v>
      </c>
      <c r="AZ40" s="19">
        <v>49.281180276171519</v>
      </c>
    </row>
    <row r="41" spans="1:52" s="19" customFormat="1" x14ac:dyDescent="0.4">
      <c r="A41" s="7"/>
      <c r="B41" s="21">
        <f t="shared" si="148"/>
        <v>7</v>
      </c>
      <c r="C41" s="19">
        <v>5.3745576939999999</v>
      </c>
      <c r="D41" s="19">
        <v>12.777598524931907</v>
      </c>
      <c r="E41" s="19">
        <v>18.533358139644271</v>
      </c>
      <c r="F41" s="19">
        <v>22.702495603832162</v>
      </c>
      <c r="G41" s="19">
        <v>25.76098857747656</v>
      </c>
      <c r="H41" s="19">
        <v>28.071439406390621</v>
      </c>
      <c r="I41" s="19">
        <v>29.869219738527132</v>
      </c>
      <c r="J41" s="19">
        <v>31.305575210804101</v>
      </c>
      <c r="K41" s="19">
        <v>32.480186871157684</v>
      </c>
      <c r="L41" s="19">
        <v>33.460912364210543</v>
      </c>
      <c r="M41" s="19">
        <v>34.427392816464952</v>
      </c>
      <c r="N41" s="19">
        <v>35.379835137182262</v>
      </c>
      <c r="O41" s="19">
        <v>36.318443230266162</v>
      </c>
      <c r="P41" s="19">
        <v>37.243418037915504</v>
      </c>
      <c r="Q41" s="19">
        <v>38.154957583643103</v>
      </c>
      <c r="R41" s="19">
        <v>39.053257014669626</v>
      </c>
      <c r="S41" s="19">
        <v>39.938508643701773</v>
      </c>
      <c r="T41" s="19">
        <v>40.810901990103581</v>
      </c>
      <c r="U41" s="19">
        <v>41.670623820469743</v>
      </c>
      <c r="V41" s="19">
        <v>42.517858188609587</v>
      </c>
      <c r="W41" s="19">
        <v>43.352786474950307</v>
      </c>
      <c r="X41" s="19">
        <v>44.175587425367823</v>
      </c>
      <c r="Y41" s="19">
        <v>44.986437189453667</v>
      </c>
      <c r="Z41" s="19">
        <v>45.785509358226008</v>
      </c>
      <c r="AA41" s="19">
        <v>46.572975001292946</v>
      </c>
      <c r="AB41" s="19">
        <v>47.349002703475989</v>
      </c>
      <c r="AC41" s="19">
        <v>48.113758600901612</v>
      </c>
      <c r="AD41" s="19">
        <v>48.867406416568528</v>
      </c>
      <c r="AE41" s="19">
        <v>49.610107495398395</v>
      </c>
      <c r="AF41" s="19">
        <v>50.342020838777387</v>
      </c>
      <c r="AG41" s="19">
        <v>51.063303138596062</v>
      </c>
      <c r="AH41" s="19">
        <v>51.774108810794779</v>
      </c>
      <c r="AI41" s="19">
        <v>52.474590028421893</v>
      </c>
      <c r="AJ41" s="19">
        <v>53.16489675421176</v>
      </c>
      <c r="AK41" s="19">
        <v>53.84517677268957</v>
      </c>
      <c r="AL41" s="19">
        <v>54.515575721809817</v>
      </c>
      <c r="AM41" s="19">
        <v>55.17623712413527</v>
      </c>
      <c r="AN41" s="19">
        <v>55.827302417563018</v>
      </c>
      <c r="AO41" s="19">
        <v>56.468910985604282</v>
      </c>
      <c r="AP41" s="19">
        <v>57.101200187224336</v>
      </c>
      <c r="AQ41" s="19">
        <v>57.724305386249071</v>
      </c>
      <c r="AR41" s="19">
        <v>58.338359980344386</v>
      </c>
      <c r="AS41" s="19">
        <v>58.943495429574675</v>
      </c>
      <c r="AT41" s="19">
        <v>59.539841284546497</v>
      </c>
      <c r="AU41" s="19">
        <v>60.127525214143446</v>
      </c>
      <c r="AV41" s="19">
        <v>60.706673032858198</v>
      </c>
      <c r="AW41" s="19">
        <v>61.277408727727533</v>
      </c>
      <c r="AX41" s="19">
        <v>61.839854484876135</v>
      </c>
      <c r="AY41" s="19">
        <v>62.394130715674855</v>
      </c>
      <c r="AZ41" s="19">
        <v>62.940356082519017</v>
      </c>
    </row>
    <row r="42" spans="1:52" s="19" customFormat="1" x14ac:dyDescent="0.4">
      <c r="A42" s="7"/>
      <c r="B42" s="21">
        <f t="shared" si="148"/>
        <v>8</v>
      </c>
      <c r="C42" s="19">
        <v>17.184785772000001</v>
      </c>
      <c r="D42" s="19">
        <v>32.039782548588448</v>
      </c>
      <c r="E42" s="19">
        <v>40.086900320679433</v>
      </c>
      <c r="F42" s="19">
        <v>44.747996706964329</v>
      </c>
      <c r="G42" s="19">
        <v>47.760806654080497</v>
      </c>
      <c r="H42" s="19">
        <v>49.875029766115077</v>
      </c>
      <c r="I42" s="19">
        <v>51.44407433224184</v>
      </c>
      <c r="J42" s="19">
        <v>52.655887074819006</v>
      </c>
      <c r="K42" s="19">
        <v>53.620904586102782</v>
      </c>
      <c r="L42" s="19">
        <v>54.408952720835316</v>
      </c>
      <c r="M42" s="19">
        <v>55.18361077417206</v>
      </c>
      <c r="N42" s="19">
        <v>55.945106263027114</v>
      </c>
      <c r="O42" s="19">
        <v>56.693662838472065</v>
      </c>
      <c r="P42" s="19">
        <v>57.429500351422227</v>
      </c>
      <c r="Q42" s="19">
        <v>58.152834917206825</v>
      </c>
      <c r="R42" s="19">
        <v>58.86387897904202</v>
      </c>
      <c r="S42" s="19">
        <v>59.562841370425446</v>
      </c>
      <c r="T42" s="19">
        <v>60.249927376470559</v>
      </c>
      <c r="U42" s="19">
        <v>60.925338794198836</v>
      </c>
      <c r="V42" s="19">
        <v>61.589273991807509</v>
      </c>
      <c r="W42" s="19">
        <v>62.241927966930284</v>
      </c>
      <c r="X42" s="19">
        <v>62.8834924039081</v>
      </c>
      <c r="Y42" s="19">
        <v>63.51415573008677</v>
      </c>
      <c r="Z42" s="19">
        <v>64.13410317115806</v>
      </c>
      <c r="AA42" s="19">
        <v>64.743516805560446</v>
      </c>
      <c r="AB42" s="19">
        <v>65.342575617955518</v>
      </c>
      <c r="AC42" s="19">
        <v>65.931455551795722</v>
      </c>
      <c r="AD42" s="19">
        <v>66.510329560998912</v>
      </c>
      <c r="AE42" s="19">
        <v>67.079367660744907</v>
      </c>
      <c r="AF42" s="19">
        <v>67.638736977408897</v>
      </c>
      <c r="AG42" s="19">
        <v>68.188601797646427</v>
      </c>
      <c r="AH42" s="19">
        <v>68.729123616644372</v>
      </c>
      <c r="AI42" s="19">
        <v>69.260461185552003</v>
      </c>
      <c r="AJ42" s="19">
        <v>69.782770558106208</v>
      </c>
      <c r="AK42" s="19">
        <v>70.296205136464422</v>
      </c>
      <c r="AL42" s="19">
        <v>70.8009157162588</v>
      </c>
      <c r="AM42" s="19">
        <v>71.297050530884903</v>
      </c>
      <c r="AN42" s="19">
        <v>71.784755295037783</v>
      </c>
      <c r="AO42" s="19">
        <v>72.264173247508353</v>
      </c>
      <c r="AP42" s="19">
        <v>72.735445193252602</v>
      </c>
      <c r="AQ42" s="19">
        <v>73.198709544746009</v>
      </c>
      <c r="AR42" s="19">
        <v>73.654102362635228</v>
      </c>
      <c r="AS42" s="19">
        <v>74.101757395699082</v>
      </c>
      <c r="AT42" s="19">
        <v>74.541806120130531</v>
      </c>
      <c r="AU42" s="19">
        <v>74.974377778151251</v>
      </c>
      <c r="AV42" s="19">
        <v>75.399599415969988</v>
      </c>
      <c r="AW42" s="19">
        <v>75.817595921096071</v>
      </c>
      <c r="AX42" s="19">
        <v>76.228490059018782</v>
      </c>
      <c r="AY42" s="19">
        <v>76.632402509263613</v>
      </c>
      <c r="AZ42" s="19">
        <v>77.029451900835781</v>
      </c>
    </row>
    <row r="43" spans="1:52" s="19" customFormat="1" x14ac:dyDescent="0.4">
      <c r="A43" s="7"/>
      <c r="B43" s="21">
        <f t="shared" si="148"/>
        <v>9</v>
      </c>
      <c r="C43" s="19">
        <v>35.837740138000001</v>
      </c>
      <c r="D43" s="19">
        <v>54.500127340933325</v>
      </c>
      <c r="E43" s="19">
        <v>62.113898178003012</v>
      </c>
      <c r="F43" s="19">
        <v>65.797247088851393</v>
      </c>
      <c r="G43" s="19">
        <v>67.954142456848984</v>
      </c>
      <c r="H43" s="19">
        <v>69.393922435300425</v>
      </c>
      <c r="I43" s="19">
        <v>70.434512007186527</v>
      </c>
      <c r="J43" s="19">
        <v>71.225506674340409</v>
      </c>
      <c r="K43" s="19">
        <v>71.848549173709245</v>
      </c>
      <c r="L43" s="19">
        <v>72.353077175727336</v>
      </c>
      <c r="M43" s="19">
        <v>72.84856306810812</v>
      </c>
      <c r="N43" s="19">
        <v>73.335168902801882</v>
      </c>
      <c r="O43" s="19">
        <v>73.813053827477077</v>
      </c>
      <c r="P43" s="19">
        <v>74.282374137570628</v>
      </c>
      <c r="Q43" s="19">
        <v>74.743283327405436</v>
      </c>
      <c r="R43" s="19">
        <v>75.195932140391676</v>
      </c>
      <c r="S43" s="19">
        <v>75.640468618328441</v>
      </c>
      <c r="T43" s="19">
        <v>76.077038149821789</v>
      </c>
      <c r="U43" s="19">
        <v>76.505783517835056</v>
      </c>
      <c r="V43" s="19">
        <v>76.926844946386979</v>
      </c>
      <c r="W43" s="19">
        <v>77.340360146412877</v>
      </c>
      <c r="X43" s="19">
        <v>77.746464360803955</v>
      </c>
      <c r="Y43" s="19">
        <v>78.145290408639354</v>
      </c>
      <c r="Z43" s="19">
        <v>78.536968728625524</v>
      </c>
      <c r="AA43" s="19">
        <v>78.92162742175708</v>
      </c>
      <c r="AB43" s="19">
        <v>79.299392293213089</v>
      </c>
      <c r="AC43" s="19">
        <v>79.670386893502453</v>
      </c>
      <c r="AD43" s="19">
        <v>80.034732558871966</v>
      </c>
      <c r="AE43" s="19">
        <v>80.392548450990105</v>
      </c>
      <c r="AF43" s="19">
        <v>80.743951595919668</v>
      </c>
      <c r="AG43" s="19">
        <v>81.089056922391904</v>
      </c>
      <c r="AH43" s="19">
        <v>81.42797729939474</v>
      </c>
      <c r="AI43" s="19">
        <v>81.760823573087322</v>
      </c>
      <c r="AJ43" s="19">
        <v>82.087704603052984</v>
      </c>
      <c r="AK43" s="19">
        <v>82.408727297902502</v>
      </c>
      <c r="AL43" s="19">
        <v>82.723996650239258</v>
      </c>
      <c r="AM43" s="19">
        <v>83.03361577099777</v>
      </c>
      <c r="AN43" s="19">
        <v>83.337685923166816</v>
      </c>
      <c r="AO43" s="19">
        <v>83.636306554908174</v>
      </c>
      <c r="AP43" s="19">
        <v>83.929575332081768</v>
      </c>
      <c r="AQ43" s="19">
        <v>84.217588170187966</v>
      </c>
      <c r="AR43" s="19">
        <v>84.500439265737384</v>
      </c>
      <c r="AS43" s="19">
        <v>84.778221127058458</v>
      </c>
      <c r="AT43" s="19">
        <v>85.051024604552921</v>
      </c>
      <c r="AU43" s="19">
        <v>85.318938920409025</v>
      </c>
      <c r="AV43" s="19">
        <v>85.582051697782262</v>
      </c>
      <c r="AW43" s="19">
        <v>85.840448989453094</v>
      </c>
      <c r="AX43" s="19">
        <v>86.094215305971062</v>
      </c>
      <c r="AY43" s="19">
        <v>86.343433643294546</v>
      </c>
      <c r="AZ43" s="19">
        <v>86.588185509935158</v>
      </c>
    </row>
    <row r="44" spans="1:52" s="19" customFormat="1" x14ac:dyDescent="0.4">
      <c r="A44" s="7"/>
      <c r="B44" s="21">
        <f t="shared" si="148"/>
        <v>10</v>
      </c>
      <c r="C44" s="19">
        <v>75.774899132000002</v>
      </c>
      <c r="D44" s="19">
        <v>87.436053287430028</v>
      </c>
      <c r="E44" s="19">
        <v>90.287048644273085</v>
      </c>
      <c r="F44" s="19">
        <v>91.385118099597562</v>
      </c>
      <c r="G44" s="19">
        <v>91.96968072048773</v>
      </c>
      <c r="H44" s="19">
        <v>92.344685082484546</v>
      </c>
      <c r="I44" s="19">
        <v>92.610957825568732</v>
      </c>
      <c r="J44" s="19">
        <v>92.811582495931589</v>
      </c>
      <c r="K44" s="19">
        <v>92.968823382459064</v>
      </c>
      <c r="L44" s="19">
        <v>93.095759503373756</v>
      </c>
      <c r="M44" s="19">
        <v>93.220404005165605</v>
      </c>
      <c r="N44" s="19">
        <v>93.34279825918081</v>
      </c>
      <c r="O44" s="19">
        <v>93.462982889875192</v>
      </c>
      <c r="P44" s="19">
        <v>93.580997788298035</v>
      </c>
      <c r="Q44" s="19">
        <v>93.696882125332536</v>
      </c>
      <c r="R44" s="19">
        <v>93.810674364697178</v>
      </c>
      <c r="S44" s="19">
        <v>93.922412275712418</v>
      </c>
      <c r="T44" s="19">
        <v>94.03213294583685</v>
      </c>
      <c r="U44" s="19">
        <v>94.139872792977116</v>
      </c>
      <c r="V44" s="19">
        <v>94.245667577575531</v>
      </c>
      <c r="W44" s="19">
        <v>94.34955241447949</v>
      </c>
      <c r="X44" s="19">
        <v>94.451561784596635</v>
      </c>
      <c r="Y44" s="19">
        <v>94.551729546339544</v>
      </c>
      <c r="Z44" s="19">
        <v>94.650088946863846</v>
      </c>
      <c r="AA44" s="19">
        <v>94.746672633103444</v>
      </c>
      <c r="AB44" s="19">
        <v>94.841512662606505</v>
      </c>
      <c r="AC44" s="19">
        <v>94.934640514175854</v>
      </c>
      <c r="AD44" s="19">
        <v>95.026087098317248</v>
      </c>
      <c r="AE44" s="19">
        <v>95.115882767498988</v>
      </c>
      <c r="AF44" s="19">
        <v>95.204057326226419</v>
      </c>
      <c r="AG44" s="19">
        <v>95.290640040934406</v>
      </c>
      <c r="AH44" s="19">
        <v>95.375659649701362</v>
      </c>
      <c r="AI44" s="19">
        <v>95.459144371787815</v>
      </c>
      <c r="AJ44" s="19">
        <v>95.541121917002783</v>
      </c>
      <c r="AK44" s="19">
        <v>95.621619494901083</v>
      </c>
      <c r="AL44" s="19">
        <v>95.70066382381458</v>
      </c>
      <c r="AM44" s="19">
        <v>95.778281139720377</v>
      </c>
      <c r="AN44" s="19">
        <v>95.85449720494897</v>
      </c>
      <c r="AO44" s="19">
        <v>95.929337316735101</v>
      </c>
      <c r="AP44" s="19">
        <v>96.002826315614286</v>
      </c>
      <c r="AQ44" s="19">
        <v>96.074988593667783</v>
      </c>
      <c r="AR44" s="19">
        <v>96.145848102618643</v>
      </c>
      <c r="AS44" s="19">
        <v>96.215428361781676</v>
      </c>
      <c r="AT44" s="19">
        <v>96.283752465869853</v>
      </c>
      <c r="AU44" s="19">
        <v>96.350843092659744</v>
      </c>
      <c r="AV44" s="19">
        <v>96.416722510518653</v>
      </c>
      <c r="AW44" s="19">
        <v>96.481412585795809</v>
      </c>
      <c r="AX44" s="19">
        <v>96.544934790080092</v>
      </c>
      <c r="AY44" s="19">
        <v>96.607310207326819</v>
      </c>
      <c r="AZ44" s="19">
        <v>96.668559540855782</v>
      </c>
    </row>
    <row r="45" spans="1:52" s="19" customFormat="1" x14ac:dyDescent="0.4">
      <c r="A45" s="7"/>
      <c r="B45" s="21" t="str">
        <f t="shared" si="148"/>
        <v/>
      </c>
    </row>
    <row r="46" spans="1:52" s="19" customFormat="1" x14ac:dyDescent="0.4">
      <c r="A46" s="7"/>
      <c r="B46" s="21" t="str">
        <f t="shared" si="148"/>
        <v/>
      </c>
    </row>
    <row r="47" spans="1:52" s="19" customFormat="1" x14ac:dyDescent="0.4">
      <c r="A47" s="7"/>
      <c r="B47" s="21" t="str">
        <f t="shared" si="148"/>
        <v/>
      </c>
    </row>
    <row r="48" spans="1:52" s="19" customFormat="1" x14ac:dyDescent="0.4">
      <c r="A48" s="7"/>
      <c r="B48" s="21" t="str">
        <f t="shared" si="148"/>
        <v/>
      </c>
    </row>
    <row r="49" spans="1:52" s="19" customFormat="1" x14ac:dyDescent="0.4">
      <c r="A49" s="7"/>
      <c r="B49" s="21" t="str">
        <f t="shared" si="148"/>
        <v/>
      </c>
    </row>
    <row r="57" spans="1:52" x14ac:dyDescent="0.4">
      <c r="C57" s="22" t="s">
        <v>50</v>
      </c>
      <c r="D57" s="22"/>
      <c r="E57" s="22"/>
      <c r="F57" s="22"/>
      <c r="G57" s="22"/>
      <c r="H57" s="22"/>
      <c r="I57" s="22"/>
      <c r="J57" s="22"/>
      <c r="K57" s="22"/>
      <c r="L57" s="22"/>
    </row>
    <row r="58" spans="1:52" s="21" customFormat="1" x14ac:dyDescent="0.4">
      <c r="A58" s="7"/>
      <c r="B58" s="7"/>
      <c r="C58" s="21" t="s">
        <v>66</v>
      </c>
      <c r="D58" s="21" t="s">
        <v>70</v>
      </c>
      <c r="E58" s="21" t="s">
        <v>74</v>
      </c>
      <c r="F58" s="21" t="s">
        <v>78</v>
      </c>
      <c r="G58" s="21" t="s">
        <v>82</v>
      </c>
      <c r="H58" s="21" t="s">
        <v>86</v>
      </c>
      <c r="I58" s="21" t="s">
        <v>90</v>
      </c>
      <c r="J58" s="21" t="s">
        <v>94</v>
      </c>
      <c r="K58" s="21" t="s">
        <v>98</v>
      </c>
      <c r="L58" s="21" t="s">
        <v>101</v>
      </c>
      <c r="M58" s="21" t="s">
        <v>266</v>
      </c>
      <c r="N58" s="21" t="s">
        <v>109</v>
      </c>
      <c r="O58" s="21" t="s">
        <v>113</v>
      </c>
      <c r="P58" s="21" t="s">
        <v>117</v>
      </c>
      <c r="Q58" s="21" t="s">
        <v>121</v>
      </c>
      <c r="R58" s="21" t="s">
        <v>125</v>
      </c>
      <c r="S58" s="21" t="s">
        <v>129</v>
      </c>
      <c r="T58" s="21" t="s">
        <v>133</v>
      </c>
      <c r="U58" s="21" t="s">
        <v>137</v>
      </c>
      <c r="V58" s="21" t="s">
        <v>141</v>
      </c>
      <c r="W58" s="21" t="s">
        <v>145</v>
      </c>
      <c r="X58" s="21" t="s">
        <v>149</v>
      </c>
      <c r="Y58" s="21" t="s">
        <v>153</v>
      </c>
      <c r="Z58" s="21" t="s">
        <v>157</v>
      </c>
      <c r="AA58" s="21" t="s">
        <v>161</v>
      </c>
      <c r="AB58" s="21" t="s">
        <v>165</v>
      </c>
      <c r="AC58" s="21" t="s">
        <v>169</v>
      </c>
      <c r="AD58" s="21" t="s">
        <v>173</v>
      </c>
      <c r="AE58" s="21" t="s">
        <v>177</v>
      </c>
      <c r="AF58" s="21" t="s">
        <v>181</v>
      </c>
      <c r="AG58" s="21" t="s">
        <v>185</v>
      </c>
      <c r="AH58" s="21" t="s">
        <v>189</v>
      </c>
      <c r="AI58" s="21" t="s">
        <v>193</v>
      </c>
      <c r="AJ58" s="21" t="s">
        <v>197</v>
      </c>
      <c r="AK58" s="21" t="s">
        <v>201</v>
      </c>
      <c r="AL58" s="21" t="s">
        <v>205</v>
      </c>
      <c r="AM58" s="21" t="s">
        <v>209</v>
      </c>
      <c r="AN58" s="21" t="s">
        <v>213</v>
      </c>
      <c r="AO58" s="21" t="s">
        <v>217</v>
      </c>
      <c r="AP58" s="21" t="s">
        <v>221</v>
      </c>
      <c r="AQ58" s="21" t="s">
        <v>225</v>
      </c>
      <c r="AR58" s="21" t="s">
        <v>229</v>
      </c>
      <c r="AS58" s="21" t="s">
        <v>233</v>
      </c>
      <c r="AT58" s="21" t="s">
        <v>237</v>
      </c>
      <c r="AU58" s="21" t="s">
        <v>241</v>
      </c>
      <c r="AV58" s="21" t="s">
        <v>245</v>
      </c>
      <c r="AW58" s="21" t="s">
        <v>249</v>
      </c>
      <c r="AX58" s="21" t="s">
        <v>253</v>
      </c>
      <c r="AY58" s="21" t="s">
        <v>257</v>
      </c>
      <c r="AZ58" s="21" t="s">
        <v>261</v>
      </c>
    </row>
    <row r="59" spans="1:52" s="19" customFormat="1" x14ac:dyDescent="0.4">
      <c r="A59" s="7"/>
      <c r="B59" s="21">
        <f>B35</f>
        <v>1</v>
      </c>
      <c r="C59" s="19">
        <v>0.03</v>
      </c>
      <c r="D59" s="19">
        <v>7.5980806071163087E-2</v>
      </c>
      <c r="E59" s="19">
        <v>0.11863845290747133</v>
      </c>
      <c r="F59" s="19">
        <v>0.16262048006671082</v>
      </c>
      <c r="G59" s="19">
        <v>0.20668986973688686</v>
      </c>
      <c r="H59" s="19">
        <v>0.24917723948199022</v>
      </c>
      <c r="I59" s="19">
        <v>0.28869652662251166</v>
      </c>
      <c r="J59" s="19">
        <v>0.32433932292720291</v>
      </c>
      <c r="K59" s="19">
        <v>0.35567914954431901</v>
      </c>
      <c r="L59" s="19">
        <v>0.38267800231466254</v>
      </c>
      <c r="M59" s="19">
        <v>0.38267800231466254</v>
      </c>
      <c r="N59" s="19">
        <v>0.38267800231466254</v>
      </c>
      <c r="O59" s="19">
        <v>0.38267800231466254</v>
      </c>
      <c r="P59" s="19">
        <v>0.38267800231466254</v>
      </c>
      <c r="Q59" s="19">
        <v>0.38267800231466254</v>
      </c>
      <c r="R59" s="19">
        <v>0.38267800231466254</v>
      </c>
      <c r="S59" s="19">
        <v>0.38267800231466254</v>
      </c>
      <c r="T59" s="19">
        <v>0.38267800231466254</v>
      </c>
      <c r="U59" s="19">
        <v>0.38267800231466254</v>
      </c>
      <c r="V59" s="19">
        <v>0.38267800231466254</v>
      </c>
      <c r="W59" s="19">
        <v>0.38267800231466254</v>
      </c>
      <c r="X59" s="19">
        <v>0.38267800231466254</v>
      </c>
      <c r="Y59" s="19">
        <v>0.38267800231466254</v>
      </c>
      <c r="Z59" s="19">
        <v>0.38267800231466254</v>
      </c>
      <c r="AA59" s="19">
        <v>0.38267800231466254</v>
      </c>
      <c r="AB59" s="19">
        <v>0.38267800231466254</v>
      </c>
      <c r="AC59" s="19">
        <v>0.38267800231466254</v>
      </c>
      <c r="AD59" s="19">
        <v>0.38267800231466254</v>
      </c>
      <c r="AE59" s="19">
        <v>0.38267800231466254</v>
      </c>
      <c r="AF59" s="19">
        <v>0.38267800231466254</v>
      </c>
      <c r="AG59" s="19">
        <v>0.38267800231466254</v>
      </c>
      <c r="AH59" s="19">
        <v>0.38267800231466254</v>
      </c>
      <c r="AI59" s="19">
        <v>0.38267800231466254</v>
      </c>
      <c r="AJ59" s="19">
        <v>0.38267800231466254</v>
      </c>
      <c r="AK59" s="19">
        <v>0.38267800231466254</v>
      </c>
      <c r="AL59" s="19">
        <v>0.38267800231466254</v>
      </c>
      <c r="AM59" s="19">
        <v>0.38267800231466254</v>
      </c>
      <c r="AN59" s="19">
        <v>0.38267800231466254</v>
      </c>
      <c r="AO59" s="19">
        <v>0.38267800231466254</v>
      </c>
      <c r="AP59" s="19">
        <v>0.38267800231466254</v>
      </c>
      <c r="AQ59" s="19">
        <v>0.38267800231466254</v>
      </c>
      <c r="AR59" s="19">
        <v>0.38267800231466254</v>
      </c>
      <c r="AS59" s="19">
        <v>0.38267800231466254</v>
      </c>
      <c r="AT59" s="19">
        <v>0.38267800231466254</v>
      </c>
      <c r="AU59" s="19">
        <v>0.38267800231466254</v>
      </c>
      <c r="AV59" s="19">
        <v>0.38267800231466254</v>
      </c>
      <c r="AW59" s="19">
        <v>0.38267800231466254</v>
      </c>
      <c r="AX59" s="19">
        <v>0.38267800231466254</v>
      </c>
      <c r="AY59" s="19">
        <v>0.38267800231466254</v>
      </c>
      <c r="AZ59" s="19">
        <v>0.38267800231466254</v>
      </c>
    </row>
    <row r="60" spans="1:52" s="19" customFormat="1" x14ac:dyDescent="0.4">
      <c r="A60" s="7"/>
      <c r="B60" s="21">
        <f t="shared" ref="B60:B73" si="149">B36</f>
        <v>2</v>
      </c>
      <c r="C60" s="19">
        <v>5.0237443E-2</v>
      </c>
      <c r="D60" s="19">
        <v>0.12861267749822991</v>
      </c>
      <c r="E60" s="19">
        <v>0.18001202829356355</v>
      </c>
      <c r="F60" s="19">
        <v>0.22748853660666812</v>
      </c>
      <c r="G60" s="19">
        <v>0.2720177703824489</v>
      </c>
      <c r="H60" s="19">
        <v>0.31228445976632102</v>
      </c>
      <c r="I60" s="19">
        <v>0.34743592465128481</v>
      </c>
      <c r="J60" s="19">
        <v>0.37731616107680166</v>
      </c>
      <c r="K60" s="19">
        <v>0.40224349043411767</v>
      </c>
      <c r="L60" s="19">
        <v>0.42277292542197698</v>
      </c>
      <c r="M60" s="19">
        <v>0.42277292542197698</v>
      </c>
      <c r="N60" s="19">
        <v>0.42277292542197698</v>
      </c>
      <c r="O60" s="19">
        <v>0.42277292542197698</v>
      </c>
      <c r="P60" s="19">
        <v>0.42277292542197698</v>
      </c>
      <c r="Q60" s="19">
        <v>0.42277292542197698</v>
      </c>
      <c r="R60" s="19">
        <v>0.42277292542197698</v>
      </c>
      <c r="S60" s="19">
        <v>0.42277292542197698</v>
      </c>
      <c r="T60" s="19">
        <v>0.42277292542197698</v>
      </c>
      <c r="U60" s="19">
        <v>0.42277292542197698</v>
      </c>
      <c r="V60" s="19">
        <v>0.42277292542197698</v>
      </c>
      <c r="W60" s="19">
        <v>0.42277292542197698</v>
      </c>
      <c r="X60" s="19">
        <v>0.42277292542197698</v>
      </c>
      <c r="Y60" s="19">
        <v>0.42277292542197698</v>
      </c>
      <c r="Z60" s="19">
        <v>0.42277292542197698</v>
      </c>
      <c r="AA60" s="19">
        <v>0.42277292542197698</v>
      </c>
      <c r="AB60" s="19">
        <v>0.42277292542197698</v>
      </c>
      <c r="AC60" s="19">
        <v>0.42277292542197698</v>
      </c>
      <c r="AD60" s="19">
        <v>0.42277292542197698</v>
      </c>
      <c r="AE60" s="19">
        <v>0.42277292542197698</v>
      </c>
      <c r="AF60" s="19">
        <v>0.42277292542197698</v>
      </c>
      <c r="AG60" s="19">
        <v>0.42277292542197698</v>
      </c>
      <c r="AH60" s="19">
        <v>0.42277292542197698</v>
      </c>
      <c r="AI60" s="19">
        <v>0.42277292542197698</v>
      </c>
      <c r="AJ60" s="19">
        <v>0.42277292542197698</v>
      </c>
      <c r="AK60" s="19">
        <v>0.42277292542197698</v>
      </c>
      <c r="AL60" s="19">
        <v>0.42277292542197698</v>
      </c>
      <c r="AM60" s="19">
        <v>0.42277292542197698</v>
      </c>
      <c r="AN60" s="19">
        <v>0.42277292542197698</v>
      </c>
      <c r="AO60" s="19">
        <v>0.42277292542197698</v>
      </c>
      <c r="AP60" s="19">
        <v>0.42277292542197698</v>
      </c>
      <c r="AQ60" s="19">
        <v>0.42277292542197698</v>
      </c>
      <c r="AR60" s="19">
        <v>0.42277292542197698</v>
      </c>
      <c r="AS60" s="19">
        <v>0.42277292542197698</v>
      </c>
      <c r="AT60" s="19">
        <v>0.42277292542197698</v>
      </c>
      <c r="AU60" s="19">
        <v>0.42277292542197698</v>
      </c>
      <c r="AV60" s="19">
        <v>0.42277292542197698</v>
      </c>
      <c r="AW60" s="19">
        <v>0.42277292542197698</v>
      </c>
      <c r="AX60" s="19">
        <v>0.42277292542197698</v>
      </c>
      <c r="AY60" s="19">
        <v>0.42277292542197698</v>
      </c>
      <c r="AZ60" s="19">
        <v>0.42277292542197698</v>
      </c>
    </row>
    <row r="61" spans="1:52" s="19" customFormat="1" x14ac:dyDescent="0.4">
      <c r="A61" s="7"/>
      <c r="B61" s="21">
        <f t="shared" si="149"/>
        <v>3</v>
      </c>
      <c r="C61" s="19">
        <v>9.9946122999999998E-2</v>
      </c>
      <c r="D61" s="19">
        <v>0.25566134828227671</v>
      </c>
      <c r="E61" s="19">
        <v>0.31817320380446157</v>
      </c>
      <c r="F61" s="19">
        <v>0.36878842411408597</v>
      </c>
      <c r="G61" s="19">
        <v>0.41008177873088636</v>
      </c>
      <c r="H61" s="19">
        <v>0.44130988541810634</v>
      </c>
      <c r="I61" s="19">
        <v>0.46360136192694634</v>
      </c>
      <c r="J61" s="19">
        <v>0.47891715328506335</v>
      </c>
      <c r="K61" s="19">
        <v>0.4891860160003203</v>
      </c>
      <c r="L61" s="19">
        <v>0.4959685879759701</v>
      </c>
      <c r="M61" s="19">
        <v>0.4959685879759701</v>
      </c>
      <c r="N61" s="19">
        <v>0.4959685879759701</v>
      </c>
      <c r="O61" s="19">
        <v>0.4959685879759701</v>
      </c>
      <c r="P61" s="19">
        <v>0.4959685879759701</v>
      </c>
      <c r="Q61" s="19">
        <v>0.4959685879759701</v>
      </c>
      <c r="R61" s="19">
        <v>0.4959685879759701</v>
      </c>
      <c r="S61" s="19">
        <v>0.4959685879759701</v>
      </c>
      <c r="T61" s="19">
        <v>0.4959685879759701</v>
      </c>
      <c r="U61" s="19">
        <v>0.4959685879759701</v>
      </c>
      <c r="V61" s="19">
        <v>0.4959685879759701</v>
      </c>
      <c r="W61" s="19">
        <v>0.4959685879759701</v>
      </c>
      <c r="X61" s="19">
        <v>0.4959685879759701</v>
      </c>
      <c r="Y61" s="19">
        <v>0.4959685879759701</v>
      </c>
      <c r="Z61" s="19">
        <v>0.4959685879759701</v>
      </c>
      <c r="AA61" s="19">
        <v>0.4959685879759701</v>
      </c>
      <c r="AB61" s="19">
        <v>0.4959685879759701</v>
      </c>
      <c r="AC61" s="19">
        <v>0.4959685879759701</v>
      </c>
      <c r="AD61" s="19">
        <v>0.4959685879759701</v>
      </c>
      <c r="AE61" s="19">
        <v>0.4959685879759701</v>
      </c>
      <c r="AF61" s="19">
        <v>0.4959685879759701</v>
      </c>
      <c r="AG61" s="19">
        <v>0.4959685879759701</v>
      </c>
      <c r="AH61" s="19">
        <v>0.4959685879759701</v>
      </c>
      <c r="AI61" s="19">
        <v>0.4959685879759701</v>
      </c>
      <c r="AJ61" s="19">
        <v>0.4959685879759701</v>
      </c>
      <c r="AK61" s="19">
        <v>0.4959685879759701</v>
      </c>
      <c r="AL61" s="19">
        <v>0.4959685879759701</v>
      </c>
      <c r="AM61" s="19">
        <v>0.4959685879759701</v>
      </c>
      <c r="AN61" s="19">
        <v>0.4959685879759701</v>
      </c>
      <c r="AO61" s="19">
        <v>0.4959685879759701</v>
      </c>
      <c r="AP61" s="19">
        <v>0.4959685879759701</v>
      </c>
      <c r="AQ61" s="19">
        <v>0.4959685879759701</v>
      </c>
      <c r="AR61" s="19">
        <v>0.4959685879759701</v>
      </c>
      <c r="AS61" s="19">
        <v>0.4959685879759701</v>
      </c>
      <c r="AT61" s="19">
        <v>0.4959685879759701</v>
      </c>
      <c r="AU61" s="19">
        <v>0.4959685879759701</v>
      </c>
      <c r="AV61" s="19">
        <v>0.4959685879759701</v>
      </c>
      <c r="AW61" s="19">
        <v>0.4959685879759701</v>
      </c>
      <c r="AX61" s="19">
        <v>0.4959685879759701</v>
      </c>
      <c r="AY61" s="19">
        <v>0.4959685879759701</v>
      </c>
      <c r="AZ61" s="19">
        <v>0.4959685879759701</v>
      </c>
    </row>
    <row r="62" spans="1:52" s="19" customFormat="1" x14ac:dyDescent="0.4">
      <c r="A62" s="7"/>
      <c r="B62" s="21">
        <f t="shared" si="149"/>
        <v>4</v>
      </c>
      <c r="C62" s="19">
        <v>0.23156236799999999</v>
      </c>
      <c r="D62" s="19">
        <v>0.54679157322761185</v>
      </c>
      <c r="E62" s="19">
        <v>0.68391803434544318</v>
      </c>
      <c r="F62" s="19">
        <v>0.75054665978152579</v>
      </c>
      <c r="G62" s="19">
        <v>0.77122864177745498</v>
      </c>
      <c r="H62" s="19">
        <v>0.76345263253861928</v>
      </c>
      <c r="I62" s="19">
        <v>0.74063487086123425</v>
      </c>
      <c r="J62" s="19">
        <v>0.71168587498033897</v>
      </c>
      <c r="K62" s="19">
        <v>0.68184608134193025</v>
      </c>
      <c r="L62" s="19">
        <v>0.6538632300941094</v>
      </c>
      <c r="M62" s="19">
        <v>0.6538632300941094</v>
      </c>
      <c r="N62" s="19">
        <v>0.6538632300941094</v>
      </c>
      <c r="O62" s="19">
        <v>0.6538632300941094</v>
      </c>
      <c r="P62" s="19">
        <v>0.6538632300941094</v>
      </c>
      <c r="Q62" s="19">
        <v>0.6538632300941094</v>
      </c>
      <c r="R62" s="19">
        <v>0.6538632300941094</v>
      </c>
      <c r="S62" s="19">
        <v>0.6538632300941094</v>
      </c>
      <c r="T62" s="19">
        <v>0.6538632300941094</v>
      </c>
      <c r="U62" s="19">
        <v>0.6538632300941094</v>
      </c>
      <c r="V62" s="19">
        <v>0.6538632300941094</v>
      </c>
      <c r="W62" s="19">
        <v>0.6538632300941094</v>
      </c>
      <c r="X62" s="19">
        <v>0.6538632300941094</v>
      </c>
      <c r="Y62" s="19">
        <v>0.6538632300941094</v>
      </c>
      <c r="Z62" s="19">
        <v>0.6538632300941094</v>
      </c>
      <c r="AA62" s="19">
        <v>0.6538632300941094</v>
      </c>
      <c r="AB62" s="19">
        <v>0.6538632300941094</v>
      </c>
      <c r="AC62" s="19">
        <v>0.6538632300941094</v>
      </c>
      <c r="AD62" s="19">
        <v>0.6538632300941094</v>
      </c>
      <c r="AE62" s="19">
        <v>0.6538632300941094</v>
      </c>
      <c r="AF62" s="19">
        <v>0.6538632300941094</v>
      </c>
      <c r="AG62" s="19">
        <v>0.6538632300941094</v>
      </c>
      <c r="AH62" s="19">
        <v>0.6538632300941094</v>
      </c>
      <c r="AI62" s="19">
        <v>0.6538632300941094</v>
      </c>
      <c r="AJ62" s="19">
        <v>0.6538632300941094</v>
      </c>
      <c r="AK62" s="19">
        <v>0.6538632300941094</v>
      </c>
      <c r="AL62" s="19">
        <v>0.6538632300941094</v>
      </c>
      <c r="AM62" s="19">
        <v>0.6538632300941094</v>
      </c>
      <c r="AN62" s="19">
        <v>0.6538632300941094</v>
      </c>
      <c r="AO62" s="19">
        <v>0.6538632300941094</v>
      </c>
      <c r="AP62" s="19">
        <v>0.6538632300941094</v>
      </c>
      <c r="AQ62" s="19">
        <v>0.6538632300941094</v>
      </c>
      <c r="AR62" s="19">
        <v>0.6538632300941094</v>
      </c>
      <c r="AS62" s="19">
        <v>0.6538632300941094</v>
      </c>
      <c r="AT62" s="19">
        <v>0.6538632300941094</v>
      </c>
      <c r="AU62" s="19">
        <v>0.6538632300941094</v>
      </c>
      <c r="AV62" s="19">
        <v>0.6538632300941094</v>
      </c>
      <c r="AW62" s="19">
        <v>0.6538632300941094</v>
      </c>
      <c r="AX62" s="19">
        <v>0.6538632300941094</v>
      </c>
      <c r="AY62" s="19">
        <v>0.6538632300941094</v>
      </c>
      <c r="AZ62" s="19">
        <v>0.6538632300941094</v>
      </c>
    </row>
    <row r="63" spans="1:52" s="19" customFormat="1" x14ac:dyDescent="0.4">
      <c r="A63" s="7"/>
      <c r="B63" s="21">
        <f t="shared" si="149"/>
        <v>5</v>
      </c>
      <c r="C63" s="19">
        <v>0.53511781400000002</v>
      </c>
      <c r="D63" s="19">
        <v>1.3023676501496939</v>
      </c>
      <c r="E63" s="19">
        <v>1.5317986497382918</v>
      </c>
      <c r="F63" s="19">
        <v>1.5613290140638725</v>
      </c>
      <c r="G63" s="19">
        <v>1.484776557218026</v>
      </c>
      <c r="H63" s="19">
        <v>1.3635501741831257</v>
      </c>
      <c r="I63" s="19">
        <v>1.2331714303199903</v>
      </c>
      <c r="J63" s="19">
        <v>1.1107995523778391</v>
      </c>
      <c r="K63" s="19">
        <v>1.0031434709150133</v>
      </c>
      <c r="L63" s="19">
        <v>0.91168081063358608</v>
      </c>
      <c r="M63" s="19">
        <v>0.91168081063358608</v>
      </c>
      <c r="N63" s="19">
        <v>0.91168081063358608</v>
      </c>
      <c r="O63" s="19">
        <v>0.91168081063358608</v>
      </c>
      <c r="P63" s="19">
        <v>0.91168081063358608</v>
      </c>
      <c r="Q63" s="19">
        <v>0.91168081063358608</v>
      </c>
      <c r="R63" s="19">
        <v>0.91168081063358608</v>
      </c>
      <c r="S63" s="19">
        <v>0.91168081063358608</v>
      </c>
      <c r="T63" s="19">
        <v>0.91168081063358608</v>
      </c>
      <c r="U63" s="19">
        <v>0.91168081063358608</v>
      </c>
      <c r="V63" s="19">
        <v>0.91168081063358608</v>
      </c>
      <c r="W63" s="19">
        <v>0.91168081063358608</v>
      </c>
      <c r="X63" s="19">
        <v>0.91168081063358608</v>
      </c>
      <c r="Y63" s="19">
        <v>0.91168081063358608</v>
      </c>
      <c r="Z63" s="19">
        <v>0.91168081063358608</v>
      </c>
      <c r="AA63" s="19">
        <v>0.91168081063358608</v>
      </c>
      <c r="AB63" s="19">
        <v>0.91168081063358608</v>
      </c>
      <c r="AC63" s="19">
        <v>0.91168081063358608</v>
      </c>
      <c r="AD63" s="19">
        <v>0.91168081063358608</v>
      </c>
      <c r="AE63" s="19">
        <v>0.91168081063358608</v>
      </c>
      <c r="AF63" s="19">
        <v>0.91168081063358608</v>
      </c>
      <c r="AG63" s="19">
        <v>0.91168081063358608</v>
      </c>
      <c r="AH63" s="19">
        <v>0.91168081063358608</v>
      </c>
      <c r="AI63" s="19">
        <v>0.91168081063358608</v>
      </c>
      <c r="AJ63" s="19">
        <v>0.91168081063358608</v>
      </c>
      <c r="AK63" s="19">
        <v>0.91168081063358608</v>
      </c>
      <c r="AL63" s="19">
        <v>0.91168081063358608</v>
      </c>
      <c r="AM63" s="19">
        <v>0.91168081063358608</v>
      </c>
      <c r="AN63" s="19">
        <v>0.91168081063358608</v>
      </c>
      <c r="AO63" s="19">
        <v>0.91168081063358608</v>
      </c>
      <c r="AP63" s="19">
        <v>0.91168081063358608</v>
      </c>
      <c r="AQ63" s="19">
        <v>0.91168081063358608</v>
      </c>
      <c r="AR63" s="19">
        <v>0.91168081063358608</v>
      </c>
      <c r="AS63" s="19">
        <v>0.91168081063358608</v>
      </c>
      <c r="AT63" s="19">
        <v>0.91168081063358608</v>
      </c>
      <c r="AU63" s="19">
        <v>0.91168081063358608</v>
      </c>
      <c r="AV63" s="19">
        <v>0.91168081063358608</v>
      </c>
      <c r="AW63" s="19">
        <v>0.91168081063358608</v>
      </c>
      <c r="AX63" s="19">
        <v>0.91168081063358608</v>
      </c>
      <c r="AY63" s="19">
        <v>0.91168081063358608</v>
      </c>
      <c r="AZ63" s="19">
        <v>0.91168081063358608</v>
      </c>
    </row>
    <row r="64" spans="1:52" s="19" customFormat="1" x14ac:dyDescent="0.4">
      <c r="A64" s="7"/>
      <c r="B64" s="21">
        <f t="shared" si="149"/>
        <v>6</v>
      </c>
      <c r="C64" s="19">
        <v>1.5252171880000001</v>
      </c>
      <c r="D64" s="19">
        <v>2.9712558347299134</v>
      </c>
      <c r="E64" s="19">
        <v>3.1934995947533462</v>
      </c>
      <c r="F64" s="19">
        <v>2.9020106901533116</v>
      </c>
      <c r="G64" s="19">
        <v>2.4930681550647926</v>
      </c>
      <c r="H64" s="19">
        <v>2.1104626630681245</v>
      </c>
      <c r="I64" s="19">
        <v>1.7896885365247139</v>
      </c>
      <c r="J64" s="19">
        <v>1.5305300308268821</v>
      </c>
      <c r="K64" s="19">
        <v>1.323713083786926</v>
      </c>
      <c r="L64" s="19">
        <v>1.1592035587490002</v>
      </c>
      <c r="M64" s="19">
        <v>1.1592035587490002</v>
      </c>
      <c r="N64" s="19">
        <v>1.1592035587490002</v>
      </c>
      <c r="O64" s="19">
        <v>1.1592035587490002</v>
      </c>
      <c r="P64" s="19">
        <v>1.1592035587490002</v>
      </c>
      <c r="Q64" s="19">
        <v>1.1592035587490002</v>
      </c>
      <c r="R64" s="19">
        <v>1.1592035587490002</v>
      </c>
      <c r="S64" s="19">
        <v>1.1592035587490002</v>
      </c>
      <c r="T64" s="19">
        <v>1.1592035587490002</v>
      </c>
      <c r="U64" s="19">
        <v>1.1592035587490002</v>
      </c>
      <c r="V64" s="19">
        <v>1.1592035587490002</v>
      </c>
      <c r="W64" s="19">
        <v>1.1592035587490002</v>
      </c>
      <c r="X64" s="19">
        <v>1.1592035587490002</v>
      </c>
      <c r="Y64" s="19">
        <v>1.1592035587490002</v>
      </c>
      <c r="Z64" s="19">
        <v>1.1592035587490002</v>
      </c>
      <c r="AA64" s="19">
        <v>1.1592035587490002</v>
      </c>
      <c r="AB64" s="19">
        <v>1.1592035587490002</v>
      </c>
      <c r="AC64" s="19">
        <v>1.1592035587490002</v>
      </c>
      <c r="AD64" s="19">
        <v>1.1592035587490002</v>
      </c>
      <c r="AE64" s="19">
        <v>1.1592035587490002</v>
      </c>
      <c r="AF64" s="19">
        <v>1.1592035587490002</v>
      </c>
      <c r="AG64" s="19">
        <v>1.1592035587490002</v>
      </c>
      <c r="AH64" s="19">
        <v>1.1592035587490002</v>
      </c>
      <c r="AI64" s="19">
        <v>1.1592035587490002</v>
      </c>
      <c r="AJ64" s="19">
        <v>1.1592035587490002</v>
      </c>
      <c r="AK64" s="19">
        <v>1.1592035587490002</v>
      </c>
      <c r="AL64" s="19">
        <v>1.1592035587490002</v>
      </c>
      <c r="AM64" s="19">
        <v>1.1592035587490002</v>
      </c>
      <c r="AN64" s="19">
        <v>1.1592035587490002</v>
      </c>
      <c r="AO64" s="19">
        <v>1.1592035587490002</v>
      </c>
      <c r="AP64" s="19">
        <v>1.1592035587490002</v>
      </c>
      <c r="AQ64" s="19">
        <v>1.1592035587490002</v>
      </c>
      <c r="AR64" s="19">
        <v>1.1592035587490002</v>
      </c>
      <c r="AS64" s="19">
        <v>1.1592035587490002</v>
      </c>
      <c r="AT64" s="19">
        <v>1.1592035587490002</v>
      </c>
      <c r="AU64" s="19">
        <v>1.1592035587490002</v>
      </c>
      <c r="AV64" s="19">
        <v>1.1592035587490002</v>
      </c>
      <c r="AW64" s="19">
        <v>1.1592035587490002</v>
      </c>
      <c r="AX64" s="19">
        <v>1.1592035587490002</v>
      </c>
      <c r="AY64" s="19">
        <v>1.1592035587490002</v>
      </c>
      <c r="AZ64" s="19">
        <v>1.1592035587490002</v>
      </c>
    </row>
    <row r="65" spans="1:52" s="19" customFormat="1" x14ac:dyDescent="0.4">
      <c r="A65" s="7"/>
      <c r="B65" s="21">
        <f t="shared" si="149"/>
        <v>7</v>
      </c>
      <c r="C65" s="19">
        <v>5.3745576939999999</v>
      </c>
      <c r="D65" s="19">
        <v>7.8235204512882799</v>
      </c>
      <c r="E65" s="19">
        <v>6.5989465061422443</v>
      </c>
      <c r="F65" s="19">
        <v>5.1176007369179715</v>
      </c>
      <c r="G65" s="19">
        <v>3.9567810080502808</v>
      </c>
      <c r="H65" s="19">
        <v>3.1121788728629141</v>
      </c>
      <c r="I65" s="19">
        <v>2.4993970646706387</v>
      </c>
      <c r="J65" s="19">
        <v>2.0481099267992242</v>
      </c>
      <c r="K65" s="19">
        <v>1.709908284344952</v>
      </c>
      <c r="L65" s="19">
        <v>1.4525003071045539</v>
      </c>
      <c r="M65" s="19">
        <v>1.4525003071045539</v>
      </c>
      <c r="N65" s="19">
        <v>1.4525003071045539</v>
      </c>
      <c r="O65" s="19">
        <v>1.4525003071045539</v>
      </c>
      <c r="P65" s="19">
        <v>1.4525003071045539</v>
      </c>
      <c r="Q65" s="19">
        <v>1.4525003071045539</v>
      </c>
      <c r="R65" s="19">
        <v>1.4525003071045539</v>
      </c>
      <c r="S65" s="19">
        <v>1.4525003071045539</v>
      </c>
      <c r="T65" s="19">
        <v>1.4525003071045539</v>
      </c>
      <c r="U65" s="19">
        <v>1.4525003071045539</v>
      </c>
      <c r="V65" s="19">
        <v>1.4525003071045539</v>
      </c>
      <c r="W65" s="19">
        <v>1.4525003071045539</v>
      </c>
      <c r="X65" s="19">
        <v>1.4525003071045539</v>
      </c>
      <c r="Y65" s="19">
        <v>1.4525003071045539</v>
      </c>
      <c r="Z65" s="19">
        <v>1.4525003071045539</v>
      </c>
      <c r="AA65" s="19">
        <v>1.4525003071045539</v>
      </c>
      <c r="AB65" s="19">
        <v>1.4525003071045539</v>
      </c>
      <c r="AC65" s="19">
        <v>1.4525003071045539</v>
      </c>
      <c r="AD65" s="19">
        <v>1.4525003071045539</v>
      </c>
      <c r="AE65" s="19">
        <v>1.4525003071045539</v>
      </c>
      <c r="AF65" s="19">
        <v>1.4525003071045539</v>
      </c>
      <c r="AG65" s="19">
        <v>1.4525003071045539</v>
      </c>
      <c r="AH65" s="19">
        <v>1.4525003071045539</v>
      </c>
      <c r="AI65" s="19">
        <v>1.4525003071045539</v>
      </c>
      <c r="AJ65" s="19">
        <v>1.4525003071045539</v>
      </c>
      <c r="AK65" s="19">
        <v>1.4525003071045539</v>
      </c>
      <c r="AL65" s="19">
        <v>1.4525003071045539</v>
      </c>
      <c r="AM65" s="19">
        <v>1.4525003071045539</v>
      </c>
      <c r="AN65" s="19">
        <v>1.4525003071045539</v>
      </c>
      <c r="AO65" s="19">
        <v>1.4525003071045539</v>
      </c>
      <c r="AP65" s="19">
        <v>1.4525003071045539</v>
      </c>
      <c r="AQ65" s="19">
        <v>1.4525003071045539</v>
      </c>
      <c r="AR65" s="19">
        <v>1.4525003071045539</v>
      </c>
      <c r="AS65" s="19">
        <v>1.4525003071045539</v>
      </c>
      <c r="AT65" s="19">
        <v>1.4525003071045539</v>
      </c>
      <c r="AU65" s="19">
        <v>1.4525003071045539</v>
      </c>
      <c r="AV65" s="19">
        <v>1.4525003071045539</v>
      </c>
      <c r="AW65" s="19">
        <v>1.4525003071045539</v>
      </c>
      <c r="AX65" s="19">
        <v>1.4525003071045539</v>
      </c>
      <c r="AY65" s="19">
        <v>1.4525003071045539</v>
      </c>
      <c r="AZ65" s="19">
        <v>1.4525003071045539</v>
      </c>
    </row>
    <row r="66" spans="1:52" s="19" customFormat="1" x14ac:dyDescent="0.4">
      <c r="A66" s="7"/>
      <c r="B66" s="21">
        <f t="shared" si="149"/>
        <v>8</v>
      </c>
      <c r="C66" s="19">
        <v>17.184785772000001</v>
      </c>
      <c r="D66" s="19">
        <v>17.937521402397028</v>
      </c>
      <c r="E66" s="19">
        <v>11.840924108055283</v>
      </c>
      <c r="F66" s="19">
        <v>7.7797617069271796</v>
      </c>
      <c r="G66" s="19">
        <v>5.4528519647285334</v>
      </c>
      <c r="H66" s="19">
        <v>4.0471970882753556</v>
      </c>
      <c r="I66" s="19">
        <v>3.1302653324391971</v>
      </c>
      <c r="J66" s="19">
        <v>2.4957051604142855</v>
      </c>
      <c r="K66" s="19">
        <v>2.0383051907822414</v>
      </c>
      <c r="L66" s="19">
        <v>1.6991451163499871</v>
      </c>
      <c r="M66" s="19">
        <v>1.6991451163499871</v>
      </c>
      <c r="N66" s="19">
        <v>1.6991451163499871</v>
      </c>
      <c r="O66" s="19">
        <v>1.6991451163499871</v>
      </c>
      <c r="P66" s="19">
        <v>1.6991451163499871</v>
      </c>
      <c r="Q66" s="19">
        <v>1.6991451163499871</v>
      </c>
      <c r="R66" s="19">
        <v>1.6991451163499871</v>
      </c>
      <c r="S66" s="19">
        <v>1.6991451163499871</v>
      </c>
      <c r="T66" s="19">
        <v>1.6991451163499871</v>
      </c>
      <c r="U66" s="19">
        <v>1.6991451163499871</v>
      </c>
      <c r="V66" s="19">
        <v>1.6991451163499871</v>
      </c>
      <c r="W66" s="19">
        <v>1.6991451163499871</v>
      </c>
      <c r="X66" s="19">
        <v>1.6991451163499871</v>
      </c>
      <c r="Y66" s="19">
        <v>1.6991451163499871</v>
      </c>
      <c r="Z66" s="19">
        <v>1.6991451163499871</v>
      </c>
      <c r="AA66" s="19">
        <v>1.6991451163499871</v>
      </c>
      <c r="AB66" s="19">
        <v>1.6991451163499871</v>
      </c>
      <c r="AC66" s="19">
        <v>1.6991451163499871</v>
      </c>
      <c r="AD66" s="19">
        <v>1.6991451163499871</v>
      </c>
      <c r="AE66" s="19">
        <v>1.6991451163499871</v>
      </c>
      <c r="AF66" s="19">
        <v>1.6991451163499871</v>
      </c>
      <c r="AG66" s="19">
        <v>1.6991451163499871</v>
      </c>
      <c r="AH66" s="19">
        <v>1.6991451163499871</v>
      </c>
      <c r="AI66" s="19">
        <v>1.6991451163499871</v>
      </c>
      <c r="AJ66" s="19">
        <v>1.6991451163499871</v>
      </c>
      <c r="AK66" s="19">
        <v>1.6991451163499871</v>
      </c>
      <c r="AL66" s="19">
        <v>1.6991451163499871</v>
      </c>
      <c r="AM66" s="19">
        <v>1.6991451163499871</v>
      </c>
      <c r="AN66" s="19">
        <v>1.6991451163499871</v>
      </c>
      <c r="AO66" s="19">
        <v>1.6991451163499871</v>
      </c>
      <c r="AP66" s="19">
        <v>1.6991451163499871</v>
      </c>
      <c r="AQ66" s="19">
        <v>1.6991451163499871</v>
      </c>
      <c r="AR66" s="19">
        <v>1.6991451163499871</v>
      </c>
      <c r="AS66" s="19">
        <v>1.6991451163499871</v>
      </c>
      <c r="AT66" s="19">
        <v>1.6991451163499871</v>
      </c>
      <c r="AU66" s="19">
        <v>1.6991451163499871</v>
      </c>
      <c r="AV66" s="19">
        <v>1.6991451163499871</v>
      </c>
      <c r="AW66" s="19">
        <v>1.6991451163499871</v>
      </c>
      <c r="AX66" s="19">
        <v>1.6991451163499871</v>
      </c>
      <c r="AY66" s="19">
        <v>1.6991451163499871</v>
      </c>
      <c r="AZ66" s="19">
        <v>1.6991451163499871</v>
      </c>
    </row>
    <row r="67" spans="1:52" s="19" customFormat="1" x14ac:dyDescent="0.4">
      <c r="A67" s="7"/>
      <c r="B67" s="21">
        <f t="shared" si="149"/>
        <v>9</v>
      </c>
      <c r="C67" s="19">
        <v>35.837740138000001</v>
      </c>
      <c r="D67" s="19">
        <v>29.086237366128199</v>
      </c>
      <c r="E67" s="19">
        <v>16.733609111656513</v>
      </c>
      <c r="F67" s="19">
        <v>9.72216389047923</v>
      </c>
      <c r="G67" s="19">
        <v>6.3062039877337934</v>
      </c>
      <c r="H67" s="19">
        <v>4.4928739276604457</v>
      </c>
      <c r="I67" s="19">
        <v>3.3999442420752812</v>
      </c>
      <c r="J67" s="19">
        <v>2.6753986517866868</v>
      </c>
      <c r="K67" s="19">
        <v>2.1652596704916927</v>
      </c>
      <c r="L67" s="19">
        <v>1.792191831004708</v>
      </c>
      <c r="M67" s="19">
        <v>1.792191831004708</v>
      </c>
      <c r="N67" s="19">
        <v>1.792191831004708</v>
      </c>
      <c r="O67" s="19">
        <v>1.792191831004708</v>
      </c>
      <c r="P67" s="19">
        <v>1.792191831004708</v>
      </c>
      <c r="Q67" s="19">
        <v>1.792191831004708</v>
      </c>
      <c r="R67" s="19">
        <v>1.792191831004708</v>
      </c>
      <c r="S67" s="19">
        <v>1.792191831004708</v>
      </c>
      <c r="T67" s="19">
        <v>1.792191831004708</v>
      </c>
      <c r="U67" s="19">
        <v>1.792191831004708</v>
      </c>
      <c r="V67" s="19">
        <v>1.792191831004708</v>
      </c>
      <c r="W67" s="19">
        <v>1.792191831004708</v>
      </c>
      <c r="X67" s="19">
        <v>1.792191831004708</v>
      </c>
      <c r="Y67" s="19">
        <v>1.792191831004708</v>
      </c>
      <c r="Z67" s="19">
        <v>1.792191831004708</v>
      </c>
      <c r="AA67" s="19">
        <v>1.792191831004708</v>
      </c>
      <c r="AB67" s="19">
        <v>1.792191831004708</v>
      </c>
      <c r="AC67" s="19">
        <v>1.792191831004708</v>
      </c>
      <c r="AD67" s="19">
        <v>1.792191831004708</v>
      </c>
      <c r="AE67" s="19">
        <v>1.792191831004708</v>
      </c>
      <c r="AF67" s="19">
        <v>1.792191831004708</v>
      </c>
      <c r="AG67" s="19">
        <v>1.792191831004708</v>
      </c>
      <c r="AH67" s="19">
        <v>1.792191831004708</v>
      </c>
      <c r="AI67" s="19">
        <v>1.792191831004708</v>
      </c>
      <c r="AJ67" s="19">
        <v>1.792191831004708</v>
      </c>
      <c r="AK67" s="19">
        <v>1.792191831004708</v>
      </c>
      <c r="AL67" s="19">
        <v>1.792191831004708</v>
      </c>
      <c r="AM67" s="19">
        <v>1.792191831004708</v>
      </c>
      <c r="AN67" s="19">
        <v>1.792191831004708</v>
      </c>
      <c r="AO67" s="19">
        <v>1.792191831004708</v>
      </c>
      <c r="AP67" s="19">
        <v>1.792191831004708</v>
      </c>
      <c r="AQ67" s="19">
        <v>1.792191831004708</v>
      </c>
      <c r="AR67" s="19">
        <v>1.792191831004708</v>
      </c>
      <c r="AS67" s="19">
        <v>1.792191831004708</v>
      </c>
      <c r="AT67" s="19">
        <v>1.792191831004708</v>
      </c>
      <c r="AU67" s="19">
        <v>1.792191831004708</v>
      </c>
      <c r="AV67" s="19">
        <v>1.792191831004708</v>
      </c>
      <c r="AW67" s="19">
        <v>1.792191831004708</v>
      </c>
      <c r="AX67" s="19">
        <v>1.792191831004708</v>
      </c>
      <c r="AY67" s="19">
        <v>1.792191831004708</v>
      </c>
      <c r="AZ67" s="19">
        <v>1.792191831004708</v>
      </c>
    </row>
    <row r="68" spans="1:52" s="19" customFormat="1" x14ac:dyDescent="0.4">
      <c r="A68" s="7"/>
      <c r="B68" s="21">
        <f t="shared" si="149"/>
        <v>10</v>
      </c>
      <c r="C68" s="19">
        <v>75.774899132000002</v>
      </c>
      <c r="D68" s="19">
        <v>48.136658827430331</v>
      </c>
      <c r="E68" s="19">
        <v>22.691877178933694</v>
      </c>
      <c r="F68" s="19">
        <v>11.305209046239483</v>
      </c>
      <c r="G68" s="19">
        <v>6.7854977891555812</v>
      </c>
      <c r="H68" s="19">
        <v>4.669856190569643</v>
      </c>
      <c r="I68" s="19">
        <v>3.4782728856124323</v>
      </c>
      <c r="J68" s="19">
        <v>2.71516477544399</v>
      </c>
      <c r="K68" s="19">
        <v>2.1874200606529004</v>
      </c>
      <c r="L68" s="19">
        <v>1.8053325612389926</v>
      </c>
      <c r="M68" s="19">
        <v>1.8053325612389926</v>
      </c>
      <c r="N68" s="19">
        <v>1.8053325612389926</v>
      </c>
      <c r="O68" s="19">
        <v>1.8053325612389926</v>
      </c>
      <c r="P68" s="19">
        <v>1.8053325612389926</v>
      </c>
      <c r="Q68" s="19">
        <v>1.8053325612389926</v>
      </c>
      <c r="R68" s="19">
        <v>1.8053325612389926</v>
      </c>
      <c r="S68" s="19">
        <v>1.8053325612389926</v>
      </c>
      <c r="T68" s="19">
        <v>1.8053325612389926</v>
      </c>
      <c r="U68" s="19">
        <v>1.8053325612389926</v>
      </c>
      <c r="V68" s="19">
        <v>1.8053325612389926</v>
      </c>
      <c r="W68" s="19">
        <v>1.8053325612389926</v>
      </c>
      <c r="X68" s="19">
        <v>1.8053325612389926</v>
      </c>
      <c r="Y68" s="19">
        <v>1.8053325612389926</v>
      </c>
      <c r="Z68" s="19">
        <v>1.8053325612389926</v>
      </c>
      <c r="AA68" s="19">
        <v>1.8053325612389926</v>
      </c>
      <c r="AB68" s="19">
        <v>1.8053325612389926</v>
      </c>
      <c r="AC68" s="19">
        <v>1.8053325612389926</v>
      </c>
      <c r="AD68" s="19">
        <v>1.8053325612389926</v>
      </c>
      <c r="AE68" s="19">
        <v>1.8053325612389926</v>
      </c>
      <c r="AF68" s="19">
        <v>1.8053325612389926</v>
      </c>
      <c r="AG68" s="19">
        <v>1.8053325612389926</v>
      </c>
      <c r="AH68" s="19">
        <v>1.8053325612389926</v>
      </c>
      <c r="AI68" s="19">
        <v>1.8053325612389926</v>
      </c>
      <c r="AJ68" s="19">
        <v>1.8053325612389926</v>
      </c>
      <c r="AK68" s="19">
        <v>1.8053325612389926</v>
      </c>
      <c r="AL68" s="19">
        <v>1.8053325612389926</v>
      </c>
      <c r="AM68" s="19">
        <v>1.8053325612389926</v>
      </c>
      <c r="AN68" s="19">
        <v>1.8053325612389926</v>
      </c>
      <c r="AO68" s="19">
        <v>1.8053325612389926</v>
      </c>
      <c r="AP68" s="19">
        <v>1.8053325612389926</v>
      </c>
      <c r="AQ68" s="19">
        <v>1.8053325612389926</v>
      </c>
      <c r="AR68" s="19">
        <v>1.8053325612389926</v>
      </c>
      <c r="AS68" s="19">
        <v>1.8053325612389926</v>
      </c>
      <c r="AT68" s="19">
        <v>1.8053325612389926</v>
      </c>
      <c r="AU68" s="19">
        <v>1.8053325612389926</v>
      </c>
      <c r="AV68" s="19">
        <v>1.8053325612389926</v>
      </c>
      <c r="AW68" s="19">
        <v>1.8053325612389926</v>
      </c>
      <c r="AX68" s="19">
        <v>1.8053325612389926</v>
      </c>
      <c r="AY68" s="19">
        <v>1.8053325612389926</v>
      </c>
      <c r="AZ68" s="19">
        <v>1.8053325612389926</v>
      </c>
    </row>
    <row r="69" spans="1:52" s="19" customFormat="1" x14ac:dyDescent="0.4">
      <c r="A69" s="7"/>
      <c r="B69" s="21" t="str">
        <f t="shared" si="149"/>
        <v/>
      </c>
    </row>
    <row r="70" spans="1:52" s="19" customFormat="1" x14ac:dyDescent="0.4">
      <c r="A70" s="7"/>
      <c r="B70" s="21" t="str">
        <f t="shared" si="149"/>
        <v/>
      </c>
    </row>
    <row r="71" spans="1:52" s="19" customFormat="1" x14ac:dyDescent="0.4">
      <c r="A71" s="7"/>
      <c r="B71" s="21" t="str">
        <f t="shared" si="149"/>
        <v/>
      </c>
    </row>
    <row r="72" spans="1:52" s="19" customFormat="1" x14ac:dyDescent="0.4">
      <c r="A72" s="7"/>
      <c r="B72" s="21" t="str">
        <f t="shared" si="149"/>
        <v/>
      </c>
    </row>
    <row r="73" spans="1:52" s="19" customFormat="1" x14ac:dyDescent="0.4">
      <c r="A73" s="7"/>
      <c r="B73" s="21" t="str">
        <f t="shared" si="149"/>
        <v/>
      </c>
    </row>
    <row r="81" spans="1:52" x14ac:dyDescent="0.4">
      <c r="C81" s="22" t="s">
        <v>51</v>
      </c>
      <c r="D81" s="22"/>
      <c r="E81" s="22"/>
      <c r="F81" s="22"/>
      <c r="G81" s="22"/>
      <c r="H81" s="22"/>
      <c r="I81" s="22"/>
      <c r="J81" s="22"/>
      <c r="K81" s="22"/>
      <c r="L81" s="22"/>
    </row>
    <row r="82" spans="1:52" s="21" customFormat="1" x14ac:dyDescent="0.4">
      <c r="A82" s="7"/>
      <c r="B82" s="7"/>
      <c r="C82" s="21" t="s">
        <v>66</v>
      </c>
      <c r="D82" s="21" t="s">
        <v>70</v>
      </c>
      <c r="E82" s="21" t="s">
        <v>74</v>
      </c>
      <c r="F82" s="21" t="s">
        <v>78</v>
      </c>
      <c r="G82" s="21" t="s">
        <v>82</v>
      </c>
      <c r="H82" s="21" t="s">
        <v>86</v>
      </c>
      <c r="I82" s="21" t="s">
        <v>90</v>
      </c>
      <c r="J82" s="21" t="s">
        <v>94</v>
      </c>
      <c r="K82" s="21" t="s">
        <v>98</v>
      </c>
      <c r="L82" s="21" t="s">
        <v>101</v>
      </c>
      <c r="M82" s="21" t="s">
        <v>105</v>
      </c>
      <c r="N82" s="21" t="s">
        <v>109</v>
      </c>
      <c r="O82" s="21" t="s">
        <v>269</v>
      </c>
      <c r="P82" s="21" t="s">
        <v>117</v>
      </c>
      <c r="Q82" s="21" t="s">
        <v>121</v>
      </c>
      <c r="R82" s="21" t="s">
        <v>125</v>
      </c>
      <c r="S82" s="21" t="s">
        <v>129</v>
      </c>
      <c r="T82" s="21" t="s">
        <v>133</v>
      </c>
      <c r="U82" s="21" t="s">
        <v>137</v>
      </c>
      <c r="V82" s="21" t="s">
        <v>141</v>
      </c>
      <c r="W82" s="21" t="s">
        <v>145</v>
      </c>
      <c r="X82" s="21" t="s">
        <v>149</v>
      </c>
      <c r="Y82" s="21" t="s">
        <v>153</v>
      </c>
      <c r="Z82" s="21" t="s">
        <v>157</v>
      </c>
      <c r="AA82" s="21" t="s">
        <v>161</v>
      </c>
      <c r="AB82" s="21" t="s">
        <v>165</v>
      </c>
      <c r="AC82" s="21" t="s">
        <v>169</v>
      </c>
      <c r="AD82" s="21" t="s">
        <v>173</v>
      </c>
      <c r="AE82" s="21" t="s">
        <v>177</v>
      </c>
      <c r="AF82" s="21" t="s">
        <v>181</v>
      </c>
      <c r="AG82" s="21" t="s">
        <v>185</v>
      </c>
      <c r="AH82" s="21" t="s">
        <v>189</v>
      </c>
      <c r="AI82" s="21" t="s">
        <v>193</v>
      </c>
      <c r="AJ82" s="21" t="s">
        <v>197</v>
      </c>
      <c r="AK82" s="21" t="s">
        <v>201</v>
      </c>
      <c r="AL82" s="21" t="s">
        <v>205</v>
      </c>
      <c r="AM82" s="21" t="s">
        <v>209</v>
      </c>
      <c r="AN82" s="21" t="s">
        <v>213</v>
      </c>
      <c r="AO82" s="21" t="s">
        <v>217</v>
      </c>
      <c r="AP82" s="21" t="s">
        <v>221</v>
      </c>
      <c r="AQ82" s="21" t="s">
        <v>225</v>
      </c>
      <c r="AR82" s="21" t="s">
        <v>229</v>
      </c>
      <c r="AS82" s="21" t="s">
        <v>233</v>
      </c>
      <c r="AT82" s="21" t="s">
        <v>237</v>
      </c>
      <c r="AU82" s="21" t="s">
        <v>241</v>
      </c>
      <c r="AV82" s="21" t="s">
        <v>245</v>
      </c>
      <c r="AW82" s="21" t="s">
        <v>249</v>
      </c>
      <c r="AX82" s="21" t="s">
        <v>253</v>
      </c>
      <c r="AY82" s="21" t="s">
        <v>257</v>
      </c>
      <c r="AZ82" s="21" t="s">
        <v>261</v>
      </c>
    </row>
    <row r="83" spans="1:52" s="19" customFormat="1" x14ac:dyDescent="0.4">
      <c r="A83" s="7"/>
      <c r="B83" s="21">
        <f>B59</f>
        <v>1</v>
      </c>
      <c r="C83" s="19">
        <v>0.03</v>
      </c>
      <c r="D83" s="19">
        <v>7.595801182934174E-2</v>
      </c>
      <c r="E83" s="19">
        <v>0.11851274596150548</v>
      </c>
      <c r="F83" s="19">
        <v>0.16225544464278194</v>
      </c>
      <c r="G83" s="19">
        <v>0.20589054585283836</v>
      </c>
      <c r="H83" s="19">
        <v>0.24770057342790205</v>
      </c>
      <c r="I83" s="19">
        <v>0.28627055970211496</v>
      </c>
      <c r="J83" s="19">
        <v>0.32068535542043675</v>
      </c>
      <c r="K83" s="19">
        <v>0.35053150040395492</v>
      </c>
      <c r="L83" s="19">
        <v>0.3757981990606708</v>
      </c>
      <c r="M83" s="19">
        <v>0.37436010201977094</v>
      </c>
      <c r="N83" s="19">
        <v>0.37292750825989851</v>
      </c>
      <c r="O83" s="19">
        <v>0.37150039672120772</v>
      </c>
      <c r="P83" s="19">
        <v>0.37007874642444394</v>
      </c>
      <c r="Q83" s="19">
        <v>0.36866253647063574</v>
      </c>
      <c r="R83" s="19">
        <v>0.36725174604078731</v>
      </c>
      <c r="S83" s="19">
        <v>0.36584635439557273</v>
      </c>
      <c r="T83" s="19">
        <v>0.36444634087503075</v>
      </c>
      <c r="U83" s="19">
        <v>0.36305168489826128</v>
      </c>
      <c r="V83" s="19">
        <v>0.3616623659631229</v>
      </c>
      <c r="W83" s="19">
        <v>0.3602783636459313</v>
      </c>
      <c r="X83" s="19">
        <v>0.35889965760115911</v>
      </c>
      <c r="Y83" s="19">
        <v>0.35752622756113678</v>
      </c>
      <c r="Z83" s="19">
        <v>0.3561580533357549</v>
      </c>
      <c r="AA83" s="19">
        <v>0.3547951148121668</v>
      </c>
      <c r="AB83" s="19">
        <v>0.35343739195449358</v>
      </c>
      <c r="AC83" s="19">
        <v>0.35208486480352907</v>
      </c>
      <c r="AD83" s="19">
        <v>0.35073751347644666</v>
      </c>
      <c r="AE83" s="19">
        <v>0.34939531816650687</v>
      </c>
      <c r="AF83" s="19">
        <v>0.34805825914276634</v>
      </c>
      <c r="AG83" s="19">
        <v>0.3467263167497876</v>
      </c>
      <c r="AH83" s="19">
        <v>0.34539947140735028</v>
      </c>
      <c r="AI83" s="19">
        <v>0.34407770361016327</v>
      </c>
      <c r="AJ83" s="19">
        <v>0.34276099392757775</v>
      </c>
      <c r="AK83" s="19">
        <v>0.34144932300330177</v>
      </c>
      <c r="AL83" s="19">
        <v>0.34014267155511579</v>
      </c>
      <c r="AM83" s="19">
        <v>0.33884102037458896</v>
      </c>
      <c r="AN83" s="19">
        <v>0.33754435032679686</v>
      </c>
      <c r="AO83" s="19">
        <v>0.33625264235004027</v>
      </c>
      <c r="AP83" s="19">
        <v>0.33496587745556489</v>
      </c>
      <c r="AQ83" s="19">
        <v>0.33368403672728214</v>
      </c>
      <c r="AR83" s="19">
        <v>0.33240710132149121</v>
      </c>
      <c r="AS83" s="19">
        <v>0.33113505246660208</v>
      </c>
      <c r="AT83" s="19">
        <v>0.32986787146285929</v>
      </c>
      <c r="AU83" s="19">
        <v>0.32860553968206729</v>
      </c>
      <c r="AV83" s="19">
        <v>0.3273480385673167</v>
      </c>
      <c r="AW83" s="19">
        <v>0.32609534963271103</v>
      </c>
      <c r="AX83" s="19">
        <v>0.32484745446309554</v>
      </c>
      <c r="AY83" s="19">
        <v>0.32360433471378619</v>
      </c>
      <c r="AZ83" s="19">
        <v>0.32236597211029977</v>
      </c>
    </row>
    <row r="84" spans="1:52" s="19" customFormat="1" x14ac:dyDescent="0.4">
      <c r="A84" s="7"/>
      <c r="B84" s="21">
        <f t="shared" ref="B84:B97" si="150">B60</f>
        <v>2</v>
      </c>
      <c r="C84" s="19">
        <v>5.0237443E-2</v>
      </c>
      <c r="D84" s="19">
        <v>0.12854806577768096</v>
      </c>
      <c r="E84" s="19">
        <v>0.1796901928729179</v>
      </c>
      <c r="F84" s="19">
        <v>0.22667304547889269</v>
      </c>
      <c r="G84" s="19">
        <v>0.27042606180708639</v>
      </c>
      <c r="H84" s="19">
        <v>0.3096126325963367</v>
      </c>
      <c r="I84" s="19">
        <v>0.34338764488987428</v>
      </c>
      <c r="J84" s="19">
        <v>0.37162406347375021</v>
      </c>
      <c r="K84" s="19">
        <v>0.39468051174646129</v>
      </c>
      <c r="L84" s="19">
        <v>0.4131553501266193</v>
      </c>
      <c r="M84" s="19">
        <v>0.41140864116635162</v>
      </c>
      <c r="N84" s="19">
        <v>0.40966931681865376</v>
      </c>
      <c r="O84" s="19">
        <v>0.40793734586338332</v>
      </c>
      <c r="P84" s="19">
        <v>0.40621269721238795</v>
      </c>
      <c r="Q84" s="19">
        <v>0.40449533990894765</v>
      </c>
      <c r="R84" s="19">
        <v>0.40278524312721897</v>
      </c>
      <c r="S84" s="19">
        <v>0.40108237617168202</v>
      </c>
      <c r="T84" s="19">
        <v>0.39938670847658903</v>
      </c>
      <c r="U84" s="19">
        <v>0.39769820960541596</v>
      </c>
      <c r="V84" s="19">
        <v>0.39601684925031644</v>
      </c>
      <c r="W84" s="19">
        <v>0.39434259723157689</v>
      </c>
      <c r="X84" s="19">
        <v>0.3926754234970759</v>
      </c>
      <c r="Y84" s="19">
        <v>0.39101529812174418</v>
      </c>
      <c r="Z84" s="19">
        <v>0.38936219130702743</v>
      </c>
      <c r="AA84" s="19">
        <v>0.38771607338035158</v>
      </c>
      <c r="AB84" s="19">
        <v>0.38607691479459022</v>
      </c>
      <c r="AC84" s="19">
        <v>0.38444468612753424</v>
      </c>
      <c r="AD84" s="19">
        <v>0.38281935808136353</v>
      </c>
      <c r="AE84" s="19">
        <v>0.38120090148212138</v>
      </c>
      <c r="AF84" s="19">
        <v>0.37958928727919045</v>
      </c>
      <c r="AG84" s="19">
        <v>0.37798448654477174</v>
      </c>
      <c r="AH84" s="19">
        <v>0.37638647047336521</v>
      </c>
      <c r="AI84" s="19">
        <v>0.37479521038125241</v>
      </c>
      <c r="AJ84" s="19">
        <v>0.37321067770598215</v>
      </c>
      <c r="AK84" s="19">
        <v>0.37163284400585739</v>
      </c>
      <c r="AL84" s="19">
        <v>0.37006168095942493</v>
      </c>
      <c r="AM84" s="19">
        <v>0.36849716036496699</v>
      </c>
      <c r="AN84" s="19">
        <v>0.36693925413999512</v>
      </c>
      <c r="AO84" s="19">
        <v>0.36538793432074584</v>
      </c>
      <c r="AP84" s="19">
        <v>0.36384317306167918</v>
      </c>
      <c r="AQ84" s="19">
        <v>0.36230494263497814</v>
      </c>
      <c r="AR84" s="19">
        <v>0.36077321543005181</v>
      </c>
      <c r="AS84" s="19">
        <v>0.35924796395303926</v>
      </c>
      <c r="AT84" s="19">
        <v>0.35772916082631606</v>
      </c>
      <c r="AU84" s="19">
        <v>0.35621677878800317</v>
      </c>
      <c r="AV84" s="19">
        <v>0.35471079069147721</v>
      </c>
      <c r="AW84" s="19">
        <v>0.3532111695048834</v>
      </c>
      <c r="AX84" s="19">
        <v>0.35171788831065043</v>
      </c>
      <c r="AY84" s="19">
        <v>0.35023092030500708</v>
      </c>
      <c r="AZ84" s="19">
        <v>0.34875023879750133</v>
      </c>
    </row>
    <row r="85" spans="1:52" s="19" customFormat="1" x14ac:dyDescent="0.4">
      <c r="A85" s="7"/>
      <c r="B85" s="21">
        <f t="shared" si="150"/>
        <v>3</v>
      </c>
      <c r="C85" s="19">
        <v>9.9946122999999998E-2</v>
      </c>
      <c r="D85" s="19">
        <v>0.25540582467665901</v>
      </c>
      <c r="E85" s="19">
        <v>0.31704256912775713</v>
      </c>
      <c r="F85" s="19">
        <v>0.3663087109717334</v>
      </c>
      <c r="G85" s="19">
        <v>0.40582224605868672</v>
      </c>
      <c r="H85" s="19">
        <v>0.43493505170469049</v>
      </c>
      <c r="I85" s="19">
        <v>0.45488815733366572</v>
      </c>
      <c r="J85" s="19">
        <v>0.46773755702529973</v>
      </c>
      <c r="K85" s="19">
        <v>0.47547860195846764</v>
      </c>
      <c r="L85" s="19">
        <v>0.47971289590981536</v>
      </c>
      <c r="M85" s="19">
        <v>0.47733367063363275</v>
      </c>
      <c r="N85" s="19">
        <v>0.47496624556745726</v>
      </c>
      <c r="O85" s="19">
        <v>0.47261056218595393</v>
      </c>
      <c r="P85" s="19">
        <v>0.47026656225405483</v>
      </c>
      <c r="Q85" s="19">
        <v>0.46793418782552032</v>
      </c>
      <c r="R85" s="19">
        <v>0.46561338124150525</v>
      </c>
      <c r="S85" s="19">
        <v>0.46330408512913462</v>
      </c>
      <c r="T85" s="19">
        <v>0.46100624240008464</v>
      </c>
      <c r="U85" s="19">
        <v>0.45871979624917186</v>
      </c>
      <c r="V85" s="19">
        <v>0.45644469015294864</v>
      </c>
      <c r="W85" s="19">
        <v>0.45418086786830575</v>
      </c>
      <c r="X85" s="19">
        <v>0.45192827343108227</v>
      </c>
      <c r="Y85" s="19">
        <v>0.44968685115468188</v>
      </c>
      <c r="Z85" s="19">
        <v>0.44745654562869652</v>
      </c>
      <c r="AA85" s="19">
        <v>0.44523730171753573</v>
      </c>
      <c r="AB85" s="19">
        <v>0.44302906455906504</v>
      </c>
      <c r="AC85" s="19">
        <v>0.44083177956324826</v>
      </c>
      <c r="AD85" s="19">
        <v>0.43864539241079908</v>
      </c>
      <c r="AE85" s="19">
        <v>0.4364698490518375</v>
      </c>
      <c r="AF85" s="19">
        <v>0.43430509570455439</v>
      </c>
      <c r="AG85" s="19">
        <v>0.43215107885388077</v>
      </c>
      <c r="AH85" s="19">
        <v>0.43000774525016633</v>
      </c>
      <c r="AI85" s="19">
        <v>0.4278750419078618</v>
      </c>
      <c r="AJ85" s="19">
        <v>0.42575291610420968</v>
      </c>
      <c r="AK85" s="19">
        <v>0.42364131537794114</v>
      </c>
      <c r="AL85" s="19">
        <v>0.42154018752797834</v>
      </c>
      <c r="AM85" s="19">
        <v>0.41944948061214454</v>
      </c>
      <c r="AN85" s="19">
        <v>0.41736914294587996</v>
      </c>
      <c r="AO85" s="19">
        <v>0.41529912310096395</v>
      </c>
      <c r="AP85" s="19">
        <v>0.41323936990424343</v>
      </c>
      <c r="AQ85" s="19">
        <v>0.41118983243636853</v>
      </c>
      <c r="AR85" s="19">
        <v>0.40915046003053318</v>
      </c>
      <c r="AS85" s="19">
        <v>0.40712120227122256</v>
      </c>
      <c r="AT85" s="19">
        <v>0.40510200899296711</v>
      </c>
      <c r="AU85" s="19">
        <v>0.40309283027910248</v>
      </c>
      <c r="AV85" s="19">
        <v>0.40109361646053471</v>
      </c>
      <c r="AW85" s="19">
        <v>0.39910431811451369</v>
      </c>
      <c r="AX85" s="19">
        <v>0.39712488606341007</v>
      </c>
      <c r="AY85" s="19">
        <v>0.39515527137350015</v>
      </c>
      <c r="AZ85" s="19">
        <v>0.39319542535375646</v>
      </c>
    </row>
    <row r="86" spans="1:52" s="19" customFormat="1" x14ac:dyDescent="0.4">
      <c r="A86" s="7"/>
      <c r="B86" s="21">
        <f t="shared" si="150"/>
        <v>4</v>
      </c>
      <c r="C86" s="19">
        <v>0.23156236799999999</v>
      </c>
      <c r="D86" s="19">
        <v>0.54552540971262153</v>
      </c>
      <c r="E86" s="19">
        <v>0.67860339089097232</v>
      </c>
      <c r="F86" s="19">
        <v>0.73962101833883676</v>
      </c>
      <c r="G86" s="19">
        <v>0.7542977654153239</v>
      </c>
      <c r="H86" s="19">
        <v>0.74093375770772285</v>
      </c>
      <c r="I86" s="19">
        <v>0.71330141722011353</v>
      </c>
      <c r="J86" s="19">
        <v>0.68034433125343752</v>
      </c>
      <c r="K86" s="19">
        <v>0.64717973475088242</v>
      </c>
      <c r="L86" s="19">
        <v>0.61638791435824525</v>
      </c>
      <c r="M86" s="19">
        <v>0.61235758043151278</v>
      </c>
      <c r="N86" s="19">
        <v>0.60835359937637712</v>
      </c>
      <c r="O86" s="19">
        <v>0.60437579888110105</v>
      </c>
      <c r="P86" s="19">
        <v>0.60042400776062987</v>
      </c>
      <c r="Q86" s="19">
        <v>0.59649805594922578</v>
      </c>
      <c r="R86" s="19">
        <v>0.59259777449314754</v>
      </c>
      <c r="S86" s="19">
        <v>0.58872299554338092</v>
      </c>
      <c r="T86" s="19">
        <v>0.58487355234841421</v>
      </c>
      <c r="U86" s="19">
        <v>0.58104927924706262</v>
      </c>
      <c r="V86" s="19">
        <v>0.57725001166133927</v>
      </c>
      <c r="W86" s="19">
        <v>0.57347558608937177</v>
      </c>
      <c r="X86" s="19">
        <v>0.56972584009836669</v>
      </c>
      <c r="Y86" s="19">
        <v>0.56600061231761867</v>
      </c>
      <c r="Z86" s="19">
        <v>0.56229974243156633</v>
      </c>
      <c r="AA86" s="19">
        <v>0.55862307117289245</v>
      </c>
      <c r="AB86" s="19">
        <v>0.55497044031567044</v>
      </c>
      <c r="AC86" s="19">
        <v>0.55134169266855493</v>
      </c>
      <c r="AD86" s="19">
        <v>0.54773667206801668</v>
      </c>
      <c r="AE86" s="19">
        <v>0.54415522337162281</v>
      </c>
      <c r="AF86" s="19">
        <v>0.54059719245135929</v>
      </c>
      <c r="AG86" s="19">
        <v>0.53706242618699884</v>
      </c>
      <c r="AH86" s="19">
        <v>0.53355077245951066</v>
      </c>
      <c r="AI86" s="19">
        <v>0.53006208014451484</v>
      </c>
      <c r="AJ86" s="19">
        <v>0.52659619910577793</v>
      </c>
      <c r="AK86" s="19">
        <v>0.52315298018875211</v>
      </c>
      <c r="AL86" s="19">
        <v>0.51973227521415621</v>
      </c>
      <c r="AM86" s="19">
        <v>0.51633393697159946</v>
      </c>
      <c r="AN86" s="19">
        <v>0.51295781921324479</v>
      </c>
      <c r="AO86" s="19">
        <v>0.50960377664751677</v>
      </c>
      <c r="AP86" s="19">
        <v>0.50627166493284781</v>
      </c>
      <c r="AQ86" s="19">
        <v>0.50296134067146669</v>
      </c>
      <c r="AR86" s="19">
        <v>0.49967266140322752</v>
      </c>
      <c r="AS86" s="19">
        <v>0.49640548559947922</v>
      </c>
      <c r="AT86" s="19">
        <v>0.49315967265697419</v>
      </c>
      <c r="AU86" s="19">
        <v>0.48993508289181764</v>
      </c>
      <c r="AV86" s="19">
        <v>0.48673157753345697</v>
      </c>
      <c r="AW86" s="19">
        <v>0.48354901871870865</v>
      </c>
      <c r="AX86" s="19">
        <v>0.48038726948582622</v>
      </c>
      <c r="AY86" s="19">
        <v>0.47724619376860522</v>
      </c>
      <c r="AZ86" s="19">
        <v>0.47412565639052862</v>
      </c>
    </row>
    <row r="87" spans="1:52" s="19" customFormat="1" x14ac:dyDescent="0.4">
      <c r="A87" s="7"/>
      <c r="B87" s="21">
        <f t="shared" si="150"/>
        <v>5</v>
      </c>
      <c r="C87" s="19">
        <v>0.53511781400000002</v>
      </c>
      <c r="D87" s="19">
        <v>1.2953984488499697</v>
      </c>
      <c r="E87" s="19">
        <v>1.5037588263407162</v>
      </c>
      <c r="F87" s="19">
        <v>1.5092700096876341</v>
      </c>
      <c r="G87" s="19">
        <v>1.412860735051598</v>
      </c>
      <c r="H87" s="19">
        <v>1.2782409415369711</v>
      </c>
      <c r="I87" s="19">
        <v>1.1402563189094062</v>
      </c>
      <c r="J87" s="19">
        <v>1.014438767636296</v>
      </c>
      <c r="K87" s="19">
        <v>0.90594547065159869</v>
      </c>
      <c r="L87" s="19">
        <v>0.81508560919019546</v>
      </c>
      <c r="M87" s="19">
        <v>0.8076546301009726</v>
      </c>
      <c r="N87" s="19">
        <v>0.80029139782214831</v>
      </c>
      <c r="O87" s="19">
        <v>0.79299529471905261</v>
      </c>
      <c r="P87" s="19">
        <v>0.78576570878787166</v>
      </c>
      <c r="Q87" s="19">
        <v>0.77860203360431368</v>
      </c>
      <c r="R87" s="19">
        <v>0.77150366827274031</v>
      </c>
      <c r="S87" s="19">
        <v>0.76447001737576348</v>
      </c>
      <c r="T87" s="19">
        <v>0.75750049092430149</v>
      </c>
      <c r="U87" s="19">
        <v>0.75059450430808949</v>
      </c>
      <c r="V87" s="19">
        <v>0.74375147824664223</v>
      </c>
      <c r="W87" s="19">
        <v>0.73697083874066405</v>
      </c>
      <c r="X87" s="19">
        <v>0.73025201702389997</v>
      </c>
      <c r="Y87" s="19">
        <v>0.7235944495154284</v>
      </c>
      <c r="Z87" s="19">
        <v>0.71699757777238649</v>
      </c>
      <c r="AA87" s="19">
        <v>0.71046084844312807</v>
      </c>
      <c r="AB87" s="19">
        <v>0.70398371322080744</v>
      </c>
      <c r="AC87" s="19">
        <v>0.69756562879738759</v>
      </c>
      <c r="AD87" s="19">
        <v>0.69120605681806624</v>
      </c>
      <c r="AE87" s="19">
        <v>0.6849044638361188</v>
      </c>
      <c r="AF87" s="19">
        <v>0.67866032126815212</v>
      </c>
      <c r="AG87" s="19">
        <v>0.67247310534976612</v>
      </c>
      <c r="AH87" s="19">
        <v>0.66634229709162052</v>
      </c>
      <c r="AI87" s="19">
        <v>0.6602673822359012</v>
      </c>
      <c r="AJ87" s="19">
        <v>0.65424785121318385</v>
      </c>
      <c r="AK87" s="19">
        <v>0.64828319909969068</v>
      </c>
      <c r="AL87" s="19">
        <v>0.64237292557493719</v>
      </c>
      <c r="AM87" s="19">
        <v>0.63651653487976501</v>
      </c>
      <c r="AN87" s="19">
        <v>0.63071353577475631</v>
      </c>
      <c r="AO87" s="19">
        <v>0.62496344149902938</v>
      </c>
      <c r="AP87" s="19">
        <v>0.61926576972940739</v>
      </c>
      <c r="AQ87" s="19">
        <v>0.61362004253996194</v>
      </c>
      <c r="AR87" s="19">
        <v>0.60802578636192339</v>
      </c>
      <c r="AS87" s="19">
        <v>0.60248253194395784</v>
      </c>
      <c r="AT87" s="19">
        <v>0.5969898143128054</v>
      </c>
      <c r="AU87" s="19">
        <v>0.59154717273427848</v>
      </c>
      <c r="AV87" s="19">
        <v>0.58615415067461463</v>
      </c>
      <c r="AW87" s="19">
        <v>0.58081029576218179</v>
      </c>
      <c r="AX87" s="19">
        <v>0.57551515974953382</v>
      </c>
      <c r="AY87" s="19">
        <v>0.57026829847581006</v>
      </c>
      <c r="AZ87" s="19">
        <v>0.56506927182947941</v>
      </c>
    </row>
    <row r="88" spans="1:52" s="19" customFormat="1" x14ac:dyDescent="0.4">
      <c r="A88" s="7"/>
      <c r="B88" s="21">
        <f t="shared" si="150"/>
        <v>6</v>
      </c>
      <c r="C88" s="19">
        <v>1.5252171880000001</v>
      </c>
      <c r="D88" s="19">
        <v>2.92593773003916</v>
      </c>
      <c r="E88" s="19">
        <v>3.0513519804839215</v>
      </c>
      <c r="F88" s="19">
        <v>2.6842871379286821</v>
      </c>
      <c r="G88" s="19">
        <v>2.2391044369199742</v>
      </c>
      <c r="H88" s="19">
        <v>1.8482187152368619</v>
      </c>
      <c r="I88" s="19">
        <v>1.534226297510082</v>
      </c>
      <c r="J88" s="19">
        <v>1.2885785863955703</v>
      </c>
      <c r="K88" s="19">
        <v>1.0973988893882001</v>
      </c>
      <c r="L88" s="19">
        <v>0.94829434266841162</v>
      </c>
      <c r="M88" s="19">
        <v>0.93730168090078392</v>
      </c>
      <c r="N88" s="19">
        <v>0.9264364464595678</v>
      </c>
      <c r="O88" s="19">
        <v>0.91569716220266084</v>
      </c>
      <c r="P88" s="19">
        <v>0.90508236811104381</v>
      </c>
      <c r="Q88" s="19">
        <v>0.89459062109029097</v>
      </c>
      <c r="R88" s="19">
        <v>0.88422049477437747</v>
      </c>
      <c r="S88" s="19">
        <v>0.87397057933176503</v>
      </c>
      <c r="T88" s="19">
        <v>0.86383948127373189</v>
      </c>
      <c r="U88" s="19">
        <v>0.85382582326492795</v>
      </c>
      <c r="V88" s="19">
        <v>0.84392824393612276</v>
      </c>
      <c r="W88" s="19">
        <v>0.83414539769912743</v>
      </c>
      <c r="X88" s="19">
        <v>0.82447595456385825</v>
      </c>
      <c r="Y88" s="19">
        <v>0.81491859995752403</v>
      </c>
      <c r="Z88" s="19">
        <v>0.80547203454590877</v>
      </c>
      <c r="AA88" s="19">
        <v>0.79613497405672473</v>
      </c>
      <c r="AB88" s="19">
        <v>0.78690614910501377</v>
      </c>
      <c r="AC88" s="19">
        <v>0.77778430502057383</v>
      </c>
      <c r="AD88" s="19">
        <v>0.76876820167738413</v>
      </c>
      <c r="AE88" s="19">
        <v>0.7598566133250092</v>
      </c>
      <c r="AF88" s="19">
        <v>0.75104832842195612</v>
      </c>
      <c r="AG88" s="19">
        <v>0.74234214947096389</v>
      </c>
      <c r="AH88" s="19">
        <v>0.73373689285620258</v>
      </c>
      <c r="AI88" s="19">
        <v>0.72523138868235926</v>
      </c>
      <c r="AJ88" s="19">
        <v>0.71682448061558846</v>
      </c>
      <c r="AK88" s="19">
        <v>0.70851502572630864</v>
      </c>
      <c r="AL88" s="19">
        <v>0.70030189433381784</v>
      </c>
      <c r="AM88" s="19">
        <v>0.69218396985271369</v>
      </c>
      <c r="AN88" s="19">
        <v>0.68416014864109076</v>
      </c>
      <c r="AO88" s="19">
        <v>0.67622933985050082</v>
      </c>
      <c r="AP88" s="19">
        <v>0.668390465277649</v>
      </c>
      <c r="AQ88" s="19">
        <v>0.66064245921781151</v>
      </c>
      <c r="AR88" s="19">
        <v>0.6529842683199516</v>
      </c>
      <c r="AS88" s="19">
        <v>0.64541485144351574</v>
      </c>
      <c r="AT88" s="19">
        <v>0.63793317951688777</v>
      </c>
      <c r="AU88" s="19">
        <v>0.63053823539748743</v>
      </c>
      <c r="AV88" s="19">
        <v>0.62322901373348671</v>
      </c>
      <c r="AW88" s="19">
        <v>0.61600452082713175</v>
      </c>
      <c r="AX88" s="19">
        <v>0.6088637744996489</v>
      </c>
      <c r="AY88" s="19">
        <v>0.60180580395771555</v>
      </c>
      <c r="AZ88" s="19">
        <v>0.59482964966147978</v>
      </c>
    </row>
    <row r="89" spans="1:52" s="19" customFormat="1" x14ac:dyDescent="0.4">
      <c r="A89" s="7"/>
      <c r="B89" s="21">
        <f t="shared" si="150"/>
        <v>7</v>
      </c>
      <c r="C89" s="19">
        <v>5.3745576939999999</v>
      </c>
      <c r="D89" s="19">
        <v>7.4030408309319027</v>
      </c>
      <c r="E89" s="19">
        <v>5.7557596147123675</v>
      </c>
      <c r="F89" s="19">
        <v>4.1691374641878891</v>
      </c>
      <c r="G89" s="19">
        <v>3.0584929736443995</v>
      </c>
      <c r="H89" s="19">
        <v>2.3104508289140595</v>
      </c>
      <c r="I89" s="19">
        <v>1.7977803321365144</v>
      </c>
      <c r="J89" s="19">
        <v>1.4363554722769765</v>
      </c>
      <c r="K89" s="19">
        <v>1.174611660353573</v>
      </c>
      <c r="L89" s="19">
        <v>0.9807254930528555</v>
      </c>
      <c r="M89" s="19">
        <v>0.96648045225441004</v>
      </c>
      <c r="N89" s="19">
        <v>0.95244232071730939</v>
      </c>
      <c r="O89" s="19">
        <v>0.9386080930838967</v>
      </c>
      <c r="P89" s="19">
        <v>0.9249748076493447</v>
      </c>
      <c r="Q89" s="19">
        <v>0.91153954572759832</v>
      </c>
      <c r="R89" s="19">
        <v>0.89829943102652554</v>
      </c>
      <c r="S89" s="19">
        <v>0.88525162903214694</v>
      </c>
      <c r="T89" s="19">
        <v>0.87239334640180688</v>
      </c>
      <c r="U89" s="19">
        <v>0.85972183036616101</v>
      </c>
      <c r="V89" s="19">
        <v>0.84723436813984765</v>
      </c>
      <c r="W89" s="19">
        <v>0.83492828634072103</v>
      </c>
      <c r="X89" s="19">
        <v>0.82280095041751911</v>
      </c>
      <c r="Y89" s="19">
        <v>0.81084976408584564</v>
      </c>
      <c r="Z89" s="19">
        <v>0.79907216877234222</v>
      </c>
      <c r="AA89" s="19">
        <v>0.78746564306693689</v>
      </c>
      <c r="AB89" s="19">
        <v>0.77602770218304684</v>
      </c>
      <c r="AC89" s="19">
        <v>0.76475589742562156</v>
      </c>
      <c r="AD89" s="19">
        <v>0.7536478156669143</v>
      </c>
      <c r="AE89" s="19">
        <v>0.74270107882986558</v>
      </c>
      <c r="AF89" s="19">
        <v>0.73191334337899283</v>
      </c>
      <c r="AG89" s="19">
        <v>0.72128229981867376</v>
      </c>
      <c r="AH89" s="19">
        <v>0.71080567219871682</v>
      </c>
      <c r="AI89" s="19">
        <v>0.70048121762711379</v>
      </c>
      <c r="AJ89" s="19">
        <v>0.69030672578987029</v>
      </c>
      <c r="AK89" s="19">
        <v>0.68028001847780906</v>
      </c>
      <c r="AL89" s="19">
        <v>0.67039894912024789</v>
      </c>
      <c r="AM89" s="19">
        <v>0.66066140232545068</v>
      </c>
      <c r="AN89" s="19">
        <v>0.65106529342775221</v>
      </c>
      <c r="AO89" s="19">
        <v>0.64160856804126298</v>
      </c>
      <c r="AP89" s="19">
        <v>0.63228920162005453</v>
      </c>
      <c r="AQ89" s="19">
        <v>0.62310519902473438</v>
      </c>
      <c r="AR89" s="19">
        <v>0.61405459409531549</v>
      </c>
      <c r="AS89" s="19">
        <v>0.6051354492302915</v>
      </c>
      <c r="AT89" s="19">
        <v>0.59634585497182302</v>
      </c>
      <c r="AU89" s="19">
        <v>0.58768392959695204</v>
      </c>
      <c r="AV89" s="19">
        <v>0.57914781871475218</v>
      </c>
      <c r="AW89" s="19">
        <v>0.57073569486933129</v>
      </c>
      <c r="AX89" s="19">
        <v>0.56244575714859879</v>
      </c>
      <c r="AY89" s="19">
        <v>0.55427623079871879</v>
      </c>
      <c r="AZ89" s="19">
        <v>0.54622536684415979</v>
      </c>
    </row>
    <row r="90" spans="1:52" s="19" customFormat="1" x14ac:dyDescent="0.4">
      <c r="A90" s="7"/>
      <c r="B90" s="21">
        <f t="shared" si="150"/>
        <v>8</v>
      </c>
      <c r="C90" s="19">
        <v>17.184785772000001</v>
      </c>
      <c r="D90" s="19">
        <v>14.854996776588449</v>
      </c>
      <c r="E90" s="19">
        <v>8.0471177720909832</v>
      </c>
      <c r="F90" s="19">
        <v>4.6610963862848926</v>
      </c>
      <c r="G90" s="19">
        <v>3.0128099471161698</v>
      </c>
      <c r="H90" s="19">
        <v>2.1142231120345878</v>
      </c>
      <c r="I90" s="19">
        <v>1.5690445661267665</v>
      </c>
      <c r="J90" s="19">
        <v>1.211812742577165</v>
      </c>
      <c r="K90" s="19">
        <v>0.96501751128377022</v>
      </c>
      <c r="L90" s="19">
        <v>0.78804813473253543</v>
      </c>
      <c r="M90" s="19">
        <v>0.77465805333674043</v>
      </c>
      <c r="N90" s="19">
        <v>0.76149548885505713</v>
      </c>
      <c r="O90" s="19">
        <v>0.74855657544495113</v>
      </c>
      <c r="P90" s="19">
        <v>0.73583751295016142</v>
      </c>
      <c r="Q90" s="19">
        <v>0.72333456578459765</v>
      </c>
      <c r="R90" s="19">
        <v>0.71104406183519742</v>
      </c>
      <c r="S90" s="19">
        <v>0.69896239138342797</v>
      </c>
      <c r="T90" s="19">
        <v>0.68708600604511338</v>
      </c>
      <c r="U90" s="19">
        <v>0.67541141772827373</v>
      </c>
      <c r="V90" s="19">
        <v>0.66393519760867348</v>
      </c>
      <c r="W90" s="19">
        <v>0.65265397512277701</v>
      </c>
      <c r="X90" s="19">
        <v>0.64156443697781429</v>
      </c>
      <c r="Y90" s="19">
        <v>0.63066332617866749</v>
      </c>
      <c r="Z90" s="19">
        <v>0.61994744107129218</v>
      </c>
      <c r="AA90" s="19">
        <v>0.60941363440239271</v>
      </c>
      <c r="AB90" s="19">
        <v>0.59905881239507364</v>
      </c>
      <c r="AC90" s="19">
        <v>0.58887993384019843</v>
      </c>
      <c r="AD90" s="19">
        <v>0.57887400920318755</v>
      </c>
      <c r="AE90" s="19">
        <v>0.56903809974599218</v>
      </c>
      <c r="AF90" s="19">
        <v>0.55936931666398748</v>
      </c>
      <c r="AG90" s="19">
        <v>0.54986482023753092</v>
      </c>
      <c r="AH90" s="19">
        <v>0.54052181899793827</v>
      </c>
      <c r="AI90" s="19">
        <v>0.53133756890762862</v>
      </c>
      <c r="AJ90" s="19">
        <v>0.52230937255420185</v>
      </c>
      <c r="AK90" s="19">
        <v>0.51343457835820883</v>
      </c>
      <c r="AL90" s="19">
        <v>0.50471057979438316</v>
      </c>
      <c r="AM90" s="19">
        <v>0.49613481462610526</v>
      </c>
      <c r="AN90" s="19">
        <v>0.48770476415287378</v>
      </c>
      <c r="AO90" s="19">
        <v>0.47941795247056385</v>
      </c>
      <c r="AP90" s="19">
        <v>0.47127194574425496</v>
      </c>
      <c r="AQ90" s="19">
        <v>0.46326435149341411</v>
      </c>
      <c r="AR90" s="19">
        <v>0.45539281788922342</v>
      </c>
      <c r="AS90" s="19">
        <v>0.44765503306385013</v>
      </c>
      <c r="AT90" s="19">
        <v>0.44004872443145066</v>
      </c>
      <c r="AU90" s="19">
        <v>0.43257165802071346</v>
      </c>
      <c r="AV90" s="19">
        <v>0.42522163781874023</v>
      </c>
      <c r="AW90" s="19">
        <v>0.41799650512607966</v>
      </c>
      <c r="AX90" s="19">
        <v>0.41089413792271623</v>
      </c>
      <c r="AY90" s="19">
        <v>0.40391245024483408</v>
      </c>
      <c r="AZ90" s="19">
        <v>0.39704939157216951</v>
      </c>
    </row>
    <row r="91" spans="1:52" s="19" customFormat="1" x14ac:dyDescent="0.4">
      <c r="A91" s="7"/>
      <c r="B91" s="21">
        <f t="shared" si="150"/>
        <v>9</v>
      </c>
      <c r="C91" s="19">
        <v>35.837740138000001</v>
      </c>
      <c r="D91" s="19">
        <v>18.662387202933317</v>
      </c>
      <c r="E91" s="19">
        <v>7.6137708370696915</v>
      </c>
      <c r="F91" s="19">
        <v>3.6833489108483848</v>
      </c>
      <c r="G91" s="19">
        <v>2.1568953679975897</v>
      </c>
      <c r="H91" s="19">
        <v>1.4397799784514402</v>
      </c>
      <c r="I91" s="19">
        <v>1.0405895718860976</v>
      </c>
      <c r="J91" s="19">
        <v>0.79099466715388655</v>
      </c>
      <c r="K91" s="19">
        <v>0.62304249936883094</v>
      </c>
      <c r="L91" s="19">
        <v>0.50452800201809034</v>
      </c>
      <c r="M91" s="19">
        <v>0.49548589238079088</v>
      </c>
      <c r="N91" s="19">
        <v>0.48660583469376162</v>
      </c>
      <c r="O91" s="19">
        <v>0.47788492467518767</v>
      </c>
      <c r="P91" s="19">
        <v>0.46932031009355574</v>
      </c>
      <c r="Q91" s="19">
        <v>0.46090918983481327</v>
      </c>
      <c r="R91" s="19">
        <v>0.45264881298624382</v>
      </c>
      <c r="S91" s="19">
        <v>0.44453647793676482</v>
      </c>
      <c r="T91" s="19">
        <v>0.43656953149334604</v>
      </c>
      <c r="U91" s="19">
        <v>0.42874536801326674</v>
      </c>
      <c r="V91" s="19">
        <v>0.4210614285519218</v>
      </c>
      <c r="W91" s="19">
        <v>0.41351520002590259</v>
      </c>
      <c r="X91" s="19">
        <v>0.40610421439107558</v>
      </c>
      <c r="Y91" s="19">
        <v>0.39882604783539283</v>
      </c>
      <c r="Z91" s="19">
        <v>0.39167831998616787</v>
      </c>
      <c r="AA91" s="19">
        <v>0.38465869313155931</v>
      </c>
      <c r="AB91" s="19">
        <v>0.37776487145600607</v>
      </c>
      <c r="AC91" s="19">
        <v>0.37099460028936604</v>
      </c>
      <c r="AD91" s="19">
        <v>0.36434566536951146</v>
      </c>
      <c r="AE91" s="19">
        <v>0.3578158921181393</v>
      </c>
      <c r="AF91" s="19">
        <v>0.35140314492956137</v>
      </c>
      <c r="AG91" s="19">
        <v>0.34510532647224007</v>
      </c>
      <c r="AH91" s="19">
        <v>0.33892037700284267</v>
      </c>
      <c r="AI91" s="19">
        <v>0.33284627369258746</v>
      </c>
      <c r="AJ91" s="19">
        <v>0.32688102996566532</v>
      </c>
      <c r="AK91" s="19">
        <v>0.32102269484951684</v>
      </c>
      <c r="AL91" s="19">
        <v>0.31526935233675246</v>
      </c>
      <c r="AM91" s="19">
        <v>0.30961912075851167</v>
      </c>
      <c r="AN91" s="19">
        <v>0.30407015216904909</v>
      </c>
      <c r="AO91" s="19">
        <v>0.29862063174135184</v>
      </c>
      <c r="AP91" s="19">
        <v>0.29326877717358868</v>
      </c>
      <c r="AQ91" s="19">
        <v>0.2880128381061961</v>
      </c>
      <c r="AR91" s="19">
        <v>0.28285109554941201</v>
      </c>
      <c r="AS91" s="19">
        <v>0.27778186132106797</v>
      </c>
      <c r="AT91" s="19">
        <v>0.27280347749445877</v>
      </c>
      <c r="AU91" s="19">
        <v>0.26791431585610637</v>
      </c>
      <c r="AV91" s="19">
        <v>0.26311277737324101</v>
      </c>
      <c r="AW91" s="19">
        <v>0.25839729167082837</v>
      </c>
      <c r="AX91" s="19">
        <v>0.25376631651796633</v>
      </c>
      <c r="AY91" s="19">
        <v>0.24921833732348958</v>
      </c>
      <c r="AZ91" s="19">
        <v>0.24475186664061249</v>
      </c>
    </row>
    <row r="92" spans="1:52" s="19" customFormat="1" x14ac:dyDescent="0.4">
      <c r="A92" s="7"/>
      <c r="B92" s="21">
        <f t="shared" si="150"/>
        <v>10</v>
      </c>
      <c r="C92" s="19">
        <v>75.774899132000002</v>
      </c>
      <c r="D92" s="19">
        <v>11.661154155430022</v>
      </c>
      <c r="E92" s="19">
        <v>2.8509953568430557</v>
      </c>
      <c r="F92" s="19">
        <v>1.0980694553244801</v>
      </c>
      <c r="G92" s="19">
        <v>0.58456262089017175</v>
      </c>
      <c r="H92" s="19">
        <v>0.37500436199681109</v>
      </c>
      <c r="I92" s="19">
        <v>0.2662727430841838</v>
      </c>
      <c r="J92" s="19">
        <v>0.20062467036285853</v>
      </c>
      <c r="K92" s="19">
        <v>0.15724088652747695</v>
      </c>
      <c r="L92" s="19">
        <v>0.12693612091468892</v>
      </c>
      <c r="M92" s="19">
        <v>0.12464450179184233</v>
      </c>
      <c r="N92" s="19">
        <v>0.12239425401519999</v>
      </c>
      <c r="O92" s="19">
        <v>0.12018463069437781</v>
      </c>
      <c r="P92" s="19">
        <v>0.11801489842284742</v>
      </c>
      <c r="Q92" s="19">
        <v>0.11588433703450661</v>
      </c>
      <c r="R92" s="19">
        <v>0.11379223936464687</v>
      </c>
      <c r="S92" s="19">
        <v>0.11173791101523399</v>
      </c>
      <c r="T92" s="19">
        <v>0.10972067012442759</v>
      </c>
      <c r="U92" s="19">
        <v>0.10773984714026154</v>
      </c>
      <c r="V92" s="19">
        <v>0.10579478459840921</v>
      </c>
      <c r="W92" s="19">
        <v>0.10388483690396141</v>
      </c>
      <c r="X92" s="19">
        <v>0.10200937011714428</v>
      </c>
      <c r="Y92" s="19">
        <v>0.10016776174290457</v>
      </c>
      <c r="Z92" s="19">
        <v>9.8359400524295537E-2</v>
      </c>
      <c r="AA92" s="19">
        <v>9.658368623959096E-2</v>
      </c>
      <c r="AB92" s="19">
        <v>9.4840029503062487E-2</v>
      </c>
      <c r="AC92" s="19">
        <v>9.3127851569355033E-2</v>
      </c>
      <c r="AD92" s="19">
        <v>9.1446584141391396E-2</v>
      </c>
      <c r="AE92" s="19">
        <v>8.9795669181745946E-2</v>
      </c>
      <c r="AF92" s="19">
        <v>8.817455872742562E-2</v>
      </c>
      <c r="AG92" s="19">
        <v>8.6582714707990366E-2</v>
      </c>
      <c r="AH92" s="19">
        <v>8.501960876696249E-2</v>
      </c>
      <c r="AI92" s="19">
        <v>8.3484722086454619E-2</v>
      </c>
      <c r="AJ92" s="19">
        <v>8.1977545214967917E-2</v>
      </c>
      <c r="AK92" s="19">
        <v>8.0497577898297798E-2</v>
      </c>
      <c r="AL92" s="19">
        <v>7.9044328913491113E-2</v>
      </c>
      <c r="AM92" s="19">
        <v>7.76173159058028E-2</v>
      </c>
      <c r="AN92" s="19">
        <v>7.6216065228595697E-2</v>
      </c>
      <c r="AO92" s="19">
        <v>7.4840111786128705E-2</v>
      </c>
      <c r="AP92" s="19">
        <v>7.3488998879186168E-2</v>
      </c>
      <c r="AQ92" s="19">
        <v>7.2162278053491596E-2</v>
      </c>
      <c r="AR92" s="19">
        <v>7.0859508950859934E-2</v>
      </c>
      <c r="AS92" s="19">
        <v>6.9580259163036007E-2</v>
      </c>
      <c r="AT92" s="19">
        <v>6.8324104088171397E-2</v>
      </c>
      <c r="AU92" s="19">
        <v>6.7090626789892666E-2</v>
      </c>
      <c r="AV92" s="19">
        <v>6.5879417858915462E-2</v>
      </c>
      <c r="AW92" s="19">
        <v>6.4690075277153952E-2</v>
      </c>
      <c r="AX92" s="19">
        <v>6.3522204284285316E-2</v>
      </c>
      <c r="AY92" s="19">
        <v>6.2375417246724393E-2</v>
      </c>
      <c r="AZ92" s="19">
        <v>6.124933352896051E-2</v>
      </c>
    </row>
    <row r="93" spans="1:52" s="19" customFormat="1" x14ac:dyDescent="0.4">
      <c r="A93" s="7"/>
      <c r="B93" s="21" t="str">
        <f t="shared" si="150"/>
        <v/>
      </c>
    </row>
    <row r="94" spans="1:52" s="19" customFormat="1" x14ac:dyDescent="0.4">
      <c r="A94" s="7"/>
      <c r="B94" s="21" t="str">
        <f t="shared" si="150"/>
        <v/>
      </c>
    </row>
    <row r="95" spans="1:52" s="19" customFormat="1" x14ac:dyDescent="0.4">
      <c r="A95" s="7"/>
      <c r="B95" s="21" t="str">
        <f t="shared" si="150"/>
        <v/>
      </c>
    </row>
    <row r="96" spans="1:52" s="19" customFormat="1" x14ac:dyDescent="0.4">
      <c r="A96" s="7"/>
      <c r="B96" s="21" t="str">
        <f t="shared" si="150"/>
        <v/>
      </c>
    </row>
    <row r="97" spans="1:202" s="19" customFormat="1" x14ac:dyDescent="0.4">
      <c r="A97" s="7"/>
      <c r="B97" s="21" t="str">
        <f t="shared" si="150"/>
        <v/>
      </c>
    </row>
    <row r="105" spans="1:202" x14ac:dyDescent="0.4">
      <c r="C105" s="22" t="s">
        <v>63</v>
      </c>
      <c r="D105" s="22"/>
      <c r="E105" s="22"/>
      <c r="F105" s="22"/>
      <c r="G105" s="22"/>
      <c r="H105" s="22"/>
      <c r="I105" s="22"/>
      <c r="J105" s="22"/>
      <c r="K105" s="22"/>
      <c r="L105" s="22"/>
    </row>
    <row r="106" spans="1:202" s="21" customFormat="1" x14ac:dyDescent="0.4">
      <c r="A106" s="7"/>
      <c r="B106" s="7"/>
      <c r="C106" s="21" t="s">
        <v>67</v>
      </c>
      <c r="D106" s="21" t="s">
        <v>68</v>
      </c>
      <c r="E106" s="21" t="s">
        <v>69</v>
      </c>
      <c r="F106" s="21" t="s">
        <v>66</v>
      </c>
      <c r="G106" s="21" t="s">
        <v>71</v>
      </c>
      <c r="H106" s="21" t="s">
        <v>72</v>
      </c>
      <c r="I106" s="21" t="s">
        <v>73</v>
      </c>
      <c r="J106" s="21" t="s">
        <v>70</v>
      </c>
      <c r="K106" s="21" t="s">
        <v>75</v>
      </c>
      <c r="L106" s="21" t="s">
        <v>76</v>
      </c>
      <c r="M106" s="21" t="s">
        <v>77</v>
      </c>
      <c r="N106" s="21" t="s">
        <v>74</v>
      </c>
      <c r="O106" s="21" t="s">
        <v>79</v>
      </c>
      <c r="P106" s="21" t="s">
        <v>80</v>
      </c>
      <c r="Q106" s="21" t="s">
        <v>81</v>
      </c>
      <c r="R106" s="21" t="s">
        <v>78</v>
      </c>
      <c r="S106" s="21" t="s">
        <v>83</v>
      </c>
      <c r="T106" s="21" t="s">
        <v>84</v>
      </c>
      <c r="U106" s="21" t="s">
        <v>85</v>
      </c>
      <c r="V106" s="21" t="s">
        <v>82</v>
      </c>
      <c r="W106" s="21" t="s">
        <v>87</v>
      </c>
      <c r="X106" s="21" t="s">
        <v>88</v>
      </c>
      <c r="Y106" s="21" t="s">
        <v>89</v>
      </c>
      <c r="Z106" s="21" t="s">
        <v>86</v>
      </c>
      <c r="AA106" s="21" t="s">
        <v>91</v>
      </c>
      <c r="AB106" s="21" t="s">
        <v>92</v>
      </c>
      <c r="AC106" s="21" t="s">
        <v>93</v>
      </c>
      <c r="AD106" s="21" t="s">
        <v>90</v>
      </c>
      <c r="AE106" s="21" t="s">
        <v>95</v>
      </c>
      <c r="AF106" s="21" t="s">
        <v>96</v>
      </c>
      <c r="AG106" s="21" t="s">
        <v>97</v>
      </c>
      <c r="AH106" s="21" t="s">
        <v>94</v>
      </c>
      <c r="AI106" s="21" t="s">
        <v>265</v>
      </c>
      <c r="AJ106" s="21" t="s">
        <v>99</v>
      </c>
      <c r="AK106" s="21" t="s">
        <v>100</v>
      </c>
      <c r="AL106" s="21" t="s">
        <v>98</v>
      </c>
      <c r="AM106" s="21" t="s">
        <v>102</v>
      </c>
      <c r="AN106" s="21" t="s">
        <v>103</v>
      </c>
      <c r="AO106" s="21" t="s">
        <v>104</v>
      </c>
      <c r="AP106" s="21" t="s">
        <v>101</v>
      </c>
      <c r="AQ106" s="21" t="s">
        <v>106</v>
      </c>
      <c r="AR106" s="21" t="s">
        <v>267</v>
      </c>
      <c r="AS106" s="21" t="s">
        <v>108</v>
      </c>
      <c r="AT106" s="21" t="s">
        <v>105</v>
      </c>
      <c r="AU106" s="21" t="s">
        <v>110</v>
      </c>
      <c r="AV106" s="21" t="s">
        <v>111</v>
      </c>
      <c r="AW106" s="21" t="s">
        <v>112</v>
      </c>
      <c r="AX106" s="21" t="s">
        <v>109</v>
      </c>
      <c r="AY106" s="21" t="s">
        <v>114</v>
      </c>
      <c r="AZ106" s="21" t="s">
        <v>115</v>
      </c>
      <c r="BA106" s="21" t="s">
        <v>116</v>
      </c>
      <c r="BB106" s="21" t="s">
        <v>113</v>
      </c>
      <c r="BC106" s="21" t="s">
        <v>118</v>
      </c>
      <c r="BD106" s="21" t="s">
        <v>119</v>
      </c>
      <c r="BE106" s="21" t="s">
        <v>120</v>
      </c>
      <c r="BF106" s="21" t="s">
        <v>117</v>
      </c>
      <c r="BG106" s="21" t="s">
        <v>122</v>
      </c>
      <c r="BH106" s="21" t="s">
        <v>123</v>
      </c>
      <c r="BI106" s="21" t="s">
        <v>124</v>
      </c>
      <c r="BJ106" s="21" t="s">
        <v>121</v>
      </c>
      <c r="BK106" s="21" t="s">
        <v>126</v>
      </c>
      <c r="BL106" s="21" t="s">
        <v>127</v>
      </c>
      <c r="BM106" s="21" t="s">
        <v>128</v>
      </c>
      <c r="BN106" s="21" t="s">
        <v>125</v>
      </c>
      <c r="BO106" s="21" t="s">
        <v>130</v>
      </c>
      <c r="BP106" s="21" t="s">
        <v>131</v>
      </c>
      <c r="BQ106" s="21" t="s">
        <v>132</v>
      </c>
      <c r="BR106" s="21" t="s">
        <v>129</v>
      </c>
      <c r="BS106" s="21" t="s">
        <v>134</v>
      </c>
      <c r="BT106" s="21" t="s">
        <v>135</v>
      </c>
      <c r="BU106" s="21" t="s">
        <v>136</v>
      </c>
      <c r="BV106" s="21" t="s">
        <v>133</v>
      </c>
      <c r="BW106" s="21" t="s">
        <v>138</v>
      </c>
      <c r="BX106" s="21" t="s">
        <v>139</v>
      </c>
      <c r="BY106" s="21" t="s">
        <v>140</v>
      </c>
      <c r="BZ106" s="21" t="s">
        <v>137</v>
      </c>
      <c r="CA106" s="21" t="s">
        <v>142</v>
      </c>
      <c r="CB106" s="21" t="s">
        <v>143</v>
      </c>
      <c r="CC106" s="21" t="s">
        <v>144</v>
      </c>
      <c r="CD106" s="21" t="s">
        <v>141</v>
      </c>
      <c r="CE106" s="21" t="s">
        <v>146</v>
      </c>
      <c r="CF106" s="21" t="s">
        <v>147</v>
      </c>
      <c r="CG106" s="21" t="s">
        <v>148</v>
      </c>
      <c r="CH106" s="21" t="s">
        <v>145</v>
      </c>
      <c r="CI106" s="21" t="s">
        <v>150</v>
      </c>
      <c r="CJ106" s="21" t="s">
        <v>151</v>
      </c>
      <c r="CK106" s="21" t="s">
        <v>152</v>
      </c>
      <c r="CL106" s="21" t="s">
        <v>149</v>
      </c>
      <c r="CM106" s="21" t="s">
        <v>154</v>
      </c>
      <c r="CN106" s="21" t="s">
        <v>155</v>
      </c>
      <c r="CO106" s="21" t="s">
        <v>156</v>
      </c>
      <c r="CP106" s="21" t="s">
        <v>153</v>
      </c>
      <c r="CQ106" s="21" t="s">
        <v>158</v>
      </c>
      <c r="CR106" s="21" t="s">
        <v>159</v>
      </c>
      <c r="CS106" s="21" t="s">
        <v>160</v>
      </c>
      <c r="CT106" s="21" t="s">
        <v>157</v>
      </c>
      <c r="CU106" s="21" t="s">
        <v>162</v>
      </c>
      <c r="CV106" s="21" t="s">
        <v>163</v>
      </c>
      <c r="CW106" s="21" t="s">
        <v>164</v>
      </c>
      <c r="CX106" s="21" t="s">
        <v>161</v>
      </c>
      <c r="CY106" s="21" t="s">
        <v>166</v>
      </c>
      <c r="CZ106" s="21" t="s">
        <v>167</v>
      </c>
      <c r="DA106" s="21" t="s">
        <v>168</v>
      </c>
      <c r="DB106" s="21" t="s">
        <v>165</v>
      </c>
      <c r="DC106" s="21" t="s">
        <v>170</v>
      </c>
      <c r="DD106" s="21" t="s">
        <v>171</v>
      </c>
      <c r="DE106" s="21" t="s">
        <v>172</v>
      </c>
      <c r="DF106" s="21" t="s">
        <v>169</v>
      </c>
      <c r="DG106" s="21" t="s">
        <v>174</v>
      </c>
      <c r="DH106" s="21" t="s">
        <v>175</v>
      </c>
      <c r="DI106" s="21" t="s">
        <v>176</v>
      </c>
      <c r="DJ106" s="21" t="s">
        <v>173</v>
      </c>
      <c r="DK106" s="21" t="s">
        <v>178</v>
      </c>
      <c r="DL106" s="21" t="s">
        <v>179</v>
      </c>
      <c r="DM106" s="21" t="s">
        <v>180</v>
      </c>
      <c r="DN106" s="21" t="s">
        <v>177</v>
      </c>
      <c r="DO106" s="21" t="s">
        <v>182</v>
      </c>
      <c r="DP106" s="21" t="s">
        <v>183</v>
      </c>
      <c r="DQ106" s="21" t="s">
        <v>184</v>
      </c>
      <c r="DR106" s="21" t="s">
        <v>181</v>
      </c>
      <c r="DS106" s="21" t="s">
        <v>186</v>
      </c>
      <c r="DT106" s="21" t="s">
        <v>187</v>
      </c>
      <c r="DU106" s="21" t="s">
        <v>188</v>
      </c>
      <c r="DV106" s="21" t="s">
        <v>185</v>
      </c>
      <c r="DW106" s="21" t="s">
        <v>190</v>
      </c>
      <c r="DX106" s="21" t="s">
        <v>191</v>
      </c>
      <c r="DY106" s="21" t="s">
        <v>192</v>
      </c>
      <c r="DZ106" s="21" t="s">
        <v>189</v>
      </c>
      <c r="EA106" s="21" t="s">
        <v>194</v>
      </c>
      <c r="EB106" s="21" t="s">
        <v>195</v>
      </c>
      <c r="EC106" s="21" t="s">
        <v>196</v>
      </c>
      <c r="ED106" s="21" t="s">
        <v>193</v>
      </c>
      <c r="EE106" s="21" t="s">
        <v>198</v>
      </c>
      <c r="EF106" s="21" t="s">
        <v>199</v>
      </c>
      <c r="EG106" s="21" t="s">
        <v>200</v>
      </c>
      <c r="EH106" s="21" t="s">
        <v>197</v>
      </c>
      <c r="EI106" s="21" t="s">
        <v>202</v>
      </c>
      <c r="EJ106" s="21" t="s">
        <v>203</v>
      </c>
      <c r="EK106" s="21" t="s">
        <v>204</v>
      </c>
      <c r="EL106" s="21" t="s">
        <v>201</v>
      </c>
      <c r="EM106" s="21" t="s">
        <v>206</v>
      </c>
      <c r="EN106" s="21" t="s">
        <v>207</v>
      </c>
      <c r="EO106" s="21" t="s">
        <v>208</v>
      </c>
      <c r="EP106" s="21" t="s">
        <v>205</v>
      </c>
      <c r="EQ106" s="21" t="s">
        <v>210</v>
      </c>
      <c r="ER106" s="21" t="s">
        <v>211</v>
      </c>
      <c r="ES106" s="21" t="s">
        <v>212</v>
      </c>
      <c r="ET106" s="21" t="s">
        <v>209</v>
      </c>
      <c r="EU106" s="21" t="s">
        <v>214</v>
      </c>
      <c r="EV106" s="21" t="s">
        <v>215</v>
      </c>
      <c r="EW106" s="21" t="s">
        <v>216</v>
      </c>
      <c r="EX106" s="21" t="s">
        <v>213</v>
      </c>
      <c r="EY106" s="21" t="s">
        <v>218</v>
      </c>
      <c r="EZ106" s="21" t="s">
        <v>219</v>
      </c>
      <c r="FA106" s="21" t="s">
        <v>220</v>
      </c>
      <c r="FB106" s="21" t="s">
        <v>217</v>
      </c>
      <c r="FC106" s="21" t="s">
        <v>222</v>
      </c>
      <c r="FD106" s="21" t="s">
        <v>223</v>
      </c>
      <c r="FE106" s="21" t="s">
        <v>224</v>
      </c>
      <c r="FF106" s="21" t="s">
        <v>221</v>
      </c>
      <c r="FG106" s="21" t="s">
        <v>226</v>
      </c>
      <c r="FH106" s="21" t="s">
        <v>227</v>
      </c>
      <c r="FI106" s="21" t="s">
        <v>228</v>
      </c>
      <c r="FJ106" s="21" t="s">
        <v>225</v>
      </c>
      <c r="FK106" s="21" t="s">
        <v>230</v>
      </c>
      <c r="FL106" s="21" t="s">
        <v>231</v>
      </c>
      <c r="FM106" s="21" t="s">
        <v>232</v>
      </c>
      <c r="FN106" s="21" t="s">
        <v>229</v>
      </c>
      <c r="FO106" s="21" t="s">
        <v>234</v>
      </c>
      <c r="FP106" s="21" t="s">
        <v>235</v>
      </c>
      <c r="FQ106" s="21" t="s">
        <v>236</v>
      </c>
      <c r="FR106" s="21" t="s">
        <v>233</v>
      </c>
      <c r="FS106" s="21" t="s">
        <v>238</v>
      </c>
      <c r="FT106" s="21" t="s">
        <v>239</v>
      </c>
      <c r="FU106" s="21" t="s">
        <v>240</v>
      </c>
      <c r="FV106" s="21" t="s">
        <v>237</v>
      </c>
      <c r="FW106" s="21" t="s">
        <v>242</v>
      </c>
      <c r="FX106" s="21" t="s">
        <v>243</v>
      </c>
      <c r="FY106" s="21" t="s">
        <v>244</v>
      </c>
      <c r="FZ106" s="21" t="s">
        <v>241</v>
      </c>
      <c r="GA106" s="21" t="s">
        <v>246</v>
      </c>
      <c r="GB106" s="21" t="s">
        <v>247</v>
      </c>
      <c r="GC106" s="21" t="s">
        <v>248</v>
      </c>
      <c r="GD106" s="21" t="s">
        <v>245</v>
      </c>
      <c r="GE106" s="21" t="s">
        <v>250</v>
      </c>
      <c r="GF106" s="21" t="s">
        <v>251</v>
      </c>
      <c r="GG106" s="21" t="s">
        <v>252</v>
      </c>
      <c r="GH106" s="21" t="s">
        <v>249</v>
      </c>
      <c r="GI106" s="21" t="s">
        <v>254</v>
      </c>
      <c r="GJ106" s="21" t="s">
        <v>255</v>
      </c>
      <c r="GK106" s="21" t="s">
        <v>256</v>
      </c>
      <c r="GL106" s="21" t="s">
        <v>253</v>
      </c>
      <c r="GM106" s="21" t="s">
        <v>258</v>
      </c>
      <c r="GN106" s="21" t="s">
        <v>259</v>
      </c>
      <c r="GO106" s="21" t="s">
        <v>260</v>
      </c>
      <c r="GP106" s="21" t="s">
        <v>257</v>
      </c>
      <c r="GQ106" s="21" t="s">
        <v>262</v>
      </c>
      <c r="GR106" s="21" t="s">
        <v>263</v>
      </c>
      <c r="GS106" s="21" t="s">
        <v>264</v>
      </c>
      <c r="GT106" s="21" t="s">
        <v>261</v>
      </c>
    </row>
    <row r="107" spans="1:202" s="19" customFormat="1" x14ac:dyDescent="0.4">
      <c r="A107" s="7"/>
      <c r="B107" s="21">
        <f>B83</f>
        <v>1</v>
      </c>
      <c r="C107" s="19">
        <v>7.5008438976897907E-3</v>
      </c>
      <c r="D107" s="19">
        <v>7.5002812710980157E-3</v>
      </c>
      <c r="E107" s="19">
        <v>7.4997186867079828E-3</v>
      </c>
      <c r="F107" s="19">
        <v>7.4991561445165271E-3</v>
      </c>
      <c r="G107" s="19">
        <v>1.8994915998229757E-2</v>
      </c>
      <c r="H107" s="19">
        <v>1.8991306847146634E-2</v>
      </c>
      <c r="I107" s="19">
        <v>1.8987698381824455E-2</v>
      </c>
      <c r="J107" s="19">
        <v>1.8984090602132922E-2</v>
      </c>
      <c r="K107" s="19">
        <v>2.9641377028395231E-2</v>
      </c>
      <c r="L107" s="19">
        <v>2.9632581596609184E-2</v>
      </c>
      <c r="M107" s="19">
        <v>2.9623788774675582E-2</v>
      </c>
      <c r="N107" s="19">
        <v>2.9614998561820007E-2</v>
      </c>
      <c r="O107" s="19">
        <v>4.0588621582553858E-2</v>
      </c>
      <c r="P107" s="19">
        <v>4.0572110157212557E-2</v>
      </c>
      <c r="Q107" s="19">
        <v>4.0555605448708537E-2</v>
      </c>
      <c r="R107" s="19">
        <v>4.05391074543094E-2</v>
      </c>
      <c r="S107" s="19">
        <v>5.1512580405610825E-2</v>
      </c>
      <c r="T107" s="19">
        <v>5.1485941928238452E-2</v>
      </c>
      <c r="U107" s="19">
        <v>5.1459317226306388E-2</v>
      </c>
      <c r="V107" s="19">
        <v>5.1432706292691005E-2</v>
      </c>
      <c r="W107" s="19">
        <v>6.1983091369304542E-2</v>
      </c>
      <c r="X107" s="19">
        <v>6.1944443298205365E-2</v>
      </c>
      <c r="Y107" s="19">
        <v>6.1905819325184658E-2</v>
      </c>
      <c r="Z107" s="19">
        <v>6.1867219435216642E-2</v>
      </c>
      <c r="AA107" s="19">
        <v>7.1645250650238551E-2</v>
      </c>
      <c r="AB107" s="19">
        <v>7.1593485237097909E-2</v>
      </c>
      <c r="AC107" s="19">
        <v>7.1541757225710684E-2</v>
      </c>
      <c r="AD107" s="19">
        <v>7.14900665890532E-2</v>
      </c>
      <c r="AE107" s="19">
        <v>8.0269033946364449E-2</v>
      </c>
      <c r="AF107" s="19">
        <v>8.0203868623628785E-2</v>
      </c>
      <c r="AG107" s="19">
        <v>8.0138756204473499E-2</v>
      </c>
      <c r="AH107" s="19">
        <v>8.0073696645949502E-2</v>
      </c>
      <c r="AI107" s="19">
        <v>8.7750002656189152E-2</v>
      </c>
      <c r="AJ107" s="19">
        <v>8.767187125161964E-2</v>
      </c>
      <c r="AK107" s="19">
        <v>8.7593809414186263E-2</v>
      </c>
      <c r="AL107" s="19">
        <v>8.7515817081947375E-2</v>
      </c>
      <c r="AM107" s="19">
        <v>9.4084673117513243E-2</v>
      </c>
      <c r="AN107" s="19">
        <v>9.3994533322858509E-2</v>
      </c>
      <c r="AO107" s="19">
        <v>9.3904479888524864E-2</v>
      </c>
      <c r="AP107" s="19">
        <v>9.3814512731772992E-2</v>
      </c>
      <c r="AQ107" s="19">
        <v>9.3724631769942848E-2</v>
      </c>
      <c r="AR107" s="19">
        <v>9.3634836920453601E-2</v>
      </c>
      <c r="AS107" s="19">
        <v>9.3545128100803482E-2</v>
      </c>
      <c r="AT107" s="19">
        <v>9.345550522856981E-2</v>
      </c>
      <c r="AU107" s="19">
        <v>9.3365968221408871E-2</v>
      </c>
      <c r="AV107" s="19">
        <v>9.3276516997055817E-2</v>
      </c>
      <c r="AW107" s="19">
        <v>9.3187151473324639E-2</v>
      </c>
      <c r="AX107" s="19">
        <v>9.3097871568108045E-2</v>
      </c>
      <c r="AY107" s="19">
        <v>9.3008677199377443E-2</v>
      </c>
      <c r="AZ107" s="19">
        <v>9.2919568285182788E-2</v>
      </c>
      <c r="BA107" s="19">
        <v>9.2830544743652571E-2</v>
      </c>
      <c r="BB107" s="19">
        <v>9.2741606492993747E-2</v>
      </c>
      <c r="BC107" s="19">
        <v>9.2652753451491571E-2</v>
      </c>
      <c r="BD107" s="19">
        <v>9.2563985537509635E-2</v>
      </c>
      <c r="BE107" s="19">
        <v>9.2475302669489751E-2</v>
      </c>
      <c r="BF107" s="19">
        <v>9.238670476595183E-2</v>
      </c>
      <c r="BG107" s="19">
        <v>9.2298191745493863E-2</v>
      </c>
      <c r="BH107" s="19">
        <v>9.220976352679186E-2</v>
      </c>
      <c r="BI107" s="19">
        <v>9.2121420028599688E-2</v>
      </c>
      <c r="BJ107" s="19">
        <v>9.203316116974912E-2</v>
      </c>
      <c r="BK107" s="19">
        <v>9.1944986869149647E-2</v>
      </c>
      <c r="BL107" s="19">
        <v>9.1856897045788449E-2</v>
      </c>
      <c r="BM107" s="19">
        <v>9.176889161873035E-2</v>
      </c>
      <c r="BN107" s="19">
        <v>9.1680970507117696E-2</v>
      </c>
      <c r="BO107" s="19">
        <v>9.1593133630170312E-2</v>
      </c>
      <c r="BP107" s="19">
        <v>9.1505380907185394E-2</v>
      </c>
      <c r="BQ107" s="19">
        <v>9.141771225753749E-2</v>
      </c>
      <c r="BR107" s="19">
        <v>9.1330127600678365E-2</v>
      </c>
      <c r="BS107" s="19">
        <v>9.1242626856136988E-2</v>
      </c>
      <c r="BT107" s="19">
        <v>9.1155209943519361E-2</v>
      </c>
      <c r="BU107" s="19">
        <v>9.1067876782508592E-2</v>
      </c>
      <c r="BV107" s="19">
        <v>9.0980627292864671E-2</v>
      </c>
      <c r="BW107" s="19">
        <v>9.0893461394424488E-2</v>
      </c>
      <c r="BX107" s="19">
        <v>9.0806379007101756E-2</v>
      </c>
      <c r="BY107" s="19">
        <v>9.0719380050886894E-2</v>
      </c>
      <c r="BZ107" s="19">
        <v>9.063246444584698E-2</v>
      </c>
      <c r="CA107" s="19">
        <v>9.0545632112125657E-2</v>
      </c>
      <c r="CB107" s="19">
        <v>9.0458882969943102E-2</v>
      </c>
      <c r="CC107" s="19">
        <v>9.037221693959592E-2</v>
      </c>
      <c r="CD107" s="19">
        <v>9.0285633941457069E-2</v>
      </c>
      <c r="CE107" s="19">
        <v>9.0199133895975794E-2</v>
      </c>
      <c r="CF107" s="19">
        <v>9.0112716723677572E-2</v>
      </c>
      <c r="CG107" s="19">
        <v>9.0026382345163997E-2</v>
      </c>
      <c r="CH107" s="19">
        <v>8.994013068111277E-2</v>
      </c>
      <c r="CI107" s="19">
        <v>8.9853961652277548E-2</v>
      </c>
      <c r="CJ107" s="19">
        <v>8.9767875179487935E-2</v>
      </c>
      <c r="CK107" s="19">
        <v>8.968187118364937E-2</v>
      </c>
      <c r="CL107" s="19">
        <v>8.9595949585743101E-2</v>
      </c>
      <c r="CM107" s="19">
        <v>8.9510110306826041E-2</v>
      </c>
      <c r="CN107" s="19">
        <v>8.9424353268030762E-2</v>
      </c>
      <c r="CO107" s="19">
        <v>8.9338678390565376E-2</v>
      </c>
      <c r="CP107" s="19">
        <v>8.925308559571353E-2</v>
      </c>
      <c r="CQ107" s="19">
        <v>8.916757480483424E-2</v>
      </c>
      <c r="CR107" s="19">
        <v>8.9082145939361854E-2</v>
      </c>
      <c r="CS107" s="19">
        <v>8.8996798920806058E-2</v>
      </c>
      <c r="CT107" s="19">
        <v>8.8911533670751663E-2</v>
      </c>
      <c r="CU107" s="19">
        <v>8.8826350110858668E-2</v>
      </c>
      <c r="CV107" s="19">
        <v>8.874124816286208E-2</v>
      </c>
      <c r="CW107" s="19">
        <v>8.8656227748571917E-2</v>
      </c>
      <c r="CX107" s="19">
        <v>8.8571288789873109E-2</v>
      </c>
      <c r="CY107" s="19">
        <v>8.8486431208725402E-2</v>
      </c>
      <c r="CZ107" s="19">
        <v>8.8401654927163342E-2</v>
      </c>
      <c r="DA107" s="19">
        <v>8.8316959867296152E-2</v>
      </c>
      <c r="DB107" s="19">
        <v>8.8232345951307675E-2</v>
      </c>
      <c r="DC107" s="19">
        <v>8.8147813101456321E-2</v>
      </c>
      <c r="DD107" s="19">
        <v>8.8063361240074967E-2</v>
      </c>
      <c r="DE107" s="19">
        <v>8.797899028957093E-2</v>
      </c>
      <c r="DF107" s="19">
        <v>8.7894700172425844E-2</v>
      </c>
      <c r="DG107" s="19">
        <v>8.7810490811195588E-2</v>
      </c>
      <c r="DH107" s="19">
        <v>8.7726362128510302E-2</v>
      </c>
      <c r="DI107" s="19">
        <v>8.7642314047074191E-2</v>
      </c>
      <c r="DJ107" s="19">
        <v>8.7558346489665539E-2</v>
      </c>
      <c r="DK107" s="19">
        <v>8.7474459379136602E-2</v>
      </c>
      <c r="DL107" s="19">
        <v>8.7390652638413585E-2</v>
      </c>
      <c r="DM107" s="19">
        <v>8.73069261904965E-2</v>
      </c>
      <c r="DN107" s="19">
        <v>8.7223279958459132E-2</v>
      </c>
      <c r="DO107" s="19">
        <v>8.7139713865448984E-2</v>
      </c>
      <c r="DP107" s="19">
        <v>8.7056227834687167E-2</v>
      </c>
      <c r="DQ107" s="19">
        <v>8.6972821789468371E-2</v>
      </c>
      <c r="DR107" s="19">
        <v>8.6889495653160773E-2</v>
      </c>
      <c r="DS107" s="19">
        <v>8.6806249349205958E-2</v>
      </c>
      <c r="DT107" s="19">
        <v>8.6723082801118886E-2</v>
      </c>
      <c r="DU107" s="19">
        <v>8.6639995932487737E-2</v>
      </c>
      <c r="DV107" s="19">
        <v>8.6556988666973977E-2</v>
      </c>
      <c r="DW107" s="19">
        <v>8.6474060928312141E-2</v>
      </c>
      <c r="DX107" s="19">
        <v>8.639121264030987E-2</v>
      </c>
      <c r="DY107" s="19">
        <v>8.6308443726847789E-2</v>
      </c>
      <c r="DZ107" s="19">
        <v>8.6225754111879466E-2</v>
      </c>
      <c r="EA107" s="19">
        <v>8.6143143719431312E-2</v>
      </c>
      <c r="EB107" s="19">
        <v>8.6060612473602513E-2</v>
      </c>
      <c r="EC107" s="19">
        <v>8.5978160298565018E-2</v>
      </c>
      <c r="ED107" s="19">
        <v>8.5895787118563383E-2</v>
      </c>
      <c r="EE107" s="19">
        <v>8.5813492857914744E-2</v>
      </c>
      <c r="EF107" s="19">
        <v>8.573127744100878E-2</v>
      </c>
      <c r="EG107" s="19">
        <v>8.5649140792307579E-2</v>
      </c>
      <c r="EH107" s="19">
        <v>8.556708283634562E-2</v>
      </c>
      <c r="EI107" s="19">
        <v>8.5485103497729642E-2</v>
      </c>
      <c r="EJ107" s="19">
        <v>8.5403202701138686E-2</v>
      </c>
      <c r="EK107" s="19">
        <v>8.5321380371323904E-2</v>
      </c>
      <c r="EL107" s="19">
        <v>8.5239636433108557E-2</v>
      </c>
      <c r="EM107" s="19">
        <v>8.5157970811387915E-2</v>
      </c>
      <c r="EN107" s="19">
        <v>8.5076383431129221E-2</v>
      </c>
      <c r="EO107" s="19">
        <v>8.4994874217371633E-2</v>
      </c>
      <c r="EP107" s="19">
        <v>8.4913443095226054E-2</v>
      </c>
      <c r="EQ107" s="19">
        <v>8.4832089989875195E-2</v>
      </c>
      <c r="ER107" s="19">
        <v>8.4750814826573428E-2</v>
      </c>
      <c r="ES107" s="19">
        <v>8.4669617530646737E-2</v>
      </c>
      <c r="ET107" s="19">
        <v>8.4588498027492659E-2</v>
      </c>
      <c r="EU107" s="19">
        <v>8.4507456242580173E-2</v>
      </c>
      <c r="EV107" s="19">
        <v>8.4426492101449702E-2</v>
      </c>
      <c r="EW107" s="19">
        <v>8.4345605529713E-2</v>
      </c>
      <c r="EX107" s="19">
        <v>8.426479645305307E-2</v>
      </c>
      <c r="EY107" s="19">
        <v>8.4184064797224137E-2</v>
      </c>
      <c r="EZ107" s="19">
        <v>8.4103410488051533E-2</v>
      </c>
      <c r="FA107" s="19">
        <v>8.4022833451431689E-2</v>
      </c>
      <c r="FB107" s="19">
        <v>8.3942333613332004E-2</v>
      </c>
      <c r="FC107" s="19">
        <v>8.3861910899790837E-2</v>
      </c>
      <c r="FD107" s="19">
        <v>8.3781565236917349E-2</v>
      </c>
      <c r="FE107" s="19">
        <v>8.3701296550891563E-2</v>
      </c>
      <c r="FF107" s="19">
        <v>8.3621104767964208E-2</v>
      </c>
      <c r="FG107" s="19">
        <v>8.3540989814456609E-2</v>
      </c>
      <c r="FH107" s="19">
        <v>8.3460951616760773E-2</v>
      </c>
      <c r="FI107" s="19">
        <v>8.3380990101339147E-2</v>
      </c>
      <c r="FJ107" s="19">
        <v>8.3301105194724709E-2</v>
      </c>
      <c r="FK107" s="19">
        <v>8.3221296823520766E-2</v>
      </c>
      <c r="FL107" s="19">
        <v>8.3141564914400945E-2</v>
      </c>
      <c r="FM107" s="19">
        <v>8.3061909394109165E-2</v>
      </c>
      <c r="FN107" s="19">
        <v>8.2982330189459497E-2</v>
      </c>
      <c r="FO107" s="19">
        <v>8.2902827227336148E-2</v>
      </c>
      <c r="FP107" s="19">
        <v>8.2823400434693356E-2</v>
      </c>
      <c r="FQ107" s="19">
        <v>8.274404973855537E-2</v>
      </c>
      <c r="FR107" s="19">
        <v>8.2664775066016313E-2</v>
      </c>
      <c r="FS107" s="19">
        <v>8.25855763442402E-2</v>
      </c>
      <c r="FT107" s="19">
        <v>8.2506453500460791E-2</v>
      </c>
      <c r="FU107" s="19">
        <v>8.24274064619816E-2</v>
      </c>
      <c r="FV107" s="19">
        <v>8.2348435156175764E-2</v>
      </c>
      <c r="FW107" s="19">
        <v>8.2269539510486003E-2</v>
      </c>
      <c r="FX107" s="19">
        <v>8.2190719452424552E-2</v>
      </c>
      <c r="FY107" s="19">
        <v>8.2111974909573102E-2</v>
      </c>
      <c r="FZ107" s="19">
        <v>8.2033305809582735E-2</v>
      </c>
      <c r="GA107" s="19">
        <v>8.1954712080173811E-2</v>
      </c>
      <c r="GB107" s="19">
        <v>8.1876193649135967E-2</v>
      </c>
      <c r="GC107" s="19">
        <v>8.1797750444328035E-2</v>
      </c>
      <c r="GD107" s="19">
        <v>8.1719382393677945E-2</v>
      </c>
      <c r="GE107" s="19">
        <v>8.1641089425182667E-2</v>
      </c>
      <c r="GF107" s="19">
        <v>8.1562871466908188E-2</v>
      </c>
      <c r="GG107" s="19">
        <v>8.1484728446989368E-2</v>
      </c>
      <c r="GH107" s="19">
        <v>8.1406660293629945E-2</v>
      </c>
      <c r="GI107" s="19">
        <v>8.1328666935102462E-2</v>
      </c>
      <c r="GJ107" s="19">
        <v>8.1250748299748154E-2</v>
      </c>
      <c r="GK107" s="19">
        <v>8.1172904315976901E-2</v>
      </c>
      <c r="GL107" s="19">
        <v>8.1095134912267219E-2</v>
      </c>
      <c r="GM107" s="19">
        <v>8.1017440017166084E-2</v>
      </c>
      <c r="GN107" s="19">
        <v>8.0939819559288972E-2</v>
      </c>
      <c r="GO107" s="19">
        <v>8.0862273467319737E-2</v>
      </c>
      <c r="GP107" s="19">
        <v>8.0784801670010578E-2</v>
      </c>
      <c r="GQ107" s="19">
        <v>8.070740409618192E-2</v>
      </c>
      <c r="GR107" s="19">
        <v>8.0630080674722396E-2</v>
      </c>
      <c r="GS107" s="19">
        <v>8.0552831334588779E-2</v>
      </c>
      <c r="GT107" s="19">
        <v>8.0475656004805912E-2</v>
      </c>
    </row>
    <row r="108" spans="1:202" s="19" customFormat="1" x14ac:dyDescent="0.4">
      <c r="A108" s="7"/>
      <c r="B108" s="21">
        <f t="shared" ref="B108:B121" si="151">B84</f>
        <v>2</v>
      </c>
      <c r="C108" s="19">
        <v>1.2561727506754661E-2</v>
      </c>
      <c r="D108" s="19">
        <v>1.256014953677512E-2</v>
      </c>
      <c r="E108" s="19">
        <v>1.2558571765015871E-2</v>
      </c>
      <c r="F108" s="19">
        <v>1.2556994191452009E-2</v>
      </c>
      <c r="G108" s="19">
        <v>3.215252768714174E-2</v>
      </c>
      <c r="H108" s="19">
        <v>3.2142184640692954E-2</v>
      </c>
      <c r="I108" s="19">
        <v>3.2131844921466549E-2</v>
      </c>
      <c r="J108" s="19">
        <v>3.2121508528392205E-2</v>
      </c>
      <c r="K108" s="19">
        <v>4.4952904847127169E-2</v>
      </c>
      <c r="L108" s="19">
        <v>4.4932661017551515E-2</v>
      </c>
      <c r="M108" s="19">
        <v>4.4912426304464272E-2</v>
      </c>
      <c r="N108" s="19">
        <v>4.4892200703759967E-2</v>
      </c>
      <c r="O108" s="19">
        <v>5.671666829618803E-2</v>
      </c>
      <c r="P108" s="19">
        <v>5.6684384762939501E-2</v>
      </c>
      <c r="Q108" s="19">
        <v>5.6652119605708998E-2</v>
      </c>
      <c r="R108" s="19">
        <v>5.6619872814036763E-2</v>
      </c>
      <c r="S108" s="19">
        <v>6.7675588236508891E-2</v>
      </c>
      <c r="T108" s="19">
        <v>6.7629518809401795E-2</v>
      </c>
      <c r="U108" s="19">
        <v>6.7583480743560534E-2</v>
      </c>
      <c r="V108" s="19">
        <v>6.7537474017636281E-2</v>
      </c>
      <c r="W108" s="19">
        <v>7.7493967890252244E-2</v>
      </c>
      <c r="X108" s="19">
        <v>7.7433396506154731E-2</v>
      </c>
      <c r="Y108" s="19">
        <v>7.7372872466291501E-2</v>
      </c>
      <c r="Z108" s="19">
        <v>7.7312395733657016E-2</v>
      </c>
      <c r="AA108" s="19">
        <v>8.5958987078707194E-2</v>
      </c>
      <c r="AB108" s="19">
        <v>8.5884226503275068E-2</v>
      </c>
      <c r="AC108" s="19">
        <v>8.5809530948893431E-2</v>
      </c>
      <c r="AD108" s="19">
        <v>8.5734900359011934E-2</v>
      </c>
      <c r="AE108" s="19">
        <v>9.3037761986960607E-2</v>
      </c>
      <c r="AF108" s="19">
        <v>9.2949875907912233E-2</v>
      </c>
      <c r="AG108" s="19">
        <v>9.2862072848518731E-2</v>
      </c>
      <c r="AH108" s="19">
        <v>9.2774352730357404E-2</v>
      </c>
      <c r="AI108" s="19">
        <v>9.8819313448004459E-2</v>
      </c>
      <c r="AJ108" s="19">
        <v>9.8719789635015348E-2</v>
      </c>
      <c r="AK108" s="19">
        <v>9.8620366055361258E-2</v>
      </c>
      <c r="AL108" s="19">
        <v>9.8521042608094272E-2</v>
      </c>
      <c r="AM108" s="19">
        <v>0.1034529965202146</v>
      </c>
      <c r="AN108" s="19">
        <v>0.1033434799245639</v>
      </c>
      <c r="AO108" s="19">
        <v>0.10323407926450837</v>
      </c>
      <c r="AP108" s="19">
        <v>0.10312479441731716</v>
      </c>
      <c r="AQ108" s="19">
        <v>0.10301562526038939</v>
      </c>
      <c r="AR108" s="19">
        <v>0.10290657167125394</v>
      </c>
      <c r="AS108" s="19">
        <v>0.10279763352756936</v>
      </c>
      <c r="AT108" s="19">
        <v>0.10268881070712367</v>
      </c>
      <c r="AU108" s="19">
        <v>0.10258010308783432</v>
      </c>
      <c r="AV108" s="19">
        <v>0.10247151054774793</v>
      </c>
      <c r="AW108" s="19">
        <v>0.1023630329650403</v>
      </c>
      <c r="AX108" s="19">
        <v>0.10225467021801615</v>
      </c>
      <c r="AY108" s="19">
        <v>0.10214642218510901</v>
      </c>
      <c r="AZ108" s="19">
        <v>0.10203828874488115</v>
      </c>
      <c r="BA108" s="19">
        <v>0.10193026977602336</v>
      </c>
      <c r="BB108" s="19">
        <v>0.10182236515735486</v>
      </c>
      <c r="BC108" s="19">
        <v>0.10171457476782317</v>
      </c>
      <c r="BD108" s="19">
        <v>0.10160689848650392</v>
      </c>
      <c r="BE108" s="19">
        <v>0.10149933619260078</v>
      </c>
      <c r="BF108" s="19">
        <v>0.10139188776544529</v>
      </c>
      <c r="BG108" s="19">
        <v>0.10128455308449673</v>
      </c>
      <c r="BH108" s="19">
        <v>0.101177332029342</v>
      </c>
      <c r="BI108" s="19">
        <v>0.10107022447969544</v>
      </c>
      <c r="BJ108" s="19">
        <v>0.10096323031539875</v>
      </c>
      <c r="BK108" s="19">
        <v>0.10085634941642084</v>
      </c>
      <c r="BL108" s="19">
        <v>0.10074958166285765</v>
      </c>
      <c r="BM108" s="19">
        <v>0.10064292693493208</v>
      </c>
      <c r="BN108" s="19">
        <v>0.10053638511299383</v>
      </c>
      <c r="BO108" s="19">
        <v>0.10042995607751923</v>
      </c>
      <c r="BP108" s="19">
        <v>0.10032363970911119</v>
      </c>
      <c r="BQ108" s="19">
        <v>0.10021743588849898</v>
      </c>
      <c r="BR108" s="19">
        <v>0.10011134449653813</v>
      </c>
      <c r="BS108" s="19">
        <v>0.10000536541421033</v>
      </c>
      <c r="BT108" s="19">
        <v>9.9899498522623198E-2</v>
      </c>
      <c r="BU108" s="19">
        <v>9.9793743703010293E-2</v>
      </c>
      <c r="BV108" s="19">
        <v>9.9688100836730853E-2</v>
      </c>
      <c r="BW108" s="19">
        <v>9.9582569805269736E-2</v>
      </c>
      <c r="BX108" s="19">
        <v>9.947715049023724E-2</v>
      </c>
      <c r="BY108" s="19">
        <v>9.9371842773368996E-2</v>
      </c>
      <c r="BZ108" s="19">
        <v>9.9266646536525824E-2</v>
      </c>
      <c r="CA108" s="19">
        <v>9.9161561661693653E-2</v>
      </c>
      <c r="CB108" s="19">
        <v>9.9056588030983259E-2</v>
      </c>
      <c r="CC108" s="19">
        <v>9.8951725526630299E-2</v>
      </c>
      <c r="CD108" s="19">
        <v>9.8846974030995072E-2</v>
      </c>
      <c r="CE108" s="19">
        <v>9.8742333426562398E-2</v>
      </c>
      <c r="CF108" s="19">
        <v>9.8637803595941487E-2</v>
      </c>
      <c r="CG108" s="19">
        <v>9.8533384421865849E-2</v>
      </c>
      <c r="CH108" s="19">
        <v>9.8429075787193149E-2</v>
      </c>
      <c r="CI108" s="19">
        <v>9.8324877574905004E-2</v>
      </c>
      <c r="CJ108" s="19">
        <v>9.8220789668106948E-2</v>
      </c>
      <c r="CK108" s="19">
        <v>9.8116811950028263E-2</v>
      </c>
      <c r="CL108" s="19">
        <v>9.8012944304021826E-2</v>
      </c>
      <c r="CM108" s="19">
        <v>9.7909186613564E-2</v>
      </c>
      <c r="CN108" s="19">
        <v>9.7805538762254535E-2</v>
      </c>
      <c r="CO108" s="19">
        <v>9.7702000633816358E-2</v>
      </c>
      <c r="CP108" s="19">
        <v>9.7598572112095508E-2</v>
      </c>
      <c r="CQ108" s="19">
        <v>9.7495253081060995E-2</v>
      </c>
      <c r="CR108" s="19">
        <v>9.7392043424804647E-2</v>
      </c>
      <c r="CS108" s="19">
        <v>9.7288943027540986E-2</v>
      </c>
      <c r="CT108" s="19">
        <v>9.7185951773607143E-2</v>
      </c>
      <c r="CU108" s="19">
        <v>9.7083069547462653E-2</v>
      </c>
      <c r="CV108" s="19">
        <v>9.6980296233689367E-2</v>
      </c>
      <c r="CW108" s="19">
        <v>9.6877631716991361E-2</v>
      </c>
      <c r="CX108" s="19">
        <v>9.6775075882194694E-2</v>
      </c>
      <c r="CY108" s="19">
        <v>9.66726286142474E-2</v>
      </c>
      <c r="CZ108" s="19">
        <v>9.6570289798219314E-2</v>
      </c>
      <c r="DA108" s="19">
        <v>9.6468059319301913E-2</v>
      </c>
      <c r="DB108" s="19">
        <v>9.6365937062808216E-2</v>
      </c>
      <c r="DC108" s="19">
        <v>9.6263922914172656E-2</v>
      </c>
      <c r="DD108" s="19">
        <v>9.6162016758950933E-2</v>
      </c>
      <c r="DE108" s="19">
        <v>9.6060218482819926E-2</v>
      </c>
      <c r="DF108" s="19">
        <v>9.5958527971577501E-2</v>
      </c>
      <c r="DG108" s="19">
        <v>9.5856945111142469E-2</v>
      </c>
      <c r="DH108" s="19">
        <v>9.5755469787554365E-2</v>
      </c>
      <c r="DI108" s="19">
        <v>9.5654101886973389E-2</v>
      </c>
      <c r="DJ108" s="19">
        <v>9.5552841295680216E-2</v>
      </c>
      <c r="DK108" s="19">
        <v>9.5451687900075979E-2</v>
      </c>
      <c r="DL108" s="19">
        <v>9.5350641586681995E-2</v>
      </c>
      <c r="DM108" s="19">
        <v>9.524970224213973E-2</v>
      </c>
      <c r="DN108" s="19">
        <v>9.5148869753210685E-2</v>
      </c>
      <c r="DO108" s="19">
        <v>9.5048144006776192E-2</v>
      </c>
      <c r="DP108" s="19">
        <v>9.4947524889837376E-2</v>
      </c>
      <c r="DQ108" s="19">
        <v>9.4847012289514934E-2</v>
      </c>
      <c r="DR108" s="19">
        <v>9.4746606093049107E-2</v>
      </c>
      <c r="DS108" s="19">
        <v>9.464630618779947E-2</v>
      </c>
      <c r="DT108" s="19">
        <v>9.4546112461244863E-2</v>
      </c>
      <c r="DU108" s="19">
        <v>9.4446024800983228E-2</v>
      </c>
      <c r="DV108" s="19">
        <v>9.4346043094731505E-2</v>
      </c>
      <c r="DW108" s="19">
        <v>9.4246167230325487E-2</v>
      </c>
      <c r="DX108" s="19">
        <v>9.4146397095719717E-2</v>
      </c>
      <c r="DY108" s="19">
        <v>9.4046732578987366E-2</v>
      </c>
      <c r="DZ108" s="19">
        <v>9.3947173568320039E-2</v>
      </c>
      <c r="EA108" s="19">
        <v>9.3847719952027758E-2</v>
      </c>
      <c r="EB108" s="19">
        <v>9.3748371618538773E-2</v>
      </c>
      <c r="EC108" s="19">
        <v>9.3649128456399403E-2</v>
      </c>
      <c r="ED108" s="19">
        <v>9.3549990354274012E-2</v>
      </c>
      <c r="EE108" s="19">
        <v>9.3450957200944776E-2</v>
      </c>
      <c r="EF108" s="19">
        <v>9.3352028885311633E-2</v>
      </c>
      <c r="EG108" s="19">
        <v>9.3253205296392125E-2</v>
      </c>
      <c r="EH108" s="19">
        <v>9.3154486323321295E-2</v>
      </c>
      <c r="EI108" s="19">
        <v>9.3055871855351524E-2</v>
      </c>
      <c r="EJ108" s="19">
        <v>9.2957361781852446E-2</v>
      </c>
      <c r="EK108" s="19">
        <v>9.2858955992310824E-2</v>
      </c>
      <c r="EL108" s="19">
        <v>9.2760654376330381E-2</v>
      </c>
      <c r="EM108" s="19">
        <v>9.2662456823631723E-2</v>
      </c>
      <c r="EN108" s="19">
        <v>9.2564363224052218E-2</v>
      </c>
      <c r="EO108" s="19">
        <v>9.2466373467545826E-2</v>
      </c>
      <c r="EP108" s="19">
        <v>9.2368487444182995E-2</v>
      </c>
      <c r="EQ108" s="19">
        <v>9.2270705044150594E-2</v>
      </c>
      <c r="ER108" s="19">
        <v>9.2173026157751678E-2</v>
      </c>
      <c r="ES108" s="19">
        <v>9.2075450675405485E-2</v>
      </c>
      <c r="ET108" s="19">
        <v>9.1977978487647202E-2</v>
      </c>
      <c r="EU108" s="19">
        <v>9.1880609485127968E-2</v>
      </c>
      <c r="EV108" s="19">
        <v>9.1783343558614602E-2</v>
      </c>
      <c r="EW108" s="19">
        <v>9.1686180598989614E-2</v>
      </c>
      <c r="EX108" s="19">
        <v>9.1589120497250986E-2</v>
      </c>
      <c r="EY108" s="19">
        <v>9.1492163144512154E-2</v>
      </c>
      <c r="EZ108" s="19">
        <v>9.1395308432001748E-2</v>
      </c>
      <c r="FA108" s="19">
        <v>9.1298556251063603E-2</v>
      </c>
      <c r="FB108" s="19">
        <v>9.1201906493156529E-2</v>
      </c>
      <c r="FC108" s="19">
        <v>9.110535904985427E-2</v>
      </c>
      <c r="FD108" s="19">
        <v>9.1008913812845357E-2</v>
      </c>
      <c r="FE108" s="19">
        <v>9.0912570673932963E-2</v>
      </c>
      <c r="FF108" s="19">
        <v>9.0816329525034808E-2</v>
      </c>
      <c r="FG108" s="19">
        <v>9.0720190258183037E-2</v>
      </c>
      <c r="FH108" s="19">
        <v>9.0624152765524046E-2</v>
      </c>
      <c r="FI108" s="19">
        <v>9.0528216939318465E-2</v>
      </c>
      <c r="FJ108" s="19">
        <v>9.0432382671940967E-2</v>
      </c>
      <c r="FK108" s="19">
        <v>9.0336649855880122E-2</v>
      </c>
      <c r="FL108" s="19">
        <v>9.0241018383738353E-2</v>
      </c>
      <c r="FM108" s="19">
        <v>9.0145488148231756E-2</v>
      </c>
      <c r="FN108" s="19">
        <v>9.0050059042190003E-2</v>
      </c>
      <c r="FO108" s="19">
        <v>8.9954730958556217E-2</v>
      </c>
      <c r="FP108" s="19">
        <v>8.985950379038686E-2</v>
      </c>
      <c r="FQ108" s="19">
        <v>8.9764377430851569E-2</v>
      </c>
      <c r="FR108" s="19">
        <v>8.9669351773233139E-2</v>
      </c>
      <c r="FS108" s="19">
        <v>8.9574426710927274E-2</v>
      </c>
      <c r="FT108" s="19">
        <v>8.9479602137442577E-2</v>
      </c>
      <c r="FU108" s="19">
        <v>8.9384877946400348E-2</v>
      </c>
      <c r="FV108" s="19">
        <v>8.9290254031534524E-2</v>
      </c>
      <c r="FW108" s="19">
        <v>8.9195730286691532E-2</v>
      </c>
      <c r="FX108" s="19">
        <v>8.9101306605830169E-2</v>
      </c>
      <c r="FY108" s="19">
        <v>8.9006982883021488E-2</v>
      </c>
      <c r="FZ108" s="19">
        <v>8.8912759012448703E-2</v>
      </c>
      <c r="GA108" s="19">
        <v>8.8818634888406994E-2</v>
      </c>
      <c r="GB108" s="19">
        <v>8.8724610405303508E-2</v>
      </c>
      <c r="GC108" s="19">
        <v>8.8630685457657121E-2</v>
      </c>
      <c r="GD108" s="19">
        <v>8.8536859940098384E-2</v>
      </c>
      <c r="GE108" s="19">
        <v>8.8443133747369423E-2</v>
      </c>
      <c r="GF108" s="19">
        <v>8.8349506774323752E-2</v>
      </c>
      <c r="GG108" s="19">
        <v>8.8255978915926236E-2</v>
      </c>
      <c r="GH108" s="19">
        <v>8.8162550067252876E-2</v>
      </c>
      <c r="GI108" s="19">
        <v>8.8069220123490805E-2</v>
      </c>
      <c r="GJ108" s="19">
        <v>8.797598897993808E-2</v>
      </c>
      <c r="GK108" s="19">
        <v>8.7882856532003589E-2</v>
      </c>
      <c r="GL108" s="19">
        <v>8.7789822675206963E-2</v>
      </c>
      <c r="GM108" s="19">
        <v>8.7696887305178411E-2</v>
      </c>
      <c r="GN108" s="19">
        <v>8.760405031765868E-2</v>
      </c>
      <c r="GO108" s="19">
        <v>8.7511311608498843E-2</v>
      </c>
      <c r="GP108" s="19">
        <v>8.7418671073660234E-2</v>
      </c>
      <c r="GQ108" s="19">
        <v>8.7326128609214321E-2</v>
      </c>
      <c r="GR108" s="19">
        <v>8.7233684111342594E-2</v>
      </c>
      <c r="GS108" s="19">
        <v>8.714133747633647E-2</v>
      </c>
      <c r="GT108" s="19">
        <v>8.704908860059711E-2</v>
      </c>
    </row>
    <row r="109" spans="1:202" s="19" customFormat="1" x14ac:dyDescent="0.4">
      <c r="A109" s="7"/>
      <c r="B109" s="21">
        <f t="shared" si="151"/>
        <v>3</v>
      </c>
      <c r="C109" s="19">
        <v>2.4995901114455155E-2</v>
      </c>
      <c r="D109" s="19">
        <v>2.4989653163729919E-2</v>
      </c>
      <c r="E109" s="19">
        <v>2.4983406774736268E-2</v>
      </c>
      <c r="F109" s="19">
        <v>2.4977161947083833E-2</v>
      </c>
      <c r="G109" s="19">
        <v>6.3912763935520492E-2</v>
      </c>
      <c r="H109" s="19">
        <v>6.3871874654330432E-2</v>
      </c>
      <c r="I109" s="19">
        <v>6.383101153275568E-2</v>
      </c>
      <c r="J109" s="19">
        <v>6.3790174554060136E-2</v>
      </c>
      <c r="K109" s="19">
        <v>7.9355387986168216E-2</v>
      </c>
      <c r="L109" s="19">
        <v>7.9292190637133178E-2</v>
      </c>
      <c r="M109" s="19">
        <v>7.9229043617445996E-2</v>
      </c>
      <c r="N109" s="19">
        <v>7.9165946887025163E-2</v>
      </c>
      <c r="O109" s="19">
        <v>9.1704098149039875E-2</v>
      </c>
      <c r="P109" s="19">
        <v>9.1619432445317145E-2</v>
      </c>
      <c r="Q109" s="19">
        <v>9.1534844909108529E-2</v>
      </c>
      <c r="R109" s="19">
        <v>9.1450335468245963E-2</v>
      </c>
      <c r="S109" s="19">
        <v>0.10161195482933873</v>
      </c>
      <c r="T109" s="19">
        <v>0.10150762121911933</v>
      </c>
      <c r="U109" s="19">
        <v>0.10140339473706451</v>
      </c>
      <c r="V109" s="19">
        <v>0.10129927527317673</v>
      </c>
      <c r="W109" s="19">
        <v>0.1089141723863339</v>
      </c>
      <c r="X109" s="19">
        <v>0.10879381076255165</v>
      </c>
      <c r="Y109" s="19">
        <v>0.10867358215103182</v>
      </c>
      <c r="Z109" s="19">
        <v>0.10855348640478187</v>
      </c>
      <c r="AA109" s="19">
        <v>0.11392028205510073</v>
      </c>
      <c r="AB109" s="19">
        <v>0.11378801789580213</v>
      </c>
      <c r="AC109" s="19">
        <v>0.11365590729834099</v>
      </c>
      <c r="AD109" s="19">
        <v>0.11352395008442835</v>
      </c>
      <c r="AE109" s="19">
        <v>0.11714498495635252</v>
      </c>
      <c r="AF109" s="19">
        <v>0.11700447550072145</v>
      </c>
      <c r="AG109" s="19">
        <v>0.11686413457904107</v>
      </c>
      <c r="AH109" s="19">
        <v>0.11672396198916353</v>
      </c>
      <c r="AI109" s="19">
        <v>0.11908833498352051</v>
      </c>
      <c r="AJ109" s="19">
        <v>0.11894242617765714</v>
      </c>
      <c r="AK109" s="19">
        <v>0.11879669614144095</v>
      </c>
      <c r="AL109" s="19">
        <v>0.1186511446558407</v>
      </c>
      <c r="AM109" s="19">
        <v>0.12015192387971131</v>
      </c>
      <c r="AN109" s="19">
        <v>0.12000266704195292</v>
      </c>
      <c r="AO109" s="19">
        <v>0.1198535956161538</v>
      </c>
      <c r="AP109" s="19">
        <v>0.11970470937198888</v>
      </c>
      <c r="AQ109" s="19">
        <v>0.11955600807941916</v>
      </c>
      <c r="AR109" s="19">
        <v>0.11940749150869144</v>
      </c>
      <c r="AS109" s="19">
        <v>0.11925915943033794</v>
      </c>
      <c r="AT109" s="19">
        <v>0.11911101161517587</v>
      </c>
      <c r="AU109" s="19">
        <v>0.11896304783430722</v>
      </c>
      <c r="AV109" s="19">
        <v>0.11881526785911825</v>
      </c>
      <c r="AW109" s="19">
        <v>0.11866767146127928</v>
      </c>
      <c r="AX109" s="19">
        <v>0.11852025841274419</v>
      </c>
      <c r="AY109" s="19">
        <v>0.11837302848575022</v>
      </c>
      <c r="AZ109" s="19">
        <v>0.11822598145281753</v>
      </c>
      <c r="BA109" s="19">
        <v>0.11807911708674881</v>
      </c>
      <c r="BB109" s="19">
        <v>0.11793243516062905</v>
      </c>
      <c r="BC109" s="19">
        <v>0.11778593544782508</v>
      </c>
      <c r="BD109" s="19">
        <v>0.11763961772198528</v>
      </c>
      <c r="BE109" s="19">
        <v>0.11749348175703919</v>
      </c>
      <c r="BF109" s="19">
        <v>0.11734752732719722</v>
      </c>
      <c r="BG109" s="19">
        <v>0.11720175420695024</v>
      </c>
      <c r="BH109" s="19">
        <v>0.11705616217106923</v>
      </c>
      <c r="BI109" s="19">
        <v>0.11691075099460502</v>
      </c>
      <c r="BJ109" s="19">
        <v>0.11676552045288782</v>
      </c>
      <c r="BK109" s="19">
        <v>0.11662047032152696</v>
      </c>
      <c r="BL109" s="19">
        <v>0.11647560037641053</v>
      </c>
      <c r="BM109" s="19">
        <v>0.11633091039370498</v>
      </c>
      <c r="BN109" s="19">
        <v>0.11618640014985485</v>
      </c>
      <c r="BO109" s="19">
        <v>0.11604206942158236</v>
      </c>
      <c r="BP109" s="19">
        <v>0.11589791798588713</v>
      </c>
      <c r="BQ109" s="19">
        <v>0.11575394562004575</v>
      </c>
      <c r="BR109" s="19">
        <v>0.11561015210161152</v>
      </c>
      <c r="BS109" s="19">
        <v>0.11546653720841406</v>
      </c>
      <c r="BT109" s="19">
        <v>0.11532310071855899</v>
      </c>
      <c r="BU109" s="19">
        <v>0.11517984241042754</v>
      </c>
      <c r="BV109" s="19">
        <v>0.1150367620626763</v>
      </c>
      <c r="BW109" s="19">
        <v>0.11489385945423675</v>
      </c>
      <c r="BX109" s="19">
        <v>0.11475113436431504</v>
      </c>
      <c r="BY109" s="19">
        <v>0.1146085865723916</v>
      </c>
      <c r="BZ109" s="19">
        <v>0.11446621585822077</v>
      </c>
      <c r="CA109" s="19">
        <v>0.11432402200183048</v>
      </c>
      <c r="CB109" s="19">
        <v>0.11418200478352195</v>
      </c>
      <c r="CC109" s="19">
        <v>0.11404016398386929</v>
      </c>
      <c r="CD109" s="19">
        <v>0.11389849938371924</v>
      </c>
      <c r="CE109" s="19">
        <v>0.11375701076419067</v>
      </c>
      <c r="CF109" s="19">
        <v>0.11361569790667446</v>
      </c>
      <c r="CG109" s="19">
        <v>0.11347456059283302</v>
      </c>
      <c r="CH109" s="19">
        <v>0.11333359860459997</v>
      </c>
      <c r="CI109" s="19">
        <v>0.11319281172417985</v>
      </c>
      <c r="CJ109" s="19">
        <v>0.11305219973404769</v>
      </c>
      <c r="CK109" s="19">
        <v>0.11291176241694882</v>
      </c>
      <c r="CL109" s="19">
        <v>0.11277149955589841</v>
      </c>
      <c r="CM109" s="19">
        <v>0.11263141093418115</v>
      </c>
      <c r="CN109" s="19">
        <v>0.11249149633535098</v>
      </c>
      <c r="CO109" s="19">
        <v>0.11235175554323071</v>
      </c>
      <c r="CP109" s="19">
        <v>0.1122121883419117</v>
      </c>
      <c r="CQ109" s="19">
        <v>0.11207279451575348</v>
      </c>
      <c r="CR109" s="19">
        <v>0.11193357384938352</v>
      </c>
      <c r="CS109" s="19">
        <v>0.11179452612769675</v>
      </c>
      <c r="CT109" s="19">
        <v>0.11165565113585539</v>
      </c>
      <c r="CU109" s="19">
        <v>0.1115169486592885</v>
      </c>
      <c r="CV109" s="19">
        <v>0.1113784184836917</v>
      </c>
      <c r="CW109" s="19">
        <v>0.1112400603950268</v>
      </c>
      <c r="CX109" s="19">
        <v>0.11110187417952154</v>
      </c>
      <c r="CY109" s="19">
        <v>0.11096385962366917</v>
      </c>
      <c r="CZ109" s="19">
        <v>0.11082601651422819</v>
      </c>
      <c r="DA109" s="19">
        <v>0.11068834463822198</v>
      </c>
      <c r="DB109" s="19">
        <v>0.11055084378293854</v>
      </c>
      <c r="DC109" s="19">
        <v>0.11041351373593002</v>
      </c>
      <c r="DD109" s="19">
        <v>0.11027635428501256</v>
      </c>
      <c r="DE109" s="19">
        <v>0.11013936521826584</v>
      </c>
      <c r="DF109" s="19">
        <v>0.11000254632403278</v>
      </c>
      <c r="DG109" s="19">
        <v>0.1098658973909193</v>
      </c>
      <c r="DH109" s="19">
        <v>0.10972941820779383</v>
      </c>
      <c r="DI109" s="19">
        <v>0.10959310856378712</v>
      </c>
      <c r="DJ109" s="19">
        <v>0.10945696824829189</v>
      </c>
      <c r="DK109" s="19">
        <v>0.10932099705096245</v>
      </c>
      <c r="DL109" s="19">
        <v>0.1091851947617144</v>
      </c>
      <c r="DM109" s="19">
        <v>0.10904956117072434</v>
      </c>
      <c r="DN109" s="19">
        <v>0.10891409606842953</v>
      </c>
      <c r="DO109" s="19">
        <v>0.10877879924552754</v>
      </c>
      <c r="DP109" s="19">
        <v>0.10864367049297592</v>
      </c>
      <c r="DQ109" s="19">
        <v>0.10850870960199192</v>
      </c>
      <c r="DR109" s="19">
        <v>0.10837391636405216</v>
      </c>
      <c r="DS109" s="19">
        <v>0.10823929057089228</v>
      </c>
      <c r="DT109" s="19">
        <v>0.10810483201450664</v>
      </c>
      <c r="DU109" s="19">
        <v>0.10797054048714798</v>
      </c>
      <c r="DV109" s="19">
        <v>0.10783641578132712</v>
      </c>
      <c r="DW109" s="19">
        <v>0.10770245768981263</v>
      </c>
      <c r="DX109" s="19">
        <v>0.1075686660056305</v>
      </c>
      <c r="DY109" s="19">
        <v>0.10743504052206385</v>
      </c>
      <c r="DZ109" s="19">
        <v>0.10730158103265258</v>
      </c>
      <c r="EA109" s="19">
        <v>0.10716828733119306</v>
      </c>
      <c r="EB109" s="19">
        <v>0.1070351592117378</v>
      </c>
      <c r="EC109" s="19">
        <v>0.10690219646859518</v>
      </c>
      <c r="ED109" s="19">
        <v>0.10676939889632905</v>
      </c>
      <c r="EE109" s="19">
        <v>0.10663676628975852</v>
      </c>
      <c r="EF109" s="19">
        <v>0.10650429844395752</v>
      </c>
      <c r="EG109" s="19">
        <v>0.10637199515425459</v>
      </c>
      <c r="EH109" s="19">
        <v>0.10623985621623251</v>
      </c>
      <c r="EI109" s="19">
        <v>0.10610788142572798</v>
      </c>
      <c r="EJ109" s="19">
        <v>0.10597607057883132</v>
      </c>
      <c r="EK109" s="19">
        <v>0.10584442347188619</v>
      </c>
      <c r="EL109" s="19">
        <v>0.10571293990148917</v>
      </c>
      <c r="EM109" s="19">
        <v>0.10558161966448959</v>
      </c>
      <c r="EN109" s="19">
        <v>0.10545046255798909</v>
      </c>
      <c r="EO109" s="19">
        <v>0.10531946837934138</v>
      </c>
      <c r="EP109" s="19">
        <v>0.10518863692615188</v>
      </c>
      <c r="EQ109" s="19">
        <v>0.10505796799627747</v>
      </c>
      <c r="ER109" s="19">
        <v>0.1049274613878261</v>
      </c>
      <c r="ES109" s="19">
        <v>0.10479711689915656</v>
      </c>
      <c r="ET109" s="19">
        <v>0.10466693432887808</v>
      </c>
      <c r="EU109" s="19">
        <v>0.10453691347585009</v>
      </c>
      <c r="EV109" s="19">
        <v>0.10440705413918187</v>
      </c>
      <c r="EW109" s="19">
        <v>0.1042773561182323</v>
      </c>
      <c r="EX109" s="19">
        <v>0.10414781921260942</v>
      </c>
      <c r="EY109" s="19">
        <v>0.10401844322217027</v>
      </c>
      <c r="EZ109" s="19">
        <v>0.10388922794702048</v>
      </c>
      <c r="FA109" s="19">
        <v>0.10376017318751403</v>
      </c>
      <c r="FB109" s="19">
        <v>0.10363127874425287</v>
      </c>
      <c r="FC109" s="19">
        <v>0.10350254441808668</v>
      </c>
      <c r="FD109" s="19">
        <v>0.10337397001011252</v>
      </c>
      <c r="FE109" s="19">
        <v>0.1032455553216745</v>
      </c>
      <c r="FF109" s="19">
        <v>0.10311730015436357</v>
      </c>
      <c r="FG109" s="19">
        <v>0.10298920431001711</v>
      </c>
      <c r="FH109" s="19">
        <v>0.10286126759071866</v>
      </c>
      <c r="FI109" s="19">
        <v>0.10273348979879765</v>
      </c>
      <c r="FJ109" s="19">
        <v>0.10260587073682903</v>
      </c>
      <c r="FK109" s="19">
        <v>0.10247841020763303</v>
      </c>
      <c r="FL109" s="19">
        <v>0.1023511080142748</v>
      </c>
      <c r="FM109" s="19">
        <v>0.10222396396006413</v>
      </c>
      <c r="FN109" s="19">
        <v>0.10209697784855513</v>
      </c>
      <c r="FO109" s="19">
        <v>0.10197014948354602</v>
      </c>
      <c r="FP109" s="19">
        <v>0.10184347866907865</v>
      </c>
      <c r="FQ109" s="19">
        <v>0.10171696520943833</v>
      </c>
      <c r="FR109" s="19">
        <v>0.10159060890915353</v>
      </c>
      <c r="FS109" s="19">
        <v>0.10146440957299549</v>
      </c>
      <c r="FT109" s="19">
        <v>0.10133836700597801</v>
      </c>
      <c r="FU109" s="19">
        <v>0.10121248101335709</v>
      </c>
      <c r="FV109" s="19">
        <v>0.10108675140063063</v>
      </c>
      <c r="FW109" s="19">
        <v>0.10096117797353817</v>
      </c>
      <c r="FX109" s="19">
        <v>0.10083576053806058</v>
      </c>
      <c r="FY109" s="19">
        <v>0.10071049890041971</v>
      </c>
      <c r="FZ109" s="19">
        <v>0.10058539286707814</v>
      </c>
      <c r="GA109" s="19">
        <v>0.10046044224473891</v>
      </c>
      <c r="GB109" s="19">
        <v>0.10033564684034511</v>
      </c>
      <c r="GC109" s="19">
        <v>0.10021100646107974</v>
      </c>
      <c r="GD109" s="19">
        <v>0.10008652091436521</v>
      </c>
      <c r="GE109" s="19">
        <v>9.9962190007863258E-2</v>
      </c>
      <c r="GF109" s="19">
        <v>9.9838013549474511E-2</v>
      </c>
      <c r="GG109" s="19">
        <v>9.9713991347338216E-2</v>
      </c>
      <c r="GH109" s="19">
        <v>9.9590123209831974E-2</v>
      </c>
      <c r="GI109" s="19">
        <v>9.9466408945571419E-2</v>
      </c>
      <c r="GJ109" s="19">
        <v>9.9342848363409939E-2</v>
      </c>
      <c r="GK109" s="19">
        <v>9.9219441272438341E-2</v>
      </c>
      <c r="GL109" s="19">
        <v>9.9096187481984649E-2</v>
      </c>
      <c r="GM109" s="19">
        <v>9.8973086801613666E-2</v>
      </c>
      <c r="GN109" s="19">
        <v>9.8850139041126828E-2</v>
      </c>
      <c r="GO109" s="19">
        <v>9.8727344010561796E-2</v>
      </c>
      <c r="GP109" s="19">
        <v>9.8604701520192226E-2</v>
      </c>
      <c r="GQ109" s="19">
        <v>9.8482211380527485E-2</v>
      </c>
      <c r="GR109" s="19">
        <v>9.8359873402312281E-2</v>
      </c>
      <c r="GS109" s="19">
        <v>9.8237687396526455E-2</v>
      </c>
      <c r="GT109" s="19">
        <v>9.8115653174384629E-2</v>
      </c>
    </row>
    <row r="110" spans="1:202" s="19" customFormat="1" x14ac:dyDescent="0.4">
      <c r="A110" s="7"/>
      <c r="B110" s="21">
        <f t="shared" si="151"/>
        <v>4</v>
      </c>
      <c r="C110" s="19">
        <v>5.7940929821398424E-2</v>
      </c>
      <c r="D110" s="19">
        <v>5.7907358307912743E-2</v>
      </c>
      <c r="E110" s="19">
        <v>5.7873806246074126E-2</v>
      </c>
      <c r="F110" s="19">
        <v>5.784027362461211E-2</v>
      </c>
      <c r="G110" s="19">
        <v>0.1366618934111514</v>
      </c>
      <c r="H110" s="19">
        <v>0.13647469519943228</v>
      </c>
      <c r="I110" s="19">
        <v>0.13628775341011151</v>
      </c>
      <c r="J110" s="19">
        <v>0.13610106769194402</v>
      </c>
      <c r="K110" s="19">
        <v>0.1700876940553756</v>
      </c>
      <c r="L110" s="19">
        <v>0.16979613011090816</v>
      </c>
      <c r="M110" s="19">
        <v>0.16950506596470177</v>
      </c>
      <c r="N110" s="19">
        <v>0.16921450076000338</v>
      </c>
      <c r="O110" s="19">
        <v>0.18542797000726782</v>
      </c>
      <c r="P110" s="19">
        <v>0.18507905557000848</v>
      </c>
      <c r="Q110" s="19">
        <v>0.18473079767493383</v>
      </c>
      <c r="R110" s="19">
        <v>0.18438319508664744</v>
      </c>
      <c r="S110" s="19">
        <v>0.18912228554023386</v>
      </c>
      <c r="T110" s="19">
        <v>0.18875658488019673</v>
      </c>
      <c r="U110" s="19">
        <v>0.18839159136565736</v>
      </c>
      <c r="V110" s="19">
        <v>0.18802730362922765</v>
      </c>
      <c r="W110" s="19">
        <v>0.18576612722070701</v>
      </c>
      <c r="X110" s="19">
        <v>0.18541054849499927</v>
      </c>
      <c r="Y110" s="19">
        <v>0.18505565038976882</v>
      </c>
      <c r="Z110" s="19">
        <v>0.18470143160222618</v>
      </c>
      <c r="AA110" s="19">
        <v>0.1788227824521752</v>
      </c>
      <c r="AB110" s="19">
        <v>0.17849075288046137</v>
      </c>
      <c r="AC110" s="19">
        <v>0.17815933980534257</v>
      </c>
      <c r="AD110" s="19">
        <v>0.17782854208213744</v>
      </c>
      <c r="AE110" s="19">
        <v>0.17054190605704503</v>
      </c>
      <c r="AF110" s="19">
        <v>0.17023766221208811</v>
      </c>
      <c r="AG110" s="19">
        <v>0.16993396113294951</v>
      </c>
      <c r="AH110" s="19">
        <v>0.16963080185134424</v>
      </c>
      <c r="AI110" s="19">
        <v>0.16221028405018728</v>
      </c>
      <c r="AJ110" s="19">
        <v>0.16193306810374442</v>
      </c>
      <c r="AK110" s="19">
        <v>0.1616563259169119</v>
      </c>
      <c r="AL110" s="19">
        <v>0.16138005668003866</v>
      </c>
      <c r="AM110" s="19">
        <v>0.15447627007830703</v>
      </c>
      <c r="AN110" s="19">
        <v>0.15422313265801041</v>
      </c>
      <c r="AO110" s="19">
        <v>0.15397041004934484</v>
      </c>
      <c r="AP110" s="19">
        <v>0.15371810157256618</v>
      </c>
      <c r="AQ110" s="19">
        <v>0.15346620654904414</v>
      </c>
      <c r="AR110" s="19">
        <v>0.15321472430126043</v>
      </c>
      <c r="AS110" s="19">
        <v>0.15296365415280708</v>
      </c>
      <c r="AT110" s="19">
        <v>0.15271299542838448</v>
      </c>
      <c r="AU110" s="19">
        <v>0.15246274745379967</v>
      </c>
      <c r="AV110" s="19">
        <v>0.15221290955596445</v>
      </c>
      <c r="AW110" s="19">
        <v>0.15196348106289359</v>
      </c>
      <c r="AX110" s="19">
        <v>0.15171446130370303</v>
      </c>
      <c r="AY110" s="19">
        <v>0.15146584960860809</v>
      </c>
      <c r="AZ110" s="19">
        <v>0.15121764530892165</v>
      </c>
      <c r="BA110" s="19">
        <v>0.15096984773705233</v>
      </c>
      <c r="BB110" s="19">
        <v>0.15072245622650279</v>
      </c>
      <c r="BC110" s="19">
        <v>0.15047547011186779</v>
      </c>
      <c r="BD110" s="19">
        <v>0.1502288887288325</v>
      </c>
      <c r="BE110" s="19">
        <v>0.14998271141417072</v>
      </c>
      <c r="BF110" s="19">
        <v>0.14973693750574302</v>
      </c>
      <c r="BG110" s="19">
        <v>0.14949156634249505</v>
      </c>
      <c r="BH110" s="19">
        <v>0.14924659726445569</v>
      </c>
      <c r="BI110" s="19">
        <v>0.14900202961273531</v>
      </c>
      <c r="BJ110" s="19">
        <v>0.14875786272952402</v>
      </c>
      <c r="BK110" s="19">
        <v>0.14851409595808979</v>
      </c>
      <c r="BL110" s="19">
        <v>0.14827072864277682</v>
      </c>
      <c r="BM110" s="19">
        <v>0.14802776012900376</v>
      </c>
      <c r="BN110" s="19">
        <v>0.14778518976326183</v>
      </c>
      <c r="BO110" s="19">
        <v>0.14754301689311319</v>
      </c>
      <c r="BP110" s="19">
        <v>0.14730124086718913</v>
      </c>
      <c r="BQ110" s="19">
        <v>0.14705986103518834</v>
      </c>
      <c r="BR110" s="19">
        <v>0.14681887674787508</v>
      </c>
      <c r="BS110" s="19">
        <v>0.14657828735707759</v>
      </c>
      <c r="BT110" s="19">
        <v>0.14633809221568622</v>
      </c>
      <c r="BU110" s="19">
        <v>0.14609829067765176</v>
      </c>
      <c r="BV110" s="19">
        <v>0.14585888209798356</v>
      </c>
      <c r="BW110" s="19">
        <v>0.14561986583274802</v>
      </c>
      <c r="BX110" s="19">
        <v>0.14538124123906668</v>
      </c>
      <c r="BY110" s="19">
        <v>0.14514300767511462</v>
      </c>
      <c r="BZ110" s="19">
        <v>0.14490516450011856</v>
      </c>
      <c r="CA110" s="19">
        <v>0.14466771107435533</v>
      </c>
      <c r="CB110" s="19">
        <v>0.14443064675915004</v>
      </c>
      <c r="CC110" s="19">
        <v>0.14419397091687439</v>
      </c>
      <c r="CD110" s="19">
        <v>0.14395768291094491</v>
      </c>
      <c r="CE110" s="19">
        <v>0.14372178210582137</v>
      </c>
      <c r="CF110" s="19">
        <v>0.14348626786700489</v>
      </c>
      <c r="CG110" s="19">
        <v>0.14325113956103636</v>
      </c>
      <c r="CH110" s="19">
        <v>0.14301639655549478</v>
      </c>
      <c r="CI110" s="19">
        <v>0.14278203821899543</v>
      </c>
      <c r="CJ110" s="19">
        <v>0.14254806392118821</v>
      </c>
      <c r="CK110" s="19">
        <v>0.14231447303275599</v>
      </c>
      <c r="CL110" s="19">
        <v>0.14208126492541287</v>
      </c>
      <c r="CM110" s="19">
        <v>0.14184843897190252</v>
      </c>
      <c r="CN110" s="19">
        <v>0.14161599454599655</v>
      </c>
      <c r="CO110" s="19">
        <v>0.14138393102249261</v>
      </c>
      <c r="CP110" s="19">
        <v>0.14115224777721302</v>
      </c>
      <c r="CQ110" s="19">
        <v>0.14092094418700282</v>
      </c>
      <c r="CR110" s="19">
        <v>0.14069001962972821</v>
      </c>
      <c r="CS110" s="19">
        <v>0.14045947348427495</v>
      </c>
      <c r="CT110" s="19">
        <v>0.14022930513054652</v>
      </c>
      <c r="CU110" s="19">
        <v>0.13999951394946258</v>
      </c>
      <c r="CV110" s="19">
        <v>0.13977009932295725</v>
      </c>
      <c r="CW110" s="19">
        <v>0.1395410606339775</v>
      </c>
      <c r="CX110" s="19">
        <v>0.13931239726648142</v>
      </c>
      <c r="CY110" s="19">
        <v>0.1390841086054366</v>
      </c>
      <c r="CZ110" s="19">
        <v>0.13885619403681848</v>
      </c>
      <c r="DA110" s="19">
        <v>0.13862865294760865</v>
      </c>
      <c r="DB110" s="19">
        <v>0.13840148472579333</v>
      </c>
      <c r="DC110" s="19">
        <v>0.13817468876036154</v>
      </c>
      <c r="DD110" s="19">
        <v>0.13794826444130362</v>
      </c>
      <c r="DE110" s="19">
        <v>0.1377222111596095</v>
      </c>
      <c r="DF110" s="19">
        <v>0.13749652830726708</v>
      </c>
      <c r="DG110" s="19">
        <v>0.13727121527726058</v>
      </c>
      <c r="DH110" s="19">
        <v>0.13704627146356899</v>
      </c>
      <c r="DI110" s="19">
        <v>0.13682169626116428</v>
      </c>
      <c r="DJ110" s="19">
        <v>0.13659748906600994</v>
      </c>
      <c r="DK110" s="19">
        <v>0.13637364927505927</v>
      </c>
      <c r="DL110" s="19">
        <v>0.13615017628625375</v>
      </c>
      <c r="DM110" s="19">
        <v>0.13592706949852149</v>
      </c>
      <c r="DN110" s="19">
        <v>0.13570432831177551</v>
      </c>
      <c r="DO110" s="19">
        <v>0.13548195212691216</v>
      </c>
      <c r="DP110" s="19">
        <v>0.13525994034580965</v>
      </c>
      <c r="DQ110" s="19">
        <v>0.1350382923713262</v>
      </c>
      <c r="DR110" s="19">
        <v>0.13481700760729862</v>
      </c>
      <c r="DS110" s="19">
        <v>0.1345960854585406</v>
      </c>
      <c r="DT110" s="19">
        <v>0.13437552533084118</v>
      </c>
      <c r="DU110" s="19">
        <v>0.13415532663096313</v>
      </c>
      <c r="DV110" s="19">
        <v>0.13393548876664135</v>
      </c>
      <c r="DW110" s="19">
        <v>0.13371601114658119</v>
      </c>
      <c r="DX110" s="19">
        <v>0.13349689318045704</v>
      </c>
      <c r="DY110" s="19">
        <v>0.13327813427891064</v>
      </c>
      <c r="DZ110" s="19">
        <v>0.13305973385354947</v>
      </c>
      <c r="EA110" s="19">
        <v>0.13284169131694518</v>
      </c>
      <c r="EB110" s="19">
        <v>0.13262400608263206</v>
      </c>
      <c r="EC110" s="19">
        <v>0.13240667756510544</v>
      </c>
      <c r="ED110" s="19">
        <v>0.13218970517982007</v>
      </c>
      <c r="EE110" s="19">
        <v>0.1319730883431886</v>
      </c>
      <c r="EF110" s="19">
        <v>0.13175682647258</v>
      </c>
      <c r="EG110" s="19">
        <v>0.13154091898631798</v>
      </c>
      <c r="EH110" s="19">
        <v>0.13132536530367944</v>
      </c>
      <c r="EI110" s="19">
        <v>0.13111016484489288</v>
      </c>
      <c r="EJ110" s="19">
        <v>0.13089531703113691</v>
      </c>
      <c r="EK110" s="19">
        <v>0.13068082128453859</v>
      </c>
      <c r="EL110" s="19">
        <v>0.13046667702817194</v>
      </c>
      <c r="EM110" s="19">
        <v>0.13025288368605639</v>
      </c>
      <c r="EN110" s="19">
        <v>0.13003944068315523</v>
      </c>
      <c r="EO110" s="19">
        <v>0.12982634744537402</v>
      </c>
      <c r="EP110" s="19">
        <v>0.1296136033995591</v>
      </c>
      <c r="EQ110" s="19">
        <v>0.12940120797349605</v>
      </c>
      <c r="ER110" s="19">
        <v>0.12918916059590804</v>
      </c>
      <c r="ES110" s="19">
        <v>0.12897746069645449</v>
      </c>
      <c r="ET110" s="19">
        <v>0.12876610770572938</v>
      </c>
      <c r="EU110" s="19">
        <v>0.12855510105525977</v>
      </c>
      <c r="EV110" s="19">
        <v>0.12834444017750421</v>
      </c>
      <c r="EW110" s="19">
        <v>0.12813412450585132</v>
      </c>
      <c r="EX110" s="19">
        <v>0.12792415347461827</v>
      </c>
      <c r="EY110" s="19">
        <v>0.1277145265190491</v>
      </c>
      <c r="EZ110" s="19">
        <v>0.12750524307531338</v>
      </c>
      <c r="FA110" s="19">
        <v>0.12729630258050459</v>
      </c>
      <c r="FB110" s="19">
        <v>0.12708770447263859</v>
      </c>
      <c r="FC110" s="19">
        <v>0.12687944819065228</v>
      </c>
      <c r="FD110" s="19">
        <v>0.1266715331744018</v>
      </c>
      <c r="FE110" s="19">
        <v>0.12646395886466133</v>
      </c>
      <c r="FF110" s="19">
        <v>0.12625672470312135</v>
      </c>
      <c r="FG110" s="19">
        <v>0.1260498301323873</v>
      </c>
      <c r="FH110" s="19">
        <v>0.12584327459597794</v>
      </c>
      <c r="FI110" s="19">
        <v>0.12563705753832397</v>
      </c>
      <c r="FJ110" s="19">
        <v>0.12543117840476653</v>
      </c>
      <c r="FK110" s="19">
        <v>0.12522563664155556</v>
      </c>
      <c r="FL110" s="19">
        <v>0.12502043169584851</v>
      </c>
      <c r="FM110" s="19">
        <v>0.12481556301570873</v>
      </c>
      <c r="FN110" s="19">
        <v>0.12461103005010403</v>
      </c>
      <c r="FO110" s="19">
        <v>0.12440683224890518</v>
      </c>
      <c r="FP110" s="19">
        <v>0.12420296906288446</v>
      </c>
      <c r="FQ110" s="19">
        <v>0.1239994399437141</v>
      </c>
      <c r="FR110" s="19">
        <v>0.12379624434396491</v>
      </c>
      <c r="FS110" s="19">
        <v>0.12359338171710477</v>
      </c>
      <c r="FT110" s="19">
        <v>0.12339085151749712</v>
      </c>
      <c r="FU110" s="19">
        <v>0.12318865320039954</v>
      </c>
      <c r="FV110" s="19">
        <v>0.12298678622196228</v>
      </c>
      <c r="FW110" s="19">
        <v>0.12278525003922679</v>
      </c>
      <c r="FX110" s="19">
        <v>0.12258404411012422</v>
      </c>
      <c r="FY110" s="19">
        <v>0.12238316789347402</v>
      </c>
      <c r="FZ110" s="19">
        <v>0.12218262084898247</v>
      </c>
      <c r="GA110" s="19">
        <v>0.12198240243724121</v>
      </c>
      <c r="GB110" s="19">
        <v>0.12178251211972581</v>
      </c>
      <c r="GC110" s="19">
        <v>0.12158294935879428</v>
      </c>
      <c r="GD110" s="19">
        <v>0.1213837136176857</v>
      </c>
      <c r="GE110" s="19">
        <v>0.12118480436051869</v>
      </c>
      <c r="GF110" s="19">
        <v>0.12098622105229004</v>
      </c>
      <c r="GG110" s="19">
        <v>0.12078796315887322</v>
      </c>
      <c r="GH110" s="19">
        <v>0.12059003014701694</v>
      </c>
      <c r="GI110" s="19">
        <v>0.1203924214843438</v>
      </c>
      <c r="GJ110" s="19">
        <v>0.12019513663934876</v>
      </c>
      <c r="GK110" s="19">
        <v>0.11999817508139775</v>
      </c>
      <c r="GL110" s="19">
        <v>0.11980153628072625</v>
      </c>
      <c r="GM110" s="19">
        <v>0.11960521970843779</v>
      </c>
      <c r="GN110" s="19">
        <v>0.11940922483650272</v>
      </c>
      <c r="GO110" s="19">
        <v>0.11921355113775657</v>
      </c>
      <c r="GP110" s="19">
        <v>0.11901819808589874</v>
      </c>
      <c r="GQ110" s="19">
        <v>0.11882316515549109</v>
      </c>
      <c r="GR110" s="19">
        <v>0.11862845182195647</v>
      </c>
      <c r="GS110" s="19">
        <v>0.11843405756157738</v>
      </c>
      <c r="GT110" s="19">
        <v>0.11823998185149451</v>
      </c>
    </row>
    <row r="111" spans="1:202" s="19" customFormat="1" x14ac:dyDescent="0.4">
      <c r="A111" s="7"/>
      <c r="B111" s="21">
        <f t="shared" si="151"/>
        <v>5</v>
      </c>
      <c r="C111" s="19">
        <v>0.13404874871310035</v>
      </c>
      <c r="D111" s="19">
        <v>0.13386905804278487</v>
      </c>
      <c r="E111" s="19">
        <v>0.1336896082455645</v>
      </c>
      <c r="F111" s="19">
        <v>0.13351039899855185</v>
      </c>
      <c r="G111" s="19">
        <v>0.32544337904652515</v>
      </c>
      <c r="H111" s="19">
        <v>0.32437854701096147</v>
      </c>
      <c r="I111" s="19">
        <v>0.32331719904463063</v>
      </c>
      <c r="J111" s="19">
        <v>0.32225932374785826</v>
      </c>
      <c r="K111" s="19">
        <v>0.37811869801762027</v>
      </c>
      <c r="L111" s="19">
        <v>0.37666230093425213</v>
      </c>
      <c r="M111" s="19">
        <v>0.37521151344510817</v>
      </c>
      <c r="N111" s="19">
        <v>0.37376631394375442</v>
      </c>
      <c r="O111" s="19">
        <v>0.3795470295630714</v>
      </c>
      <c r="P111" s="19">
        <v>0.3780567811034124</v>
      </c>
      <c r="Q111" s="19">
        <v>0.37657238393568448</v>
      </c>
      <c r="R111" s="19">
        <v>0.37509381508545192</v>
      </c>
      <c r="S111" s="19">
        <v>0.35519906441656812</v>
      </c>
      <c r="T111" s="19">
        <v>0.35387318089670067</v>
      </c>
      <c r="U111" s="19">
        <v>0.35255224662159307</v>
      </c>
      <c r="V111" s="19">
        <v>0.35123624311675389</v>
      </c>
      <c r="W111" s="19">
        <v>0.32120736703548214</v>
      </c>
      <c r="X111" s="19">
        <v>0.32010676732458254</v>
      </c>
      <c r="Y111" s="19">
        <v>0.31900993875920436</v>
      </c>
      <c r="Z111" s="19">
        <v>0.31791686841772088</v>
      </c>
      <c r="AA111" s="19">
        <v>0.286391891989214</v>
      </c>
      <c r="AB111" s="19">
        <v>0.28550485362363298</v>
      </c>
      <c r="AC111" s="19">
        <v>0.28462056267194191</v>
      </c>
      <c r="AD111" s="19">
        <v>0.28373901062460677</v>
      </c>
      <c r="AE111" s="19">
        <v>0.25467300055608344</v>
      </c>
      <c r="AF111" s="19">
        <v>0.25396280873138422</v>
      </c>
      <c r="AG111" s="19">
        <v>0.25325459737743283</v>
      </c>
      <c r="AH111" s="19">
        <v>0.25254836097140543</v>
      </c>
      <c r="AI111" s="19">
        <v>0.22734338159716291</v>
      </c>
      <c r="AJ111" s="19">
        <v>0.22677107912233141</v>
      </c>
      <c r="AK111" s="19">
        <v>0.22620021733216111</v>
      </c>
      <c r="AL111" s="19">
        <v>0.22563079259994695</v>
      </c>
      <c r="AM111" s="19">
        <v>0.20447178487240933</v>
      </c>
      <c r="AN111" s="19">
        <v>0.20400415056587703</v>
      </c>
      <c r="AO111" s="19">
        <v>0.2035375857557781</v>
      </c>
      <c r="AP111" s="19">
        <v>0.20307208799613585</v>
      </c>
      <c r="AQ111" s="19">
        <v>0.20260765484656759</v>
      </c>
      <c r="AR111" s="19">
        <v>0.20214428387227187</v>
      </c>
      <c r="AS111" s="19">
        <v>0.2016819726440158</v>
      </c>
      <c r="AT111" s="19">
        <v>0.20122071873812211</v>
      </c>
      <c r="AU111" s="19">
        <v>0.20076051973645667</v>
      </c>
      <c r="AV111" s="19">
        <v>0.20030137322641567</v>
      </c>
      <c r="AW111" s="19">
        <v>0.19984327680091299</v>
      </c>
      <c r="AX111" s="19">
        <v>0.19938622805836764</v>
      </c>
      <c r="AY111" s="19">
        <v>0.19893022460269114</v>
      </c>
      <c r="AZ111" s="19">
        <v>0.19847526404327487</v>
      </c>
      <c r="BA111" s="19">
        <v>0.1980213439949777</v>
      </c>
      <c r="BB111" s="19">
        <v>0.19756846207811338</v>
      </c>
      <c r="BC111" s="19">
        <v>0.1971166159184381</v>
      </c>
      <c r="BD111" s="19">
        <v>0.196665803147138</v>
      </c>
      <c r="BE111" s="19">
        <v>0.19621602140081679</v>
      </c>
      <c r="BF111" s="19">
        <v>0.19576726832148333</v>
      </c>
      <c r="BG111" s="19">
        <v>0.19531954155653938</v>
      </c>
      <c r="BH111" s="19">
        <v>0.19487283875876713</v>
      </c>
      <c r="BI111" s="19">
        <v>0.19442715758631685</v>
      </c>
      <c r="BJ111" s="19">
        <v>0.19398249570269482</v>
      </c>
      <c r="BK111" s="19">
        <v>0.19353885077675093</v>
      </c>
      <c r="BL111" s="19">
        <v>0.1930962204826665</v>
      </c>
      <c r="BM111" s="19">
        <v>0.19265460249994204</v>
      </c>
      <c r="BN111" s="19">
        <v>0.19221399451338519</v>
      </c>
      <c r="BO111" s="19">
        <v>0.1917743942130985</v>
      </c>
      <c r="BP111" s="19">
        <v>0.19133579929446728</v>
      </c>
      <c r="BQ111" s="19">
        <v>0.19089820745814765</v>
      </c>
      <c r="BR111" s="19">
        <v>0.19046161641005435</v>
      </c>
      <c r="BS111" s="19">
        <v>0.19002602386134887</v>
      </c>
      <c r="BT111" s="19">
        <v>0.18959142752842723</v>
      </c>
      <c r="BU111" s="19">
        <v>0.18915782513290824</v>
      </c>
      <c r="BV111" s="19">
        <v>0.18872521440162135</v>
      </c>
      <c r="BW111" s="19">
        <v>0.18829359306659493</v>
      </c>
      <c r="BX111" s="19">
        <v>0.18786295886504428</v>
      </c>
      <c r="BY111" s="19">
        <v>0.18743330953935966</v>
      </c>
      <c r="BZ111" s="19">
        <v>0.18700464283709464</v>
      </c>
      <c r="CA111" s="19">
        <v>0.18657695651095427</v>
      </c>
      <c r="CB111" s="19">
        <v>0.18615024831878316</v>
      </c>
      <c r="CC111" s="19">
        <v>0.18572451602355383</v>
      </c>
      <c r="CD111" s="19">
        <v>0.18529975739335497</v>
      </c>
      <c r="CE111" s="19">
        <v>0.18487597020137972</v>
      </c>
      <c r="CF111" s="19">
        <v>0.18445315222591405</v>
      </c>
      <c r="CG111" s="19">
        <v>0.18403130125032496</v>
      </c>
      <c r="CH111" s="19">
        <v>0.18361041506304915</v>
      </c>
      <c r="CI111" s="19">
        <v>0.18319049145758107</v>
      </c>
      <c r="CJ111" s="19">
        <v>0.18277152823246159</v>
      </c>
      <c r="CK111" s="19">
        <v>0.18235352319126646</v>
      </c>
      <c r="CL111" s="19">
        <v>0.18193647414259462</v>
      </c>
      <c r="CM111" s="19">
        <v>0.1815203789000569</v>
      </c>
      <c r="CN111" s="19">
        <v>0.18110523528226447</v>
      </c>
      <c r="CO111" s="19">
        <v>0.18069104111281739</v>
      </c>
      <c r="CP111" s="19">
        <v>0.18027779422029325</v>
      </c>
      <c r="CQ111" s="19">
        <v>0.17986549243823571</v>
      </c>
      <c r="CR111" s="19">
        <v>0.17945413360514326</v>
      </c>
      <c r="CS111" s="19">
        <v>0.17904371556445781</v>
      </c>
      <c r="CT111" s="19">
        <v>0.17863423616455334</v>
      </c>
      <c r="CU111" s="19">
        <v>0.17822569325872473</v>
      </c>
      <c r="CV111" s="19">
        <v>0.1778180847051764</v>
      </c>
      <c r="CW111" s="19">
        <v>0.17741140836701125</v>
      </c>
      <c r="CX111" s="19">
        <v>0.17700566211221921</v>
      </c>
      <c r="CY111" s="19">
        <v>0.17660084381366625</v>
      </c>
      <c r="CZ111" s="19">
        <v>0.17619695134908314</v>
      </c>
      <c r="DA111" s="19">
        <v>0.17579398260105442</v>
      </c>
      <c r="DB111" s="19">
        <v>0.17539193545700715</v>
      </c>
      <c r="DC111" s="19">
        <v>0.17499080780920004</v>
      </c>
      <c r="DD111" s="19">
        <v>0.17459059755471212</v>
      </c>
      <c r="DE111" s="19">
        <v>0.17419130259543203</v>
      </c>
      <c r="DF111" s="19">
        <v>0.17379292083804679</v>
      </c>
      <c r="DG111" s="19">
        <v>0.17339545019403085</v>
      </c>
      <c r="DH111" s="19">
        <v>0.1729988885796353</v>
      </c>
      <c r="DI111" s="19">
        <v>0.17260323391587679</v>
      </c>
      <c r="DJ111" s="19">
        <v>0.17220848412852666</v>
      </c>
      <c r="DK111" s="19">
        <v>0.17181463714810014</v>
      </c>
      <c r="DL111" s="19">
        <v>0.17142169090984538</v>
      </c>
      <c r="DM111" s="19">
        <v>0.17102964335373272</v>
      </c>
      <c r="DN111" s="19">
        <v>0.17063849242444387</v>
      </c>
      <c r="DO111" s="19">
        <v>0.17024823607136116</v>
      </c>
      <c r="DP111" s="19">
        <v>0.16985887224855667</v>
      </c>
      <c r="DQ111" s="19">
        <v>0.16947039891478166</v>
      </c>
      <c r="DR111" s="19">
        <v>0.16908281403345579</v>
      </c>
      <c r="DS111" s="19">
        <v>0.16869611557265637</v>
      </c>
      <c r="DT111" s="19">
        <v>0.16831030150510795</v>
      </c>
      <c r="DU111" s="19">
        <v>0.16792536980817141</v>
      </c>
      <c r="DV111" s="19">
        <v>0.16754131846383347</v>
      </c>
      <c r="DW111" s="19">
        <v>0.1671581454586962</v>
      </c>
      <c r="DX111" s="19">
        <v>0.16677584878396634</v>
      </c>
      <c r="DY111" s="19">
        <v>0.1663944264354448</v>
      </c>
      <c r="DZ111" s="19">
        <v>0.16601387641351617</v>
      </c>
      <c r="EA111" s="19">
        <v>0.16563419672313828</v>
      </c>
      <c r="EB111" s="19">
        <v>0.16525538537383161</v>
      </c>
      <c r="EC111" s="19">
        <v>0.164877440379669</v>
      </c>
      <c r="ED111" s="19">
        <v>0.16450035975926516</v>
      </c>
      <c r="EE111" s="19">
        <v>0.16412414153576632</v>
      </c>
      <c r="EF111" s="19">
        <v>0.16374878373683976</v>
      </c>
      <c r="EG111" s="19">
        <v>0.1633742843946637</v>
      </c>
      <c r="EH111" s="19">
        <v>0.1630006415459167</v>
      </c>
      <c r="EI111" s="19">
        <v>0.16262785323176759</v>
      </c>
      <c r="EJ111" s="19">
        <v>0.16225591749786508</v>
      </c>
      <c r="EK111" s="19">
        <v>0.16188483239432758</v>
      </c>
      <c r="EL111" s="19">
        <v>0.16151459597573292</v>
      </c>
      <c r="EM111" s="19">
        <v>0.16114520630110821</v>
      </c>
      <c r="EN111" s="19">
        <v>0.16077666143391958</v>
      </c>
      <c r="EO111" s="19">
        <v>0.16040895944206215</v>
      </c>
      <c r="EP111" s="19">
        <v>0.1600420983978498</v>
      </c>
      <c r="EQ111" s="19">
        <v>0.1596760763780051</v>
      </c>
      <c r="ER111" s="19">
        <v>0.15931089146364921</v>
      </c>
      <c r="ES111" s="19">
        <v>0.15894654174029188</v>
      </c>
      <c r="ET111" s="19">
        <v>0.15858302529782128</v>
      </c>
      <c r="EU111" s="19">
        <v>0.15822034023049419</v>
      </c>
      <c r="EV111" s="19">
        <v>0.15785848463692581</v>
      </c>
      <c r="EW111" s="19">
        <v>0.15749745662007991</v>
      </c>
      <c r="EX111" s="19">
        <v>0.15713725428725883</v>
      </c>
      <c r="EY111" s="19">
        <v>0.15677787575009361</v>
      </c>
      <c r="EZ111" s="19">
        <v>0.156419319124534</v>
      </c>
      <c r="FA111" s="19">
        <v>0.15606158253083868</v>
      </c>
      <c r="FB111" s="19">
        <v>0.15570466409356537</v>
      </c>
      <c r="FC111" s="19">
        <v>0.15534856194156099</v>
      </c>
      <c r="FD111" s="19">
        <v>0.15499327420795189</v>
      </c>
      <c r="FE111" s="19">
        <v>0.15463879903013392</v>
      </c>
      <c r="FF111" s="19">
        <v>0.15428513454976284</v>
      </c>
      <c r="FG111" s="19">
        <v>0.15393227891274455</v>
      </c>
      <c r="FH111" s="19">
        <v>0.15358023026922527</v>
      </c>
      <c r="FI111" s="19">
        <v>0.15322898677358193</v>
      </c>
      <c r="FJ111" s="19">
        <v>0.15287854658441244</v>
      </c>
      <c r="FK111" s="19">
        <v>0.15252890786452608</v>
      </c>
      <c r="FL111" s="19">
        <v>0.15218006878093387</v>
      </c>
      <c r="FM111" s="19">
        <v>0.1518320275048389</v>
      </c>
      <c r="FN111" s="19">
        <v>0.15148478221162681</v>
      </c>
      <c r="FO111" s="19">
        <v>0.1511383310808562</v>
      </c>
      <c r="FP111" s="19">
        <v>0.15079267229624907</v>
      </c>
      <c r="FQ111" s="19">
        <v>0.15044780404568134</v>
      </c>
      <c r="FR111" s="19">
        <v>0.15010372452117329</v>
      </c>
      <c r="FS111" s="19">
        <v>0.14976043191888014</v>
      </c>
      <c r="FT111" s="19">
        <v>0.14941792443908256</v>
      </c>
      <c r="FU111" s="19">
        <v>0.14907620028617721</v>
      </c>
      <c r="FV111" s="19">
        <v>0.14873525766866744</v>
      </c>
      <c r="FW111" s="19">
        <v>0.14839509479915372</v>
      </c>
      <c r="FX111" s="19">
        <v>0.14805570989432443</v>
      </c>
      <c r="FY111" s="19">
        <v>0.14771710117494644</v>
      </c>
      <c r="FZ111" s="19">
        <v>0.14737926686585576</v>
      </c>
      <c r="GA111" s="19">
        <v>0.14704220519594829</v>
      </c>
      <c r="GB111" s="19">
        <v>0.14670591439817054</v>
      </c>
      <c r="GC111" s="19">
        <v>0.14637039270951024</v>
      </c>
      <c r="GD111" s="19">
        <v>0.14603563837098729</v>
      </c>
      <c r="GE111" s="19">
        <v>0.14570164962764437</v>
      </c>
      <c r="GF111" s="19">
        <v>0.14536842472853787</v>
      </c>
      <c r="GG111" s="19">
        <v>0.1450359619267286</v>
      </c>
      <c r="GH111" s="19">
        <v>0.14470425947927271</v>
      </c>
      <c r="GI111" s="19">
        <v>0.14437331564721251</v>
      </c>
      <c r="GJ111" s="19">
        <v>0.1440431286955674</v>
      </c>
      <c r="GK111" s="19">
        <v>0.14371369689332472</v>
      </c>
      <c r="GL111" s="19">
        <v>0.14338501851343072</v>
      </c>
      <c r="GM111" s="19">
        <v>0.1430570918327814</v>
      </c>
      <c r="GN111" s="19">
        <v>0.14272991513221367</v>
      </c>
      <c r="GO111" s="19">
        <v>0.14240348669649619</v>
      </c>
      <c r="GP111" s="19">
        <v>0.14207780481432036</v>
      </c>
      <c r="GQ111" s="19">
        <v>0.14175286777829146</v>
      </c>
      <c r="GR111" s="19">
        <v>0.1414286738849197</v>
      </c>
      <c r="GS111" s="19">
        <v>0.14110522143461107</v>
      </c>
      <c r="GT111" s="19">
        <v>0.14078250873165873</v>
      </c>
    </row>
    <row r="112" spans="1:202" s="19" customFormat="1" x14ac:dyDescent="0.4">
      <c r="A112" s="7"/>
      <c r="B112" s="21">
        <f t="shared" si="151"/>
        <v>6</v>
      </c>
      <c r="C112" s="19">
        <v>0.38350480096061013</v>
      </c>
      <c r="D112" s="19">
        <v>0.38203404163701177</v>
      </c>
      <c r="E112" s="19">
        <v>0.38056892274602994</v>
      </c>
      <c r="F112" s="19">
        <v>0.37910942265633485</v>
      </c>
      <c r="G112" s="19">
        <v>0.73977900130429797</v>
      </c>
      <c r="H112" s="19">
        <v>0.73422150774967299</v>
      </c>
      <c r="I112" s="19">
        <v>0.72870576414274213</v>
      </c>
      <c r="J112" s="19">
        <v>0.72323145684245216</v>
      </c>
      <c r="K112" s="19">
        <v>0.77214746613490526</v>
      </c>
      <c r="L112" s="19">
        <v>0.76590760306856331</v>
      </c>
      <c r="M112" s="19">
        <v>0.75971816546211646</v>
      </c>
      <c r="N112" s="19">
        <v>0.75357874581832029</v>
      </c>
      <c r="O112" s="19">
        <v>0.67850089904995814</v>
      </c>
      <c r="P112" s="19">
        <v>0.67352386178575308</v>
      </c>
      <c r="Q112" s="19">
        <v>0.66858333280026061</v>
      </c>
      <c r="R112" s="19">
        <v>0.66367904429271019</v>
      </c>
      <c r="S112" s="19">
        <v>0.56508689663525813</v>
      </c>
      <c r="T112" s="19">
        <v>0.56153148184605139</v>
      </c>
      <c r="U112" s="19">
        <v>0.55799843702224039</v>
      </c>
      <c r="V112" s="19">
        <v>0.55448762141643515</v>
      </c>
      <c r="W112" s="19">
        <v>0.46575717092748087</v>
      </c>
      <c r="X112" s="19">
        <v>0.46328007166538437</v>
      </c>
      <c r="Y112" s="19">
        <v>0.46081614669482285</v>
      </c>
      <c r="Z112" s="19">
        <v>0.45836532594918244</v>
      </c>
      <c r="AA112" s="19">
        <v>0.38615795906213257</v>
      </c>
      <c r="AB112" s="19">
        <v>0.38441848476969381</v>
      </c>
      <c r="AC112" s="19">
        <v>0.38268684605526937</v>
      </c>
      <c r="AD112" s="19">
        <v>0.38096300762297514</v>
      </c>
      <c r="AE112" s="19">
        <v>0.32401027507845137</v>
      </c>
      <c r="AF112" s="19">
        <v>0.32276332659562745</v>
      </c>
      <c r="AG112" s="19">
        <v>0.32152117697456323</v>
      </c>
      <c r="AH112" s="19">
        <v>0.32028380774691423</v>
      </c>
      <c r="AI112" s="19">
        <v>0.27572218594623404</v>
      </c>
      <c r="AJ112" s="19">
        <v>0.27480517869242055</v>
      </c>
      <c r="AK112" s="19">
        <v>0.27389122125594645</v>
      </c>
      <c r="AL112" s="19">
        <v>0.27298030349361402</v>
      </c>
      <c r="AM112" s="19">
        <v>0.23811117241412602</v>
      </c>
      <c r="AN112" s="19">
        <v>0.23741810402211347</v>
      </c>
      <c r="AO112" s="19">
        <v>0.23672705293903748</v>
      </c>
      <c r="AP112" s="19">
        <v>0.23603801329313218</v>
      </c>
      <c r="AQ112" s="19">
        <v>0.23535097922972253</v>
      </c>
      <c r="AR112" s="19">
        <v>0.23466594491117476</v>
      </c>
      <c r="AS112" s="19">
        <v>0.23398290451684656</v>
      </c>
      <c r="AT112" s="19">
        <v>0.23330185224303776</v>
      </c>
      <c r="AU112" s="19">
        <v>0.23262278230294098</v>
      </c>
      <c r="AV112" s="19">
        <v>0.23194568892659248</v>
      </c>
      <c r="AW112" s="19">
        <v>0.23127056636082299</v>
      </c>
      <c r="AX112" s="19">
        <v>0.23059740886920915</v>
      </c>
      <c r="AY112" s="19">
        <v>0.22992621073202438</v>
      </c>
      <c r="AZ112" s="19">
        <v>0.22925696624619055</v>
      </c>
      <c r="BA112" s="19">
        <v>0.2285896697252294</v>
      </c>
      <c r="BB112" s="19">
        <v>0.2279243154992143</v>
      </c>
      <c r="BC112" s="19">
        <v>0.22726089791472201</v>
      </c>
      <c r="BD112" s="19">
        <v>0.22659941133478467</v>
      </c>
      <c r="BE112" s="19">
        <v>0.22593985013884194</v>
      </c>
      <c r="BF112" s="19">
        <v>0.22528220872269308</v>
      </c>
      <c r="BG112" s="19">
        <v>0.22462648149844963</v>
      </c>
      <c r="BH112" s="19">
        <v>0.22397266289448761</v>
      </c>
      <c r="BI112" s="19">
        <v>0.22332074735540033</v>
      </c>
      <c r="BJ112" s="19">
        <v>0.22267072934195128</v>
      </c>
      <c r="BK112" s="19">
        <v>0.22202260333102691</v>
      </c>
      <c r="BL112" s="19">
        <v>0.22137636381558976</v>
      </c>
      <c r="BM112" s="19">
        <v>0.22073200530463163</v>
      </c>
      <c r="BN112" s="19">
        <v>0.22008952232312701</v>
      </c>
      <c r="BO112" s="19">
        <v>0.21944890941198644</v>
      </c>
      <c r="BP112" s="19">
        <v>0.21881016112801027</v>
      </c>
      <c r="BQ112" s="19">
        <v>0.21817327204384229</v>
      </c>
      <c r="BR112" s="19">
        <v>0.21753823674792361</v>
      </c>
      <c r="BS112" s="19">
        <v>0.21690504984444681</v>
      </c>
      <c r="BT112" s="19">
        <v>0.21627370595330994</v>
      </c>
      <c r="BU112" s="19">
        <v>0.2156441997100709</v>
      </c>
      <c r="BV112" s="19">
        <v>0.21501652576590186</v>
      </c>
      <c r="BW112" s="19">
        <v>0.2143906787875437</v>
      </c>
      <c r="BX112" s="19">
        <v>0.21376665345726081</v>
      </c>
      <c r="BY112" s="19">
        <v>0.21314444447279599</v>
      </c>
      <c r="BZ112" s="19">
        <v>0.21252404654732504</v>
      </c>
      <c r="CA112" s="19">
        <v>0.21190545440941233</v>
      </c>
      <c r="CB112" s="19">
        <v>0.21128866280296563</v>
      </c>
      <c r="CC112" s="19">
        <v>0.21067366648719152</v>
      </c>
      <c r="CD112" s="19">
        <v>0.21006046023655109</v>
      </c>
      <c r="CE112" s="19">
        <v>0.2094490388407152</v>
      </c>
      <c r="CF112" s="19">
        <v>0.20883939710452046</v>
      </c>
      <c r="CG112" s="19">
        <v>0.20823152984792501</v>
      </c>
      <c r="CH112" s="19">
        <v>0.20762543190596447</v>
      </c>
      <c r="CI112" s="19">
        <v>0.20702109812870806</v>
      </c>
      <c r="CJ112" s="19">
        <v>0.20641852338121489</v>
      </c>
      <c r="CK112" s="19">
        <v>0.20581770254349038</v>
      </c>
      <c r="CL112" s="19">
        <v>0.20521863051044253</v>
      </c>
      <c r="CM112" s="19">
        <v>0.20462130219183883</v>
      </c>
      <c r="CN112" s="19">
        <v>0.20402571251226273</v>
      </c>
      <c r="CO112" s="19">
        <v>0.20343185641107081</v>
      </c>
      <c r="CP112" s="19">
        <v>0.20283972884234952</v>
      </c>
      <c r="CQ112" s="19">
        <v>0.20224932477487245</v>
      </c>
      <c r="CR112" s="19">
        <v>0.20166063919205757</v>
      </c>
      <c r="CS112" s="19">
        <v>0.20107366709192451</v>
      </c>
      <c r="CT112" s="19">
        <v>0.20048840348705219</v>
      </c>
      <c r="CU112" s="19">
        <v>0.19990484340453632</v>
      </c>
      <c r="CV112" s="19">
        <v>0.19932298188594724</v>
      </c>
      <c r="CW112" s="19">
        <v>0.19874281398728777</v>
      </c>
      <c r="CX112" s="19">
        <v>0.19816433477895118</v>
      </c>
      <c r="CY112" s="19">
        <v>0.1975875393456793</v>
      </c>
      <c r="CZ112" s="19">
        <v>0.19701242278652073</v>
      </c>
      <c r="DA112" s="19">
        <v>0.19643898021478923</v>
      </c>
      <c r="DB112" s="19">
        <v>0.19586720675802233</v>
      </c>
      <c r="DC112" s="19">
        <v>0.19529709755793959</v>
      </c>
      <c r="DD112" s="19">
        <v>0.19472864777040172</v>
      </c>
      <c r="DE112" s="19">
        <v>0.19416185256536914</v>
      </c>
      <c r="DF112" s="19">
        <v>0.19359670712686103</v>
      </c>
      <c r="DG112" s="19">
        <v>0.19303320665291443</v>
      </c>
      <c r="DH112" s="19">
        <v>0.19247134635554342</v>
      </c>
      <c r="DI112" s="19">
        <v>0.19191112146069841</v>
      </c>
      <c r="DJ112" s="19">
        <v>0.1913525272082256</v>
      </c>
      <c r="DK112" s="19">
        <v>0.19079555885182659</v>
      </c>
      <c r="DL112" s="19">
        <v>0.19024021165901786</v>
      </c>
      <c r="DM112" s="19">
        <v>0.18968648091109089</v>
      </c>
      <c r="DN112" s="19">
        <v>0.1891343619030717</v>
      </c>
      <c r="DO112" s="19">
        <v>0.18858384994368113</v>
      </c>
      <c r="DP112" s="19">
        <v>0.18803494035529489</v>
      </c>
      <c r="DQ112" s="19">
        <v>0.18748762847390377</v>
      </c>
      <c r="DR112" s="19">
        <v>0.18694190964907409</v>
      </c>
      <c r="DS112" s="19">
        <v>0.1863977792439081</v>
      </c>
      <c r="DT112" s="19">
        <v>0.18585523263500475</v>
      </c>
      <c r="DU112" s="19">
        <v>0.18531426521242017</v>
      </c>
      <c r="DV112" s="19">
        <v>0.18477487237962867</v>
      </c>
      <c r="DW112" s="19">
        <v>0.18423704955348363</v>
      </c>
      <c r="DX112" s="19">
        <v>0.18370079216417856</v>
      </c>
      <c r="DY112" s="19">
        <v>0.18316609565520825</v>
      </c>
      <c r="DZ112" s="19">
        <v>0.18263295548333011</v>
      </c>
      <c r="EA112" s="19">
        <v>0.18210136711852551</v>
      </c>
      <c r="EB112" s="19">
        <v>0.18157132604396131</v>
      </c>
      <c r="EC112" s="19">
        <v>0.18104282775595149</v>
      </c>
      <c r="ED112" s="19">
        <v>0.18051586776391887</v>
      </c>
      <c r="EE112" s="19">
        <v>0.17999044159035699</v>
      </c>
      <c r="EF112" s="19">
        <v>0.17946654477079194</v>
      </c>
      <c r="EG112" s="19">
        <v>0.17894417285374467</v>
      </c>
      <c r="EH112" s="19">
        <v>0.17842332140069289</v>
      </c>
      <c r="EI112" s="19">
        <v>0.17790398598603352</v>
      </c>
      <c r="EJ112" s="19">
        <v>0.17738616219704506</v>
      </c>
      <c r="EK112" s="19">
        <v>0.17686984563385008</v>
      </c>
      <c r="EL112" s="19">
        <v>0.17635503190937787</v>
      </c>
      <c r="EM112" s="19">
        <v>0.17584171664932707</v>
      </c>
      <c r="EN112" s="19">
        <v>0.17532989549212863</v>
      </c>
      <c r="EO112" s="19">
        <v>0.17481956408890864</v>
      </c>
      <c r="EP112" s="19">
        <v>0.17431071810345142</v>
      </c>
      <c r="EQ112" s="19">
        <v>0.17380335321216273</v>
      </c>
      <c r="ER112" s="19">
        <v>0.17329746510403296</v>
      </c>
      <c r="ES112" s="19">
        <v>0.17279304948060051</v>
      </c>
      <c r="ET112" s="19">
        <v>0.17229010205591527</v>
      </c>
      <c r="EU112" s="19">
        <v>0.17178861855650224</v>
      </c>
      <c r="EV112" s="19">
        <v>0.17128859472132521</v>
      </c>
      <c r="EW112" s="19">
        <v>0.17079002630175044</v>
      </c>
      <c r="EX112" s="19">
        <v>0.17029290906151082</v>
      </c>
      <c r="EY112" s="19">
        <v>0.16979723877666952</v>
      </c>
      <c r="EZ112" s="19">
        <v>0.16930301123558444</v>
      </c>
      <c r="FA112" s="19">
        <v>0.16881022223887221</v>
      </c>
      <c r="FB112" s="19">
        <v>0.16831886759937259</v>
      </c>
      <c r="FC112" s="19">
        <v>0.16782894314211286</v>
      </c>
      <c r="FD112" s="19">
        <v>0.16734044470427234</v>
      </c>
      <c r="FE112" s="19">
        <v>0.16685336813514715</v>
      </c>
      <c r="FF112" s="19">
        <v>0.16636770929611469</v>
      </c>
      <c r="FG112" s="19">
        <v>0.16588346406059867</v>
      </c>
      <c r="FH112" s="19">
        <v>0.16540062831403404</v>
      </c>
      <c r="FI112" s="19">
        <v>0.16491919795383195</v>
      </c>
      <c r="FJ112" s="19">
        <v>0.16443916888934493</v>
      </c>
      <c r="FK112" s="19">
        <v>0.16396053704183211</v>
      </c>
      <c r="FL112" s="19">
        <v>0.1634832983444246</v>
      </c>
      <c r="FM112" s="19">
        <v>0.16300744874209086</v>
      </c>
      <c r="FN112" s="19">
        <v>0.16253298419160239</v>
      </c>
      <c r="FO112" s="19">
        <v>0.16205990066149925</v>
      </c>
      <c r="FP112" s="19">
        <v>0.16158819413205577</v>
      </c>
      <c r="FQ112" s="19">
        <v>0.16111786059524658</v>
      </c>
      <c r="FR112" s="19">
        <v>0.16064889605471239</v>
      </c>
      <c r="FS112" s="19">
        <v>0.16018129652572602</v>
      </c>
      <c r="FT112" s="19">
        <v>0.1597150580351587</v>
      </c>
      <c r="FU112" s="19">
        <v>0.15925017662144622</v>
      </c>
      <c r="FV112" s="19">
        <v>0.15878664833455514</v>
      </c>
      <c r="FW112" s="19">
        <v>0.15832446923594951</v>
      </c>
      <c r="FX112" s="19">
        <v>0.15786363539855711</v>
      </c>
      <c r="FY112" s="19">
        <v>0.15740414290673632</v>
      </c>
      <c r="FZ112" s="19">
        <v>0.15694598785624272</v>
      </c>
      <c r="GA112" s="19">
        <v>0.15648916635419594</v>
      </c>
      <c r="GB112" s="19">
        <v>0.15603367451904648</v>
      </c>
      <c r="GC112" s="19">
        <v>0.15557950848054308</v>
      </c>
      <c r="GD112" s="19">
        <v>0.15512666437969938</v>
      </c>
      <c r="GE112" s="19">
        <v>0.15467513836876143</v>
      </c>
      <c r="GF112" s="19">
        <v>0.15422492661117485</v>
      </c>
      <c r="GG112" s="19">
        <v>0.1537760252815524</v>
      </c>
      <c r="GH112" s="19">
        <v>0.15332843056564127</v>
      </c>
      <c r="GI112" s="19">
        <v>0.1528821386602908</v>
      </c>
      <c r="GJ112" s="19">
        <v>0.1524371457734201</v>
      </c>
      <c r="GK112" s="19">
        <v>0.15199344812398591</v>
      </c>
      <c r="GL112" s="19">
        <v>0.15155104194195038</v>
      </c>
      <c r="GM112" s="19">
        <v>0.15110992346824911</v>
      </c>
      <c r="GN112" s="19">
        <v>0.1506700889547592</v>
      </c>
      <c r="GO112" s="19">
        <v>0.15023153466426731</v>
      </c>
      <c r="GP112" s="19">
        <v>0.14979425687043807</v>
      </c>
      <c r="GQ112" s="19">
        <v>0.14935825185778226</v>
      </c>
      <c r="GR112" s="19">
        <v>0.14892351592162534</v>
      </c>
      <c r="GS112" s="19">
        <v>0.14849004536807589</v>
      </c>
      <c r="GT112" s="19">
        <v>0.14805783651399432</v>
      </c>
    </row>
    <row r="113" spans="1:202" s="19" customFormat="1" x14ac:dyDescent="0.4">
      <c r="A113" s="7"/>
      <c r="B113" s="21">
        <f t="shared" si="151"/>
        <v>7</v>
      </c>
      <c r="C113" s="19">
        <v>1.3716016358376715</v>
      </c>
      <c r="D113" s="19">
        <v>1.3527887253633457</v>
      </c>
      <c r="E113" s="19">
        <v>1.3342338530768345</v>
      </c>
      <c r="F113" s="19">
        <v>1.3159334797221327</v>
      </c>
      <c r="G113" s="19">
        <v>1.9076778139327202</v>
      </c>
      <c r="H113" s="19">
        <v>1.8692184466306097</v>
      </c>
      <c r="I113" s="19">
        <v>1.8315344319181639</v>
      </c>
      <c r="J113" s="19">
        <v>1.7946101384503952</v>
      </c>
      <c r="K113" s="19">
        <v>1.4759841067109349</v>
      </c>
      <c r="L113" s="19">
        <v>1.4510073914815795</v>
      </c>
      <c r="M113" s="19">
        <v>1.4264533341255792</v>
      </c>
      <c r="N113" s="19">
        <v>1.402314782394279</v>
      </c>
      <c r="O113" s="19">
        <v>1.0629058252271626</v>
      </c>
      <c r="P113" s="19">
        <v>1.0490379552928843</v>
      </c>
      <c r="Q113" s="19">
        <v>1.0353510212533481</v>
      </c>
      <c r="R113" s="19">
        <v>1.0218426624145067</v>
      </c>
      <c r="S113" s="19">
        <v>0.77623787668041955</v>
      </c>
      <c r="T113" s="19">
        <v>0.76844273185782419</v>
      </c>
      <c r="U113" s="19">
        <v>0.76072586752711246</v>
      </c>
      <c r="V113" s="19">
        <v>0.75308649757903967</v>
      </c>
      <c r="W113" s="19">
        <v>0.58447889709770262</v>
      </c>
      <c r="X113" s="19">
        <v>0.57987733284453291</v>
      </c>
      <c r="Y113" s="19">
        <v>0.57531199640674047</v>
      </c>
      <c r="Z113" s="19">
        <v>0.57078260256509683</v>
      </c>
      <c r="AA113" s="19">
        <v>0.4537201079724319</v>
      </c>
      <c r="AB113" s="19">
        <v>0.45085807466216421</v>
      </c>
      <c r="AC113" s="19">
        <v>0.44801409484903093</v>
      </c>
      <c r="AD113" s="19">
        <v>0.44518805465289035</v>
      </c>
      <c r="AE113" s="19">
        <v>0.36188023989226742</v>
      </c>
      <c r="AF113" s="19">
        <v>0.36001290991909118</v>
      </c>
      <c r="AG113" s="19">
        <v>0.358155215512725</v>
      </c>
      <c r="AH113" s="19">
        <v>0.3563071069529003</v>
      </c>
      <c r="AI113" s="19">
        <v>0.29555486846869927</v>
      </c>
      <c r="AJ113" s="19">
        <v>0.29428325609922956</v>
      </c>
      <c r="AK113" s="19">
        <v>0.29301711478840475</v>
      </c>
      <c r="AL113" s="19">
        <v>0.29175642099722554</v>
      </c>
      <c r="AM113" s="19">
        <v>0.24652827542796185</v>
      </c>
      <c r="AN113" s="19">
        <v>0.24562815163067719</v>
      </c>
      <c r="AO113" s="19">
        <v>0.24473131436451775</v>
      </c>
      <c r="AP113" s="19">
        <v>0.24383775162970425</v>
      </c>
      <c r="AQ113" s="19">
        <v>0.24294745147027114</v>
      </c>
      <c r="AR113" s="19">
        <v>0.24206040197390635</v>
      </c>
      <c r="AS113" s="19">
        <v>0.24117659127179208</v>
      </c>
      <c r="AT113" s="19">
        <v>0.24029600753844593</v>
      </c>
      <c r="AU113" s="19">
        <v>0.23941863899156274</v>
      </c>
      <c r="AV113" s="19">
        <v>0.23854447389185682</v>
      </c>
      <c r="AW113" s="19">
        <v>0.23767350054290501</v>
      </c>
      <c r="AX113" s="19">
        <v>0.23680570729099004</v>
      </c>
      <c r="AY113" s="19">
        <v>0.23594108252494478</v>
      </c>
      <c r="AZ113" s="19">
        <v>0.23507961467599667</v>
      </c>
      <c r="BA113" s="19">
        <v>0.23422129221761315</v>
      </c>
      <c r="BB113" s="19">
        <v>0.23336610366534727</v>
      </c>
      <c r="BC113" s="19">
        <v>0.2325140375766841</v>
      </c>
      <c r="BD113" s="19">
        <v>0.23166508255088761</v>
      </c>
      <c r="BE113" s="19">
        <v>0.23081922722884804</v>
      </c>
      <c r="BF113" s="19">
        <v>0.22997646029293015</v>
      </c>
      <c r="BG113" s="19">
        <v>0.22913677046682152</v>
      </c>
      <c r="BH113" s="19">
        <v>0.22830014651538189</v>
      </c>
      <c r="BI113" s="19">
        <v>0.22746657724449262</v>
      </c>
      <c r="BJ113" s="19">
        <v>0.22663605150090713</v>
      </c>
      <c r="BK113" s="19">
        <v>0.22580855817210146</v>
      </c>
      <c r="BL113" s="19">
        <v>0.22498408618612578</v>
      </c>
      <c r="BM113" s="19">
        <v>0.2241626245114561</v>
      </c>
      <c r="BN113" s="19">
        <v>0.22334416215684677</v>
      </c>
      <c r="BO113" s="19">
        <v>0.22252868817118329</v>
      </c>
      <c r="BP113" s="19">
        <v>0.22171619164333589</v>
      </c>
      <c r="BQ113" s="19">
        <v>0.22090666170201353</v>
      </c>
      <c r="BR113" s="19">
        <v>0.22010008751561844</v>
      </c>
      <c r="BS113" s="19">
        <v>0.21929645829210107</v>
      </c>
      <c r="BT113" s="19">
        <v>0.21849576327881587</v>
      </c>
      <c r="BU113" s="19">
        <v>0.21769799176237734</v>
      </c>
      <c r="BV113" s="19">
        <v>0.21690313306851663</v>
      </c>
      <c r="BW113" s="19">
        <v>0.21611117656193887</v>
      </c>
      <c r="BX113" s="19">
        <v>0.21532211164618062</v>
      </c>
      <c r="BY113" s="19">
        <v>0.21453592776346836</v>
      </c>
      <c r="BZ113" s="19">
        <v>0.21375261439457705</v>
      </c>
      <c r="CA113" s="19">
        <v>0.21297216105868941</v>
      </c>
      <c r="CB113" s="19">
        <v>0.21219455731325582</v>
      </c>
      <c r="CC113" s="19">
        <v>0.21141979275385434</v>
      </c>
      <c r="CD113" s="19">
        <v>0.21064785701405175</v>
      </c>
      <c r="CE113" s="19">
        <v>0.20987873976526469</v>
      </c>
      <c r="CF113" s="19">
        <v>0.20911243071662156</v>
      </c>
      <c r="CG113" s="19">
        <v>0.20834891961482474</v>
      </c>
      <c r="CH113" s="19">
        <v>0.20758819624401348</v>
      </c>
      <c r="CI113" s="19">
        <v>0.20683025042562705</v>
      </c>
      <c r="CJ113" s="19">
        <v>0.20607507201826886</v>
      </c>
      <c r="CK113" s="19">
        <v>0.20532265091757043</v>
      </c>
      <c r="CL113" s="19">
        <v>0.20457297705605637</v>
      </c>
      <c r="CM113" s="19">
        <v>0.2038260404030097</v>
      </c>
      <c r="CN113" s="19">
        <v>0.20308183096433755</v>
      </c>
      <c r="CO113" s="19">
        <v>0.20234033878243746</v>
      </c>
      <c r="CP113" s="19">
        <v>0.20160155393606419</v>
      </c>
      <c r="CQ113" s="19">
        <v>0.20086546654019694</v>
      </c>
      <c r="CR113" s="19">
        <v>0.20013206674590697</v>
      </c>
      <c r="CS113" s="19">
        <v>0.19940134474022617</v>
      </c>
      <c r="CT113" s="19">
        <v>0.19867329074601531</v>
      </c>
      <c r="CU113" s="19">
        <v>0.19794789502183358</v>
      </c>
      <c r="CV113" s="19">
        <v>0.197225147861808</v>
      </c>
      <c r="CW113" s="19">
        <v>0.19650503959550378</v>
      </c>
      <c r="CX113" s="19">
        <v>0.1957875605877947</v>
      </c>
      <c r="CY113" s="19">
        <v>0.19507270123873441</v>
      </c>
      <c r="CZ113" s="19">
        <v>0.19436045198342783</v>
      </c>
      <c r="DA113" s="19">
        <v>0.19365080329190312</v>
      </c>
      <c r="DB113" s="19">
        <v>0.19294374566898448</v>
      </c>
      <c r="DC113" s="19">
        <v>0.19223926965416466</v>
      </c>
      <c r="DD113" s="19">
        <v>0.19153736582147873</v>
      </c>
      <c r="DE113" s="19">
        <v>0.19083802477937781</v>
      </c>
      <c r="DF113" s="19">
        <v>0.19014123717060341</v>
      </c>
      <c r="DG113" s="19">
        <v>0.18944699367206233</v>
      </c>
      <c r="DH113" s="19">
        <v>0.18875528499470176</v>
      </c>
      <c r="DI113" s="19">
        <v>0.18806610188338505</v>
      </c>
      <c r="DJ113" s="19">
        <v>0.187379435116768</v>
      </c>
      <c r="DK113" s="19">
        <v>0.18669527550717527</v>
      </c>
      <c r="DL113" s="19">
        <v>0.18601361390047763</v>
      </c>
      <c r="DM113" s="19">
        <v>0.18533444117596928</v>
      </c>
      <c r="DN113" s="19">
        <v>0.18465774824624615</v>
      </c>
      <c r="DO113" s="19">
        <v>0.18398352605708385</v>
      </c>
      <c r="DP113" s="19">
        <v>0.1833117655873169</v>
      </c>
      <c r="DQ113" s="19">
        <v>0.18264245784871785</v>
      </c>
      <c r="DR113" s="19">
        <v>0.18197559388587706</v>
      </c>
      <c r="DS113" s="19">
        <v>0.18131116477608292</v>
      </c>
      <c r="DT113" s="19">
        <v>0.18064916162920233</v>
      </c>
      <c r="DU113" s="19">
        <v>0.1799895755875619</v>
      </c>
      <c r="DV113" s="19">
        <v>0.17933239782582935</v>
      </c>
      <c r="DW113" s="19">
        <v>0.17867761955089545</v>
      </c>
      <c r="DX113" s="19">
        <v>0.17802523200175635</v>
      </c>
      <c r="DY113" s="19">
        <v>0.17737522644939638</v>
      </c>
      <c r="DZ113" s="19">
        <v>0.17672759419667122</v>
      </c>
      <c r="EA113" s="19">
        <v>0.17608232657819156</v>
      </c>
      <c r="EB113" s="19">
        <v>0.17543941496020724</v>
      </c>
      <c r="EC113" s="19">
        <v>0.17479885074049148</v>
      </c>
      <c r="ED113" s="19">
        <v>0.17416062534822607</v>
      </c>
      <c r="EE113" s="19">
        <v>0.17352473024388648</v>
      </c>
      <c r="EF113" s="19">
        <v>0.17289115691912779</v>
      </c>
      <c r="EG113" s="19">
        <v>0.17225989689667059</v>
      </c>
      <c r="EH113" s="19">
        <v>0.17163094173018786</v>
      </c>
      <c r="EI113" s="19">
        <v>0.17100428300419168</v>
      </c>
      <c r="EJ113" s="19">
        <v>0.17037991233392083</v>
      </c>
      <c r="EK113" s="19">
        <v>0.16975782136522846</v>
      </c>
      <c r="EL113" s="19">
        <v>0.16913800177447041</v>
      </c>
      <c r="EM113" s="19">
        <v>0.16852044526839383</v>
      </c>
      <c r="EN113" s="19">
        <v>0.16790514358402611</v>
      </c>
      <c r="EO113" s="19">
        <v>0.1672920884885645</v>
      </c>
      <c r="EP113" s="19">
        <v>0.16668127177926573</v>
      </c>
      <c r="EQ113" s="19">
        <v>0.16607268528333644</v>
      </c>
      <c r="ER113" s="19">
        <v>0.16546632085782378</v>
      </c>
      <c r="ES113" s="19">
        <v>0.16486217038950646</v>
      </c>
      <c r="ET113" s="19">
        <v>0.16426022579478611</v>
      </c>
      <c r="EU113" s="19">
        <v>0.1636604790195792</v>
      </c>
      <c r="EV113" s="19">
        <v>0.1630629220392093</v>
      </c>
      <c r="EW113" s="19">
        <v>0.16246754685829964</v>
      </c>
      <c r="EX113" s="19">
        <v>0.16187434551066621</v>
      </c>
      <c r="EY113" s="19">
        <v>0.16128331005921101</v>
      </c>
      <c r="EZ113" s="19">
        <v>0.16069443259581612</v>
      </c>
      <c r="FA113" s="19">
        <v>0.1601077052412376</v>
      </c>
      <c r="FB113" s="19">
        <v>0.15952312014500028</v>
      </c>
      <c r="FC113" s="19">
        <v>0.15894066948529259</v>
      </c>
      <c r="FD113" s="19">
        <v>0.15836034546886196</v>
      </c>
      <c r="FE113" s="19">
        <v>0.15778214033091056</v>
      </c>
      <c r="FF113" s="19">
        <v>0.15720604633499138</v>
      </c>
      <c r="FG113" s="19">
        <v>0.15663205577290468</v>
      </c>
      <c r="FH113" s="19">
        <v>0.15606016096459491</v>
      </c>
      <c r="FI113" s="19">
        <v>0.15549035425804797</v>
      </c>
      <c r="FJ113" s="19">
        <v>0.15492262802918871</v>
      </c>
      <c r="FK113" s="19">
        <v>0.15435697468177906</v>
      </c>
      <c r="FL113" s="19">
        <v>0.15379338664731632</v>
      </c>
      <c r="FM113" s="19">
        <v>0.15323185638493186</v>
      </c>
      <c r="FN113" s="19">
        <v>0.15267237638129028</v>
      </c>
      <c r="FO113" s="19">
        <v>0.1521149391504889</v>
      </c>
      <c r="FP113" s="19">
        <v>0.15155953723395754</v>
      </c>
      <c r="FQ113" s="19">
        <v>0.1510061632003587</v>
      </c>
      <c r="FR113" s="19">
        <v>0.15045480964548821</v>
      </c>
      <c r="FS113" s="19">
        <v>0.14990546919217615</v>
      </c>
      <c r="FT113" s="19">
        <v>0.14935813449018806</v>
      </c>
      <c r="FU113" s="19">
        <v>0.14881279821612667</v>
      </c>
      <c r="FV113" s="19">
        <v>0.14826945307333392</v>
      </c>
      <c r="FW113" s="19">
        <v>0.14772809179179325</v>
      </c>
      <c r="FX113" s="19">
        <v>0.14718870712803242</v>
      </c>
      <c r="FY113" s="19">
        <v>0.14665129186502654</v>
      </c>
      <c r="FZ113" s="19">
        <v>0.1461158388121015</v>
      </c>
      <c r="GA113" s="19">
        <v>0.14558234080483776</v>
      </c>
      <c r="GB113" s="19">
        <v>0.14505079070497454</v>
      </c>
      <c r="GC113" s="19">
        <v>0.14452118140031422</v>
      </c>
      <c r="GD113" s="19">
        <v>0.1439935058046273</v>
      </c>
      <c r="GE113" s="19">
        <v>0.14346775685755747</v>
      </c>
      <c r="GF113" s="19">
        <v>0.14294392752452717</v>
      </c>
      <c r="GG113" s="19">
        <v>0.14242201079664352</v>
      </c>
      <c r="GH113" s="19">
        <v>0.14190199969060446</v>
      </c>
      <c r="GI113" s="19">
        <v>0.14138388724860543</v>
      </c>
      <c r="GJ113" s="19">
        <v>0.14086766653824612</v>
      </c>
      <c r="GK113" s="19">
        <v>0.1403533306524378</v>
      </c>
      <c r="GL113" s="19">
        <v>0.13984087270931095</v>
      </c>
      <c r="GM113" s="19">
        <v>0.13933028585212306</v>
      </c>
      <c r="GN113" s="19">
        <v>0.13882156324916703</v>
      </c>
      <c r="GO113" s="19">
        <v>0.13831469809367963</v>
      </c>
      <c r="GP113" s="19">
        <v>0.13780968360375048</v>
      </c>
      <c r="GQ113" s="19">
        <v>0.13730651302223132</v>
      </c>
      <c r="GR113" s="19">
        <v>0.13680517961664551</v>
      </c>
      <c r="GS113" s="19">
        <v>0.13630567667909818</v>
      </c>
      <c r="GT113" s="19">
        <v>0.13580799752618616</v>
      </c>
    </row>
    <row r="114" spans="1:202" s="19" customFormat="1" x14ac:dyDescent="0.4">
      <c r="A114" s="7"/>
      <c r="B114" s="21">
        <f t="shared" si="151"/>
        <v>8</v>
      </c>
      <c r="C114" s="19">
        <v>4.6045782464681935</v>
      </c>
      <c r="D114" s="19">
        <v>4.3925568381897122</v>
      </c>
      <c r="E114" s="19">
        <v>4.1902981215546777</v>
      </c>
      <c r="F114" s="19">
        <v>3.9973525657874056</v>
      </c>
      <c r="G114" s="19">
        <v>3.9934253265424582</v>
      </c>
      <c r="H114" s="19">
        <v>3.8008587071436901</v>
      </c>
      <c r="I114" s="19">
        <v>3.617577826146039</v>
      </c>
      <c r="J114" s="19">
        <v>3.4431349167562622</v>
      </c>
      <c r="K114" s="19">
        <v>2.1078311619244747</v>
      </c>
      <c r="L114" s="19">
        <v>2.0424553821845643</v>
      </c>
      <c r="M114" s="19">
        <v>1.979107275558994</v>
      </c>
      <c r="N114" s="19">
        <v>1.9177239524229666</v>
      </c>
      <c r="O114" s="19">
        <v>1.2009003733124544</v>
      </c>
      <c r="P114" s="19">
        <v>1.1768294820659486</v>
      </c>
      <c r="Q114" s="19">
        <v>1.1532410686488093</v>
      </c>
      <c r="R114" s="19">
        <v>1.1301254622576808</v>
      </c>
      <c r="S114" s="19">
        <v>0.76911316832488819</v>
      </c>
      <c r="T114" s="19">
        <v>0.75840703948909793</v>
      </c>
      <c r="U114" s="19">
        <v>0.74784994099028423</v>
      </c>
      <c r="V114" s="19">
        <v>0.73743979831190798</v>
      </c>
      <c r="W114" s="19">
        <v>0.53677248397650745</v>
      </c>
      <c r="X114" s="19">
        <v>0.53125699491360412</v>
      </c>
      <c r="Y114" s="19">
        <v>0.52579817906050774</v>
      </c>
      <c r="Z114" s="19">
        <v>0.52039545408396137</v>
      </c>
      <c r="AA114" s="19">
        <v>0.3969516285947049</v>
      </c>
      <c r="AB114" s="19">
        <v>0.39380807370162946</v>
      </c>
      <c r="AC114" s="19">
        <v>0.39068941337165425</v>
      </c>
      <c r="AD114" s="19">
        <v>0.38759545045877958</v>
      </c>
      <c r="AE114" s="19">
        <v>0.3058304914505105</v>
      </c>
      <c r="AF114" s="19">
        <v>0.30390421184169708</v>
      </c>
      <c r="AG114" s="19">
        <v>0.30199006494441855</v>
      </c>
      <c r="AH114" s="19">
        <v>0.30008797434054302</v>
      </c>
      <c r="AI114" s="19">
        <v>0.24312067865814183</v>
      </c>
      <c r="AJ114" s="19">
        <v>0.24187220950877567</v>
      </c>
      <c r="AK114" s="19">
        <v>0.24063015147682462</v>
      </c>
      <c r="AL114" s="19">
        <v>0.23939447164002825</v>
      </c>
      <c r="AM114" s="19">
        <v>0.19827994336935409</v>
      </c>
      <c r="AN114" s="19">
        <v>0.19743225680730067</v>
      </c>
      <c r="AO114" s="19">
        <v>0.19658819427547075</v>
      </c>
      <c r="AP114" s="19">
        <v>0.19574774028040762</v>
      </c>
      <c r="AQ114" s="19">
        <v>0.19491087939489221</v>
      </c>
      <c r="AR114" s="19">
        <v>0.19407759625765986</v>
      </c>
      <c r="AS114" s="19">
        <v>0.19324787557311848</v>
      </c>
      <c r="AT114" s="19">
        <v>0.19242170211106766</v>
      </c>
      <c r="AU114" s="19">
        <v>0.19159906070641911</v>
      </c>
      <c r="AV114" s="19">
        <v>0.1907799362589184</v>
      </c>
      <c r="AW114" s="19">
        <v>0.18996431373286776</v>
      </c>
      <c r="AX114" s="19">
        <v>0.18915217815684993</v>
      </c>
      <c r="AY114" s="19">
        <v>0.18834351462345356</v>
      </c>
      <c r="AZ114" s="19">
        <v>0.18753830828899942</v>
      </c>
      <c r="BA114" s="19">
        <v>0.186736544373268</v>
      </c>
      <c r="BB114" s="19">
        <v>0.18593820815922824</v>
      </c>
      <c r="BC114" s="19">
        <v>0.18514328499276725</v>
      </c>
      <c r="BD114" s="19">
        <v>0.18435176028242151</v>
      </c>
      <c r="BE114" s="19">
        <v>0.1835636194991089</v>
      </c>
      <c r="BF114" s="19">
        <v>0.18277884817586201</v>
      </c>
      <c r="BG114" s="19">
        <v>0.18199743190756271</v>
      </c>
      <c r="BH114" s="19">
        <v>0.18121935635067751</v>
      </c>
      <c r="BI114" s="19">
        <v>0.18044460722299455</v>
      </c>
      <c r="BJ114" s="19">
        <v>0.17967317030336111</v>
      </c>
      <c r="BK114" s="19">
        <v>0.17890503143142297</v>
      </c>
      <c r="BL114" s="19">
        <v>0.17814017650736408</v>
      </c>
      <c r="BM114" s="19">
        <v>0.17737859149164809</v>
      </c>
      <c r="BN114" s="19">
        <v>0.17662026240476034</v>
      </c>
      <c r="BO114" s="19">
        <v>0.17586517532695153</v>
      </c>
      <c r="BP114" s="19">
        <v>0.17511331639798197</v>
      </c>
      <c r="BQ114" s="19">
        <v>0.17436467181686735</v>
      </c>
      <c r="BR114" s="19">
        <v>0.17361922784162534</v>
      </c>
      <c r="BS114" s="19">
        <v>0.17287697078902328</v>
      </c>
      <c r="BT114" s="19">
        <v>0.17213788703432717</v>
      </c>
      <c r="BU114" s="19">
        <v>0.17140196301105137</v>
      </c>
      <c r="BV114" s="19">
        <v>0.17066918521070981</v>
      </c>
      <c r="BW114" s="19">
        <v>0.16993954018256782</v>
      </c>
      <c r="BX114" s="19">
        <v>0.16921301453339535</v>
      </c>
      <c r="BY114" s="19">
        <v>0.16848959492722107</v>
      </c>
      <c r="BZ114" s="19">
        <v>0.16776926808508771</v>
      </c>
      <c r="CA114" s="19">
        <v>0.16705202078480808</v>
      </c>
      <c r="CB114" s="19">
        <v>0.16633783986072254</v>
      </c>
      <c r="CC114" s="19">
        <v>0.16562671220345732</v>
      </c>
      <c r="CD114" s="19">
        <v>0.1649186247596838</v>
      </c>
      <c r="CE114" s="19">
        <v>0.16421356453187902</v>
      </c>
      <c r="CF114" s="19">
        <v>0.16351151857808699</v>
      </c>
      <c r="CG114" s="19">
        <v>0.16281247401168122</v>
      </c>
      <c r="CH114" s="19">
        <v>0.16211641800112808</v>
      </c>
      <c r="CI114" s="19">
        <v>0.16142333776975137</v>
      </c>
      <c r="CJ114" s="19">
        <v>0.16073322059549774</v>
      </c>
      <c r="CK114" s="19">
        <v>0.16004605381070314</v>
      </c>
      <c r="CL114" s="19">
        <v>0.15936182480186037</v>
      </c>
      <c r="CM114" s="19">
        <v>0.15868052100938748</v>
      </c>
      <c r="CN114" s="19">
        <v>0.15800212992739729</v>
      </c>
      <c r="CO114" s="19">
        <v>0.15732663910346772</v>
      </c>
      <c r="CP114" s="19">
        <v>0.15665403613841336</v>
      </c>
      <c r="CQ114" s="19">
        <v>0.15598430868605778</v>
      </c>
      <c r="CR114" s="19">
        <v>0.15531744445300696</v>
      </c>
      <c r="CS114" s="19">
        <v>0.15465343119842356</v>
      </c>
      <c r="CT114" s="19">
        <v>0.15399225673380235</v>
      </c>
      <c r="CU114" s="19">
        <v>0.15333390892274631</v>
      </c>
      <c r="CV114" s="19">
        <v>0.15267837568074408</v>
      </c>
      <c r="CW114" s="19">
        <v>0.15202564497494786</v>
      </c>
      <c r="CX114" s="19">
        <v>0.15137570482395282</v>
      </c>
      <c r="CY114" s="19">
        <v>0.15072854329757696</v>
      </c>
      <c r="CZ114" s="19">
        <v>0.15008414851664223</v>
      </c>
      <c r="DA114" s="19">
        <v>0.14944250865275646</v>
      </c>
      <c r="DB114" s="19">
        <v>0.14880361192809624</v>
      </c>
      <c r="DC114" s="19">
        <v>0.14816744661519068</v>
      </c>
      <c r="DD114" s="19">
        <v>0.14753400103670625</v>
      </c>
      <c r="DE114" s="19">
        <v>0.14690326356523226</v>
      </c>
      <c r="DF114" s="19">
        <v>0.14627522262306761</v>
      </c>
      <c r="DG114" s="19">
        <v>0.14564986668200822</v>
      </c>
      <c r="DH114" s="19">
        <v>0.14502718426313532</v>
      </c>
      <c r="DI114" s="19">
        <v>0.14440716393660485</v>
      </c>
      <c r="DJ114" s="19">
        <v>0.14378979432143771</v>
      </c>
      <c r="DK114" s="19">
        <v>0.14317506408531061</v>
      </c>
      <c r="DL114" s="19">
        <v>0.14256296194434837</v>
      </c>
      <c r="DM114" s="19">
        <v>0.14195347666291655</v>
      </c>
      <c r="DN114" s="19">
        <v>0.14134659705341532</v>
      </c>
      <c r="DO114" s="19">
        <v>0.14074231197607412</v>
      </c>
      <c r="DP114" s="19">
        <v>0.14014061033874711</v>
      </c>
      <c r="DQ114" s="19">
        <v>0.13954148109670961</v>
      </c>
      <c r="DR114" s="19">
        <v>0.13894491325245534</v>
      </c>
      <c r="DS114" s="19">
        <v>0.13835089585549459</v>
      </c>
      <c r="DT114" s="19">
        <v>0.13775941800215324</v>
      </c>
      <c r="DU114" s="19">
        <v>0.13717046883537243</v>
      </c>
      <c r="DV114" s="19">
        <v>0.13658403754450951</v>
      </c>
      <c r="DW114" s="19">
        <v>0.13600011336513954</v>
      </c>
      <c r="DX114" s="19">
        <v>0.13541868557885747</v>
      </c>
      <c r="DY114" s="19">
        <v>0.13483974351308181</v>
      </c>
      <c r="DZ114" s="19">
        <v>0.13426327654085835</v>
      </c>
      <c r="EA114" s="19">
        <v>0.1336892740806653</v>
      </c>
      <c r="EB114" s="19">
        <v>0.13311772559621898</v>
      </c>
      <c r="EC114" s="19">
        <v>0.13254862059628042</v>
      </c>
      <c r="ED114" s="19">
        <v>0.13198194863446289</v>
      </c>
      <c r="EE114" s="19">
        <v>0.13141769930903993</v>
      </c>
      <c r="EF114" s="19">
        <v>0.13085586226275464</v>
      </c>
      <c r="EG114" s="19">
        <v>0.13029642718262949</v>
      </c>
      <c r="EH114" s="19">
        <v>0.12973938379977687</v>
      </c>
      <c r="EI114" s="19">
        <v>0.12918472188921087</v>
      </c>
      <c r="EJ114" s="19">
        <v>0.12863243126965943</v>
      </c>
      <c r="EK114" s="19">
        <v>0.12808250180337732</v>
      </c>
      <c r="EL114" s="19">
        <v>0.1275349233959604</v>
      </c>
      <c r="EM114" s="19">
        <v>0.12698968599616006</v>
      </c>
      <c r="EN114" s="19">
        <v>0.12644677959569875</v>
      </c>
      <c r="EO114" s="19">
        <v>0.12590619422908633</v>
      </c>
      <c r="EP114" s="19">
        <v>0.12536791997343724</v>
      </c>
      <c r="EQ114" s="19">
        <v>0.12483194694828811</v>
      </c>
      <c r="ER114" s="19">
        <v>0.12429826531541659</v>
      </c>
      <c r="ES114" s="19">
        <v>0.12376686527866071</v>
      </c>
      <c r="ET114" s="19">
        <v>0.12323773708373903</v>
      </c>
      <c r="EU114" s="19">
        <v>0.12271087101807168</v>
      </c>
      <c r="EV114" s="19">
        <v>0.12218625741060195</v>
      </c>
      <c r="EW114" s="19">
        <v>0.12166388663161889</v>
      </c>
      <c r="EX114" s="19">
        <v>0.12114374909258047</v>
      </c>
      <c r="EY114" s="19">
        <v>0.12062583524593762</v>
      </c>
      <c r="EZ114" s="19">
        <v>0.12011013558495892</v>
      </c>
      <c r="FA114" s="19">
        <v>0.11959664064355617</v>
      </c>
      <c r="FB114" s="19">
        <v>0.11908534099611064</v>
      </c>
      <c r="FC114" s="19">
        <v>0.1185762272572999</v>
      </c>
      <c r="FD114" s="19">
        <v>0.11806929008192575</v>
      </c>
      <c r="FE114" s="19">
        <v>0.11756452016474257</v>
      </c>
      <c r="FF114" s="19">
        <v>0.11706190824028651</v>
      </c>
      <c r="FG114" s="19">
        <v>0.11656144508270544</v>
      </c>
      <c r="FH114" s="19">
        <v>0.11606312150558962</v>
      </c>
      <c r="FI114" s="19">
        <v>0.11556692836180306</v>
      </c>
      <c r="FJ114" s="19">
        <v>0.11507285654331557</v>
      </c>
      <c r="FK114" s="19">
        <v>0.11458089698103568</v>
      </c>
      <c r="FL114" s="19">
        <v>0.11409104064464405</v>
      </c>
      <c r="FM114" s="19">
        <v>0.1136032785424278</v>
      </c>
      <c r="FN114" s="19">
        <v>0.1131176017211154</v>
      </c>
      <c r="FO114" s="19">
        <v>0.11263400126571241</v>
      </c>
      <c r="FP114" s="19">
        <v>0.11215246829933773</v>
      </c>
      <c r="FQ114" s="19">
        <v>0.11167299398306069</v>
      </c>
      <c r="FR114" s="19">
        <v>0.11119556951573888</v>
      </c>
      <c r="FS114" s="19">
        <v>0.11072018613385651</v>
      </c>
      <c r="FT114" s="19">
        <v>0.11024683511136359</v>
      </c>
      <c r="FU114" s="19">
        <v>0.10977550775951571</v>
      </c>
      <c r="FV114" s="19">
        <v>0.10930619542671466</v>
      </c>
      <c r="FW114" s="19">
        <v>0.10883888949834947</v>
      </c>
      <c r="FX114" s="19">
        <v>0.10837358139663843</v>
      </c>
      <c r="FY114" s="19">
        <v>0.10791026258047151</v>
      </c>
      <c r="FZ114" s="19">
        <v>0.10744892454525366</v>
      </c>
      <c r="GA114" s="19">
        <v>0.1069895588227487</v>
      </c>
      <c r="GB114" s="19">
        <v>0.10653215698092386</v>
      </c>
      <c r="GC114" s="19">
        <v>0.10607671062379498</v>
      </c>
      <c r="GD114" s="19">
        <v>0.1056232113912724</v>
      </c>
      <c r="GE114" s="19">
        <v>0.10517165095900757</v>
      </c>
      <c r="GF114" s="19">
        <v>0.1047220210382402</v>
      </c>
      <c r="GG114" s="19">
        <v>0.10427431337564606</v>
      </c>
      <c r="GH114" s="19">
        <v>0.10382851975318558</v>
      </c>
      <c r="GI114" s="19">
        <v>0.10338463198795296</v>
      </c>
      <c r="GJ114" s="19">
        <v>0.10294264193202594</v>
      </c>
      <c r="GK114" s="19">
        <v>0.1025025414723163</v>
      </c>
      <c r="GL114" s="19">
        <v>0.10206432253042086</v>
      </c>
      <c r="GM114" s="19">
        <v>0.10162797706247326</v>
      </c>
      <c r="GN114" s="19">
        <v>0.10119349705899627</v>
      </c>
      <c r="GO114" s="19">
        <v>0.10076087454475481</v>
      </c>
      <c r="GP114" s="19">
        <v>0.10033010157860951</v>
      </c>
      <c r="GQ114" s="19">
        <v>9.9901170253370947E-2</v>
      </c>
      <c r="GR114" s="19">
        <v>9.9474072695654558E-2</v>
      </c>
      <c r="GS114" s="19">
        <v>9.9048801065736061E-2</v>
      </c>
      <c r="GT114" s="19">
        <v>9.8625347557407581E-2</v>
      </c>
    </row>
    <row r="115" spans="1:202" s="19" customFormat="1" x14ac:dyDescent="0.4">
      <c r="A115" s="7"/>
      <c r="B115" s="21">
        <f t="shared" si="151"/>
        <v>9</v>
      </c>
      <c r="C115" s="19">
        <v>10.500643456437054</v>
      </c>
      <c r="D115" s="19">
        <v>9.398008326444911</v>
      </c>
      <c r="E115" s="19">
        <v>8.4111569800786636</v>
      </c>
      <c r="F115" s="19">
        <v>7.5279313750393859</v>
      </c>
      <c r="G115" s="19">
        <v>5.2830078504178957</v>
      </c>
      <c r="H115" s="19">
        <v>4.8480142574926122</v>
      </c>
      <c r="I115" s="19">
        <v>4.4488372734468848</v>
      </c>
      <c r="J115" s="19">
        <v>4.0825278215759191</v>
      </c>
      <c r="K115" s="19">
        <v>2.0360803833700469</v>
      </c>
      <c r="L115" s="19">
        <v>1.9449675277669614</v>
      </c>
      <c r="M115" s="19">
        <v>1.8579318945191192</v>
      </c>
      <c r="N115" s="19">
        <v>1.774791031413558</v>
      </c>
      <c r="O115" s="19">
        <v>0.95645048826512014</v>
      </c>
      <c r="P115" s="19">
        <v>0.93230449560531448</v>
      </c>
      <c r="Q115" s="19">
        <v>0.90876807863048237</v>
      </c>
      <c r="R115" s="19">
        <v>0.8858258483474708</v>
      </c>
      <c r="S115" s="19">
        <v>0.5524659869093228</v>
      </c>
      <c r="T115" s="19">
        <v>0.54354218280839028</v>
      </c>
      <c r="U115" s="19">
        <v>0.53476252202400343</v>
      </c>
      <c r="V115" s="19">
        <v>0.52612467625586912</v>
      </c>
      <c r="W115" s="19">
        <v>0.36617346842366683</v>
      </c>
      <c r="X115" s="19">
        <v>0.36198937040735157</v>
      </c>
      <c r="Y115" s="19">
        <v>0.3578530821798927</v>
      </c>
      <c r="Z115" s="19">
        <v>0.35376405744053396</v>
      </c>
      <c r="AA115" s="19">
        <v>0.26353157838983765</v>
      </c>
      <c r="AB115" s="19">
        <v>0.26126245740686205</v>
      </c>
      <c r="AC115" s="19">
        <v>0.25901287453794025</v>
      </c>
      <c r="AD115" s="19">
        <v>0.25678266155145163</v>
      </c>
      <c r="AE115" s="19">
        <v>0.19976417259473112</v>
      </c>
      <c r="AF115" s="19">
        <v>0.19841443249701457</v>
      </c>
      <c r="AG115" s="19">
        <v>0.19707381214438405</v>
      </c>
      <c r="AH115" s="19">
        <v>0.1957422499177541</v>
      </c>
      <c r="AI115" s="19">
        <v>0.15704157425922155</v>
      </c>
      <c r="AJ115" s="19">
        <v>0.15618449379678914</v>
      </c>
      <c r="AK115" s="19">
        <v>0.15533209099326678</v>
      </c>
      <c r="AL115" s="19">
        <v>0.15448434031955444</v>
      </c>
      <c r="AM115" s="19">
        <v>0.12698867118210061</v>
      </c>
      <c r="AN115" s="19">
        <v>0.12641583666965925</v>
      </c>
      <c r="AO115" s="19">
        <v>0.12584558616235461</v>
      </c>
      <c r="AP115" s="19">
        <v>0.12527790800397121</v>
      </c>
      <c r="AQ115" s="19">
        <v>0.1247127905908736</v>
      </c>
      <c r="AR115" s="19">
        <v>0.12415022237176937</v>
      </c>
      <c r="AS115" s="19">
        <v>0.12359019184747291</v>
      </c>
      <c r="AT115" s="19">
        <v>0.12303268757067044</v>
      </c>
      <c r="AU115" s="19">
        <v>0.12247769814568597</v>
      </c>
      <c r="AV115" s="19">
        <v>0.12192521222824837</v>
      </c>
      <c r="AW115" s="19">
        <v>0.12137521852525951</v>
      </c>
      <c r="AX115" s="19">
        <v>0.12082770579456338</v>
      </c>
      <c r="AY115" s="19">
        <v>0.12028266284471642</v>
      </c>
      <c r="AZ115" s="19">
        <v>0.11974007853475857</v>
      </c>
      <c r="BA115" s="19">
        <v>0.11919994177398571</v>
      </c>
      <c r="BB115" s="19">
        <v>0.11866224152172285</v>
      </c>
      <c r="BC115" s="19">
        <v>0.11812696678709851</v>
      </c>
      <c r="BD115" s="19">
        <v>0.11759410662882006</v>
      </c>
      <c r="BE115" s="19">
        <v>0.11706365015495</v>
      </c>
      <c r="BF115" s="19">
        <v>0.11653558652268348</v>
      </c>
      <c r="BG115" s="19">
        <v>0.1160099049381265</v>
      </c>
      <c r="BH115" s="19">
        <v>0.11548659465607539</v>
      </c>
      <c r="BI115" s="19">
        <v>0.11496564497979707</v>
      </c>
      <c r="BJ115" s="19">
        <v>0.11444704526081054</v>
      </c>
      <c r="BK115" s="19">
        <v>0.11393078489866908</v>
      </c>
      <c r="BL115" s="19">
        <v>0.11341685334074368</v>
      </c>
      <c r="BM115" s="19">
        <v>0.11290524008200729</v>
      </c>
      <c r="BN115" s="19">
        <v>0.11239593466482005</v>
      </c>
      <c r="BO115" s="19">
        <v>0.11188892667871563</v>
      </c>
      <c r="BP115" s="19">
        <v>0.11138420576018832</v>
      </c>
      <c r="BQ115" s="19">
        <v>0.11088176159248134</v>
      </c>
      <c r="BR115" s="19">
        <v>0.11038158390537578</v>
      </c>
      <c r="BS115" s="19">
        <v>0.10988366247498085</v>
      </c>
      <c r="BT115" s="19">
        <v>0.10938798712352478</v>
      </c>
      <c r="BU115" s="19">
        <v>0.10889454771914679</v>
      </c>
      <c r="BV115" s="19">
        <v>0.10840333417569006</v>
      </c>
      <c r="BW115" s="19">
        <v>0.10791433645249549</v>
      </c>
      <c r="BX115" s="19">
        <v>0.10742754455419651</v>
      </c>
      <c r="BY115" s="19">
        <v>0.10694294853051474</v>
      </c>
      <c r="BZ115" s="19">
        <v>0.10646053847605662</v>
      </c>
      <c r="CA115" s="19">
        <v>0.10598030453011095</v>
      </c>
      <c r="CB115" s="19">
        <v>0.10550223687644728</v>
      </c>
      <c r="CC115" s="19">
        <v>0.1050263257431153</v>
      </c>
      <c r="CD115" s="19">
        <v>0.10455256140224513</v>
      </c>
      <c r="CE115" s="19">
        <v>0.1040809341698484</v>
      </c>
      <c r="CF115" s="19">
        <v>0.10361143440562036</v>
      </c>
      <c r="CG115" s="19">
        <v>0.10314405251274281</v>
      </c>
      <c r="CH115" s="19">
        <v>0.10267877893768793</v>
      </c>
      <c r="CI115" s="19">
        <v>0.102215604170023</v>
      </c>
      <c r="CJ115" s="19">
        <v>0.10175451874221605</v>
      </c>
      <c r="CK115" s="19">
        <v>0.10129551322944223</v>
      </c>
      <c r="CL115" s="19">
        <v>0.10083857824939131</v>
      </c>
      <c r="CM115" s="19">
        <v>0.10038370446207576</v>
      </c>
      <c r="CN115" s="19">
        <v>9.9930882569639903E-2</v>
      </c>
      <c r="CO115" s="19">
        <v>9.9480103316169896E-2</v>
      </c>
      <c r="CP115" s="19">
        <v>9.9031357487504454E-2</v>
      </c>
      <c r="CQ115" s="19">
        <v>9.8584635911046548E-2</v>
      </c>
      <c r="CR115" s="19">
        <v>9.8139929455575925E-2</v>
      </c>
      <c r="CS115" s="19">
        <v>9.7697229031062469E-2</v>
      </c>
      <c r="CT115" s="19">
        <v>9.725652558848033E-2</v>
      </c>
      <c r="CU115" s="19">
        <v>9.6817810119623052E-2</v>
      </c>
      <c r="CV115" s="19">
        <v>9.6381073656919322E-2</v>
      </c>
      <c r="CW115" s="19">
        <v>9.594630727324982E-2</v>
      </c>
      <c r="CX115" s="19">
        <v>9.5513502081764595E-2</v>
      </c>
      <c r="CY115" s="19">
        <v>9.5082649235701519E-2</v>
      </c>
      <c r="CZ115" s="19">
        <v>9.4653739928205402E-2</v>
      </c>
      <c r="DA115" s="19">
        <v>9.4226765392147971E-2</v>
      </c>
      <c r="DB115" s="19">
        <v>9.380171689994872E-2</v>
      </c>
      <c r="DC115" s="19">
        <v>9.3378585763396443E-2</v>
      </c>
      <c r="DD115" s="19">
        <v>9.2957363333471682E-2</v>
      </c>
      <c r="DE115" s="19">
        <v>9.2538041000169949E-2</v>
      </c>
      <c r="DF115" s="19">
        <v>9.2120610192325703E-2</v>
      </c>
      <c r="DG115" s="19">
        <v>9.1705062377437141E-2</v>
      </c>
      <c r="DH115" s="19">
        <v>9.1291389061491854E-2</v>
      </c>
      <c r="DI115" s="19">
        <v>9.0879581788793129E-2</v>
      </c>
      <c r="DJ115" s="19">
        <v>9.046963214178716E-2</v>
      </c>
      <c r="DK115" s="19">
        <v>9.0061531740890946E-2</v>
      </c>
      <c r="DL115" s="19">
        <v>8.9655272244321085E-2</v>
      </c>
      <c r="DM115" s="19">
        <v>8.9250845347923158E-2</v>
      </c>
      <c r="DN115" s="19">
        <v>8.8848242785002057E-2</v>
      </c>
      <c r="DO115" s="19">
        <v>8.8447456326153001E-2</v>
      </c>
      <c r="DP115" s="19">
        <v>8.8048477779093345E-2</v>
      </c>
      <c r="DQ115" s="19">
        <v>8.7651298988495038E-2</v>
      </c>
      <c r="DR115" s="19">
        <v>8.7255911835818031E-2</v>
      </c>
      <c r="DS115" s="19">
        <v>8.6862308239144259E-2</v>
      </c>
      <c r="DT115" s="19">
        <v>8.6470480153012452E-2</v>
      </c>
      <c r="DU115" s="19">
        <v>8.6080419568253741E-2</v>
      </c>
      <c r="DV115" s="19">
        <v>8.5692118511827856E-2</v>
      </c>
      <c r="DW115" s="19">
        <v>8.5305569046660187E-2</v>
      </c>
      <c r="DX115" s="19">
        <v>8.4920763271479641E-2</v>
      </c>
      <c r="DY115" s="19">
        <v>8.4537693320656943E-2</v>
      </c>
      <c r="DZ115" s="19">
        <v>8.4156351364044008E-2</v>
      </c>
      <c r="EA115" s="19">
        <v>8.3776729606813885E-2</v>
      </c>
      <c r="EB115" s="19">
        <v>8.3398820289301345E-2</v>
      </c>
      <c r="EC115" s="19">
        <v>8.3022615686844312E-2</v>
      </c>
      <c r="ED115" s="19">
        <v>8.2648108109626001E-2</v>
      </c>
      <c r="EE115" s="19">
        <v>8.2275289902517673E-2</v>
      </c>
      <c r="EF115" s="19">
        <v>8.1904153444922204E-2</v>
      </c>
      <c r="EG115" s="19">
        <v>8.1534691150618274E-2</v>
      </c>
      <c r="EH115" s="19">
        <v>8.1166895467605374E-2</v>
      </c>
      <c r="EI115" s="19">
        <v>8.0800758877949339E-2</v>
      </c>
      <c r="EJ115" s="19">
        <v>8.0436273897628766E-2</v>
      </c>
      <c r="EK115" s="19">
        <v>8.0073433076381983E-2</v>
      </c>
      <c r="EL115" s="19">
        <v>7.9712228997554813E-2</v>
      </c>
      <c r="EM115" s="19">
        <v>7.9352654277948909E-2</v>
      </c>
      <c r="EN115" s="19">
        <v>7.8994701567670897E-2</v>
      </c>
      <c r="EO115" s="19">
        <v>7.8638363549982063E-2</v>
      </c>
      <c r="EP115" s="19">
        <v>7.8283632941148901E-2</v>
      </c>
      <c r="EQ115" s="19">
        <v>7.7930502490294137E-2</v>
      </c>
      <c r="ER115" s="19">
        <v>7.7578964979248571E-2</v>
      </c>
      <c r="ES115" s="19">
        <v>7.7229013222403511E-2</v>
      </c>
      <c r="ET115" s="19">
        <v>7.6880640066563921E-2</v>
      </c>
      <c r="EU115" s="19">
        <v>7.6533838390802161E-2</v>
      </c>
      <c r="EV115" s="19">
        <v>7.6188601106312467E-2</v>
      </c>
      <c r="EW115" s="19">
        <v>7.5844921156266065E-2</v>
      </c>
      <c r="EX115" s="19">
        <v>7.5502791515666842E-2</v>
      </c>
      <c r="EY115" s="19">
        <v>7.5162205191207879E-2</v>
      </c>
      <c r="EZ115" s="19">
        <v>7.482315522112841E-2</v>
      </c>
      <c r="FA115" s="19">
        <v>7.4485634675071521E-2</v>
      </c>
      <c r="FB115" s="19">
        <v>7.4149636653942558E-2</v>
      </c>
      <c r="FC115" s="19">
        <v>7.3815154289768065E-2</v>
      </c>
      <c r="FD115" s="19">
        <v>7.3482180745555375E-2</v>
      </c>
      <c r="FE115" s="19">
        <v>7.315070921515289E-2</v>
      </c>
      <c r="FF115" s="19">
        <v>7.2820732923110948E-2</v>
      </c>
      <c r="FG115" s="19">
        <v>7.2492245124543331E-2</v>
      </c>
      <c r="FH115" s="19">
        <v>7.2165239104989426E-2</v>
      </c>
      <c r="FI115" s="19">
        <v>7.1839708180276907E-2</v>
      </c>
      <c r="FJ115" s="19">
        <v>7.1515645696385188E-2</v>
      </c>
      <c r="FK115" s="19">
        <v>7.1193045029309357E-2</v>
      </c>
      <c r="FL115" s="19">
        <v>7.0871899584924805E-2</v>
      </c>
      <c r="FM115" s="19">
        <v>7.0552202798852381E-2</v>
      </c>
      <c r="FN115" s="19">
        <v>7.0233948136324317E-2</v>
      </c>
      <c r="FO115" s="19">
        <v>6.9917129092050584E-2</v>
      </c>
      <c r="FP115" s="19">
        <v>6.9601739190085929E-2</v>
      </c>
      <c r="FQ115" s="19">
        <v>6.9287771983697483E-2</v>
      </c>
      <c r="FR115" s="19">
        <v>6.8975221055233044E-2</v>
      </c>
      <c r="FS115" s="19">
        <v>6.8664080015989851E-2</v>
      </c>
      <c r="FT115" s="19">
        <v>6.8354342506084007E-2</v>
      </c>
      <c r="FU115" s="19">
        <v>6.8046002194320498E-2</v>
      </c>
      <c r="FV115" s="19">
        <v>6.7739052778063732E-2</v>
      </c>
      <c r="FW115" s="19">
        <v>6.7433487983108761E-2</v>
      </c>
      <c r="FX115" s="19">
        <v>6.7129301563553012E-2</v>
      </c>
      <c r="FY115" s="19">
        <v>6.6826487301668611E-2</v>
      </c>
      <c r="FZ115" s="19">
        <v>6.6525039007775316E-2</v>
      </c>
      <c r="GA115" s="19">
        <v>6.6224950520113957E-2</v>
      </c>
      <c r="GB115" s="19">
        <v>6.5926215704720514E-2</v>
      </c>
      <c r="GC115" s="19">
        <v>6.5628828455300728E-2</v>
      </c>
      <c r="GD115" s="19">
        <v>6.5332782693105287E-2</v>
      </c>
      <c r="GE115" s="19">
        <v>6.5038072366805574E-2</v>
      </c>
      <c r="GF115" s="19">
        <v>6.4744691452369982E-2</v>
      </c>
      <c r="GG115" s="19">
        <v>6.4452633952940749E-2</v>
      </c>
      <c r="GH115" s="19">
        <v>6.4161893898711408E-2</v>
      </c>
      <c r="GI115" s="19">
        <v>6.3872465346804769E-2</v>
      </c>
      <c r="GJ115" s="19">
        <v>6.3584342381151418E-2</v>
      </c>
      <c r="GK115" s="19">
        <v>6.3297519112368791E-2</v>
      </c>
      <c r="GL115" s="19">
        <v>6.3011989677640809E-2</v>
      </c>
      <c r="GM115" s="19">
        <v>6.2727748240598041E-2</v>
      </c>
      <c r="GN115" s="19">
        <v>6.2444788991198368E-2</v>
      </c>
      <c r="GO115" s="19">
        <v>6.2163106145608278E-2</v>
      </c>
      <c r="GP115" s="19">
        <v>6.1882693946084616E-2</v>
      </c>
      <c r="GQ115" s="19">
        <v>6.1603546660856844E-2</v>
      </c>
      <c r="GR115" s="19">
        <v>6.1325658584009991E-2</v>
      </c>
      <c r="GS115" s="19">
        <v>6.104902403536791E-2</v>
      </c>
      <c r="GT115" s="19">
        <v>6.0773637360377247E-2</v>
      </c>
    </row>
    <row r="116" spans="1:202" s="19" customFormat="1" x14ac:dyDescent="0.4">
      <c r="A116" s="7"/>
      <c r="B116" s="21">
        <f t="shared" si="151"/>
        <v>10</v>
      </c>
      <c r="C116" s="19">
        <v>29.843744913256852</v>
      </c>
      <c r="D116" s="19">
        <v>20.93725380878141</v>
      </c>
      <c r="E116" s="19">
        <v>14.688793190247532</v>
      </c>
      <c r="F116" s="19">
        <v>10.305107219714214</v>
      </c>
      <c r="G116" s="19">
        <v>3.6671077203754594</v>
      </c>
      <c r="H116" s="19">
        <v>3.1119942822060054</v>
      </c>
      <c r="I116" s="19">
        <v>2.640911898680554</v>
      </c>
      <c r="J116" s="19">
        <v>2.2411402541679992</v>
      </c>
      <c r="K116" s="19">
        <v>0.78294096828481319</v>
      </c>
      <c r="L116" s="19">
        <v>0.73415084095917993</v>
      </c>
      <c r="M116" s="19">
        <v>0.6884011427602359</v>
      </c>
      <c r="N116" s="19">
        <v>0.64550240483882826</v>
      </c>
      <c r="O116" s="19">
        <v>0.28698810287598431</v>
      </c>
      <c r="P116" s="19">
        <v>0.27850847931194839</v>
      </c>
      <c r="Q116" s="19">
        <v>0.27027940277431245</v>
      </c>
      <c r="R116" s="19">
        <v>0.26229347036223266</v>
      </c>
      <c r="S116" s="19">
        <v>0.15001372160742549</v>
      </c>
      <c r="T116" s="19">
        <v>0.14740148421047883</v>
      </c>
      <c r="U116" s="19">
        <v>0.14483473454722004</v>
      </c>
      <c r="V116" s="19">
        <v>0.14231268052504745</v>
      </c>
      <c r="W116" s="19">
        <v>9.5439067029379196E-2</v>
      </c>
      <c r="X116" s="19">
        <v>9.4304788901898376E-2</v>
      </c>
      <c r="Y116" s="19">
        <v>9.3183991489501294E-2</v>
      </c>
      <c r="Z116" s="19">
        <v>9.2076514576033941E-2</v>
      </c>
      <c r="AA116" s="19">
        <v>6.7454519454601541E-2</v>
      </c>
      <c r="AB116" s="19">
        <v>6.6860146493609357E-2</v>
      </c>
      <c r="AC116" s="19">
        <v>6.6271010827606683E-2</v>
      </c>
      <c r="AD116" s="19">
        <v>6.5687066308365696E-2</v>
      </c>
      <c r="AE116" s="19">
        <v>5.0675093631433771E-2</v>
      </c>
      <c r="AF116" s="19">
        <v>5.0327556690388742E-2</v>
      </c>
      <c r="AG116" s="19">
        <v>4.9982403206713703E-2</v>
      </c>
      <c r="AH116" s="19">
        <v>4.9639616834321776E-2</v>
      </c>
      <c r="AI116" s="19">
        <v>3.9636853926901666E-2</v>
      </c>
      <c r="AJ116" s="19">
        <v>3.941829675651843E-2</v>
      </c>
      <c r="AK116" s="19">
        <v>3.920094470793456E-2</v>
      </c>
      <c r="AL116" s="19">
        <v>3.8984791136121917E-2</v>
      </c>
      <c r="AM116" s="19">
        <v>3.1951160483999402E-2</v>
      </c>
      <c r="AN116" s="19">
        <v>3.1805967622007075E-2</v>
      </c>
      <c r="AO116" s="19">
        <v>3.1661434547229174E-2</v>
      </c>
      <c r="AP116" s="19">
        <v>3.1517558261452416E-2</v>
      </c>
      <c r="AQ116" s="19">
        <v>3.1374335780088032E-2</v>
      </c>
      <c r="AR116" s="19">
        <v>3.123176413210985E-2</v>
      </c>
      <c r="AS116" s="19">
        <v>3.1089840359992679E-2</v>
      </c>
      <c r="AT116" s="19">
        <v>3.0948561519650954E-2</v>
      </c>
      <c r="AU116" s="19">
        <v>3.0807924680377657E-2</v>
      </c>
      <c r="AV116" s="19">
        <v>3.0667926924783519E-2</v>
      </c>
      <c r="AW116" s="19">
        <v>3.0528565348736519E-2</v>
      </c>
      <c r="AX116" s="19">
        <v>3.0389837061301623E-2</v>
      </c>
      <c r="AY116" s="19">
        <v>3.0251739184680822E-2</v>
      </c>
      <c r="AZ116" s="19">
        <v>3.0114268854153432E-2</v>
      </c>
      <c r="BA116" s="19">
        <v>2.9977423218016663E-2</v>
      </c>
      <c r="BB116" s="19">
        <v>2.9841199437526476E-2</v>
      </c>
      <c r="BC116" s="19">
        <v>2.9705594686838692E-2</v>
      </c>
      <c r="BD116" s="19">
        <v>2.957060615295035E-2</v>
      </c>
      <c r="BE116" s="19">
        <v>2.9436231035641389E-2</v>
      </c>
      <c r="BF116" s="19">
        <v>2.9302466547416545E-2</v>
      </c>
      <c r="BG116" s="19">
        <v>2.916930991344751E-2</v>
      </c>
      <c r="BH116" s="19">
        <v>2.9036758371515398E-2</v>
      </c>
      <c r="BI116" s="19">
        <v>2.890480917195342E-2</v>
      </c>
      <c r="BJ116" s="19">
        <v>2.8773459577589873E-2</v>
      </c>
      <c r="BK116" s="19">
        <v>2.8642706863691331E-2</v>
      </c>
      <c r="BL116" s="19">
        <v>2.8512548317906145E-2</v>
      </c>
      <c r="BM116" s="19">
        <v>2.8382981240208154E-2</v>
      </c>
      <c r="BN116" s="19">
        <v>2.8254002942840709E-2</v>
      </c>
      <c r="BO116" s="19">
        <v>2.812561075026088E-2</v>
      </c>
      <c r="BP116" s="19">
        <v>2.7997801999083985E-2</v>
      </c>
      <c r="BQ116" s="19">
        <v>2.7870574038028322E-2</v>
      </c>
      <c r="BR116" s="19">
        <v>2.7743924227860182E-2</v>
      </c>
      <c r="BS116" s="19">
        <v>2.7617849941339086E-2</v>
      </c>
      <c r="BT116" s="19">
        <v>2.7492348563163301E-2</v>
      </c>
      <c r="BU116" s="19">
        <v>2.7367417489915578E-2</v>
      </c>
      <c r="BV116" s="19">
        <v>2.7243054130009148E-2</v>
      </c>
      <c r="BW116" s="19">
        <v>2.7119255903633968E-2</v>
      </c>
      <c r="BX116" s="19">
        <v>2.6996020242703193E-2</v>
      </c>
      <c r="BY116" s="19">
        <v>2.6873344590799916E-2</v>
      </c>
      <c r="BZ116" s="19">
        <v>2.6751226403124131E-2</v>
      </c>
      <c r="CA116" s="19">
        <v>2.6629663146439941E-2</v>
      </c>
      <c r="CB116" s="19">
        <v>2.6508652299023008E-2</v>
      </c>
      <c r="CC116" s="19">
        <v>2.6388191350608253E-2</v>
      </c>
      <c r="CD116" s="19">
        <v>2.6268277802337772E-2</v>
      </c>
      <c r="CE116" s="19">
        <v>2.6148909166709002E-2</v>
      </c>
      <c r="CF116" s="19">
        <v>2.603008296752312E-2</v>
      </c>
      <c r="CG116" s="19">
        <v>2.5911796739833678E-2</v>
      </c>
      <c r="CH116" s="19">
        <v>2.5794048029895458E-2</v>
      </c>
      <c r="CI116" s="19">
        <v>2.5676834395113604E-2</v>
      </c>
      <c r="CJ116" s="19">
        <v>2.5560153403992907E-2</v>
      </c>
      <c r="CK116" s="19">
        <v>2.5444002636087398E-2</v>
      </c>
      <c r="CL116" s="19">
        <v>2.5328379681950137E-2</v>
      </c>
      <c r="CM116" s="19">
        <v>2.5213282143083209E-2</v>
      </c>
      <c r="CN116" s="19">
        <v>2.5098707631887988E-2</v>
      </c>
      <c r="CO116" s="19">
        <v>2.4984653771615607E-2</v>
      </c>
      <c r="CP116" s="19">
        <v>2.4871118196317651E-2</v>
      </c>
      <c r="CQ116" s="19">
        <v>2.475809855079707E-2</v>
      </c>
      <c r="CR116" s="19">
        <v>2.4645592490559337E-2</v>
      </c>
      <c r="CS116" s="19">
        <v>2.4533597681763806E-2</v>
      </c>
      <c r="CT116" s="19">
        <v>2.4422111801175293E-2</v>
      </c>
      <c r="CU116" s="19">
        <v>2.431113253611589E-2</v>
      </c>
      <c r="CV116" s="19">
        <v>2.4200657584416998E-2</v>
      </c>
      <c r="CW116" s="19">
        <v>2.4090684654371551E-2</v>
      </c>
      <c r="CX116" s="19">
        <v>2.3981211464686486E-2</v>
      </c>
      <c r="CY116" s="19">
        <v>2.3872235744435425E-2</v>
      </c>
      <c r="CZ116" s="19">
        <v>2.3763755233011566E-2</v>
      </c>
      <c r="DA116" s="19">
        <v>2.3655767680080774E-2</v>
      </c>
      <c r="DB116" s="19">
        <v>2.3548270845534923E-2</v>
      </c>
      <c r="DC116" s="19">
        <v>2.3441262499445399E-2</v>
      </c>
      <c r="DD116" s="19">
        <v>2.3334740422016872E-2</v>
      </c>
      <c r="DE116" s="19">
        <v>2.3228702403541229E-2</v>
      </c>
      <c r="DF116" s="19">
        <v>2.3123146244351734E-2</v>
      </c>
      <c r="DG116" s="19">
        <v>2.3018069754777409E-2</v>
      </c>
      <c r="DH116" s="19">
        <v>2.2913470755097611E-2</v>
      </c>
      <c r="DI116" s="19">
        <v>2.28093470754968E-2</v>
      </c>
      <c r="DJ116" s="19">
        <v>2.2705696556019544E-2</v>
      </c>
      <c r="DK116" s="19">
        <v>2.2602517046525713E-2</v>
      </c>
      <c r="DL116" s="19">
        <v>2.249980640664586E-2</v>
      </c>
      <c r="DM116" s="19">
        <v>2.2397562505736844E-2</v>
      </c>
      <c r="DN116" s="19">
        <v>2.2295783222837606E-2</v>
      </c>
      <c r="DO116" s="19">
        <v>2.2194466446625191E-2</v>
      </c>
      <c r="DP116" s="19">
        <v>2.2093610075370949E-2</v>
      </c>
      <c r="DQ116" s="19">
        <v>2.1993212016896919E-2</v>
      </c>
      <c r="DR116" s="19">
        <v>2.1893270188532456E-2</v>
      </c>
      <c r="DS116" s="19">
        <v>2.1793782517071005E-2</v>
      </c>
      <c r="DT116" s="19">
        <v>2.1694746938727097E-2</v>
      </c>
      <c r="DU116" s="19">
        <v>2.1596161399093552E-2</v>
      </c>
      <c r="DV116" s="19">
        <v>2.1498023853098853E-2</v>
      </c>
      <c r="DW116" s="19">
        <v>2.1400332264964711E-2</v>
      </c>
      <c r="DX116" s="19">
        <v>2.1303084608163859E-2</v>
      </c>
      <c r="DY116" s="19">
        <v>2.1206278865377994E-2</v>
      </c>
      <c r="DZ116" s="19">
        <v>2.1109913028455937E-2</v>
      </c>
      <c r="EA116" s="19">
        <v>2.1013985098371973E-2</v>
      </c>
      <c r="EB116" s="19">
        <v>2.0918493085184387E-2</v>
      </c>
      <c r="EC116" s="19">
        <v>2.0823435007994186E-2</v>
      </c>
      <c r="ED116" s="19">
        <v>2.0728808894903993E-2</v>
      </c>
      <c r="EE116" s="19">
        <v>2.0634612782977155E-2</v>
      </c>
      <c r="EF116" s="19">
        <v>2.0540844718197032E-2</v>
      </c>
      <c r="EG116" s="19">
        <v>2.0447502755426429E-2</v>
      </c>
      <c r="EH116" s="19">
        <v>2.0354584958367287E-2</v>
      </c>
      <c r="EI116" s="19">
        <v>2.026208939952049E-2</v>
      </c>
      <c r="EJ116" s="19">
        <v>2.0170014160145883E-2</v>
      </c>
      <c r="EK116" s="19">
        <v>2.0078357330222479E-2</v>
      </c>
      <c r="EL116" s="19">
        <v>1.9987117008408831E-2</v>
      </c>
      <c r="EM116" s="19">
        <v>1.9896291302003592E-2</v>
      </c>
      <c r="EN116" s="19">
        <v>1.9805878326906251E-2</v>
      </c>
      <c r="EO116" s="19">
        <v>1.9715876207578056E-2</v>
      </c>
      <c r="EP116" s="19">
        <v>1.9626283077003089E-2</v>
      </c>
      <c r="EQ116" s="19">
        <v>1.9537097076649561E-2</v>
      </c>
      <c r="ER116" s="19">
        <v>1.9448316356431239E-2</v>
      </c>
      <c r="ES116" s="19">
        <v>1.935993907466908E-2</v>
      </c>
      <c r="ET116" s="19">
        <v>1.9271963398053021E-2</v>
      </c>
      <c r="EU116" s="19">
        <v>1.918438750160394E-2</v>
      </c>
      <c r="EV116" s="19">
        <v>1.9097209568635819E-2</v>
      </c>
      <c r="EW116" s="19">
        <v>1.901042779071805E-2</v>
      </c>
      <c r="EX116" s="19">
        <v>1.8924040367637909E-2</v>
      </c>
      <c r="EY116" s="19">
        <v>1.8838045507363222E-2</v>
      </c>
      <c r="EZ116" s="19">
        <v>1.8752441426005191E-2</v>
      </c>
      <c r="FA116" s="19">
        <v>1.8667226347781396E-2</v>
      </c>
      <c r="FB116" s="19">
        <v>1.8582398504978934E-2</v>
      </c>
      <c r="FC116" s="19">
        <v>1.8497956137917777E-2</v>
      </c>
      <c r="FD116" s="19">
        <v>1.8413897494914254E-2</v>
      </c>
      <c r="FE116" s="19">
        <v>1.8330220832244715E-2</v>
      </c>
      <c r="FF116" s="19">
        <v>1.8246924414109363E-2</v>
      </c>
      <c r="FG116" s="19">
        <v>1.8164006512596243E-2</v>
      </c>
      <c r="FH116" s="19">
        <v>1.8081465407645398E-2</v>
      </c>
      <c r="FI116" s="19">
        <v>1.7999299387013189E-2</v>
      </c>
      <c r="FJ116" s="19">
        <v>1.7917506746236784E-2</v>
      </c>
      <c r="FK116" s="19">
        <v>1.7836085788598775E-2</v>
      </c>
      <c r="FL116" s="19">
        <v>1.7755034825092015E-2</v>
      </c>
      <c r="FM116" s="19">
        <v>1.7674352174384556E-2</v>
      </c>
      <c r="FN116" s="19">
        <v>1.7594036162784783E-2</v>
      </c>
      <c r="FO116" s="19">
        <v>1.7514085124206685E-2</v>
      </c>
      <c r="FP116" s="19">
        <v>1.743449740013531E-2</v>
      </c>
      <c r="FQ116" s="19">
        <v>1.7355271339592346E-2</v>
      </c>
      <c r="FR116" s="19">
        <v>1.7276405299101866E-2</v>
      </c>
      <c r="FS116" s="19">
        <v>1.7197897642656269E-2</v>
      </c>
      <c r="FT116" s="19">
        <v>1.7119746741682304E-2</v>
      </c>
      <c r="FU116" s="19">
        <v>1.7041950975007304E-2</v>
      </c>
      <c r="FV116" s="19">
        <v>1.6964508728825562E-2</v>
      </c>
      <c r="FW116" s="19">
        <v>1.6887418396664845E-2</v>
      </c>
      <c r="FX116" s="19">
        <v>1.6810678379353065E-2</v>
      </c>
      <c r="FY116" s="19">
        <v>1.6734287084985113E-2</v>
      </c>
      <c r="FZ116" s="19">
        <v>1.6658242928889847E-2</v>
      </c>
      <c r="GA116" s="19">
        <v>1.6582544333597189E-2</v>
      </c>
      <c r="GB116" s="19">
        <v>1.6507189728805438E-2</v>
      </c>
      <c r="GC116" s="19">
        <v>1.6432177551348667E-2</v>
      </c>
      <c r="GD116" s="19">
        <v>1.6357506245164306E-2</v>
      </c>
      <c r="GE116" s="19">
        <v>1.6283174261260872E-2</v>
      </c>
      <c r="GF116" s="19">
        <v>1.6209180057685822E-2</v>
      </c>
      <c r="GG116" s="19">
        <v>1.6135522099493569E-2</v>
      </c>
      <c r="GH116" s="19">
        <v>1.6062198858713659E-2</v>
      </c>
      <c r="GI116" s="19">
        <v>1.5989208814319048E-2</v>
      </c>
      <c r="GJ116" s="19">
        <v>1.5916550452194565E-2</v>
      </c>
      <c r="GK116" s="19">
        <v>1.5844222265105502E-2</v>
      </c>
      <c r="GL116" s="19">
        <v>1.5772222752666348E-2</v>
      </c>
      <c r="GM116" s="19">
        <v>1.5700550421309654E-2</v>
      </c>
      <c r="GN116" s="19">
        <v>1.5629203784255068E-2</v>
      </c>
      <c r="GO116" s="19">
        <v>1.5558181361478478E-2</v>
      </c>
      <c r="GP116" s="19">
        <v>1.5487481679681321E-2</v>
      </c>
      <c r="GQ116" s="19">
        <v>1.5417103272260011E-2</v>
      </c>
      <c r="GR116" s="19">
        <v>1.534704467927552E-2</v>
      </c>
      <c r="GS116" s="19">
        <v>1.5277304447423095E-2</v>
      </c>
      <c r="GT116" s="19">
        <v>1.5207881130002113E-2</v>
      </c>
    </row>
    <row r="117" spans="1:202" s="19" customFormat="1" x14ac:dyDescent="0.4">
      <c r="A117" s="7"/>
      <c r="B117" s="21" t="str">
        <f t="shared" si="151"/>
        <v/>
      </c>
    </row>
    <row r="118" spans="1:202" s="19" customFormat="1" x14ac:dyDescent="0.4">
      <c r="A118" s="7"/>
      <c r="B118" s="21" t="str">
        <f t="shared" si="151"/>
        <v/>
      </c>
    </row>
    <row r="119" spans="1:202" s="19" customFormat="1" x14ac:dyDescent="0.4">
      <c r="A119" s="7"/>
      <c r="B119" s="21" t="str">
        <f t="shared" si="151"/>
        <v/>
      </c>
    </row>
    <row r="120" spans="1:202" s="19" customFormat="1" x14ac:dyDescent="0.4">
      <c r="A120" s="7"/>
      <c r="B120" s="21" t="str">
        <f t="shared" si="151"/>
        <v/>
      </c>
    </row>
    <row r="121" spans="1:202" s="19" customFormat="1" x14ac:dyDescent="0.4">
      <c r="A121" s="7"/>
      <c r="B121" s="21" t="str">
        <f t="shared" si="151"/>
        <v/>
      </c>
    </row>
    <row r="129" spans="1:202" x14ac:dyDescent="0.4">
      <c r="C129" s="22" t="s">
        <v>64</v>
      </c>
      <c r="D129" s="22"/>
      <c r="E129" s="22"/>
      <c r="F129" s="22"/>
      <c r="G129" s="22"/>
      <c r="H129" s="22"/>
      <c r="I129" s="22"/>
      <c r="J129" s="22"/>
      <c r="K129" s="22"/>
      <c r="L129" s="22"/>
    </row>
    <row r="130" spans="1:202" s="21" customFormat="1" x14ac:dyDescent="0.4">
      <c r="A130" s="7"/>
      <c r="B130" s="7"/>
      <c r="C130" s="21" t="s">
        <v>67</v>
      </c>
      <c r="D130" s="21" t="s">
        <v>68</v>
      </c>
      <c r="E130" s="21" t="s">
        <v>69</v>
      </c>
      <c r="F130" s="21" t="s">
        <v>66</v>
      </c>
      <c r="G130" s="21" t="s">
        <v>71</v>
      </c>
      <c r="H130" s="21" t="s">
        <v>72</v>
      </c>
      <c r="I130" s="21" t="s">
        <v>73</v>
      </c>
      <c r="J130" s="21" t="s">
        <v>70</v>
      </c>
      <c r="K130" s="21" t="s">
        <v>75</v>
      </c>
      <c r="L130" s="21" t="s">
        <v>76</v>
      </c>
      <c r="M130" s="21" t="s">
        <v>77</v>
      </c>
      <c r="N130" s="21" t="s">
        <v>74</v>
      </c>
      <c r="O130" s="21" t="s">
        <v>79</v>
      </c>
      <c r="P130" s="21" t="s">
        <v>80</v>
      </c>
      <c r="Q130" s="21" t="s">
        <v>81</v>
      </c>
      <c r="R130" s="21" t="s">
        <v>78</v>
      </c>
      <c r="S130" s="21" t="s">
        <v>83</v>
      </c>
      <c r="T130" s="21" t="s">
        <v>84</v>
      </c>
      <c r="U130" s="21" t="s">
        <v>85</v>
      </c>
      <c r="V130" s="21" t="s">
        <v>82</v>
      </c>
      <c r="W130" s="21" t="s">
        <v>87</v>
      </c>
      <c r="X130" s="21" t="s">
        <v>88</v>
      </c>
      <c r="Y130" s="21" t="s">
        <v>89</v>
      </c>
      <c r="Z130" s="21" t="s">
        <v>86</v>
      </c>
      <c r="AA130" s="21" t="s">
        <v>91</v>
      </c>
      <c r="AB130" s="21" t="s">
        <v>92</v>
      </c>
      <c r="AC130" s="21" t="s">
        <v>93</v>
      </c>
      <c r="AD130" s="21" t="s">
        <v>90</v>
      </c>
      <c r="AE130" s="21" t="s">
        <v>95</v>
      </c>
      <c r="AF130" s="21" t="s">
        <v>96</v>
      </c>
      <c r="AG130" s="21" t="s">
        <v>97</v>
      </c>
      <c r="AH130" s="21" t="s">
        <v>94</v>
      </c>
      <c r="AI130" s="21" t="s">
        <v>265</v>
      </c>
      <c r="AJ130" s="21" t="s">
        <v>99</v>
      </c>
      <c r="AK130" s="21" t="s">
        <v>100</v>
      </c>
      <c r="AL130" s="21" t="s">
        <v>98</v>
      </c>
      <c r="AM130" s="21" t="s">
        <v>102</v>
      </c>
      <c r="AN130" s="21" t="s">
        <v>103</v>
      </c>
      <c r="AO130" s="21" t="s">
        <v>104</v>
      </c>
      <c r="AP130" s="21" t="s">
        <v>101</v>
      </c>
      <c r="AQ130" s="21" t="s">
        <v>106</v>
      </c>
      <c r="AR130" s="21" t="s">
        <v>107</v>
      </c>
      <c r="AS130" s="21" t="s">
        <v>108</v>
      </c>
      <c r="AT130" s="21" t="s">
        <v>266</v>
      </c>
      <c r="AU130" s="21" t="s">
        <v>110</v>
      </c>
      <c r="AV130" s="21" t="s">
        <v>111</v>
      </c>
      <c r="AW130" s="21" t="s">
        <v>112</v>
      </c>
      <c r="AX130" s="21" t="s">
        <v>109</v>
      </c>
      <c r="AY130" s="21" t="s">
        <v>114</v>
      </c>
      <c r="AZ130" s="21" t="s">
        <v>115</v>
      </c>
      <c r="BA130" s="21" t="s">
        <v>116</v>
      </c>
      <c r="BB130" s="21" t="s">
        <v>113</v>
      </c>
      <c r="BC130" s="21" t="s">
        <v>118</v>
      </c>
      <c r="BD130" s="21" t="s">
        <v>119</v>
      </c>
      <c r="BE130" s="21" t="s">
        <v>120</v>
      </c>
      <c r="BF130" s="21" t="s">
        <v>117</v>
      </c>
      <c r="BG130" s="21" t="s">
        <v>122</v>
      </c>
      <c r="BH130" s="21" t="s">
        <v>123</v>
      </c>
      <c r="BI130" s="21" t="s">
        <v>124</v>
      </c>
      <c r="BJ130" s="21" t="s">
        <v>121</v>
      </c>
      <c r="BK130" s="21" t="s">
        <v>126</v>
      </c>
      <c r="BL130" s="21" t="s">
        <v>127</v>
      </c>
      <c r="BM130" s="21" t="s">
        <v>128</v>
      </c>
      <c r="BN130" s="21" t="s">
        <v>125</v>
      </c>
      <c r="BO130" s="21" t="s">
        <v>130</v>
      </c>
      <c r="BP130" s="21" t="s">
        <v>131</v>
      </c>
      <c r="BQ130" s="21" t="s">
        <v>132</v>
      </c>
      <c r="BR130" s="21" t="s">
        <v>129</v>
      </c>
      <c r="BS130" s="21" t="s">
        <v>134</v>
      </c>
      <c r="BT130" s="21" t="s">
        <v>135</v>
      </c>
      <c r="BU130" s="21" t="s">
        <v>136</v>
      </c>
      <c r="BV130" s="21" t="s">
        <v>133</v>
      </c>
      <c r="BW130" s="21" t="s">
        <v>138</v>
      </c>
      <c r="BX130" s="21" t="s">
        <v>139</v>
      </c>
      <c r="BY130" s="21" t="s">
        <v>140</v>
      </c>
      <c r="BZ130" s="21" t="s">
        <v>137</v>
      </c>
      <c r="CA130" s="21" t="s">
        <v>142</v>
      </c>
      <c r="CB130" s="21" t="s">
        <v>143</v>
      </c>
      <c r="CC130" s="21" t="s">
        <v>144</v>
      </c>
      <c r="CD130" s="21" t="s">
        <v>141</v>
      </c>
      <c r="CE130" s="21" t="s">
        <v>146</v>
      </c>
      <c r="CF130" s="21" t="s">
        <v>147</v>
      </c>
      <c r="CG130" s="21" t="s">
        <v>148</v>
      </c>
      <c r="CH130" s="21" t="s">
        <v>145</v>
      </c>
      <c r="CI130" s="21" t="s">
        <v>150</v>
      </c>
      <c r="CJ130" s="21" t="s">
        <v>151</v>
      </c>
      <c r="CK130" s="21" t="s">
        <v>152</v>
      </c>
      <c r="CL130" s="21" t="s">
        <v>149</v>
      </c>
      <c r="CM130" s="21" t="s">
        <v>154</v>
      </c>
      <c r="CN130" s="21" t="s">
        <v>155</v>
      </c>
      <c r="CO130" s="21" t="s">
        <v>156</v>
      </c>
      <c r="CP130" s="21" t="s">
        <v>153</v>
      </c>
      <c r="CQ130" s="21" t="s">
        <v>158</v>
      </c>
      <c r="CR130" s="21" t="s">
        <v>159</v>
      </c>
      <c r="CS130" s="21" t="s">
        <v>160</v>
      </c>
      <c r="CT130" s="21" t="s">
        <v>157</v>
      </c>
      <c r="CU130" s="21" t="s">
        <v>162</v>
      </c>
      <c r="CV130" s="21" t="s">
        <v>163</v>
      </c>
      <c r="CW130" s="21" t="s">
        <v>164</v>
      </c>
      <c r="CX130" s="21" t="s">
        <v>161</v>
      </c>
      <c r="CY130" s="21" t="s">
        <v>166</v>
      </c>
      <c r="CZ130" s="21" t="s">
        <v>167</v>
      </c>
      <c r="DA130" s="21" t="s">
        <v>168</v>
      </c>
      <c r="DB130" s="21" t="s">
        <v>165</v>
      </c>
      <c r="DC130" s="21" t="s">
        <v>170</v>
      </c>
      <c r="DD130" s="21" t="s">
        <v>171</v>
      </c>
      <c r="DE130" s="21" t="s">
        <v>172</v>
      </c>
      <c r="DF130" s="21" t="s">
        <v>169</v>
      </c>
      <c r="DG130" s="21" t="s">
        <v>174</v>
      </c>
      <c r="DH130" s="21" t="s">
        <v>175</v>
      </c>
      <c r="DI130" s="21" t="s">
        <v>176</v>
      </c>
      <c r="DJ130" s="21" t="s">
        <v>173</v>
      </c>
      <c r="DK130" s="21" t="s">
        <v>178</v>
      </c>
      <c r="DL130" s="21" t="s">
        <v>179</v>
      </c>
      <c r="DM130" s="21" t="s">
        <v>180</v>
      </c>
      <c r="DN130" s="21" t="s">
        <v>177</v>
      </c>
      <c r="DO130" s="21" t="s">
        <v>182</v>
      </c>
      <c r="DP130" s="21" t="s">
        <v>183</v>
      </c>
      <c r="DQ130" s="21" t="s">
        <v>184</v>
      </c>
      <c r="DR130" s="21" t="s">
        <v>181</v>
      </c>
      <c r="DS130" s="21" t="s">
        <v>186</v>
      </c>
      <c r="DT130" s="21" t="s">
        <v>187</v>
      </c>
      <c r="DU130" s="21" t="s">
        <v>188</v>
      </c>
      <c r="DV130" s="21" t="s">
        <v>185</v>
      </c>
      <c r="DW130" s="21" t="s">
        <v>190</v>
      </c>
      <c r="DX130" s="21" t="s">
        <v>191</v>
      </c>
      <c r="DY130" s="21" t="s">
        <v>192</v>
      </c>
      <c r="DZ130" s="21" t="s">
        <v>189</v>
      </c>
      <c r="EA130" s="21" t="s">
        <v>194</v>
      </c>
      <c r="EB130" s="21" t="s">
        <v>195</v>
      </c>
      <c r="EC130" s="21" t="s">
        <v>196</v>
      </c>
      <c r="ED130" s="21" t="s">
        <v>193</v>
      </c>
      <c r="EE130" s="21" t="s">
        <v>198</v>
      </c>
      <c r="EF130" s="21" t="s">
        <v>199</v>
      </c>
      <c r="EG130" s="21" t="s">
        <v>200</v>
      </c>
      <c r="EH130" s="21" t="s">
        <v>197</v>
      </c>
      <c r="EI130" s="21" t="s">
        <v>202</v>
      </c>
      <c r="EJ130" s="21" t="s">
        <v>203</v>
      </c>
      <c r="EK130" s="21" t="s">
        <v>204</v>
      </c>
      <c r="EL130" s="21" t="s">
        <v>201</v>
      </c>
      <c r="EM130" s="21" t="s">
        <v>206</v>
      </c>
      <c r="EN130" s="21" t="s">
        <v>207</v>
      </c>
      <c r="EO130" s="21" t="s">
        <v>208</v>
      </c>
      <c r="EP130" s="21" t="s">
        <v>205</v>
      </c>
      <c r="EQ130" s="21" t="s">
        <v>210</v>
      </c>
      <c r="ER130" s="21" t="s">
        <v>211</v>
      </c>
      <c r="ES130" s="21" t="s">
        <v>212</v>
      </c>
      <c r="ET130" s="21" t="s">
        <v>209</v>
      </c>
      <c r="EU130" s="21" t="s">
        <v>214</v>
      </c>
      <c r="EV130" s="21" t="s">
        <v>215</v>
      </c>
      <c r="EW130" s="21" t="s">
        <v>216</v>
      </c>
      <c r="EX130" s="21" t="s">
        <v>213</v>
      </c>
      <c r="EY130" s="21" t="s">
        <v>218</v>
      </c>
      <c r="EZ130" s="21" t="s">
        <v>219</v>
      </c>
      <c r="FA130" s="21" t="s">
        <v>220</v>
      </c>
      <c r="FB130" s="21" t="s">
        <v>217</v>
      </c>
      <c r="FC130" s="21" t="s">
        <v>222</v>
      </c>
      <c r="FD130" s="21" t="s">
        <v>223</v>
      </c>
      <c r="FE130" s="21" t="s">
        <v>224</v>
      </c>
      <c r="FF130" s="21" t="s">
        <v>221</v>
      </c>
      <c r="FG130" s="21" t="s">
        <v>226</v>
      </c>
      <c r="FH130" s="21" t="s">
        <v>227</v>
      </c>
      <c r="FI130" s="21" t="s">
        <v>228</v>
      </c>
      <c r="FJ130" s="21" t="s">
        <v>225</v>
      </c>
      <c r="FK130" s="21" t="s">
        <v>230</v>
      </c>
      <c r="FL130" s="21" t="s">
        <v>231</v>
      </c>
      <c r="FM130" s="21" t="s">
        <v>232</v>
      </c>
      <c r="FN130" s="21" t="s">
        <v>229</v>
      </c>
      <c r="FO130" s="21" t="s">
        <v>234</v>
      </c>
      <c r="FP130" s="21" t="s">
        <v>235</v>
      </c>
      <c r="FQ130" s="21" t="s">
        <v>236</v>
      </c>
      <c r="FR130" s="21" t="s">
        <v>233</v>
      </c>
      <c r="FS130" s="21" t="s">
        <v>270</v>
      </c>
      <c r="FT130" s="21" t="s">
        <v>239</v>
      </c>
      <c r="FU130" s="21" t="s">
        <v>240</v>
      </c>
      <c r="FV130" s="21" t="s">
        <v>237</v>
      </c>
      <c r="FW130" s="21" t="s">
        <v>242</v>
      </c>
      <c r="FX130" s="21" t="s">
        <v>243</v>
      </c>
      <c r="FY130" s="21" t="s">
        <v>244</v>
      </c>
      <c r="FZ130" s="21" t="s">
        <v>241</v>
      </c>
      <c r="GA130" s="21" t="s">
        <v>246</v>
      </c>
      <c r="GB130" s="21" t="s">
        <v>247</v>
      </c>
      <c r="GC130" s="21" t="s">
        <v>248</v>
      </c>
      <c r="GD130" s="21" t="s">
        <v>245</v>
      </c>
      <c r="GE130" s="21" t="s">
        <v>250</v>
      </c>
      <c r="GF130" s="21" t="s">
        <v>251</v>
      </c>
      <c r="GG130" s="21" t="s">
        <v>252</v>
      </c>
      <c r="GH130" s="21" t="s">
        <v>249</v>
      </c>
      <c r="GI130" s="21" t="s">
        <v>254</v>
      </c>
      <c r="GJ130" s="21" t="s">
        <v>255</v>
      </c>
      <c r="GK130" s="21" t="s">
        <v>256</v>
      </c>
      <c r="GL130" s="21" t="s">
        <v>253</v>
      </c>
      <c r="GM130" s="21" t="s">
        <v>258</v>
      </c>
      <c r="GN130" s="21" t="s">
        <v>259</v>
      </c>
      <c r="GO130" s="21" t="s">
        <v>260</v>
      </c>
      <c r="GP130" s="21" t="s">
        <v>257</v>
      </c>
      <c r="GQ130" s="21" t="s">
        <v>262</v>
      </c>
      <c r="GR130" s="21" t="s">
        <v>263</v>
      </c>
      <c r="GS130" s="21" t="s">
        <v>264</v>
      </c>
      <c r="GT130" s="21" t="s">
        <v>261</v>
      </c>
    </row>
    <row r="131" spans="1:202" s="19" customFormat="1" x14ac:dyDescent="0.4">
      <c r="A131" s="7"/>
      <c r="B131" s="21">
        <f>B107</f>
        <v>1</v>
      </c>
      <c r="C131" s="19">
        <v>7.5008438976897907E-3</v>
      </c>
      <c r="D131" s="19">
        <v>1.5001125168787807E-2</v>
      </c>
      <c r="E131" s="19">
        <v>2.2500843855495792E-2</v>
      </c>
      <c r="F131" s="19">
        <v>3.0000000000012319E-2</v>
      </c>
      <c r="G131" s="19">
        <v>4.8994915998242072E-2</v>
      </c>
      <c r="H131" s="19">
        <v>6.7986222845388702E-2</v>
      </c>
      <c r="I131" s="19">
        <v>8.6973921227213161E-2</v>
      </c>
      <c r="J131" s="19">
        <v>0.10595801182934608</v>
      </c>
      <c r="K131" s="19">
        <v>0.13559938885774131</v>
      </c>
      <c r="L131" s="19">
        <v>0.16523197045435051</v>
      </c>
      <c r="M131" s="19">
        <v>0.19485575922902609</v>
      </c>
      <c r="N131" s="19">
        <v>0.2244707577908461</v>
      </c>
      <c r="O131" s="19">
        <v>0.26505937937339996</v>
      </c>
      <c r="P131" s="19">
        <v>0.30563148953061253</v>
      </c>
      <c r="Q131" s="19">
        <v>0.3461870949793211</v>
      </c>
      <c r="R131" s="19">
        <v>0.38672620243363048</v>
      </c>
      <c r="S131" s="19">
        <v>0.43823878283924134</v>
      </c>
      <c r="T131" s="19">
        <v>0.4897247247674798</v>
      </c>
      <c r="U131" s="19">
        <v>0.54118404199378622</v>
      </c>
      <c r="V131" s="19">
        <v>0.59261674828647726</v>
      </c>
      <c r="W131" s="19">
        <v>0.65459983965578183</v>
      </c>
      <c r="X131" s="19">
        <v>0.7165442829539872</v>
      </c>
      <c r="Y131" s="19">
        <v>0.77845010227917188</v>
      </c>
      <c r="Z131" s="19">
        <v>0.84031732171438855</v>
      </c>
      <c r="AA131" s="19">
        <v>0.91196257236462708</v>
      </c>
      <c r="AB131" s="19">
        <v>0.98355605760172504</v>
      </c>
      <c r="AC131" s="19">
        <v>1.0550978148274357</v>
      </c>
      <c r="AD131" s="19">
        <v>1.1265878814164889</v>
      </c>
      <c r="AE131" s="19">
        <v>1.2068569153628534</v>
      </c>
      <c r="AF131" s="19">
        <v>1.2870607839864823</v>
      </c>
      <c r="AG131" s="19">
        <v>1.3671995401909558</v>
      </c>
      <c r="AH131" s="19">
        <v>1.4472732368369052</v>
      </c>
      <c r="AI131" s="19">
        <v>1.5350232394930945</v>
      </c>
      <c r="AJ131" s="19">
        <v>1.6226951107447141</v>
      </c>
      <c r="AK131" s="19">
        <v>1.7102889201589004</v>
      </c>
      <c r="AL131" s="19">
        <v>1.7978047372408479</v>
      </c>
      <c r="AM131" s="19">
        <v>1.8918894103583612</v>
      </c>
      <c r="AN131" s="19">
        <v>1.9858839436812197</v>
      </c>
      <c r="AO131" s="19">
        <v>2.0797884235697444</v>
      </c>
      <c r="AP131" s="19">
        <v>2.1736029363015175</v>
      </c>
      <c r="AQ131" s="19">
        <v>2.2673275680714604</v>
      </c>
      <c r="AR131" s="19">
        <v>2.360962404991914</v>
      </c>
      <c r="AS131" s="19">
        <v>2.4545075330927175</v>
      </c>
      <c r="AT131" s="19">
        <v>2.5479630383212872</v>
      </c>
      <c r="AU131" s="19">
        <v>2.641329006542696</v>
      </c>
      <c r="AV131" s="19">
        <v>2.7346055235397517</v>
      </c>
      <c r="AW131" s="19">
        <v>2.8277926750130762</v>
      </c>
      <c r="AX131" s="19">
        <v>2.9208905465811843</v>
      </c>
      <c r="AY131" s="19">
        <v>3.0138992237805615</v>
      </c>
      <c r="AZ131" s="19">
        <v>3.1068187920657442</v>
      </c>
      <c r="BA131" s="19">
        <v>3.1996493368093968</v>
      </c>
      <c r="BB131" s="19">
        <v>3.2923909433023906</v>
      </c>
      <c r="BC131" s="19">
        <v>3.3850436967538822</v>
      </c>
      <c r="BD131" s="19">
        <v>3.4776076822913917</v>
      </c>
      <c r="BE131" s="19">
        <v>3.5700829849608815</v>
      </c>
      <c r="BF131" s="19">
        <v>3.6624696897268332</v>
      </c>
      <c r="BG131" s="19">
        <v>3.7547678814723269</v>
      </c>
      <c r="BH131" s="19">
        <v>3.8469776449991189</v>
      </c>
      <c r="BI131" s="19">
        <v>3.9390990650277184</v>
      </c>
      <c r="BJ131" s="19">
        <v>4.0311322261974674</v>
      </c>
      <c r="BK131" s="19">
        <v>4.1230772130666171</v>
      </c>
      <c r="BL131" s="19">
        <v>4.2149341101124058</v>
      </c>
      <c r="BM131" s="19">
        <v>4.3067030017311358</v>
      </c>
      <c r="BN131" s="19">
        <v>4.3983839722382534</v>
      </c>
      <c r="BO131" s="19">
        <v>4.4899771058684239</v>
      </c>
      <c r="BP131" s="19">
        <v>4.5814824867756094</v>
      </c>
      <c r="BQ131" s="19">
        <v>4.6729001990331467</v>
      </c>
      <c r="BR131" s="19">
        <v>4.7642303266338253</v>
      </c>
      <c r="BS131" s="19">
        <v>4.8554729534899623</v>
      </c>
      <c r="BT131" s="19">
        <v>4.9466281634334814</v>
      </c>
      <c r="BU131" s="19">
        <v>5.03769604021599</v>
      </c>
      <c r="BV131" s="19">
        <v>5.1286766675088549</v>
      </c>
      <c r="BW131" s="19">
        <v>5.2195701289032792</v>
      </c>
      <c r="BX131" s="19">
        <v>5.3103765079103811</v>
      </c>
      <c r="BY131" s="19">
        <v>5.4010958879612678</v>
      </c>
      <c r="BZ131" s="19">
        <v>5.4917283524071152</v>
      </c>
      <c r="CA131" s="19">
        <v>5.5822739845192411</v>
      </c>
      <c r="CB131" s="19">
        <v>5.6727328674891844</v>
      </c>
      <c r="CC131" s="19">
        <v>5.7631050844287799</v>
      </c>
      <c r="CD131" s="19">
        <v>5.8533907183702372</v>
      </c>
      <c r="CE131" s="19">
        <v>5.9435898522662134</v>
      </c>
      <c r="CF131" s="19">
        <v>6.0337025689898907</v>
      </c>
      <c r="CG131" s="19">
        <v>6.123728951335055</v>
      </c>
      <c r="CH131" s="19">
        <v>6.2136690820161675</v>
      </c>
      <c r="CI131" s="19">
        <v>6.3035230436684451</v>
      </c>
      <c r="CJ131" s="19">
        <v>6.3932909188479332</v>
      </c>
      <c r="CK131" s="19">
        <v>6.4829727900315826</v>
      </c>
      <c r="CL131" s="19">
        <v>6.572568739617326</v>
      </c>
      <c r="CM131" s="19">
        <v>6.6620788499241517</v>
      </c>
      <c r="CN131" s="19">
        <v>6.7515032031921827</v>
      </c>
      <c r="CO131" s="19">
        <v>6.8408418815827483</v>
      </c>
      <c r="CP131" s="19">
        <v>6.9300949671784622</v>
      </c>
      <c r="CQ131" s="19">
        <v>7.0192625419832968</v>
      </c>
      <c r="CR131" s="19">
        <v>7.1083446879226591</v>
      </c>
      <c r="CS131" s="19">
        <v>7.1973414868434649</v>
      </c>
      <c r="CT131" s="19">
        <v>7.2862530205142164</v>
      </c>
      <c r="CU131" s="19">
        <v>7.375079370625075</v>
      </c>
      <c r="CV131" s="19">
        <v>7.4638206187879375</v>
      </c>
      <c r="CW131" s="19">
        <v>7.5524768465365097</v>
      </c>
      <c r="CX131" s="19">
        <v>7.6410481353263826</v>
      </c>
      <c r="CY131" s="19">
        <v>7.7295345665351078</v>
      </c>
      <c r="CZ131" s="19">
        <v>7.8179362214622712</v>
      </c>
      <c r="DA131" s="19">
        <v>7.9062531813295678</v>
      </c>
      <c r="DB131" s="19">
        <v>7.994485527280875</v>
      </c>
      <c r="DC131" s="19">
        <v>8.0826333403823316</v>
      </c>
      <c r="DD131" s="19">
        <v>8.1706967016224059</v>
      </c>
      <c r="DE131" s="19">
        <v>8.2586756919119768</v>
      </c>
      <c r="DF131" s="19">
        <v>8.3465703920844021</v>
      </c>
      <c r="DG131" s="19">
        <v>8.4343808828955975</v>
      </c>
      <c r="DH131" s="19">
        <v>8.5221072450241078</v>
      </c>
      <c r="DI131" s="19">
        <v>8.6097495590711812</v>
      </c>
      <c r="DJ131" s="19">
        <v>8.6973079055608462</v>
      </c>
      <c r="DK131" s="19">
        <v>8.7847823649399821</v>
      </c>
      <c r="DL131" s="19">
        <v>8.8721730175783957</v>
      </c>
      <c r="DM131" s="19">
        <v>8.9594799437688923</v>
      </c>
      <c r="DN131" s="19">
        <v>9.0467032237273521</v>
      </c>
      <c r="DO131" s="19">
        <v>9.1338429375928012</v>
      </c>
      <c r="DP131" s="19">
        <v>9.2208991654274879</v>
      </c>
      <c r="DQ131" s="19">
        <v>9.3078719872169557</v>
      </c>
      <c r="DR131" s="19">
        <v>9.3947614828701163</v>
      </c>
      <c r="DS131" s="19">
        <v>9.4815677322193217</v>
      </c>
      <c r="DT131" s="19">
        <v>9.5682908150204398</v>
      </c>
      <c r="DU131" s="19">
        <v>9.6549308109529282</v>
      </c>
      <c r="DV131" s="19">
        <v>9.7414877996199021</v>
      </c>
      <c r="DW131" s="19">
        <v>9.8279618605482142</v>
      </c>
      <c r="DX131" s="19">
        <v>9.9143530731885239</v>
      </c>
      <c r="DY131" s="19">
        <v>10.000661516915372</v>
      </c>
      <c r="DZ131" s="19">
        <v>10.086887271027251</v>
      </c>
      <c r="EA131" s="19">
        <v>10.173030414746682</v>
      </c>
      <c r="EB131" s="19">
        <v>10.259091027220284</v>
      </c>
      <c r="EC131" s="19">
        <v>10.345069187518849</v>
      </c>
      <c r="ED131" s="19">
        <v>10.430964974637412</v>
      </c>
      <c r="EE131" s="19">
        <v>10.516778467495326</v>
      </c>
      <c r="EF131" s="19">
        <v>10.602509744936334</v>
      </c>
      <c r="EG131" s="19">
        <v>10.688158885728642</v>
      </c>
      <c r="EH131" s="19">
        <v>10.773725968564987</v>
      </c>
      <c r="EI131" s="19">
        <v>10.859211072062717</v>
      </c>
      <c r="EJ131" s="19">
        <v>10.944614274763856</v>
      </c>
      <c r="EK131" s="19">
        <v>11.02993565513518</v>
      </c>
      <c r="EL131" s="19">
        <v>11.115175291568288</v>
      </c>
      <c r="EM131" s="19">
        <v>11.200333262379676</v>
      </c>
      <c r="EN131" s="19">
        <v>11.285409645810805</v>
      </c>
      <c r="EO131" s="19">
        <v>11.370404520028178</v>
      </c>
      <c r="EP131" s="19">
        <v>11.455317963123404</v>
      </c>
      <c r="EQ131" s="19">
        <v>11.54015005311328</v>
      </c>
      <c r="ER131" s="19">
        <v>11.624900867939854</v>
      </c>
      <c r="ES131" s="19">
        <v>11.709570485470501</v>
      </c>
      <c r="ET131" s="19">
        <v>11.794158983497994</v>
      </c>
      <c r="EU131" s="19">
        <v>11.878666439740574</v>
      </c>
      <c r="EV131" s="19">
        <v>11.963092931842024</v>
      </c>
      <c r="EW131" s="19">
        <v>12.047438537371736</v>
      </c>
      <c r="EX131" s="19">
        <v>12.13170333382479</v>
      </c>
      <c r="EY131" s="19">
        <v>12.215887398622014</v>
      </c>
      <c r="EZ131" s="19">
        <v>12.299990809110065</v>
      </c>
      <c r="FA131" s="19">
        <v>12.384013642561497</v>
      </c>
      <c r="FB131" s="19">
        <v>12.467955976174828</v>
      </c>
      <c r="FC131" s="19">
        <v>12.551817887074618</v>
      </c>
      <c r="FD131" s="19">
        <v>12.635599452311535</v>
      </c>
      <c r="FE131" s="19">
        <v>12.719300748862427</v>
      </c>
      <c r="FF131" s="19">
        <v>12.802921853630391</v>
      </c>
      <c r="FG131" s="19">
        <v>12.886462843444848</v>
      </c>
      <c r="FH131" s="19">
        <v>12.969923795061609</v>
      </c>
      <c r="FI131" s="19">
        <v>13.053304785162949</v>
      </c>
      <c r="FJ131" s="19">
        <v>13.136605890357673</v>
      </c>
      <c r="FK131" s="19">
        <v>13.219827187181194</v>
      </c>
      <c r="FL131" s="19">
        <v>13.302968752095595</v>
      </c>
      <c r="FM131" s="19">
        <v>13.386030661489704</v>
      </c>
      <c r="FN131" s="19">
        <v>13.469012991679163</v>
      </c>
      <c r="FO131" s="19">
        <v>13.551915818906499</v>
      </c>
      <c r="FP131" s="19">
        <v>13.634739219341192</v>
      </c>
      <c r="FQ131" s="19">
        <v>13.717483269079747</v>
      </c>
      <c r="FR131" s="19">
        <v>13.800148044145763</v>
      </c>
      <c r="FS131" s="19">
        <v>13.882733620490002</v>
      </c>
      <c r="FT131" s="19">
        <v>13.965240073990463</v>
      </c>
      <c r="FU131" s="19">
        <v>14.047667480452445</v>
      </c>
      <c r="FV131" s="19">
        <v>14.13001591560862</v>
      </c>
      <c r="FW131" s="19">
        <v>14.212285455119106</v>
      </c>
      <c r="FX131" s="19">
        <v>14.294476174571532</v>
      </c>
      <c r="FY131" s="19">
        <v>14.376588149481105</v>
      </c>
      <c r="FZ131" s="19">
        <v>14.458621455290688</v>
      </c>
      <c r="GA131" s="19">
        <v>14.540576167370862</v>
      </c>
      <c r="GB131" s="19">
        <v>14.622452361019997</v>
      </c>
      <c r="GC131" s="19">
        <v>14.704250111464326</v>
      </c>
      <c r="GD131" s="19">
        <v>14.785969493858003</v>
      </c>
      <c r="GE131" s="19">
        <v>14.867610583283186</v>
      </c>
      <c r="GF131" s="19">
        <v>14.949173454750094</v>
      </c>
      <c r="GG131" s="19">
        <v>15.030658183197083</v>
      </c>
      <c r="GH131" s="19">
        <v>15.112064843490714</v>
      </c>
      <c r="GI131" s="19">
        <v>15.193393510425816</v>
      </c>
      <c r="GJ131" s="19">
        <v>15.274644258725564</v>
      </c>
      <c r="GK131" s="19">
        <v>15.355817163041541</v>
      </c>
      <c r="GL131" s="19">
        <v>15.436912297953809</v>
      </c>
      <c r="GM131" s="19">
        <v>15.517929737970976</v>
      </c>
      <c r="GN131" s="19">
        <v>15.598869557530264</v>
      </c>
      <c r="GO131" s="19">
        <v>15.679731830997584</v>
      </c>
      <c r="GP131" s="19">
        <v>15.760516632667594</v>
      </c>
      <c r="GQ131" s="19">
        <v>15.841224036763776</v>
      </c>
      <c r="GR131" s="19">
        <v>15.9218541174385</v>
      </c>
      <c r="GS131" s="19">
        <v>16.002406948773089</v>
      </c>
      <c r="GT131" s="19">
        <v>16.082882604777897</v>
      </c>
    </row>
    <row r="132" spans="1:202" s="19" customFormat="1" x14ac:dyDescent="0.4">
      <c r="A132" s="7"/>
      <c r="B132" s="21">
        <f t="shared" ref="B132:B145" si="152">B108</f>
        <v>2</v>
      </c>
      <c r="C132" s="19">
        <v>1.2561727506754661E-2</v>
      </c>
      <c r="D132" s="19">
        <v>2.5121877043529781E-2</v>
      </c>
      <c r="E132" s="19">
        <v>3.7680448808545652E-2</v>
      </c>
      <c r="F132" s="19">
        <v>5.0237442999997661E-2</v>
      </c>
      <c r="G132" s="19">
        <v>8.2389970687139408E-2</v>
      </c>
      <c r="H132" s="19">
        <v>0.11453215532783237</v>
      </c>
      <c r="I132" s="19">
        <v>0.14666400024929893</v>
      </c>
      <c r="J132" s="19">
        <v>0.17878550877769114</v>
      </c>
      <c r="K132" s="19">
        <v>0.22373841362481831</v>
      </c>
      <c r="L132" s="19">
        <v>0.26867107464236983</v>
      </c>
      <c r="M132" s="19">
        <v>0.31358350094683413</v>
      </c>
      <c r="N132" s="19">
        <v>0.35847570165059411</v>
      </c>
      <c r="O132" s="19">
        <v>0.41519236994678216</v>
      </c>
      <c r="P132" s="19">
        <v>0.47187675470972168</v>
      </c>
      <c r="Q132" s="19">
        <v>0.52852887431543072</v>
      </c>
      <c r="R132" s="19">
        <v>0.58514874712946752</v>
      </c>
      <c r="S132" s="19">
        <v>0.65282433536597639</v>
      </c>
      <c r="T132" s="19">
        <v>0.72045385417537822</v>
      </c>
      <c r="U132" s="19">
        <v>0.78803733491893879</v>
      </c>
      <c r="V132" s="19">
        <v>0.85557480893657512</v>
      </c>
      <c r="W132" s="19">
        <v>0.93306877682682732</v>
      </c>
      <c r="X132" s="19">
        <v>1.010502173332982</v>
      </c>
      <c r="Y132" s="19">
        <v>1.0878750457992734</v>
      </c>
      <c r="Z132" s="19">
        <v>1.1651874415329304</v>
      </c>
      <c r="AA132" s="19">
        <v>1.2511464286116376</v>
      </c>
      <c r="AB132" s="19">
        <v>1.3370306551149127</v>
      </c>
      <c r="AC132" s="19">
        <v>1.422840186063806</v>
      </c>
      <c r="AD132" s="19">
        <v>1.508575086422818</v>
      </c>
      <c r="AE132" s="19">
        <v>1.6016128484097787</v>
      </c>
      <c r="AF132" s="19">
        <v>1.6945627243176908</v>
      </c>
      <c r="AG132" s="19">
        <v>1.7874247971662096</v>
      </c>
      <c r="AH132" s="19">
        <v>1.8801991498965671</v>
      </c>
      <c r="AI132" s="19">
        <v>1.9790184633445715</v>
      </c>
      <c r="AJ132" s="19">
        <v>2.0777382529795867</v>
      </c>
      <c r="AK132" s="19">
        <v>2.1763586190349478</v>
      </c>
      <c r="AL132" s="19">
        <v>2.274879661643042</v>
      </c>
      <c r="AM132" s="19">
        <v>2.3783326581632567</v>
      </c>
      <c r="AN132" s="19">
        <v>2.4816761380878205</v>
      </c>
      <c r="AO132" s="19">
        <v>2.5849102173523288</v>
      </c>
      <c r="AP132" s="19">
        <v>2.6880350117696459</v>
      </c>
      <c r="AQ132" s="19">
        <v>2.7910506370300352</v>
      </c>
      <c r="AR132" s="19">
        <v>2.893957208701289</v>
      </c>
      <c r="AS132" s="19">
        <v>2.9967548422288584</v>
      </c>
      <c r="AT132" s="19">
        <v>3.0994436529359821</v>
      </c>
      <c r="AU132" s="19">
        <v>3.2020237560238165</v>
      </c>
      <c r="AV132" s="19">
        <v>3.3044952665715646</v>
      </c>
      <c r="AW132" s="19">
        <v>3.406858299536605</v>
      </c>
      <c r="AX132" s="19">
        <v>3.5091129697546211</v>
      </c>
      <c r="AY132" s="19">
        <v>3.61125939193973</v>
      </c>
      <c r="AZ132" s="19">
        <v>3.7132976806846112</v>
      </c>
      <c r="BA132" s="19">
        <v>3.8152279504606343</v>
      </c>
      <c r="BB132" s="19">
        <v>3.9170503156179892</v>
      </c>
      <c r="BC132" s="19">
        <v>4.0187648903858122</v>
      </c>
      <c r="BD132" s="19">
        <v>4.1203717888723164</v>
      </c>
      <c r="BE132" s="19">
        <v>4.2218711250649168</v>
      </c>
      <c r="BF132" s="19">
        <v>4.3232630128303624</v>
      </c>
      <c r="BG132" s="19">
        <v>4.4245475659148594</v>
      </c>
      <c r="BH132" s="19">
        <v>4.5257248979442011</v>
      </c>
      <c r="BI132" s="19">
        <v>4.6267951224238963</v>
      </c>
      <c r="BJ132" s="19">
        <v>4.7277583527392952</v>
      </c>
      <c r="BK132" s="19">
        <v>4.8286147021557158</v>
      </c>
      <c r="BL132" s="19">
        <v>4.9293642838185736</v>
      </c>
      <c r="BM132" s="19">
        <v>5.0300072107535057</v>
      </c>
      <c r="BN132" s="19">
        <v>5.1305435958664996</v>
      </c>
      <c r="BO132" s="19">
        <v>5.230973551944019</v>
      </c>
      <c r="BP132" s="19">
        <v>5.33129719165313</v>
      </c>
      <c r="BQ132" s="19">
        <v>5.4315146275416293</v>
      </c>
      <c r="BR132" s="19">
        <v>5.5316259720381673</v>
      </c>
      <c r="BS132" s="19">
        <v>5.6316313374523777</v>
      </c>
      <c r="BT132" s="19">
        <v>5.7315308359750006</v>
      </c>
      <c r="BU132" s="19">
        <v>5.8313245796780109</v>
      </c>
      <c r="BV132" s="19">
        <v>5.9310126805147414</v>
      </c>
      <c r="BW132" s="19">
        <v>6.0305952503200109</v>
      </c>
      <c r="BX132" s="19">
        <v>6.1300724008102483</v>
      </c>
      <c r="BY132" s="19">
        <v>6.2294442435836173</v>
      </c>
      <c r="BZ132" s="19">
        <v>6.328710890120143</v>
      </c>
      <c r="CA132" s="19">
        <v>6.4278724517818366</v>
      </c>
      <c r="CB132" s="19">
        <v>6.5269290398128197</v>
      </c>
      <c r="CC132" s="19">
        <v>6.62588076533945</v>
      </c>
      <c r="CD132" s="19">
        <v>6.7247277393704454</v>
      </c>
      <c r="CE132" s="19">
        <v>6.8234700727970079</v>
      </c>
      <c r="CF132" s="19">
        <v>6.9221078763929498</v>
      </c>
      <c r="CG132" s="19">
        <v>7.0206412608148154</v>
      </c>
      <c r="CH132" s="19">
        <v>7.1190703366020083</v>
      </c>
      <c r="CI132" s="19">
        <v>7.2173952141769133</v>
      </c>
      <c r="CJ132" s="19">
        <v>7.3156160038450206</v>
      </c>
      <c r="CK132" s="19">
        <v>7.4137328157950488</v>
      </c>
      <c r="CL132" s="19">
        <v>7.5117457600990702</v>
      </c>
      <c r="CM132" s="19">
        <v>7.6096549467126344</v>
      </c>
      <c r="CN132" s="19">
        <v>7.7074604854748889</v>
      </c>
      <c r="CO132" s="19">
        <v>7.8051624861087054</v>
      </c>
      <c r="CP132" s="19">
        <v>7.9027610582208005</v>
      </c>
      <c r="CQ132" s="19">
        <v>8.000256311301861</v>
      </c>
      <c r="CR132" s="19">
        <v>8.0976483547266653</v>
      </c>
      <c r="CS132" s="19">
        <v>8.1949372977542065</v>
      </c>
      <c r="CT132" s="19">
        <v>8.2921232495278137</v>
      </c>
      <c r="CU132" s="19">
        <v>8.3892063190752761</v>
      </c>
      <c r="CV132" s="19">
        <v>8.4861866153089647</v>
      </c>
      <c r="CW132" s="19">
        <v>8.5830642470259555</v>
      </c>
      <c r="CX132" s="19">
        <v>8.6798393229081494</v>
      </c>
      <c r="CY132" s="19">
        <v>8.7765119515223962</v>
      </c>
      <c r="CZ132" s="19">
        <v>8.8730822413206152</v>
      </c>
      <c r="DA132" s="19">
        <v>8.9695503006399164</v>
      </c>
      <c r="DB132" s="19">
        <v>9.0659162377027247</v>
      </c>
      <c r="DC132" s="19">
        <v>9.1621801606168969</v>
      </c>
      <c r="DD132" s="19">
        <v>9.2583421773758481</v>
      </c>
      <c r="DE132" s="19">
        <v>9.3544023958586688</v>
      </c>
      <c r="DF132" s="19">
        <v>9.450360923830246</v>
      </c>
      <c r="DG132" s="19">
        <v>9.5462178689413886</v>
      </c>
      <c r="DH132" s="19">
        <v>9.6419733387289437</v>
      </c>
      <c r="DI132" s="19">
        <v>9.7376274406159169</v>
      </c>
      <c r="DJ132" s="19">
        <v>9.8331802819115968</v>
      </c>
      <c r="DK132" s="19">
        <v>9.9286319698116721</v>
      </c>
      <c r="DL132" s="19">
        <v>10.023982611398354</v>
      </c>
      <c r="DM132" s="19">
        <v>10.119232313640493</v>
      </c>
      <c r="DN132" s="19">
        <v>10.214381183393703</v>
      </c>
      <c r="DO132" s="19">
        <v>10.30942932740048</v>
      </c>
      <c r="DP132" s="19">
        <v>10.404376852290318</v>
      </c>
      <c r="DQ132" s="19">
        <v>10.499223864579832</v>
      </c>
      <c r="DR132" s="19">
        <v>10.593970470672881</v>
      </c>
      <c r="DS132" s="19">
        <v>10.68861677686068</v>
      </c>
      <c r="DT132" s="19">
        <v>10.783162889321925</v>
      </c>
      <c r="DU132" s="19">
        <v>10.877608914122909</v>
      </c>
      <c r="DV132" s="19">
        <v>10.97195495721764</v>
      </c>
      <c r="DW132" s="19">
        <v>11.066201124447966</v>
      </c>
      <c r="DX132" s="19">
        <v>11.160347521543686</v>
      </c>
      <c r="DY132" s="19">
        <v>11.254394254122674</v>
      </c>
      <c r="DZ132" s="19">
        <v>11.348341427690995</v>
      </c>
      <c r="EA132" s="19">
        <v>11.442189147643022</v>
      </c>
      <c r="EB132" s="19">
        <v>11.535937519261561</v>
      </c>
      <c r="EC132" s="19">
        <v>11.629586647717961</v>
      </c>
      <c r="ED132" s="19">
        <v>11.723136638072235</v>
      </c>
      <c r="EE132" s="19">
        <v>11.81658759527318</v>
      </c>
      <c r="EF132" s="19">
        <v>11.909939624158492</v>
      </c>
      <c r="EG132" s="19">
        <v>12.003192829454884</v>
      </c>
      <c r="EH132" s="19">
        <v>12.096347315778205</v>
      </c>
      <c r="EI132" s="19">
        <v>12.189403187633557</v>
      </c>
      <c r="EJ132" s="19">
        <v>12.28236054941541</v>
      </c>
      <c r="EK132" s="19">
        <v>12.375219505407721</v>
      </c>
      <c r="EL132" s="19">
        <v>12.467980159784052</v>
      </c>
      <c r="EM132" s="19">
        <v>12.560642616607684</v>
      </c>
      <c r="EN132" s="19">
        <v>12.653206979831737</v>
      </c>
      <c r="EO132" s="19">
        <v>12.745673353299283</v>
      </c>
      <c r="EP132" s="19">
        <v>12.838041840743466</v>
      </c>
      <c r="EQ132" s="19">
        <v>12.930312545787617</v>
      </c>
      <c r="ER132" s="19">
        <v>13.022485571945369</v>
      </c>
      <c r="ES132" s="19">
        <v>13.114561022620775</v>
      </c>
      <c r="ET132" s="19">
        <v>13.206539001108421</v>
      </c>
      <c r="EU132" s="19">
        <v>13.29841961059355</v>
      </c>
      <c r="EV132" s="19">
        <v>13.390202954152164</v>
      </c>
      <c r="EW132" s="19">
        <v>13.481889134751153</v>
      </c>
      <c r="EX132" s="19">
        <v>13.573478255248403</v>
      </c>
      <c r="EY132" s="19">
        <v>13.664970418392915</v>
      </c>
      <c r="EZ132" s="19">
        <v>13.756365726824917</v>
      </c>
      <c r="FA132" s="19">
        <v>13.84766428307598</v>
      </c>
      <c r="FB132" s="19">
        <v>13.938866189569136</v>
      </c>
      <c r="FC132" s="19">
        <v>14.02997154861899</v>
      </c>
      <c r="FD132" s="19">
        <v>14.120980462431834</v>
      </c>
      <c r="FE132" s="19">
        <v>14.211893033105767</v>
      </c>
      <c r="FF132" s="19">
        <v>14.302709362630802</v>
      </c>
      <c r="FG132" s="19">
        <v>14.393429552888986</v>
      </c>
      <c r="FH132" s="19">
        <v>14.48405370565451</v>
      </c>
      <c r="FI132" s="19">
        <v>14.574581922593829</v>
      </c>
      <c r="FJ132" s="19">
        <v>14.665014305265769</v>
      </c>
      <c r="FK132" s="19">
        <v>14.755350955121649</v>
      </c>
      <c r="FL132" s="19">
        <v>14.845591973505387</v>
      </c>
      <c r="FM132" s="19">
        <v>14.93573746165362</v>
      </c>
      <c r="FN132" s="19">
        <v>15.025787520695809</v>
      </c>
      <c r="FO132" s="19">
        <v>15.115742251654366</v>
      </c>
      <c r="FP132" s="19">
        <v>15.205601755444752</v>
      </c>
      <c r="FQ132" s="19">
        <v>15.295366132875603</v>
      </c>
      <c r="FR132" s="19">
        <v>15.385035484648837</v>
      </c>
      <c r="FS132" s="19">
        <v>15.474609911359764</v>
      </c>
      <c r="FT132" s="19">
        <v>15.564089513497207</v>
      </c>
      <c r="FU132" s="19">
        <v>15.653474391443607</v>
      </c>
      <c r="FV132" s="19">
        <v>15.742764645475141</v>
      </c>
      <c r="FW132" s="19">
        <v>15.831960375761833</v>
      </c>
      <c r="FX132" s="19">
        <v>15.921061682367663</v>
      </c>
      <c r="FY132" s="19">
        <v>16.010068665250685</v>
      </c>
      <c r="FZ132" s="19">
        <v>16.098981424263133</v>
      </c>
      <c r="GA132" s="19">
        <v>16.187800059151542</v>
      </c>
      <c r="GB132" s="19">
        <v>16.276524669556846</v>
      </c>
      <c r="GC132" s="19">
        <v>16.365155355014505</v>
      </c>
      <c r="GD132" s="19">
        <v>16.453692214954604</v>
      </c>
      <c r="GE132" s="19">
        <v>16.542135348701972</v>
      </c>
      <c r="GF132" s="19">
        <v>16.630484855476297</v>
      </c>
      <c r="GG132" s="19">
        <v>16.718740834392221</v>
      </c>
      <c r="GH132" s="19">
        <v>16.806903384459474</v>
      </c>
      <c r="GI132" s="19">
        <v>16.894972604582964</v>
      </c>
      <c r="GJ132" s="19">
        <v>16.982948593562902</v>
      </c>
      <c r="GK132" s="19">
        <v>17.070831450094907</v>
      </c>
      <c r="GL132" s="19">
        <v>17.158621272770112</v>
      </c>
      <c r="GM132" s="19">
        <v>17.24631816007529</v>
      </c>
      <c r="GN132" s="19">
        <v>17.333922210392949</v>
      </c>
      <c r="GO132" s="19">
        <v>17.421433522001447</v>
      </c>
      <c r="GP132" s="19">
        <v>17.508852193075107</v>
      </c>
      <c r="GQ132" s="19">
        <v>17.59617832168432</v>
      </c>
      <c r="GR132" s="19">
        <v>17.683412005795663</v>
      </c>
      <c r="GS132" s="19">
        <v>17.770553343271999</v>
      </c>
      <c r="GT132" s="19">
        <v>17.857602431872596</v>
      </c>
    </row>
    <row r="133" spans="1:202" s="19" customFormat="1" x14ac:dyDescent="0.4">
      <c r="A133" s="7"/>
      <c r="B133" s="21">
        <f t="shared" si="152"/>
        <v>3</v>
      </c>
      <c r="C133" s="19">
        <v>2.4995901114455155E-2</v>
      </c>
      <c r="D133" s="19">
        <v>4.9985554278185074E-2</v>
      </c>
      <c r="E133" s="19">
        <v>7.4968961052921335E-2</v>
      </c>
      <c r="F133" s="19">
        <v>9.994612300000516E-2</v>
      </c>
      <c r="G133" s="19">
        <v>0.16385888693552564</v>
      </c>
      <c r="H133" s="19">
        <v>0.22773076158985606</v>
      </c>
      <c r="I133" s="19">
        <v>0.29156177312261172</v>
      </c>
      <c r="J133" s="19">
        <v>0.35535194767667189</v>
      </c>
      <c r="K133" s="19">
        <v>0.43470733566284009</v>
      </c>
      <c r="L133" s="19">
        <v>0.51399952629997325</v>
      </c>
      <c r="M133" s="19">
        <v>0.59322856991741924</v>
      </c>
      <c r="N133" s="19">
        <v>0.6723945168044444</v>
      </c>
      <c r="O133" s="19">
        <v>0.7640986149534843</v>
      </c>
      <c r="P133" s="19">
        <v>0.85571804739880142</v>
      </c>
      <c r="Q133" s="19">
        <v>0.94725289230790999</v>
      </c>
      <c r="R133" s="19">
        <v>1.0387032277761559</v>
      </c>
      <c r="S133" s="19">
        <v>1.1403151826054947</v>
      </c>
      <c r="T133" s="19">
        <v>1.241822803824614</v>
      </c>
      <c r="U133" s="19">
        <v>1.3432261985616785</v>
      </c>
      <c r="V133" s="19">
        <v>1.4445254738348552</v>
      </c>
      <c r="W133" s="19">
        <v>1.553439646221189</v>
      </c>
      <c r="X133" s="19">
        <v>1.6622334569837407</v>
      </c>
      <c r="Y133" s="19">
        <v>1.7709070391347725</v>
      </c>
      <c r="Z133" s="19">
        <v>1.8794605255395544</v>
      </c>
      <c r="AA133" s="19">
        <v>1.9933808075946551</v>
      </c>
      <c r="AB133" s="19">
        <v>2.107168825490457</v>
      </c>
      <c r="AC133" s="19">
        <v>2.220824732788798</v>
      </c>
      <c r="AD133" s="19">
        <v>2.3343486828732263</v>
      </c>
      <c r="AE133" s="19">
        <v>2.4514936678295789</v>
      </c>
      <c r="AF133" s="19">
        <v>2.5684981433303005</v>
      </c>
      <c r="AG133" s="19">
        <v>2.6853622779093413</v>
      </c>
      <c r="AH133" s="19">
        <v>2.8020862398985047</v>
      </c>
      <c r="AI133" s="19">
        <v>2.9211745748820253</v>
      </c>
      <c r="AJ133" s="19">
        <v>3.0401170010596825</v>
      </c>
      <c r="AK133" s="19">
        <v>3.1589136972011236</v>
      </c>
      <c r="AL133" s="19">
        <v>3.2775648418569645</v>
      </c>
      <c r="AM133" s="19">
        <v>3.3977167657366758</v>
      </c>
      <c r="AN133" s="19">
        <v>3.5177194327786285</v>
      </c>
      <c r="AO133" s="19">
        <v>3.6375730283947822</v>
      </c>
      <c r="AP133" s="19">
        <v>3.757277737766771</v>
      </c>
      <c r="AQ133" s="19">
        <v>3.8768337458461901</v>
      </c>
      <c r="AR133" s="19">
        <v>3.9962412373548815</v>
      </c>
      <c r="AS133" s="19">
        <v>4.1155003967852197</v>
      </c>
      <c r="AT133" s="19">
        <v>4.2346114084003954</v>
      </c>
      <c r="AU133" s="19">
        <v>4.3535744562347025</v>
      </c>
      <c r="AV133" s="19">
        <v>4.4723897240938211</v>
      </c>
      <c r="AW133" s="19">
        <v>4.5910573955551</v>
      </c>
      <c r="AX133" s="19">
        <v>4.7095776539678438</v>
      </c>
      <c r="AY133" s="19">
        <v>4.8279506824535936</v>
      </c>
      <c r="AZ133" s="19">
        <v>4.9461766639064111</v>
      </c>
      <c r="BA133" s="19">
        <v>5.0642557809931601</v>
      </c>
      <c r="BB133" s="19">
        <v>5.1821882161537891</v>
      </c>
      <c r="BC133" s="19">
        <v>5.2999741516016146</v>
      </c>
      <c r="BD133" s="19">
        <v>5.4176137693235997</v>
      </c>
      <c r="BE133" s="19">
        <v>5.5351072510806389</v>
      </c>
      <c r="BF133" s="19">
        <v>5.6524547784078365</v>
      </c>
      <c r="BG133" s="19">
        <v>5.7696565326147864</v>
      </c>
      <c r="BH133" s="19">
        <v>5.8867126947858557</v>
      </c>
      <c r="BI133" s="19">
        <v>6.0036234457804607</v>
      </c>
      <c r="BJ133" s="19">
        <v>6.1203889662333486</v>
      </c>
      <c r="BK133" s="19">
        <v>6.2370094365548754</v>
      </c>
      <c r="BL133" s="19">
        <v>6.3534850369312856</v>
      </c>
      <c r="BM133" s="19">
        <v>6.4698159473249905</v>
      </c>
      <c r="BN133" s="19">
        <v>6.586002347474845</v>
      </c>
      <c r="BO133" s="19">
        <v>6.7020444168964275</v>
      </c>
      <c r="BP133" s="19">
        <v>6.8179423348823143</v>
      </c>
      <c r="BQ133" s="19">
        <v>6.9336962805023603</v>
      </c>
      <c r="BR133" s="19">
        <v>7.0493064326039718</v>
      </c>
      <c r="BS133" s="19">
        <v>7.1647729698123861</v>
      </c>
      <c r="BT133" s="19">
        <v>7.280096070530945</v>
      </c>
      <c r="BU133" s="19">
        <v>7.3952759129413721</v>
      </c>
      <c r="BV133" s="19">
        <v>7.5103126750040481</v>
      </c>
      <c r="BW133" s="19">
        <v>7.6252065344582851</v>
      </c>
      <c r="BX133" s="19">
        <v>7.7399576688226004</v>
      </c>
      <c r="BY133" s="19">
        <v>7.8545662553949924</v>
      </c>
      <c r="BZ133" s="19">
        <v>7.9690324712532128</v>
      </c>
      <c r="CA133" s="19">
        <v>8.0833564932550441</v>
      </c>
      <c r="CB133" s="19">
        <v>8.1975384980385666</v>
      </c>
      <c r="CC133" s="19">
        <v>8.3115786620224359</v>
      </c>
      <c r="CD133" s="19">
        <v>8.425477161406155</v>
      </c>
      <c r="CE133" s="19">
        <v>8.539234172170346</v>
      </c>
      <c r="CF133" s="19">
        <v>8.65284987007702</v>
      </c>
      <c r="CG133" s="19">
        <v>8.7663244306698527</v>
      </c>
      <c r="CH133" s="19">
        <v>8.8796580292744522</v>
      </c>
      <c r="CI133" s="19">
        <v>8.9928508409986314</v>
      </c>
      <c r="CJ133" s="19">
        <v>9.1059030407326791</v>
      </c>
      <c r="CK133" s="19">
        <v>9.2188148031496286</v>
      </c>
      <c r="CL133" s="19">
        <v>9.3315863027055279</v>
      </c>
      <c r="CM133" s="19">
        <v>9.4442177136397092</v>
      </c>
      <c r="CN133" s="19">
        <v>9.556709209975061</v>
      </c>
      <c r="CO133" s="19">
        <v>9.6690609655182911</v>
      </c>
      <c r="CP133" s="19">
        <v>9.7812731538602034</v>
      </c>
      <c r="CQ133" s="19">
        <v>9.8933459483759574</v>
      </c>
      <c r="CR133" s="19">
        <v>10.00527952222534</v>
      </c>
      <c r="CS133" s="19">
        <v>10.117074048353038</v>
      </c>
      <c r="CT133" s="19">
        <v>10.228729699488893</v>
      </c>
      <c r="CU133" s="19">
        <v>10.340246648148181</v>
      </c>
      <c r="CV133" s="19">
        <v>10.451625066631873</v>
      </c>
      <c r="CW133" s="19">
        <v>10.5628651270269</v>
      </c>
      <c r="CX133" s="19">
        <v>10.673967001206421</v>
      </c>
      <c r="CY133" s="19">
        <v>10.784930860830091</v>
      </c>
      <c r="CZ133" s="19">
        <v>10.895756877344319</v>
      </c>
      <c r="DA133" s="19">
        <v>11.00644522198254</v>
      </c>
      <c r="DB133" s="19">
        <v>11.116996065765479</v>
      </c>
      <c r="DC133" s="19">
        <v>11.227409579501408</v>
      </c>
      <c r="DD133" s="19">
        <v>11.337685933786421</v>
      </c>
      <c r="DE133" s="19">
        <v>11.447825299004688</v>
      </c>
      <c r="DF133" s="19">
        <v>11.55782784532872</v>
      </c>
      <c r="DG133" s="19">
        <v>11.66769374271964</v>
      </c>
      <c r="DH133" s="19">
        <v>11.777423160927434</v>
      </c>
      <c r="DI133" s="19">
        <v>11.887016269491221</v>
      </c>
      <c r="DJ133" s="19">
        <v>11.996473237739513</v>
      </c>
      <c r="DK133" s="19">
        <v>12.105794234790476</v>
      </c>
      <c r="DL133" s="19">
        <v>12.214979429552191</v>
      </c>
      <c r="DM133" s="19">
        <v>12.324028990722915</v>
      </c>
      <c r="DN133" s="19">
        <v>12.432943086791346</v>
      </c>
      <c r="DO133" s="19">
        <v>12.541721886036873</v>
      </c>
      <c r="DP133" s="19">
        <v>12.650365556529849</v>
      </c>
      <c r="DQ133" s="19">
        <v>12.758874266131841</v>
      </c>
      <c r="DR133" s="19">
        <v>12.867248182495892</v>
      </c>
      <c r="DS133" s="19">
        <v>12.975487473066785</v>
      </c>
      <c r="DT133" s="19">
        <v>13.083592305081291</v>
      </c>
      <c r="DU133" s="19">
        <v>13.191562845568439</v>
      </c>
      <c r="DV133" s="19">
        <v>13.299399261349766</v>
      </c>
      <c r="DW133" s="19">
        <v>13.407101719039579</v>
      </c>
      <c r="DX133" s="19">
        <v>13.514670385045209</v>
      </c>
      <c r="DY133" s="19">
        <v>13.622105425567273</v>
      </c>
      <c r="DZ133" s="19">
        <v>13.729407006599926</v>
      </c>
      <c r="EA133" s="19">
        <v>13.836575293931119</v>
      </c>
      <c r="EB133" s="19">
        <v>13.943610453142858</v>
      </c>
      <c r="EC133" s="19">
        <v>14.050512649611454</v>
      </c>
      <c r="ED133" s="19">
        <v>14.157282048507783</v>
      </c>
      <c r="EE133" s="19">
        <v>14.263918814797542</v>
      </c>
      <c r="EF133" s="19">
        <v>14.370423113241499</v>
      </c>
      <c r="EG133" s="19">
        <v>14.476795108395754</v>
      </c>
      <c r="EH133" s="19">
        <v>14.583034964611986</v>
      </c>
      <c r="EI133" s="19">
        <v>14.689142846037715</v>
      </c>
      <c r="EJ133" s="19">
        <v>14.795118916616547</v>
      </c>
      <c r="EK133" s="19">
        <v>14.900963340088433</v>
      </c>
      <c r="EL133" s="19">
        <v>15.006676279989922</v>
      </c>
      <c r="EM133" s="19">
        <v>15.112257899654411</v>
      </c>
      <c r="EN133" s="19">
        <v>15.217708362212401</v>
      </c>
      <c r="EO133" s="19">
        <v>15.323027830591743</v>
      </c>
      <c r="EP133" s="19">
        <v>15.428216467517895</v>
      </c>
      <c r="EQ133" s="19">
        <v>15.533274435514173</v>
      </c>
      <c r="ER133" s="19">
        <v>15.638201896901998</v>
      </c>
      <c r="ES133" s="19">
        <v>15.742999013801155</v>
      </c>
      <c r="ET133" s="19">
        <v>15.847665948130032</v>
      </c>
      <c r="EU133" s="19">
        <v>15.952202861605883</v>
      </c>
      <c r="EV133" s="19">
        <v>16.056609915745064</v>
      </c>
      <c r="EW133" s="19">
        <v>16.160887271863295</v>
      </c>
      <c r="EX133" s="19">
        <v>16.265035091075905</v>
      </c>
      <c r="EY133" s="19">
        <v>16.369053534298075</v>
      </c>
      <c r="EZ133" s="19">
        <v>16.472942762245097</v>
      </c>
      <c r="FA133" s="19">
        <v>16.576702935432611</v>
      </c>
      <c r="FB133" s="19">
        <v>16.680334214176863</v>
      </c>
      <c r="FC133" s="19">
        <v>16.783836758594951</v>
      </c>
      <c r="FD133" s="19">
        <v>16.887210728605062</v>
      </c>
      <c r="FE133" s="19">
        <v>16.990456283926736</v>
      </c>
      <c r="FF133" s="19">
        <v>17.093573584081099</v>
      </c>
      <c r="FG133" s="19">
        <v>17.196562788391116</v>
      </c>
      <c r="FH133" s="19">
        <v>17.299424055981834</v>
      </c>
      <c r="FI133" s="19">
        <v>17.402157545780632</v>
      </c>
      <c r="FJ133" s="19">
        <v>17.504763416517463</v>
      </c>
      <c r="FK133" s="19">
        <v>17.607241826725097</v>
      </c>
      <c r="FL133" s="19">
        <v>17.709592934739373</v>
      </c>
      <c r="FM133" s="19">
        <v>17.811816898699437</v>
      </c>
      <c r="FN133" s="19">
        <v>17.913913876547991</v>
      </c>
      <c r="FO133" s="19">
        <v>18.015884026031536</v>
      </c>
      <c r="FP133" s="19">
        <v>18.117727504700614</v>
      </c>
      <c r="FQ133" s="19">
        <v>18.219444469910052</v>
      </c>
      <c r="FR133" s="19">
        <v>18.321035078819204</v>
      </c>
      <c r="FS133" s="19">
        <v>18.422499488392198</v>
      </c>
      <c r="FT133" s="19">
        <v>18.523837855398178</v>
      </c>
      <c r="FU133" s="19">
        <v>18.625050336411533</v>
      </c>
      <c r="FV133" s="19">
        <v>18.726137087812162</v>
      </c>
      <c r="FW133" s="19">
        <v>18.8270982657857</v>
      </c>
      <c r="FX133" s="19">
        <v>18.927934026323761</v>
      </c>
      <c r="FY133" s="19">
        <v>19.02864452522418</v>
      </c>
      <c r="FZ133" s="19">
        <v>19.129229918091259</v>
      </c>
      <c r="GA133" s="19">
        <v>19.229690360335997</v>
      </c>
      <c r="GB133" s="19">
        <v>19.330026007176343</v>
      </c>
      <c r="GC133" s="19">
        <v>19.430237013637424</v>
      </c>
      <c r="GD133" s="19">
        <v>19.53032353455179</v>
      </c>
      <c r="GE133" s="19">
        <v>19.630285724559652</v>
      </c>
      <c r="GF133" s="19">
        <v>19.730123738109125</v>
      </c>
      <c r="GG133" s="19">
        <v>19.829837729456465</v>
      </c>
      <c r="GH133" s="19">
        <v>19.929427852666297</v>
      </c>
      <c r="GI133" s="19">
        <v>20.028894261611867</v>
      </c>
      <c r="GJ133" s="19">
        <v>20.128237109975277</v>
      </c>
      <c r="GK133" s="19">
        <v>20.227456551247716</v>
      </c>
      <c r="GL133" s="19">
        <v>20.326552738729699</v>
      </c>
      <c r="GM133" s="19">
        <v>20.425525825531313</v>
      </c>
      <c r="GN133" s="19">
        <v>20.524375964572439</v>
      </c>
      <c r="GO133" s="19">
        <v>20.623103308583001</v>
      </c>
      <c r="GP133" s="19">
        <v>20.721708010103193</v>
      </c>
      <c r="GQ133" s="19">
        <v>20.82019022148372</v>
      </c>
      <c r="GR133" s="19">
        <v>20.918550094886033</v>
      </c>
      <c r="GS133" s="19">
        <v>21.01678778228256</v>
      </c>
      <c r="GT133" s="19">
        <v>21.114903435456945</v>
      </c>
    </row>
    <row r="134" spans="1:202" s="19" customFormat="1" x14ac:dyDescent="0.4">
      <c r="A134" s="7"/>
      <c r="B134" s="21">
        <f t="shared" si="152"/>
        <v>4</v>
      </c>
      <c r="C134" s="19">
        <v>5.7940929821398424E-2</v>
      </c>
      <c r="D134" s="19">
        <v>0.11584828812931117</v>
      </c>
      <c r="E134" s="19">
        <v>0.1737220943753853</v>
      </c>
      <c r="F134" s="19">
        <v>0.23156236799999741</v>
      </c>
      <c r="G134" s="19">
        <v>0.36822426141114883</v>
      </c>
      <c r="H134" s="19">
        <v>0.50469895661058106</v>
      </c>
      <c r="I134" s="19">
        <v>0.64098671002069252</v>
      </c>
      <c r="J134" s="19">
        <v>0.7770877777126366</v>
      </c>
      <c r="K134" s="19">
        <v>0.9471754717680122</v>
      </c>
      <c r="L134" s="19">
        <v>1.1169716018789204</v>
      </c>
      <c r="M134" s="19">
        <v>1.2864766678436221</v>
      </c>
      <c r="N134" s="19">
        <v>1.4556911686036256</v>
      </c>
      <c r="O134" s="19">
        <v>1.6411191386108934</v>
      </c>
      <c r="P134" s="19">
        <v>1.8261981941809018</v>
      </c>
      <c r="Q134" s="19">
        <v>2.0109289918558355</v>
      </c>
      <c r="R134" s="19">
        <v>2.1953121869424828</v>
      </c>
      <c r="S134" s="19">
        <v>2.3844344724827167</v>
      </c>
      <c r="T134" s="19">
        <v>2.5731910573629135</v>
      </c>
      <c r="U134" s="19">
        <v>2.7615826487285711</v>
      </c>
      <c r="V134" s="19">
        <v>2.9496099523577985</v>
      </c>
      <c r="W134" s="19">
        <v>3.1353760795785055</v>
      </c>
      <c r="X134" s="19">
        <v>3.3207866280735048</v>
      </c>
      <c r="Y134" s="19">
        <v>3.5058422784632737</v>
      </c>
      <c r="Z134" s="19">
        <v>3.6905437100654996</v>
      </c>
      <c r="AA134" s="19">
        <v>3.8693664925176749</v>
      </c>
      <c r="AB134" s="19">
        <v>4.0478572453981361</v>
      </c>
      <c r="AC134" s="19">
        <v>4.226016585203479</v>
      </c>
      <c r="AD134" s="19">
        <v>4.4038451272856163</v>
      </c>
      <c r="AE134" s="19">
        <v>4.5743870333426617</v>
      </c>
      <c r="AF134" s="19">
        <v>4.7446246955547497</v>
      </c>
      <c r="AG134" s="19">
        <v>4.9145586566876993</v>
      </c>
      <c r="AH134" s="19">
        <v>5.0841894585390435</v>
      </c>
      <c r="AI134" s="19">
        <v>5.2463997425892304</v>
      </c>
      <c r="AJ134" s="19">
        <v>5.4083328106929747</v>
      </c>
      <c r="AK134" s="19">
        <v>5.5699891366098866</v>
      </c>
      <c r="AL134" s="19">
        <v>5.7313691932899253</v>
      </c>
      <c r="AM134" s="19">
        <v>5.8858454633682324</v>
      </c>
      <c r="AN134" s="19">
        <v>6.0400685960262432</v>
      </c>
      <c r="AO134" s="19">
        <v>6.1940390060755881</v>
      </c>
      <c r="AP134" s="19">
        <v>6.347757107648154</v>
      </c>
      <c r="AQ134" s="19">
        <v>6.5012233141971985</v>
      </c>
      <c r="AR134" s="19">
        <v>6.6544380384984585</v>
      </c>
      <c r="AS134" s="19">
        <v>6.8074016926512657</v>
      </c>
      <c r="AT134" s="19">
        <v>6.9601146880796501</v>
      </c>
      <c r="AU134" s="19">
        <v>7.1125774355334501</v>
      </c>
      <c r="AV134" s="19">
        <v>7.2647903450894145</v>
      </c>
      <c r="AW134" s="19">
        <v>7.4167538261523083</v>
      </c>
      <c r="AX134" s="19">
        <v>7.5684682874560112</v>
      </c>
      <c r="AY134" s="19">
        <v>7.7199341370646195</v>
      </c>
      <c r="AZ134" s="19">
        <v>7.8711517823735413</v>
      </c>
      <c r="BA134" s="19">
        <v>8.0221216301105933</v>
      </c>
      <c r="BB134" s="19">
        <v>8.1728440863370952</v>
      </c>
      <c r="BC134" s="19">
        <v>8.323319556448963</v>
      </c>
      <c r="BD134" s="19">
        <v>8.473548445177796</v>
      </c>
      <c r="BE134" s="19">
        <v>8.6235311565919659</v>
      </c>
      <c r="BF134" s="19">
        <v>8.773268094097709</v>
      </c>
      <c r="BG134" s="19">
        <v>8.9227596604402049</v>
      </c>
      <c r="BH134" s="19">
        <v>9.0720062577046612</v>
      </c>
      <c r="BI134" s="19">
        <v>9.221008287317396</v>
      </c>
      <c r="BJ134" s="19">
        <v>9.3697661500469192</v>
      </c>
      <c r="BK134" s="19">
        <v>9.5182802460050091</v>
      </c>
      <c r="BL134" s="19">
        <v>9.6665509746477856</v>
      </c>
      <c r="BM134" s="19">
        <v>9.8145787347767897</v>
      </c>
      <c r="BN134" s="19">
        <v>9.9623639245400515</v>
      </c>
      <c r="BO134" s="19">
        <v>10.109906941433165</v>
      </c>
      <c r="BP134" s="19">
        <v>10.257208182300355</v>
      </c>
      <c r="BQ134" s="19">
        <v>10.404268043335543</v>
      </c>
      <c r="BR134" s="19">
        <v>10.551086920083419</v>
      </c>
      <c r="BS134" s="19">
        <v>10.697665207440497</v>
      </c>
      <c r="BT134" s="19">
        <v>10.844003299656183</v>
      </c>
      <c r="BU134" s="19">
        <v>10.990101590333834</v>
      </c>
      <c r="BV134" s="19">
        <v>11.135960472431817</v>
      </c>
      <c r="BW134" s="19">
        <v>11.281580338264565</v>
      </c>
      <c r="BX134" s="19">
        <v>11.426961579503631</v>
      </c>
      <c r="BY134" s="19">
        <v>11.572104587178746</v>
      </c>
      <c r="BZ134" s="19">
        <v>11.717009751678864</v>
      </c>
      <c r="CA134" s="19">
        <v>11.861677462753219</v>
      </c>
      <c r="CB134" s="19">
        <v>12.006108109512368</v>
      </c>
      <c r="CC134" s="19">
        <v>12.150302080429242</v>
      </c>
      <c r="CD134" s="19">
        <v>12.294259763340186</v>
      </c>
      <c r="CE134" s="19">
        <v>12.437981545446007</v>
      </c>
      <c r="CF134" s="19">
        <v>12.581467813313012</v>
      </c>
      <c r="CG134" s="19">
        <v>12.724718952874047</v>
      </c>
      <c r="CH134" s="19">
        <v>12.867735349429543</v>
      </c>
      <c r="CI134" s="19">
        <v>13.010517387648537</v>
      </c>
      <c r="CJ134" s="19">
        <v>13.153065451569725</v>
      </c>
      <c r="CK134" s="19">
        <v>13.295379924602482</v>
      </c>
      <c r="CL134" s="19">
        <v>13.437461189527895</v>
      </c>
      <c r="CM134" s="19">
        <v>13.579309628499797</v>
      </c>
      <c r="CN134" s="19">
        <v>13.720925623045794</v>
      </c>
      <c r="CO134" s="19">
        <v>13.862309554068286</v>
      </c>
      <c r="CP134" s="19">
        <v>14.0034618018455</v>
      </c>
      <c r="CQ134" s="19">
        <v>14.144382746032504</v>
      </c>
      <c r="CR134" s="19">
        <v>14.285072765662232</v>
      </c>
      <c r="CS134" s="19">
        <v>14.425532239146508</v>
      </c>
      <c r="CT134" s="19">
        <v>14.565761544277054</v>
      </c>
      <c r="CU134" s="19">
        <v>14.705761058226516</v>
      </c>
      <c r="CV134" s="19">
        <v>14.845531157549473</v>
      </c>
      <c r="CW134" s="19">
        <v>14.985072218183451</v>
      </c>
      <c r="CX134" s="19">
        <v>15.124384615449932</v>
      </c>
      <c r="CY134" s="19">
        <v>15.263468724055368</v>
      </c>
      <c r="CZ134" s="19">
        <v>15.402324918092187</v>
      </c>
      <c r="DA134" s="19">
        <v>15.540953571039797</v>
      </c>
      <c r="DB134" s="19">
        <v>15.679355055765591</v>
      </c>
      <c r="DC134" s="19">
        <v>15.817529744525952</v>
      </c>
      <c r="DD134" s="19">
        <v>15.955478008967257</v>
      </c>
      <c r="DE134" s="19">
        <v>16.093200220126867</v>
      </c>
      <c r="DF134" s="19">
        <v>16.230696748434134</v>
      </c>
      <c r="DG134" s="19">
        <v>16.367967963711394</v>
      </c>
      <c r="DH134" s="19">
        <v>16.505014235174961</v>
      </c>
      <c r="DI134" s="19">
        <v>16.641835931436127</v>
      </c>
      <c r="DJ134" s="19">
        <v>16.778433420502136</v>
      </c>
      <c r="DK134" s="19">
        <v>16.914807069777194</v>
      </c>
      <c r="DL134" s="19">
        <v>17.050957246063447</v>
      </c>
      <c r="DM134" s="19">
        <v>17.186884315561969</v>
      </c>
      <c r="DN134" s="19">
        <v>17.322588643873743</v>
      </c>
      <c r="DO134" s="19">
        <v>17.458070596000656</v>
      </c>
      <c r="DP134" s="19">
        <v>17.593330536346464</v>
      </c>
      <c r="DQ134" s="19">
        <v>17.728368828717791</v>
      </c>
      <c r="DR134" s="19">
        <v>17.863185836325091</v>
      </c>
      <c r="DS134" s="19">
        <v>17.997781921783631</v>
      </c>
      <c r="DT134" s="19">
        <v>18.132157447114473</v>
      </c>
      <c r="DU134" s="19">
        <v>18.266312773745437</v>
      </c>
      <c r="DV134" s="19">
        <v>18.400248262512079</v>
      </c>
      <c r="DW134" s="19">
        <v>18.533964273658661</v>
      </c>
      <c r="DX134" s="19">
        <v>18.667461166839118</v>
      </c>
      <c r="DY134" s="19">
        <v>18.800739301118028</v>
      </c>
      <c r="DZ134" s="19">
        <v>18.933799034971578</v>
      </c>
      <c r="EA134" s="19">
        <v>19.066640726288522</v>
      </c>
      <c r="EB134" s="19">
        <v>19.199264732371155</v>
      </c>
      <c r="EC134" s="19">
        <v>19.331671409936259</v>
      </c>
      <c r="ED134" s="19">
        <v>19.463861115116078</v>
      </c>
      <c r="EE134" s="19">
        <v>19.595834203459265</v>
      </c>
      <c r="EF134" s="19">
        <v>19.727591029931844</v>
      </c>
      <c r="EG134" s="19">
        <v>19.859131948918161</v>
      </c>
      <c r="EH134" s="19">
        <v>19.990457314221842</v>
      </c>
      <c r="EI134" s="19">
        <v>20.121567479066734</v>
      </c>
      <c r="EJ134" s="19">
        <v>20.25246279609787</v>
      </c>
      <c r="EK134" s="19">
        <v>20.383143617382409</v>
      </c>
      <c r="EL134" s="19">
        <v>20.513610294410579</v>
      </c>
      <c r="EM134" s="19">
        <v>20.643863178096638</v>
      </c>
      <c r="EN134" s="19">
        <v>20.773902618779793</v>
      </c>
      <c r="EO134" s="19">
        <v>20.903728966225167</v>
      </c>
      <c r="EP134" s="19">
        <v>21.033342569624725</v>
      </c>
      <c r="EQ134" s="19">
        <v>21.162743777598223</v>
      </c>
      <c r="ER134" s="19">
        <v>21.29193293819413</v>
      </c>
      <c r="ES134" s="19">
        <v>21.420910398890584</v>
      </c>
      <c r="ET134" s="19">
        <v>21.549676506596313</v>
      </c>
      <c r="EU134" s="19">
        <v>21.678231607651572</v>
      </c>
      <c r="EV134" s="19">
        <v>21.806576047829076</v>
      </c>
      <c r="EW134" s="19">
        <v>21.934710172334928</v>
      </c>
      <c r="EX134" s="19">
        <v>22.062634325809547</v>
      </c>
      <c r="EY134" s="19">
        <v>22.190348852328597</v>
      </c>
      <c r="EZ134" s="19">
        <v>22.317854095403909</v>
      </c>
      <c r="FA134" s="19">
        <v>22.445150397984413</v>
      </c>
      <c r="FB134" s="19">
        <v>22.572238102457053</v>
      </c>
      <c r="FC134" s="19">
        <v>22.699117550647706</v>
      </c>
      <c r="FD134" s="19">
        <v>22.825789083822109</v>
      </c>
      <c r="FE134" s="19">
        <v>22.95225304268677</v>
      </c>
      <c r="FF134" s="19">
        <v>23.078509767389892</v>
      </c>
      <c r="FG134" s="19">
        <v>23.20455959752228</v>
      </c>
      <c r="FH134" s="19">
        <v>23.33040287211826</v>
      </c>
      <c r="FI134" s="19">
        <v>23.456039929656583</v>
      </c>
      <c r="FJ134" s="19">
        <v>23.581471108061351</v>
      </c>
      <c r="FK134" s="19">
        <v>23.706696744702906</v>
      </c>
      <c r="FL134" s="19">
        <v>23.831717176398755</v>
      </c>
      <c r="FM134" s="19">
        <v>23.956532739414463</v>
      </c>
      <c r="FN134" s="19">
        <v>24.081143769464568</v>
      </c>
      <c r="FO134" s="19">
        <v>24.205550601713473</v>
      </c>
      <c r="FP134" s="19">
        <v>24.329753570776358</v>
      </c>
      <c r="FQ134" s="19">
        <v>24.453753010720071</v>
      </c>
      <c r="FR134" s="19">
        <v>24.577549255064035</v>
      </c>
      <c r="FS134" s="19">
        <v>24.701142636781139</v>
      </c>
      <c r="FT134" s="19">
        <v>24.824533488298638</v>
      </c>
      <c r="FU134" s="19">
        <v>24.947722141499039</v>
      </c>
      <c r="FV134" s="19">
        <v>25.070708927721</v>
      </c>
      <c r="FW134" s="19">
        <v>25.193494177760225</v>
      </c>
      <c r="FX134" s="19">
        <v>25.316078221870349</v>
      </c>
      <c r="FY134" s="19">
        <v>25.438461389763823</v>
      </c>
      <c r="FZ134" s="19">
        <v>25.560644010612805</v>
      </c>
      <c r="GA134" s="19">
        <v>25.682626413050045</v>
      </c>
      <c r="GB134" s="19">
        <v>25.804408925169771</v>
      </c>
      <c r="GC134" s="19">
        <v>25.925991874528563</v>
      </c>
      <c r="GD134" s="19">
        <v>26.047375588146249</v>
      </c>
      <c r="GE134" s="19">
        <v>26.168560392506766</v>
      </c>
      <c r="GF134" s="19">
        <v>26.289546613559057</v>
      </c>
      <c r="GG134" s="19">
        <v>26.410334576717929</v>
      </c>
      <c r="GH134" s="19">
        <v>26.530924606864946</v>
      </c>
      <c r="GI134" s="19">
        <v>26.65131702834929</v>
      </c>
      <c r="GJ134" s="19">
        <v>26.771512164988639</v>
      </c>
      <c r="GK134" s="19">
        <v>26.891510340070038</v>
      </c>
      <c r="GL134" s="19">
        <v>27.011311876350764</v>
      </c>
      <c r="GM134" s="19">
        <v>27.1309170960592</v>
      </c>
      <c r="GN134" s="19">
        <v>27.250326320895702</v>
      </c>
      <c r="GO134" s="19">
        <v>27.36953987203346</v>
      </c>
      <c r="GP134" s="19">
        <v>27.48855807011936</v>
      </c>
      <c r="GQ134" s="19">
        <v>27.60738123527485</v>
      </c>
      <c r="GR134" s="19">
        <v>27.726009687096806</v>
      </c>
      <c r="GS134" s="19">
        <v>27.844443744658381</v>
      </c>
      <c r="GT134" s="19">
        <v>27.962683726509876</v>
      </c>
    </row>
    <row r="135" spans="1:202" s="19" customFormat="1" x14ac:dyDescent="0.4">
      <c r="A135" s="7"/>
      <c r="B135" s="21">
        <f t="shared" si="152"/>
        <v>5</v>
      </c>
      <c r="C135" s="19">
        <v>0.13404874871310035</v>
      </c>
      <c r="D135" s="19">
        <v>0.26791780675588522</v>
      </c>
      <c r="E135" s="19">
        <v>0.4016074150014497</v>
      </c>
      <c r="F135" s="19">
        <v>0.53511781400000158</v>
      </c>
      <c r="G135" s="19">
        <v>0.86056119304652667</v>
      </c>
      <c r="H135" s="19">
        <v>1.1849397400574881</v>
      </c>
      <c r="I135" s="19">
        <v>1.5082569391021188</v>
      </c>
      <c r="J135" s="19">
        <v>1.8305162628499771</v>
      </c>
      <c r="K135" s="19">
        <v>2.2086349608675975</v>
      </c>
      <c r="L135" s="19">
        <v>2.5852972618018497</v>
      </c>
      <c r="M135" s="19">
        <v>2.9605087752469581</v>
      </c>
      <c r="N135" s="19">
        <v>3.3342750891907125</v>
      </c>
      <c r="O135" s="19">
        <v>3.7138221187537841</v>
      </c>
      <c r="P135" s="19">
        <v>4.0918788998571962</v>
      </c>
      <c r="Q135" s="19">
        <v>4.4684512837928807</v>
      </c>
      <c r="R135" s="19">
        <v>4.8435450988783328</v>
      </c>
      <c r="S135" s="19">
        <v>5.1987441632949007</v>
      </c>
      <c r="T135" s="19">
        <v>5.5526173441916011</v>
      </c>
      <c r="U135" s="19">
        <v>5.9051695908131938</v>
      </c>
      <c r="V135" s="19">
        <v>6.2564058339299473</v>
      </c>
      <c r="W135" s="19">
        <v>6.5776132009654296</v>
      </c>
      <c r="X135" s="19">
        <v>6.8977199682900121</v>
      </c>
      <c r="Y135" s="19">
        <v>7.2167299070492161</v>
      </c>
      <c r="Z135" s="19">
        <v>7.5346467754669373</v>
      </c>
      <c r="AA135" s="19">
        <v>7.8210386674561514</v>
      </c>
      <c r="AB135" s="19">
        <v>8.106543521079784</v>
      </c>
      <c r="AC135" s="19">
        <v>8.3911640837517254</v>
      </c>
      <c r="AD135" s="19">
        <v>8.674903094376333</v>
      </c>
      <c r="AE135" s="19">
        <v>8.9295760949324166</v>
      </c>
      <c r="AF135" s="19">
        <v>9.1835389036638002</v>
      </c>
      <c r="AG135" s="19">
        <v>9.4367935010412332</v>
      </c>
      <c r="AH135" s="19">
        <v>9.6893418620126379</v>
      </c>
      <c r="AI135" s="19">
        <v>9.9166852436098001</v>
      </c>
      <c r="AJ135" s="19">
        <v>10.143456322732131</v>
      </c>
      <c r="AK135" s="19">
        <v>10.369656540064293</v>
      </c>
      <c r="AL135" s="19">
        <v>10.59528733266424</v>
      </c>
      <c r="AM135" s="19">
        <v>10.799759117536649</v>
      </c>
      <c r="AN135" s="19">
        <v>11.003763268102526</v>
      </c>
      <c r="AO135" s="19">
        <v>11.207300853858305</v>
      </c>
      <c r="AP135" s="19">
        <v>11.41037294185444</v>
      </c>
      <c r="AQ135" s="19">
        <v>11.612980596701007</v>
      </c>
      <c r="AR135" s="19">
        <v>11.815124880573279</v>
      </c>
      <c r="AS135" s="19">
        <v>12.016806853217295</v>
      </c>
      <c r="AT135" s="19">
        <v>12.218027571955417</v>
      </c>
      <c r="AU135" s="19">
        <v>12.418788091691875</v>
      </c>
      <c r="AV135" s="19">
        <v>12.619089464918291</v>
      </c>
      <c r="AW135" s="19">
        <v>12.818932741719204</v>
      </c>
      <c r="AX135" s="19">
        <v>13.018318969777571</v>
      </c>
      <c r="AY135" s="19">
        <v>13.217249194380262</v>
      </c>
      <c r="AZ135" s="19">
        <v>13.415724458423536</v>
      </c>
      <c r="BA135" s="19">
        <v>13.613745802418514</v>
      </c>
      <c r="BB135" s="19">
        <v>13.811314264496627</v>
      </c>
      <c r="BC135" s="19">
        <v>14.008430880415064</v>
      </c>
      <c r="BD135" s="19">
        <v>14.205096683562202</v>
      </c>
      <c r="BE135" s="19">
        <v>14.401312704963019</v>
      </c>
      <c r="BF135" s="19">
        <v>14.597079973284503</v>
      </c>
      <c r="BG135" s="19">
        <v>14.792399514841042</v>
      </c>
      <c r="BH135" s="19">
        <v>14.98727235359981</v>
      </c>
      <c r="BI135" s="19">
        <v>15.181699511186126</v>
      </c>
      <c r="BJ135" s="19">
        <v>15.375682006888821</v>
      </c>
      <c r="BK135" s="19">
        <v>15.569220857665572</v>
      </c>
      <c r="BL135" s="19">
        <v>15.762317078148239</v>
      </c>
      <c r="BM135" s="19">
        <v>15.954971680648182</v>
      </c>
      <c r="BN135" s="19">
        <v>16.147185675161566</v>
      </c>
      <c r="BO135" s="19">
        <v>16.338960069374664</v>
      </c>
      <c r="BP135" s="19">
        <v>16.530295868669132</v>
      </c>
      <c r="BQ135" s="19">
        <v>16.721194076127279</v>
      </c>
      <c r="BR135" s="19">
        <v>16.911655692537334</v>
      </c>
      <c r="BS135" s="19">
        <v>17.101681716398684</v>
      </c>
      <c r="BT135" s="19">
        <v>17.291273143927111</v>
      </c>
      <c r="BU135" s="19">
        <v>17.48043096906002</v>
      </c>
      <c r="BV135" s="19">
        <v>17.669156183461642</v>
      </c>
      <c r="BW135" s="19">
        <v>17.857449776528238</v>
      </c>
      <c r="BX135" s="19">
        <v>18.045312735393281</v>
      </c>
      <c r="BY135" s="19">
        <v>18.23274604493264</v>
      </c>
      <c r="BZ135" s="19">
        <v>18.419750687769735</v>
      </c>
      <c r="CA135" s="19">
        <v>18.60632764428069</v>
      </c>
      <c r="CB135" s="19">
        <v>18.792477892599472</v>
      </c>
      <c r="CC135" s="19">
        <v>18.978202408623027</v>
      </c>
      <c r="CD135" s="19">
        <v>19.163502166016382</v>
      </c>
      <c r="CE135" s="19">
        <v>19.348378136217761</v>
      </c>
      <c r="CF135" s="19">
        <v>19.532831288443674</v>
      </c>
      <c r="CG135" s="19">
        <v>19.716862589693999</v>
      </c>
      <c r="CH135" s="19">
        <v>19.90047300475705</v>
      </c>
      <c r="CI135" s="19">
        <v>20.08366349621463</v>
      </c>
      <c r="CJ135" s="19">
        <v>20.266435024447091</v>
      </c>
      <c r="CK135" s="19">
        <v>20.448788547638358</v>
      </c>
      <c r="CL135" s="19">
        <v>20.630725021780954</v>
      </c>
      <c r="CM135" s="19">
        <v>20.812245400681011</v>
      </c>
      <c r="CN135" s="19">
        <v>20.993350635963274</v>
      </c>
      <c r="CO135" s="19">
        <v>21.17404167707609</v>
      </c>
      <c r="CP135" s="19">
        <v>21.354319471296382</v>
      </c>
      <c r="CQ135" s="19">
        <v>21.534184963734617</v>
      </c>
      <c r="CR135" s="19">
        <v>21.713639097339762</v>
      </c>
      <c r="CS135" s="19">
        <v>21.892682812904219</v>
      </c>
      <c r="CT135" s="19">
        <v>22.071317049068771</v>
      </c>
      <c r="CU135" s="19">
        <v>22.249542742327495</v>
      </c>
      <c r="CV135" s="19">
        <v>22.427360827032672</v>
      </c>
      <c r="CW135" s="19">
        <v>22.604772235399683</v>
      </c>
      <c r="CX135" s="19">
        <v>22.781777897511901</v>
      </c>
      <c r="CY135" s="19">
        <v>22.958378741325568</v>
      </c>
      <c r="CZ135" s="19">
        <v>23.134575692674652</v>
      </c>
      <c r="DA135" s="19">
        <v>23.310369675275705</v>
      </c>
      <c r="DB135" s="19">
        <v>23.485761610732713</v>
      </c>
      <c r="DC135" s="19">
        <v>23.660752418541911</v>
      </c>
      <c r="DD135" s="19">
        <v>23.835343016096623</v>
      </c>
      <c r="DE135" s="19">
        <v>24.009534318692054</v>
      </c>
      <c r="DF135" s="19">
        <v>24.183327239530101</v>
      </c>
      <c r="DG135" s="19">
        <v>24.356722689724133</v>
      </c>
      <c r="DH135" s="19">
        <v>24.529721578303768</v>
      </c>
      <c r="DI135" s="19">
        <v>24.702324812219643</v>
      </c>
      <c r="DJ135" s="19">
        <v>24.874533296348169</v>
      </c>
      <c r="DK135" s="19">
        <v>25.046347933496268</v>
      </c>
      <c r="DL135" s="19">
        <v>25.217769624406113</v>
      </c>
      <c r="DM135" s="19">
        <v>25.388799267759847</v>
      </c>
      <c r="DN135" s="19">
        <v>25.559437760184291</v>
      </c>
      <c r="DO135" s="19">
        <v>25.729685996255654</v>
      </c>
      <c r="DP135" s="19">
        <v>25.899544868504211</v>
      </c>
      <c r="DQ135" s="19">
        <v>26.069015267418994</v>
      </c>
      <c r="DR135" s="19">
        <v>26.238098081452449</v>
      </c>
      <c r="DS135" s="19">
        <v>26.406794197025107</v>
      </c>
      <c r="DT135" s="19">
        <v>26.575104498530216</v>
      </c>
      <c r="DU135" s="19">
        <v>26.743029868338386</v>
      </c>
      <c r="DV135" s="19">
        <v>26.910571186802219</v>
      </c>
      <c r="DW135" s="19">
        <v>27.077729332260915</v>
      </c>
      <c r="DX135" s="19">
        <v>27.244505181044882</v>
      </c>
      <c r="DY135" s="19">
        <v>27.410899607480328</v>
      </c>
      <c r="DZ135" s="19">
        <v>27.576913483893843</v>
      </c>
      <c r="EA135" s="19">
        <v>27.742547680616983</v>
      </c>
      <c r="EB135" s="19">
        <v>27.907803065990816</v>
      </c>
      <c r="EC135" s="19">
        <v>28.072680506370485</v>
      </c>
      <c r="ED135" s="19">
        <v>28.237180866129751</v>
      </c>
      <c r="EE135" s="19">
        <v>28.401305007665517</v>
      </c>
      <c r="EF135" s="19">
        <v>28.565053791402356</v>
      </c>
      <c r="EG135" s="19">
        <v>28.728428075797019</v>
      </c>
      <c r="EH135" s="19">
        <v>28.891428717342936</v>
      </c>
      <c r="EI135" s="19">
        <v>29.054056570574705</v>
      </c>
      <c r="EJ135" s="19">
        <v>29.216312488072571</v>
      </c>
      <c r="EK135" s="19">
        <v>29.378197320466899</v>
      </c>
      <c r="EL135" s="19">
        <v>29.539711916442631</v>
      </c>
      <c r="EM135" s="19">
        <v>29.700857122743738</v>
      </c>
      <c r="EN135" s="19">
        <v>29.861633784177659</v>
      </c>
      <c r="EO135" s="19">
        <v>30.022042743619721</v>
      </c>
      <c r="EP135" s="19">
        <v>30.18208484201757</v>
      </c>
      <c r="EQ135" s="19">
        <v>30.341760918395575</v>
      </c>
      <c r="ER135" s="19">
        <v>30.501071809859226</v>
      </c>
      <c r="ES135" s="19">
        <v>30.660018351599518</v>
      </c>
      <c r="ET135" s="19">
        <v>30.818601376897341</v>
      </c>
      <c r="EU135" s="19">
        <v>30.976821717127834</v>
      </c>
      <c r="EV135" s="19">
        <v>31.134680201764759</v>
      </c>
      <c r="EW135" s="19">
        <v>31.292177658384841</v>
      </c>
      <c r="EX135" s="19">
        <v>31.449314912672101</v>
      </c>
      <c r="EY135" s="19">
        <v>31.606092788422195</v>
      </c>
      <c r="EZ135" s="19">
        <v>31.76251210754673</v>
      </c>
      <c r="FA135" s="19">
        <v>31.918573690077569</v>
      </c>
      <c r="FB135" s="19">
        <v>32.074278354171135</v>
      </c>
      <c r="FC135" s="19">
        <v>32.229626916112693</v>
      </c>
      <c r="FD135" s="19">
        <v>32.384620190320646</v>
      </c>
      <c r="FE135" s="19">
        <v>32.539258989350778</v>
      </c>
      <c r="FF135" s="19">
        <v>32.693544123900537</v>
      </c>
      <c r="FG135" s="19">
        <v>32.847476402813278</v>
      </c>
      <c r="FH135" s="19">
        <v>33.001056633082506</v>
      </c>
      <c r="FI135" s="19">
        <v>33.15428561985609</v>
      </c>
      <c r="FJ135" s="19">
        <v>33.307164166440501</v>
      </c>
      <c r="FK135" s="19">
        <v>33.459693074305029</v>
      </c>
      <c r="FL135" s="19">
        <v>33.611873143085965</v>
      </c>
      <c r="FM135" s="19">
        <v>33.763705170590804</v>
      </c>
      <c r="FN135" s="19">
        <v>33.915189952802429</v>
      </c>
      <c r="FO135" s="19">
        <v>34.066328283883287</v>
      </c>
      <c r="FP135" s="19">
        <v>34.217120956179535</v>
      </c>
      <c r="FQ135" s="19">
        <v>34.367568760225218</v>
      </c>
      <c r="FR135" s="19">
        <v>34.517672484746392</v>
      </c>
      <c r="FS135" s="19">
        <v>34.66743291666527</v>
      </c>
      <c r="FT135" s="19">
        <v>34.816850841104355</v>
      </c>
      <c r="FU135" s="19">
        <v>34.965927041390529</v>
      </c>
      <c r="FV135" s="19">
        <v>35.114662299059198</v>
      </c>
      <c r="FW135" s="19">
        <v>35.263057393858354</v>
      </c>
      <c r="FX135" s="19">
        <v>35.411113103752676</v>
      </c>
      <c r="FY135" s="19">
        <v>35.558830204927624</v>
      </c>
      <c r="FZ135" s="19">
        <v>35.706209471793478</v>
      </c>
      <c r="GA135" s="19">
        <v>35.85325167698943</v>
      </c>
      <c r="GB135" s="19">
        <v>35.999957591387599</v>
      </c>
      <c r="GC135" s="19">
        <v>36.146327984097105</v>
      </c>
      <c r="GD135" s="19">
        <v>36.292363622468095</v>
      </c>
      <c r="GE135" s="19">
        <v>36.438065272095741</v>
      </c>
      <c r="GF135" s="19">
        <v>36.583433696824279</v>
      </c>
      <c r="GG135" s="19">
        <v>36.72846965875101</v>
      </c>
      <c r="GH135" s="19">
        <v>36.873173918230286</v>
      </c>
      <c r="GI135" s="19">
        <v>37.017547233877501</v>
      </c>
      <c r="GJ135" s="19">
        <v>37.161590362573065</v>
      </c>
      <c r="GK135" s="19">
        <v>37.305304059466387</v>
      </c>
      <c r="GL135" s="19">
        <v>37.448689077979814</v>
      </c>
      <c r="GM135" s="19">
        <v>37.591746169812595</v>
      </c>
      <c r="GN135" s="19">
        <v>37.734476084944809</v>
      </c>
      <c r="GO135" s="19">
        <v>37.876879571641304</v>
      </c>
      <c r="GP135" s="19">
        <v>38.018957376455624</v>
      </c>
      <c r="GQ135" s="19">
        <v>38.160710244233918</v>
      </c>
      <c r="GR135" s="19">
        <v>38.302138918118835</v>
      </c>
      <c r="GS135" s="19">
        <v>38.44324413955345</v>
      </c>
      <c r="GT135" s="19">
        <v>38.584026648285111</v>
      </c>
    </row>
    <row r="136" spans="1:202" s="19" customFormat="1" x14ac:dyDescent="0.4">
      <c r="A136" s="7"/>
      <c r="B136" s="21">
        <f t="shared" si="152"/>
        <v>6</v>
      </c>
      <c r="C136" s="19">
        <v>0.38350480096061013</v>
      </c>
      <c r="D136" s="19">
        <v>0.76553884259762195</v>
      </c>
      <c r="E136" s="19">
        <v>1.1461077653436518</v>
      </c>
      <c r="F136" s="19">
        <v>1.5252171879999867</v>
      </c>
      <c r="G136" s="19">
        <v>2.2649961893042847</v>
      </c>
      <c r="H136" s="19">
        <v>2.9992176970539575</v>
      </c>
      <c r="I136" s="19">
        <v>3.7279234611966996</v>
      </c>
      <c r="J136" s="19">
        <v>4.4511549180391521</v>
      </c>
      <c r="K136" s="19">
        <v>5.2233023841740573</v>
      </c>
      <c r="L136" s="19">
        <v>5.9892099872426208</v>
      </c>
      <c r="M136" s="19">
        <v>6.7489281527047371</v>
      </c>
      <c r="N136" s="19">
        <v>7.5025068985230572</v>
      </c>
      <c r="O136" s="19">
        <v>8.1810077975730149</v>
      </c>
      <c r="P136" s="19">
        <v>8.8545316593587682</v>
      </c>
      <c r="Q136" s="19">
        <v>9.5231149921590283</v>
      </c>
      <c r="R136" s="19">
        <v>10.186794036451738</v>
      </c>
      <c r="S136" s="19">
        <v>10.751880933086996</v>
      </c>
      <c r="T136" s="19">
        <v>11.313412414933048</v>
      </c>
      <c r="U136" s="19">
        <v>11.871410851955288</v>
      </c>
      <c r="V136" s="19">
        <v>12.425898473371722</v>
      </c>
      <c r="W136" s="19">
        <v>12.891655644299203</v>
      </c>
      <c r="X136" s="19">
        <v>13.354935715964587</v>
      </c>
      <c r="Y136" s="19">
        <v>13.815751862659409</v>
      </c>
      <c r="Z136" s="19">
        <v>14.274117188608592</v>
      </c>
      <c r="AA136" s="19">
        <v>14.660275147670724</v>
      </c>
      <c r="AB136" s="19">
        <v>15.044693632440417</v>
      </c>
      <c r="AC136" s="19">
        <v>15.427380478495687</v>
      </c>
      <c r="AD136" s="19">
        <v>15.808343486118662</v>
      </c>
      <c r="AE136" s="19">
        <v>16.132353761197113</v>
      </c>
      <c r="AF136" s="19">
        <v>16.45511708779274</v>
      </c>
      <c r="AG136" s="19">
        <v>16.776638264767303</v>
      </c>
      <c r="AH136" s="19">
        <v>17.096922072514218</v>
      </c>
      <c r="AI136" s="19">
        <v>17.372644258460451</v>
      </c>
      <c r="AJ136" s="19">
        <v>17.647449437152872</v>
      </c>
      <c r="AK136" s="19">
        <v>17.92134065840882</v>
      </c>
      <c r="AL136" s="19">
        <v>18.194320961902434</v>
      </c>
      <c r="AM136" s="19">
        <v>18.43243213431656</v>
      </c>
      <c r="AN136" s="19">
        <v>18.669850238338672</v>
      </c>
      <c r="AO136" s="19">
        <v>18.90657729127771</v>
      </c>
      <c r="AP136" s="19">
        <v>19.142615304570842</v>
      </c>
      <c r="AQ136" s="19">
        <v>19.377966283800564</v>
      </c>
      <c r="AR136" s="19">
        <v>19.612632228711739</v>
      </c>
      <c r="AS136" s="19">
        <v>19.846615133228585</v>
      </c>
      <c r="AT136" s="19">
        <v>20.079916985471623</v>
      </c>
      <c r="AU136" s="19">
        <v>20.312539767774563</v>
      </c>
      <c r="AV136" s="19">
        <v>20.544485456701157</v>
      </c>
      <c r="AW136" s="19">
        <v>20.77575602306198</v>
      </c>
      <c r="AX136" s="19">
        <v>21.006353431931188</v>
      </c>
      <c r="AY136" s="19">
        <v>21.236279642663213</v>
      </c>
      <c r="AZ136" s="19">
        <v>21.465536608909403</v>
      </c>
      <c r="BA136" s="19">
        <v>21.694126278634631</v>
      </c>
      <c r="BB136" s="19">
        <v>21.922050594133847</v>
      </c>
      <c r="BC136" s="19">
        <v>22.149311492048568</v>
      </c>
      <c r="BD136" s="19">
        <v>22.375910903383353</v>
      </c>
      <c r="BE136" s="19">
        <v>22.601850753522196</v>
      </c>
      <c r="BF136" s="19">
        <v>22.827132962244889</v>
      </c>
      <c r="BG136" s="19">
        <v>23.05175944374334</v>
      </c>
      <c r="BH136" s="19">
        <v>23.275732106637829</v>
      </c>
      <c r="BI136" s="19">
        <v>23.499052853993231</v>
      </c>
      <c r="BJ136" s="19">
        <v>23.721723583335184</v>
      </c>
      <c r="BK136" s="19">
        <v>23.94374618666621</v>
      </c>
      <c r="BL136" s="19">
        <v>24.165122550481801</v>
      </c>
      <c r="BM136" s="19">
        <v>24.385854555786434</v>
      </c>
      <c r="BN136" s="19">
        <v>24.605944078109562</v>
      </c>
      <c r="BO136" s="19">
        <v>24.82539298752155</v>
      </c>
      <c r="BP136" s="19">
        <v>25.044203148649562</v>
      </c>
      <c r="BQ136" s="19">
        <v>25.262376420693403</v>
      </c>
      <c r="BR136" s="19">
        <v>25.479914657441327</v>
      </c>
      <c r="BS136" s="19">
        <v>25.696819707285773</v>
      </c>
      <c r="BT136" s="19">
        <v>25.913093413239082</v>
      </c>
      <c r="BU136" s="19">
        <v>26.128737612949152</v>
      </c>
      <c r="BV136" s="19">
        <v>26.343754138715052</v>
      </c>
      <c r="BW136" s="19">
        <v>26.558144817502598</v>
      </c>
      <c r="BX136" s="19">
        <v>26.771911470959857</v>
      </c>
      <c r="BY136" s="19">
        <v>26.985055915432653</v>
      </c>
      <c r="BZ136" s="19">
        <v>27.197579961979979</v>
      </c>
      <c r="CA136" s="19">
        <v>27.409485416389391</v>
      </c>
      <c r="CB136" s="19">
        <v>27.620774079192355</v>
      </c>
      <c r="CC136" s="19">
        <v>27.831447745679547</v>
      </c>
      <c r="CD136" s="19">
        <v>28.041508205916099</v>
      </c>
      <c r="CE136" s="19">
        <v>28.250957244756815</v>
      </c>
      <c r="CF136" s="19">
        <v>28.459796641861335</v>
      </c>
      <c r="CG136" s="19">
        <v>28.66802817170926</v>
      </c>
      <c r="CH136" s="19">
        <v>28.875653603615223</v>
      </c>
      <c r="CI136" s="19">
        <v>29.082674701743933</v>
      </c>
      <c r="CJ136" s="19">
        <v>29.289093225125146</v>
      </c>
      <c r="CK136" s="19">
        <v>29.494910927668638</v>
      </c>
      <c r="CL136" s="19">
        <v>29.700129558179082</v>
      </c>
      <c r="CM136" s="19">
        <v>29.904750860370921</v>
      </c>
      <c r="CN136" s="19">
        <v>30.108776572883183</v>
      </c>
      <c r="CO136" s="19">
        <v>30.312208429294255</v>
      </c>
      <c r="CP136" s="19">
        <v>30.515048158136604</v>
      </c>
      <c r="CQ136" s="19">
        <v>30.717297482911476</v>
      </c>
      <c r="CR136" s="19">
        <v>30.918958122103533</v>
      </c>
      <c r="CS136" s="19">
        <v>31.120031789195458</v>
      </c>
      <c r="CT136" s="19">
        <v>31.320520192682512</v>
      </c>
      <c r="CU136" s="19">
        <v>31.520425036087047</v>
      </c>
      <c r="CV136" s="19">
        <v>31.719748017972996</v>
      </c>
      <c r="CW136" s="19">
        <v>31.918490831960284</v>
      </c>
      <c r="CX136" s="19">
        <v>32.116655166739235</v>
      </c>
      <c r="CY136" s="19">
        <v>32.314242706084912</v>
      </c>
      <c r="CZ136" s="19">
        <v>32.511255128871433</v>
      </c>
      <c r="DA136" s="19">
        <v>32.707694109086219</v>
      </c>
      <c r="DB136" s="19">
        <v>32.903561315844243</v>
      </c>
      <c r="DC136" s="19">
        <v>33.098858413402183</v>
      </c>
      <c r="DD136" s="19">
        <v>33.293587061172587</v>
      </c>
      <c r="DE136" s="19">
        <v>33.48774891373796</v>
      </c>
      <c r="DF136" s="19">
        <v>33.681345620864818</v>
      </c>
      <c r="DG136" s="19">
        <v>33.874378827517731</v>
      </c>
      <c r="DH136" s="19">
        <v>34.066850173873277</v>
      </c>
      <c r="DI136" s="19">
        <v>34.258761295333976</v>
      </c>
      <c r="DJ136" s="19">
        <v>34.4501138225422</v>
      </c>
      <c r="DK136" s="19">
        <v>34.640909381394025</v>
      </c>
      <c r="DL136" s="19">
        <v>34.831149593053041</v>
      </c>
      <c r="DM136" s="19">
        <v>35.020836073964134</v>
      </c>
      <c r="DN136" s="19">
        <v>35.209970435867206</v>
      </c>
      <c r="DO136" s="19">
        <v>35.398554285810889</v>
      </c>
      <c r="DP136" s="19">
        <v>35.586589226166183</v>
      </c>
      <c r="DQ136" s="19">
        <v>35.774076854640086</v>
      </c>
      <c r="DR136" s="19">
        <v>35.961018764289157</v>
      </c>
      <c r="DS136" s="19">
        <v>36.147416543533069</v>
      </c>
      <c r="DT136" s="19">
        <v>36.333271776168075</v>
      </c>
      <c r="DU136" s="19">
        <v>36.518586041380495</v>
      </c>
      <c r="DV136" s="19">
        <v>36.703360913760122</v>
      </c>
      <c r="DW136" s="19">
        <v>36.887597963313603</v>
      </c>
      <c r="DX136" s="19">
        <v>37.071298755477784</v>
      </c>
      <c r="DY136" s="19">
        <v>37.254464851132994</v>
      </c>
      <c r="DZ136" s="19">
        <v>37.437097806616322</v>
      </c>
      <c r="EA136" s="19">
        <v>37.619199173734849</v>
      </c>
      <c r="EB136" s="19">
        <v>37.800770499778807</v>
      </c>
      <c r="EC136" s="19">
        <v>37.981813327534759</v>
      </c>
      <c r="ED136" s="19">
        <v>38.162329195298675</v>
      </c>
      <c r="EE136" s="19">
        <v>38.34231963688903</v>
      </c>
      <c r="EF136" s="19">
        <v>38.52178618165982</v>
      </c>
      <c r="EG136" s="19">
        <v>38.700730354513567</v>
      </c>
      <c r="EH136" s="19">
        <v>38.87915367591426</v>
      </c>
      <c r="EI136" s="19">
        <v>39.057057661900295</v>
      </c>
      <c r="EJ136" s="19">
        <v>39.23444382409734</v>
      </c>
      <c r="EK136" s="19">
        <v>39.411313669731193</v>
      </c>
      <c r="EL136" s="19">
        <v>39.587668701640574</v>
      </c>
      <c r="EM136" s="19">
        <v>39.763510418289904</v>
      </c>
      <c r="EN136" s="19">
        <v>39.93884031378203</v>
      </c>
      <c r="EO136" s="19">
        <v>40.113659877870937</v>
      </c>
      <c r="EP136" s="19">
        <v>40.287970595974386</v>
      </c>
      <c r="EQ136" s="19">
        <v>40.461773949186551</v>
      </c>
      <c r="ER136" s="19">
        <v>40.635071414290586</v>
      </c>
      <c r="ES136" s="19">
        <v>40.807864463771189</v>
      </c>
      <c r="ET136" s="19">
        <v>40.980154565827107</v>
      </c>
      <c r="EU136" s="19">
        <v>41.151943184383612</v>
      </c>
      <c r="EV136" s="19">
        <v>41.323231779104937</v>
      </c>
      <c r="EW136" s="19">
        <v>41.494021805406689</v>
      </c>
      <c r="EX136" s="19">
        <v>41.664314714468198</v>
      </c>
      <c r="EY136" s="19">
        <v>41.834111953244864</v>
      </c>
      <c r="EZ136" s="19">
        <v>42.003414964480449</v>
      </c>
      <c r="FA136" s="19">
        <v>42.172225186719324</v>
      </c>
      <c r="FB136" s="19">
        <v>42.340544054318698</v>
      </c>
      <c r="FC136" s="19">
        <v>42.50837299746081</v>
      </c>
      <c r="FD136" s="19">
        <v>42.675713442165083</v>
      </c>
      <c r="FE136" s="19">
        <v>42.842566810300234</v>
      </c>
      <c r="FF136" s="19">
        <v>43.008934519596352</v>
      </c>
      <c r="FG136" s="19">
        <v>43.174817983656951</v>
      </c>
      <c r="FH136" s="19">
        <v>43.340218611970982</v>
      </c>
      <c r="FI136" s="19">
        <v>43.505137809924811</v>
      </c>
      <c r="FJ136" s="19">
        <v>43.669576978814156</v>
      </c>
      <c r="FK136" s="19">
        <v>43.833537515855987</v>
      </c>
      <c r="FL136" s="19">
        <v>43.997020814200411</v>
      </c>
      <c r="FM136" s="19">
        <v>44.160028262942504</v>
      </c>
      <c r="FN136" s="19">
        <v>44.322561247134104</v>
      </c>
      <c r="FO136" s="19">
        <v>44.4846211477956</v>
      </c>
      <c r="FP136" s="19">
        <v>44.646209341927658</v>
      </c>
      <c r="FQ136" s="19">
        <v>44.807327202522906</v>
      </c>
      <c r="FR136" s="19">
        <v>44.967976098577616</v>
      </c>
      <c r="FS136" s="19">
        <v>45.128157395103344</v>
      </c>
      <c r="FT136" s="19">
        <v>45.287872453138505</v>
      </c>
      <c r="FU136" s="19">
        <v>45.447122629759953</v>
      </c>
      <c r="FV136" s="19">
        <v>45.605909278094508</v>
      </c>
      <c r="FW136" s="19">
        <v>45.764233747330458</v>
      </c>
      <c r="FX136" s="19">
        <v>45.922097382729014</v>
      </c>
      <c r="FY136" s="19">
        <v>46.079501525635749</v>
      </c>
      <c r="FZ136" s="19">
        <v>46.236447513491989</v>
      </c>
      <c r="GA136" s="19">
        <v>46.392936679846187</v>
      </c>
      <c r="GB136" s="19">
        <v>46.548970354365231</v>
      </c>
      <c r="GC136" s="19">
        <v>46.704549862845774</v>
      </c>
      <c r="GD136" s="19">
        <v>46.859676527225474</v>
      </c>
      <c r="GE136" s="19">
        <v>47.014351665594234</v>
      </c>
      <c r="GF136" s="19">
        <v>47.168576592205412</v>
      </c>
      <c r="GG136" s="19">
        <v>47.322352617486963</v>
      </c>
      <c r="GH136" s="19">
        <v>47.475681048052607</v>
      </c>
      <c r="GI136" s="19">
        <v>47.628563186712896</v>
      </c>
      <c r="GJ136" s="19">
        <v>47.781000332486315</v>
      </c>
      <c r="GK136" s="19">
        <v>47.932993780610303</v>
      </c>
      <c r="GL136" s="19">
        <v>48.084544822552253</v>
      </c>
      <c r="GM136" s="19">
        <v>48.235654746020501</v>
      </c>
      <c r="GN136" s="19">
        <v>48.386324834975262</v>
      </c>
      <c r="GO136" s="19">
        <v>48.536556369639527</v>
      </c>
      <c r="GP136" s="19">
        <v>48.686350626509963</v>
      </c>
      <c r="GQ136" s="19">
        <v>48.835708878367747</v>
      </c>
      <c r="GR136" s="19">
        <v>48.98463239428937</v>
      </c>
      <c r="GS136" s="19">
        <v>49.133122439657448</v>
      </c>
      <c r="GT136" s="19">
        <v>49.28118027617144</v>
      </c>
    </row>
    <row r="137" spans="1:202" s="19" customFormat="1" x14ac:dyDescent="0.4">
      <c r="A137" s="7"/>
      <c r="B137" s="21">
        <f t="shared" si="152"/>
        <v>7</v>
      </c>
      <c r="C137" s="19">
        <v>1.3716016358376715</v>
      </c>
      <c r="D137" s="19">
        <v>2.7243903612010172</v>
      </c>
      <c r="E137" s="19">
        <v>4.0586242142778515</v>
      </c>
      <c r="F137" s="19">
        <v>5.374557693999984</v>
      </c>
      <c r="G137" s="19">
        <v>7.2822355079327039</v>
      </c>
      <c r="H137" s="19">
        <v>9.1514539545633138</v>
      </c>
      <c r="I137" s="19">
        <v>10.982988386481477</v>
      </c>
      <c r="J137" s="19">
        <v>12.777598524931872</v>
      </c>
      <c r="K137" s="19">
        <v>14.253582631642807</v>
      </c>
      <c r="L137" s="19">
        <v>15.704590023124387</v>
      </c>
      <c r="M137" s="19">
        <v>17.131043357249965</v>
      </c>
      <c r="N137" s="19">
        <v>18.533358139644243</v>
      </c>
      <c r="O137" s="19">
        <v>19.596263964871405</v>
      </c>
      <c r="P137" s="19">
        <v>20.64530192016429</v>
      </c>
      <c r="Q137" s="19">
        <v>21.680652941417637</v>
      </c>
      <c r="R137" s="19">
        <v>22.702495603832144</v>
      </c>
      <c r="S137" s="19">
        <v>23.478733480512563</v>
      </c>
      <c r="T137" s="19">
        <v>24.247176212370388</v>
      </c>
      <c r="U137" s="19">
        <v>25.007902079897502</v>
      </c>
      <c r="V137" s="19">
        <v>25.760988577476542</v>
      </c>
      <c r="W137" s="19">
        <v>26.345467474574246</v>
      </c>
      <c r="X137" s="19">
        <v>26.925344807418778</v>
      </c>
      <c r="Y137" s="19">
        <v>27.500656803825517</v>
      </c>
      <c r="Z137" s="19">
        <v>28.071439406390613</v>
      </c>
      <c r="AA137" s="19">
        <v>28.525159514363047</v>
      </c>
      <c r="AB137" s="19">
        <v>28.976017589025211</v>
      </c>
      <c r="AC137" s="19">
        <v>29.424031683874244</v>
      </c>
      <c r="AD137" s="19">
        <v>29.869219738527136</v>
      </c>
      <c r="AE137" s="19">
        <v>30.231099978419405</v>
      </c>
      <c r="AF137" s="19">
        <v>30.591112888338497</v>
      </c>
      <c r="AG137" s="19">
        <v>30.949268103851221</v>
      </c>
      <c r="AH137" s="19">
        <v>31.305575210804122</v>
      </c>
      <c r="AI137" s="19">
        <v>31.601130079272821</v>
      </c>
      <c r="AJ137" s="19">
        <v>31.895413335372051</v>
      </c>
      <c r="AK137" s="19">
        <v>32.188430450160453</v>
      </c>
      <c r="AL137" s="19">
        <v>32.480186871157677</v>
      </c>
      <c r="AM137" s="19">
        <v>32.72671514658564</v>
      </c>
      <c r="AN137" s="19">
        <v>32.972343298216316</v>
      </c>
      <c r="AO137" s="19">
        <v>33.217074612580831</v>
      </c>
      <c r="AP137" s="19">
        <v>33.460912364210536</v>
      </c>
      <c r="AQ137" s="19">
        <v>33.703859815680808</v>
      </c>
      <c r="AR137" s="19">
        <v>33.945920217654717</v>
      </c>
      <c r="AS137" s="19">
        <v>34.187096808926512</v>
      </c>
      <c r="AT137" s="19">
        <v>34.427392816464959</v>
      </c>
      <c r="AU137" s="19">
        <v>34.666811455456525</v>
      </c>
      <c r="AV137" s="19">
        <v>34.905355929348381</v>
      </c>
      <c r="AW137" s="19">
        <v>35.143029429891286</v>
      </c>
      <c r="AX137" s="19">
        <v>35.379835137182276</v>
      </c>
      <c r="AY137" s="19">
        <v>35.615776219707222</v>
      </c>
      <c r="AZ137" s="19">
        <v>35.850855834383218</v>
      </c>
      <c r="BA137" s="19">
        <v>36.085077126600829</v>
      </c>
      <c r="BB137" s="19">
        <v>36.318443230266176</v>
      </c>
      <c r="BC137" s="19">
        <v>36.550957267842861</v>
      </c>
      <c r="BD137" s="19">
        <v>36.782622350393751</v>
      </c>
      <c r="BE137" s="19">
        <v>37.013441577622601</v>
      </c>
      <c r="BF137" s="19">
        <v>37.243418037915532</v>
      </c>
      <c r="BG137" s="19">
        <v>37.472554808382355</v>
      </c>
      <c r="BH137" s="19">
        <v>37.700854954897736</v>
      </c>
      <c r="BI137" s="19">
        <v>37.928321532142228</v>
      </c>
      <c r="BJ137" s="19">
        <v>38.154957583643132</v>
      </c>
      <c r="BK137" s="19">
        <v>38.380766141815236</v>
      </c>
      <c r="BL137" s="19">
        <v>38.605750228001362</v>
      </c>
      <c r="BM137" s="19">
        <v>38.82991285251282</v>
      </c>
      <c r="BN137" s="19">
        <v>39.053257014669668</v>
      </c>
      <c r="BO137" s="19">
        <v>39.275785702840849</v>
      </c>
      <c r="BP137" s="19">
        <v>39.497501894484188</v>
      </c>
      <c r="BQ137" s="19">
        <v>39.718408556186205</v>
      </c>
      <c r="BR137" s="19">
        <v>39.938508643701823</v>
      </c>
      <c r="BS137" s="19">
        <v>40.157805101993922</v>
      </c>
      <c r="BT137" s="19">
        <v>40.376300865272739</v>
      </c>
      <c r="BU137" s="19">
        <v>40.593998857035118</v>
      </c>
      <c r="BV137" s="19">
        <v>40.810901990103638</v>
      </c>
      <c r="BW137" s="19">
        <v>41.027013166665576</v>
      </c>
      <c r="BX137" s="19">
        <v>41.242335278311756</v>
      </c>
      <c r="BY137" s="19">
        <v>41.456871206075228</v>
      </c>
      <c r="BZ137" s="19">
        <v>41.670623820469807</v>
      </c>
      <c r="CA137" s="19">
        <v>41.883595981528494</v>
      </c>
      <c r="CB137" s="19">
        <v>42.095790538841747</v>
      </c>
      <c r="CC137" s="19">
        <v>42.307210331595599</v>
      </c>
      <c r="CD137" s="19">
        <v>42.517858188609651</v>
      </c>
      <c r="CE137" s="19">
        <v>42.727736928374917</v>
      </c>
      <c r="CF137" s="19">
        <v>42.936849359091539</v>
      </c>
      <c r="CG137" s="19">
        <v>43.145198278706367</v>
      </c>
      <c r="CH137" s="19">
        <v>43.352786474950378</v>
      </c>
      <c r="CI137" s="19">
        <v>43.559616725376003</v>
      </c>
      <c r="CJ137" s="19">
        <v>43.765691797394268</v>
      </c>
      <c r="CK137" s="19">
        <v>43.971014448311841</v>
      </c>
      <c r="CL137" s="19">
        <v>44.175587425367901</v>
      </c>
      <c r="CM137" s="19">
        <v>44.379413465770909</v>
      </c>
      <c r="CN137" s="19">
        <v>44.582495296735246</v>
      </c>
      <c r="CO137" s="19">
        <v>44.78483563551768</v>
      </c>
      <c r="CP137" s="19">
        <v>44.986437189453746</v>
      </c>
      <c r="CQ137" s="19">
        <v>45.187302655993939</v>
      </c>
      <c r="CR137" s="19">
        <v>45.387434722739847</v>
      </c>
      <c r="CS137" s="19">
        <v>45.586836067480071</v>
      </c>
      <c r="CT137" s="19">
        <v>45.785509358226086</v>
      </c>
      <c r="CU137" s="19">
        <v>45.98345725324792</v>
      </c>
      <c r="CV137" s="19">
        <v>46.180682401109728</v>
      </c>
      <c r="CW137" s="19">
        <v>46.377187440705228</v>
      </c>
      <c r="CX137" s="19">
        <v>46.572975001293024</v>
      </c>
      <c r="CY137" s="19">
        <v>46.76804770253176</v>
      </c>
      <c r="CZ137" s="19">
        <v>46.962408154515188</v>
      </c>
      <c r="DA137" s="19">
        <v>47.15605895780709</v>
      </c>
      <c r="DB137" s="19">
        <v>47.349002703476074</v>
      </c>
      <c r="DC137" s="19">
        <v>47.541241973130241</v>
      </c>
      <c r="DD137" s="19">
        <v>47.732779338951723</v>
      </c>
      <c r="DE137" s="19">
        <v>47.923617363731097</v>
      </c>
      <c r="DF137" s="19">
        <v>48.113758600901697</v>
      </c>
      <c r="DG137" s="19">
        <v>48.303205594573761</v>
      </c>
      <c r="DH137" s="19">
        <v>48.49196087956846</v>
      </c>
      <c r="DI137" s="19">
        <v>48.680026981451846</v>
      </c>
      <c r="DJ137" s="19">
        <v>48.867406416568613</v>
      </c>
      <c r="DK137" s="19">
        <v>49.05410169207579</v>
      </c>
      <c r="DL137" s="19">
        <v>49.240115305976268</v>
      </c>
      <c r="DM137" s="19">
        <v>49.425449747152236</v>
      </c>
      <c r="DN137" s="19">
        <v>49.610107495398481</v>
      </c>
      <c r="DO137" s="19">
        <v>49.794091021455564</v>
      </c>
      <c r="DP137" s="19">
        <v>49.977402787042884</v>
      </c>
      <c r="DQ137" s="19">
        <v>50.160045244891599</v>
      </c>
      <c r="DR137" s="19">
        <v>50.342020838777479</v>
      </c>
      <c r="DS137" s="19">
        <v>50.523332003553563</v>
      </c>
      <c r="DT137" s="19">
        <v>50.703981165182768</v>
      </c>
      <c r="DU137" s="19">
        <v>50.88397074077033</v>
      </c>
      <c r="DV137" s="19">
        <v>51.063303138596162</v>
      </c>
      <c r="DW137" s="19">
        <v>51.241980758147058</v>
      </c>
      <c r="DX137" s="19">
        <v>51.420005990148816</v>
      </c>
      <c r="DY137" s="19">
        <v>51.597381216598215</v>
      </c>
      <c r="DZ137" s="19">
        <v>51.774108810794885</v>
      </c>
      <c r="EA137" s="19">
        <v>51.950191137373075</v>
      </c>
      <c r="EB137" s="19">
        <v>52.125630552333284</v>
      </c>
      <c r="EC137" s="19">
        <v>52.300429403073778</v>
      </c>
      <c r="ED137" s="19">
        <v>52.474590028422007</v>
      </c>
      <c r="EE137" s="19">
        <v>52.648114758665891</v>
      </c>
      <c r="EF137" s="19">
        <v>52.821005915585019</v>
      </c>
      <c r="EG137" s="19">
        <v>52.993265812481688</v>
      </c>
      <c r="EH137" s="19">
        <v>53.164896754211874</v>
      </c>
      <c r="EI137" s="19">
        <v>53.335901037216068</v>
      </c>
      <c r="EJ137" s="19">
        <v>53.506280949549989</v>
      </c>
      <c r="EK137" s="19">
        <v>53.67603877091522</v>
      </c>
      <c r="EL137" s="19">
        <v>53.84517677268969</v>
      </c>
      <c r="EM137" s="19">
        <v>54.013697217958082</v>
      </c>
      <c r="EN137" s="19">
        <v>54.181602361542112</v>
      </c>
      <c r="EO137" s="19">
        <v>54.348894450030677</v>
      </c>
      <c r="EP137" s="19">
        <v>54.515575721809945</v>
      </c>
      <c r="EQ137" s="19">
        <v>54.681648407093284</v>
      </c>
      <c r="ER137" s="19">
        <v>54.847114727951109</v>
      </c>
      <c r="ES137" s="19">
        <v>55.011976898340613</v>
      </c>
      <c r="ET137" s="19">
        <v>55.176237124135397</v>
      </c>
      <c r="EU137" s="19">
        <v>55.339897603154974</v>
      </c>
      <c r="EV137" s="19">
        <v>55.502960525194183</v>
      </c>
      <c r="EW137" s="19">
        <v>55.665428072052485</v>
      </c>
      <c r="EX137" s="19">
        <v>55.827302417563153</v>
      </c>
      <c r="EY137" s="19">
        <v>55.988585727622365</v>
      </c>
      <c r="EZ137" s="19">
        <v>56.149280160218183</v>
      </c>
      <c r="FA137" s="19">
        <v>56.309387865459421</v>
      </c>
      <c r="FB137" s="19">
        <v>56.468910985604424</v>
      </c>
      <c r="FC137" s="19">
        <v>56.627851655089714</v>
      </c>
      <c r="FD137" s="19">
        <v>56.786212000558578</v>
      </c>
      <c r="FE137" s="19">
        <v>56.943994140889487</v>
      </c>
      <c r="FF137" s="19">
        <v>57.101200187224478</v>
      </c>
      <c r="FG137" s="19">
        <v>57.257832242997381</v>
      </c>
      <c r="FH137" s="19">
        <v>57.413892403961974</v>
      </c>
      <c r="FI137" s="19">
        <v>57.569382758220023</v>
      </c>
      <c r="FJ137" s="19">
        <v>57.724305386249213</v>
      </c>
      <c r="FK137" s="19">
        <v>57.878662360930996</v>
      </c>
      <c r="FL137" s="19">
        <v>58.032455747578311</v>
      </c>
      <c r="FM137" s="19">
        <v>58.185687603963245</v>
      </c>
      <c r="FN137" s="19">
        <v>58.338359980344535</v>
      </c>
      <c r="FO137" s="19">
        <v>58.490474919495021</v>
      </c>
      <c r="FP137" s="19">
        <v>58.642034456728979</v>
      </c>
      <c r="FQ137" s="19">
        <v>58.793040619929336</v>
      </c>
      <c r="FR137" s="19">
        <v>58.943495429574824</v>
      </c>
      <c r="FS137" s="19">
        <v>59.093400898767001</v>
      </c>
      <c r="FT137" s="19">
        <v>59.242759033257187</v>
      </c>
      <c r="FU137" s="19">
        <v>59.391571831473314</v>
      </c>
      <c r="FV137" s="19">
        <v>59.539841284546647</v>
      </c>
      <c r="FW137" s="19">
        <v>59.687569376338438</v>
      </c>
      <c r="FX137" s="19">
        <v>59.834758083466468</v>
      </c>
      <c r="FY137" s="19">
        <v>59.981409375331495</v>
      </c>
      <c r="FZ137" s="19">
        <v>60.127525214143596</v>
      </c>
      <c r="GA137" s="19">
        <v>60.273107554948432</v>
      </c>
      <c r="GB137" s="19">
        <v>60.418158345653403</v>
      </c>
      <c r="GC137" s="19">
        <v>60.562679527053717</v>
      </c>
      <c r="GD137" s="19">
        <v>60.706673032858347</v>
      </c>
      <c r="GE137" s="19">
        <v>60.850140789715908</v>
      </c>
      <c r="GF137" s="19">
        <v>60.993084717240436</v>
      </c>
      <c r="GG137" s="19">
        <v>61.135506728037079</v>
      </c>
      <c r="GH137" s="19">
        <v>61.277408727727682</v>
      </c>
      <c r="GI137" s="19">
        <v>61.41879261497629</v>
      </c>
      <c r="GJ137" s="19">
        <v>61.559660281514539</v>
      </c>
      <c r="GK137" s="19">
        <v>61.700013612166977</v>
      </c>
      <c r="GL137" s="19">
        <v>61.839854484876291</v>
      </c>
      <c r="GM137" s="19">
        <v>61.979184770728416</v>
      </c>
      <c r="GN137" s="19">
        <v>62.118006333977583</v>
      </c>
      <c r="GO137" s="19">
        <v>62.256321032071263</v>
      </c>
      <c r="GP137" s="19">
        <v>62.394130715675011</v>
      </c>
      <c r="GQ137" s="19">
        <v>62.531437228697243</v>
      </c>
      <c r="GR137" s="19">
        <v>62.668242408313887</v>
      </c>
      <c r="GS137" s="19">
        <v>62.804548084992987</v>
      </c>
      <c r="GT137" s="19">
        <v>62.940356082519173</v>
      </c>
    </row>
    <row r="138" spans="1:202" s="19" customFormat="1" x14ac:dyDescent="0.4">
      <c r="A138" s="7"/>
      <c r="B138" s="21">
        <f t="shared" si="152"/>
        <v>8</v>
      </c>
      <c r="C138" s="19">
        <v>4.6045782464681935</v>
      </c>
      <c r="D138" s="19">
        <v>8.9971350846579057</v>
      </c>
      <c r="E138" s="19">
        <v>13.187433206212583</v>
      </c>
      <c r="F138" s="19">
        <v>17.184785771999991</v>
      </c>
      <c r="G138" s="19">
        <v>21.178211098542448</v>
      </c>
      <c r="H138" s="19">
        <v>24.979069805686137</v>
      </c>
      <c r="I138" s="19">
        <v>28.596647631832177</v>
      </c>
      <c r="J138" s="19">
        <v>32.039782548588441</v>
      </c>
      <c r="K138" s="19">
        <v>34.147613710512914</v>
      </c>
      <c r="L138" s="19">
        <v>36.190069092697478</v>
      </c>
      <c r="M138" s="19">
        <v>38.169176368256473</v>
      </c>
      <c r="N138" s="19">
        <v>40.08690032067944</v>
      </c>
      <c r="O138" s="19">
        <v>41.287800693991898</v>
      </c>
      <c r="P138" s="19">
        <v>42.464630176057845</v>
      </c>
      <c r="Q138" s="19">
        <v>43.617871244706656</v>
      </c>
      <c r="R138" s="19">
        <v>44.747996706964337</v>
      </c>
      <c r="S138" s="19">
        <v>45.517109875289222</v>
      </c>
      <c r="T138" s="19">
        <v>46.275516914778322</v>
      </c>
      <c r="U138" s="19">
        <v>47.023366855768607</v>
      </c>
      <c r="V138" s="19">
        <v>47.760806654080518</v>
      </c>
      <c r="W138" s="19">
        <v>48.297579138057024</v>
      </c>
      <c r="X138" s="19">
        <v>48.828836132970629</v>
      </c>
      <c r="Y138" s="19">
        <v>49.354634312031138</v>
      </c>
      <c r="Z138" s="19">
        <v>49.875029766115098</v>
      </c>
      <c r="AA138" s="19">
        <v>50.271981394709805</v>
      </c>
      <c r="AB138" s="19">
        <v>50.665789468411432</v>
      </c>
      <c r="AC138" s="19">
        <v>51.056478881783086</v>
      </c>
      <c r="AD138" s="19">
        <v>51.444074332241868</v>
      </c>
      <c r="AE138" s="19">
        <v>51.749904823692376</v>
      </c>
      <c r="AF138" s="19">
        <v>52.053809035534073</v>
      </c>
      <c r="AG138" s="19">
        <v>52.355799100478492</v>
      </c>
      <c r="AH138" s="19">
        <v>52.655887074819034</v>
      </c>
      <c r="AI138" s="19">
        <v>52.899007753477179</v>
      </c>
      <c r="AJ138" s="19">
        <v>53.140879962985956</v>
      </c>
      <c r="AK138" s="19">
        <v>53.381510114462777</v>
      </c>
      <c r="AL138" s="19">
        <v>53.620904586102803</v>
      </c>
      <c r="AM138" s="19">
        <v>53.81918452947216</v>
      </c>
      <c r="AN138" s="19">
        <v>54.016616786279464</v>
      </c>
      <c r="AO138" s="19">
        <v>54.213204980554934</v>
      </c>
      <c r="AP138" s="19">
        <v>54.408952720835345</v>
      </c>
      <c r="AQ138" s="19">
        <v>54.603863600230234</v>
      </c>
      <c r="AR138" s="19">
        <v>54.797941196487891</v>
      </c>
      <c r="AS138" s="19">
        <v>54.991189072061012</v>
      </c>
      <c r="AT138" s="19">
        <v>55.183610774172081</v>
      </c>
      <c r="AU138" s="19">
        <v>55.375209834878497</v>
      </c>
      <c r="AV138" s="19">
        <v>55.565989771137417</v>
      </c>
      <c r="AW138" s="19">
        <v>55.755954084870282</v>
      </c>
      <c r="AX138" s="19">
        <v>55.945106263027135</v>
      </c>
      <c r="AY138" s="19">
        <v>56.13344977765059</v>
      </c>
      <c r="AZ138" s="19">
        <v>56.320988085939589</v>
      </c>
      <c r="BA138" s="19">
        <v>56.507724630312858</v>
      </c>
      <c r="BB138" s="19">
        <v>56.693662838472086</v>
      </c>
      <c r="BC138" s="19">
        <v>56.878806123464855</v>
      </c>
      <c r="BD138" s="19">
        <v>57.06315788374728</v>
      </c>
      <c r="BE138" s="19">
        <v>57.246721503246391</v>
      </c>
      <c r="BF138" s="19">
        <v>57.429500351422256</v>
      </c>
      <c r="BG138" s="19">
        <v>57.611497783329817</v>
      </c>
      <c r="BH138" s="19">
        <v>57.792717139680498</v>
      </c>
      <c r="BI138" s="19">
        <v>57.973161746903493</v>
      </c>
      <c r="BJ138" s="19">
        <v>58.152834917206853</v>
      </c>
      <c r="BK138" s="19">
        <v>58.331739948638273</v>
      </c>
      <c r="BL138" s="19">
        <v>58.509880125145635</v>
      </c>
      <c r="BM138" s="19">
        <v>58.687258716637281</v>
      </c>
      <c r="BN138" s="19">
        <v>58.863878979042042</v>
      </c>
      <c r="BO138" s="19">
        <v>59.039744154368996</v>
      </c>
      <c r="BP138" s="19">
        <v>59.214857470766979</v>
      </c>
      <c r="BQ138" s="19">
        <v>59.389222142583847</v>
      </c>
      <c r="BR138" s="19">
        <v>59.562841370425474</v>
      </c>
      <c r="BS138" s="19">
        <v>59.735718341214501</v>
      </c>
      <c r="BT138" s="19">
        <v>59.907856228248825</v>
      </c>
      <c r="BU138" s="19">
        <v>60.079258191259875</v>
      </c>
      <c r="BV138" s="19">
        <v>60.249927376470588</v>
      </c>
      <c r="BW138" s="19">
        <v>60.419866916653156</v>
      </c>
      <c r="BX138" s="19">
        <v>60.589079931186554</v>
      </c>
      <c r="BY138" s="19">
        <v>60.757569526113777</v>
      </c>
      <c r="BZ138" s="19">
        <v>60.925338794198865</v>
      </c>
      <c r="CA138" s="19">
        <v>61.092390814983673</v>
      </c>
      <c r="CB138" s="19">
        <v>61.258728654844397</v>
      </c>
      <c r="CC138" s="19">
        <v>61.424355367047852</v>
      </c>
      <c r="CD138" s="19">
        <v>61.589273991807538</v>
      </c>
      <c r="CE138" s="19">
        <v>61.753487556339415</v>
      </c>
      <c r="CF138" s="19">
        <v>61.916999074917506</v>
      </c>
      <c r="CG138" s="19">
        <v>62.079811548929186</v>
      </c>
      <c r="CH138" s="19">
        <v>62.241927966930312</v>
      </c>
      <c r="CI138" s="19">
        <v>62.403351304700067</v>
      </c>
      <c r="CJ138" s="19">
        <v>62.564084525295563</v>
      </c>
      <c r="CK138" s="19">
        <v>62.724130579106266</v>
      </c>
      <c r="CL138" s="19">
        <v>62.883492403908129</v>
      </c>
      <c r="CM138" s="19">
        <v>63.042172924917516</v>
      </c>
      <c r="CN138" s="19">
        <v>63.200175054844912</v>
      </c>
      <c r="CO138" s="19">
        <v>63.357501693948379</v>
      </c>
      <c r="CP138" s="19">
        <v>63.514155730086792</v>
      </c>
      <c r="CQ138" s="19">
        <v>63.67014003877285</v>
      </c>
      <c r="CR138" s="19">
        <v>63.825457483225854</v>
      </c>
      <c r="CS138" s="19">
        <v>63.98011091442428</v>
      </c>
      <c r="CT138" s="19">
        <v>64.134103171158088</v>
      </c>
      <c r="CU138" s="19">
        <v>64.287437080080835</v>
      </c>
      <c r="CV138" s="19">
        <v>64.440115455761585</v>
      </c>
      <c r="CW138" s="19">
        <v>64.592141100736526</v>
      </c>
      <c r="CX138" s="19">
        <v>64.743516805560475</v>
      </c>
      <c r="CY138" s="19">
        <v>64.89424534885805</v>
      </c>
      <c r="CZ138" s="19">
        <v>65.04432949737469</v>
      </c>
      <c r="DA138" s="19">
        <v>65.193772006027444</v>
      </c>
      <c r="DB138" s="19">
        <v>65.342575617955546</v>
      </c>
      <c r="DC138" s="19">
        <v>65.490743064570736</v>
      </c>
      <c r="DD138" s="19">
        <v>65.63827706560744</v>
      </c>
      <c r="DE138" s="19">
        <v>65.785180329172675</v>
      </c>
      <c r="DF138" s="19">
        <v>65.931455551795736</v>
      </c>
      <c r="DG138" s="19">
        <v>66.077105418477743</v>
      </c>
      <c r="DH138" s="19">
        <v>66.222132602740885</v>
      </c>
      <c r="DI138" s="19">
        <v>66.366539766677491</v>
      </c>
      <c r="DJ138" s="19">
        <v>66.510329560998926</v>
      </c>
      <c r="DK138" s="19">
        <v>66.653504625084238</v>
      </c>
      <c r="DL138" s="19">
        <v>66.796067587028588</v>
      </c>
      <c r="DM138" s="19">
        <v>66.938021063691508</v>
      </c>
      <c r="DN138" s="19">
        <v>67.079367660744921</v>
      </c>
      <c r="DO138" s="19">
        <v>67.220109972720991</v>
      </c>
      <c r="DP138" s="19">
        <v>67.360250583059738</v>
      </c>
      <c r="DQ138" s="19">
        <v>67.499792064156452</v>
      </c>
      <c r="DR138" s="19">
        <v>67.638736977408911</v>
      </c>
      <c r="DS138" s="19">
        <v>67.777087873264406</v>
      </c>
      <c r="DT138" s="19">
        <v>67.914847291266554</v>
      </c>
      <c r="DU138" s="19">
        <v>68.052017760101933</v>
      </c>
      <c r="DV138" s="19">
        <v>68.188601797646442</v>
      </c>
      <c r="DW138" s="19">
        <v>68.324601911011584</v>
      </c>
      <c r="DX138" s="19">
        <v>68.460020596590439</v>
      </c>
      <c r="DY138" s="19">
        <v>68.594860340103523</v>
      </c>
      <c r="DZ138" s="19">
        <v>68.729123616644387</v>
      </c>
      <c r="EA138" s="19">
        <v>68.862812890725053</v>
      </c>
      <c r="EB138" s="19">
        <v>68.995930616321274</v>
      </c>
      <c r="EC138" s="19">
        <v>69.128479236917556</v>
      </c>
      <c r="ED138" s="19">
        <v>69.260461185552018</v>
      </c>
      <c r="EE138" s="19">
        <v>69.391878884861057</v>
      </c>
      <c r="EF138" s="19">
        <v>69.522734747123806</v>
      </c>
      <c r="EG138" s="19">
        <v>69.653031174306435</v>
      </c>
      <c r="EH138" s="19">
        <v>69.782770558106208</v>
      </c>
      <c r="EI138" s="19">
        <v>69.911955279995425</v>
      </c>
      <c r="EJ138" s="19">
        <v>70.04058771126509</v>
      </c>
      <c r="EK138" s="19">
        <v>70.168670213068467</v>
      </c>
      <c r="EL138" s="19">
        <v>70.296205136464422</v>
      </c>
      <c r="EM138" s="19">
        <v>70.423194822460587</v>
      </c>
      <c r="EN138" s="19">
        <v>70.549641602056283</v>
      </c>
      <c r="EO138" s="19">
        <v>70.675547796285372</v>
      </c>
      <c r="EP138" s="19">
        <v>70.800915716258814</v>
      </c>
      <c r="EQ138" s="19">
        <v>70.925747663207105</v>
      </c>
      <c r="ER138" s="19">
        <v>71.050045928522522</v>
      </c>
      <c r="ES138" s="19">
        <v>71.173812793801176</v>
      </c>
      <c r="ET138" s="19">
        <v>71.297050530884917</v>
      </c>
      <c r="EU138" s="19">
        <v>71.419761401902988</v>
      </c>
      <c r="EV138" s="19">
        <v>71.541947659313593</v>
      </c>
      <c r="EW138" s="19">
        <v>71.663611545945216</v>
      </c>
      <c r="EX138" s="19">
        <v>71.784755295037797</v>
      </c>
      <c r="EY138" s="19">
        <v>71.905381130283729</v>
      </c>
      <c r="EZ138" s="19">
        <v>72.025491265868695</v>
      </c>
      <c r="FA138" s="19">
        <v>72.145087906512245</v>
      </c>
      <c r="FB138" s="19">
        <v>72.264173247508353</v>
      </c>
      <c r="FC138" s="19">
        <v>72.382749474765646</v>
      </c>
      <c r="FD138" s="19">
        <v>72.500818764847565</v>
      </c>
      <c r="FE138" s="19">
        <v>72.618383285012314</v>
      </c>
      <c r="FF138" s="19">
        <v>72.735445193252602</v>
      </c>
      <c r="FG138" s="19">
        <v>72.852006638335311</v>
      </c>
      <c r="FH138" s="19">
        <v>72.968069759840901</v>
      </c>
      <c r="FI138" s="19">
        <v>73.083636688202702</v>
      </c>
      <c r="FJ138" s="19">
        <v>73.198709544746023</v>
      </c>
      <c r="FK138" s="19">
        <v>73.313290441727062</v>
      </c>
      <c r="FL138" s="19">
        <v>73.4273814823717</v>
      </c>
      <c r="FM138" s="19">
        <v>73.540984760914128</v>
      </c>
      <c r="FN138" s="19">
        <v>73.654102362635243</v>
      </c>
      <c r="FO138" s="19">
        <v>73.766736363900961</v>
      </c>
      <c r="FP138" s="19">
        <v>73.878888832200303</v>
      </c>
      <c r="FQ138" s="19">
        <v>73.990561826183367</v>
      </c>
      <c r="FR138" s="19">
        <v>74.10175739569911</v>
      </c>
      <c r="FS138" s="19">
        <v>74.212477581832971</v>
      </c>
      <c r="FT138" s="19">
        <v>74.32272441694434</v>
      </c>
      <c r="FU138" s="19">
        <v>74.432499924703862</v>
      </c>
      <c r="FV138" s="19">
        <v>74.541806120130573</v>
      </c>
      <c r="FW138" s="19">
        <v>74.650645009628917</v>
      </c>
      <c r="FX138" s="19">
        <v>74.759018591025551</v>
      </c>
      <c r="FY138" s="19">
        <v>74.866928853606026</v>
      </c>
      <c r="FZ138" s="19">
        <v>74.974377778151279</v>
      </c>
      <c r="GA138" s="19">
        <v>75.081367336974026</v>
      </c>
      <c r="GB138" s="19">
        <v>75.187899493954944</v>
      </c>
      <c r="GC138" s="19">
        <v>75.29397620457874</v>
      </c>
      <c r="GD138" s="19">
        <v>75.399599415970016</v>
      </c>
      <c r="GE138" s="19">
        <v>75.504771066929024</v>
      </c>
      <c r="GF138" s="19">
        <v>75.609493087967266</v>
      </c>
      <c r="GG138" s="19">
        <v>75.713767401342906</v>
      </c>
      <c r="GH138" s="19">
        <v>75.817595921096085</v>
      </c>
      <c r="GI138" s="19">
        <v>75.920980553084036</v>
      </c>
      <c r="GJ138" s="19">
        <v>76.023923195016067</v>
      </c>
      <c r="GK138" s="19">
        <v>76.126425736488386</v>
      </c>
      <c r="GL138" s="19">
        <v>76.22849005901881</v>
      </c>
      <c r="GM138" s="19">
        <v>76.330118036081288</v>
      </c>
      <c r="GN138" s="19">
        <v>76.431311533140288</v>
      </c>
      <c r="GO138" s="19">
        <v>76.53207240768505</v>
      </c>
      <c r="GP138" s="19">
        <v>76.632402509263656</v>
      </c>
      <c r="GQ138" s="19">
        <v>76.732303679517031</v>
      </c>
      <c r="GR138" s="19">
        <v>76.831777752212687</v>
      </c>
      <c r="GS138" s="19">
        <v>76.930826553278422</v>
      </c>
      <c r="GT138" s="19">
        <v>77.029451900835824</v>
      </c>
    </row>
    <row r="139" spans="1:202" s="19" customFormat="1" x14ac:dyDescent="0.4">
      <c r="A139" s="7"/>
      <c r="B139" s="21">
        <f t="shared" si="152"/>
        <v>9</v>
      </c>
      <c r="C139" s="19">
        <v>10.500643456437054</v>
      </c>
      <c r="D139" s="19">
        <v>19.898651782881963</v>
      </c>
      <c r="E139" s="19">
        <v>28.309808762960628</v>
      </c>
      <c r="F139" s="19">
        <v>35.837740138000015</v>
      </c>
      <c r="G139" s="19">
        <v>41.120747988417911</v>
      </c>
      <c r="H139" s="19">
        <v>45.968762245910526</v>
      </c>
      <c r="I139" s="19">
        <v>50.41759951935741</v>
      </c>
      <c r="J139" s="19">
        <v>54.500127340933332</v>
      </c>
      <c r="K139" s="19">
        <v>56.536207724303381</v>
      </c>
      <c r="L139" s="19">
        <v>58.481175252070344</v>
      </c>
      <c r="M139" s="19">
        <v>60.339107146589463</v>
      </c>
      <c r="N139" s="19">
        <v>62.113898178003019</v>
      </c>
      <c r="O139" s="19">
        <v>63.070348666268139</v>
      </c>
      <c r="P139" s="19">
        <v>64.002653161873454</v>
      </c>
      <c r="Q139" s="19">
        <v>64.911421240503941</v>
      </c>
      <c r="R139" s="19">
        <v>65.797247088851407</v>
      </c>
      <c r="S139" s="19">
        <v>66.349713075760732</v>
      </c>
      <c r="T139" s="19">
        <v>66.893255258569127</v>
      </c>
      <c r="U139" s="19">
        <v>67.428017780593137</v>
      </c>
      <c r="V139" s="19">
        <v>67.954142456849013</v>
      </c>
      <c r="W139" s="19">
        <v>68.320315925272681</v>
      </c>
      <c r="X139" s="19">
        <v>68.682305295680038</v>
      </c>
      <c r="Y139" s="19">
        <v>69.040158377859925</v>
      </c>
      <c r="Z139" s="19">
        <v>69.393922435300453</v>
      </c>
      <c r="AA139" s="19">
        <v>69.657454013690284</v>
      </c>
      <c r="AB139" s="19">
        <v>69.918716471097142</v>
      </c>
      <c r="AC139" s="19">
        <v>70.177729345635086</v>
      </c>
      <c r="AD139" s="19">
        <v>70.434512007186541</v>
      </c>
      <c r="AE139" s="19">
        <v>70.634276179781267</v>
      </c>
      <c r="AF139" s="19">
        <v>70.832690612278284</v>
      </c>
      <c r="AG139" s="19">
        <v>71.029764424422666</v>
      </c>
      <c r="AH139" s="19">
        <v>71.225506674340423</v>
      </c>
      <c r="AI139" s="19">
        <v>71.382548248599647</v>
      </c>
      <c r="AJ139" s="19">
        <v>71.538732742396434</v>
      </c>
      <c r="AK139" s="19">
        <v>71.694064833389703</v>
      </c>
      <c r="AL139" s="19">
        <v>71.848549173709259</v>
      </c>
      <c r="AM139" s="19">
        <v>71.975537844891363</v>
      </c>
      <c r="AN139" s="19">
        <v>72.101953681561028</v>
      </c>
      <c r="AO139" s="19">
        <v>72.227799267723384</v>
      </c>
      <c r="AP139" s="19">
        <v>72.35307717572735</v>
      </c>
      <c r="AQ139" s="19">
        <v>72.477789966318227</v>
      </c>
      <c r="AR139" s="19">
        <v>72.601940188689994</v>
      </c>
      <c r="AS139" s="19">
        <v>72.725530380537464</v>
      </c>
      <c r="AT139" s="19">
        <v>72.848563068108135</v>
      </c>
      <c r="AU139" s="19">
        <v>72.971040766253822</v>
      </c>
      <c r="AV139" s="19">
        <v>73.09296597848207</v>
      </c>
      <c r="AW139" s="19">
        <v>73.214341197007329</v>
      </c>
      <c r="AX139" s="19">
        <v>73.335168902801897</v>
      </c>
      <c r="AY139" s="19">
        <v>73.455451565646612</v>
      </c>
      <c r="AZ139" s="19">
        <v>73.575191644181373</v>
      </c>
      <c r="BA139" s="19">
        <v>73.694391585955358</v>
      </c>
      <c r="BB139" s="19">
        <v>73.813053827477077</v>
      </c>
      <c r="BC139" s="19">
        <v>73.931180794264179</v>
      </c>
      <c r="BD139" s="19">
        <v>74.048774900892994</v>
      </c>
      <c r="BE139" s="19">
        <v>74.165838551047941</v>
      </c>
      <c r="BF139" s="19">
        <v>74.282374137570628</v>
      </c>
      <c r="BG139" s="19">
        <v>74.398384042508752</v>
      </c>
      <c r="BH139" s="19">
        <v>74.513870637164828</v>
      </c>
      <c r="BI139" s="19">
        <v>74.628836282144619</v>
      </c>
      <c r="BJ139" s="19">
        <v>74.743283327405436</v>
      </c>
      <c r="BK139" s="19">
        <v>74.857214112304106</v>
      </c>
      <c r="BL139" s="19">
        <v>74.970630965644844</v>
      </c>
      <c r="BM139" s="19">
        <v>75.083536205726858</v>
      </c>
      <c r="BN139" s="19">
        <v>75.195932140391676</v>
      </c>
      <c r="BO139" s="19">
        <v>75.307821067070392</v>
      </c>
      <c r="BP139" s="19">
        <v>75.419205272830581</v>
      </c>
      <c r="BQ139" s="19">
        <v>75.530087034423062</v>
      </c>
      <c r="BR139" s="19">
        <v>75.640468618328441</v>
      </c>
      <c r="BS139" s="19">
        <v>75.750352280803426</v>
      </c>
      <c r="BT139" s="19">
        <v>75.859740267926952</v>
      </c>
      <c r="BU139" s="19">
        <v>75.968634815646098</v>
      </c>
      <c r="BV139" s="19">
        <v>76.077038149821789</v>
      </c>
      <c r="BW139" s="19">
        <v>76.184952486274284</v>
      </c>
      <c r="BX139" s="19">
        <v>76.292380030828483</v>
      </c>
      <c r="BY139" s="19">
        <v>76.399322979358999</v>
      </c>
      <c r="BZ139" s="19">
        <v>76.505783517835056</v>
      </c>
      <c r="CA139" s="19">
        <v>76.611763822365162</v>
      </c>
      <c r="CB139" s="19">
        <v>76.717266059241609</v>
      </c>
      <c r="CC139" s="19">
        <v>76.822292384984721</v>
      </c>
      <c r="CD139" s="19">
        <v>76.926844946386964</v>
      </c>
      <c r="CE139" s="19">
        <v>77.030925880556808</v>
      </c>
      <c r="CF139" s="19">
        <v>77.134537314962429</v>
      </c>
      <c r="CG139" s="19">
        <v>77.237681367475176</v>
      </c>
      <c r="CH139" s="19">
        <v>77.340360146412863</v>
      </c>
      <c r="CI139" s="19">
        <v>77.44257575058289</v>
      </c>
      <c r="CJ139" s="19">
        <v>77.544330269325101</v>
      </c>
      <c r="CK139" s="19">
        <v>77.645625782554546</v>
      </c>
      <c r="CL139" s="19">
        <v>77.746464360803941</v>
      </c>
      <c r="CM139" s="19">
        <v>77.846848065266016</v>
      </c>
      <c r="CN139" s="19">
        <v>77.946778947835654</v>
      </c>
      <c r="CO139" s="19">
        <v>78.046259051151821</v>
      </c>
      <c r="CP139" s="19">
        <v>78.145290408639326</v>
      </c>
      <c r="CQ139" s="19">
        <v>78.243875044550379</v>
      </c>
      <c r="CR139" s="19">
        <v>78.342014974005949</v>
      </c>
      <c r="CS139" s="19">
        <v>78.439712203037004</v>
      </c>
      <c r="CT139" s="19">
        <v>78.536968728625482</v>
      </c>
      <c r="CU139" s="19">
        <v>78.633786538745099</v>
      </c>
      <c r="CV139" s="19">
        <v>78.730167612402013</v>
      </c>
      <c r="CW139" s="19">
        <v>78.826113919675265</v>
      </c>
      <c r="CX139" s="19">
        <v>78.921627421757023</v>
      </c>
      <c r="CY139" s="19">
        <v>79.01671007099273</v>
      </c>
      <c r="CZ139" s="19">
        <v>79.111363810920935</v>
      </c>
      <c r="DA139" s="19">
        <v>79.205590576313085</v>
      </c>
      <c r="DB139" s="19">
        <v>79.299392293213032</v>
      </c>
      <c r="DC139" s="19">
        <v>79.392770878976435</v>
      </c>
      <c r="DD139" s="19">
        <v>79.485728242309904</v>
      </c>
      <c r="DE139" s="19">
        <v>79.578266283310072</v>
      </c>
      <c r="DF139" s="19">
        <v>79.670386893502396</v>
      </c>
      <c r="DG139" s="19">
        <v>79.762091955879839</v>
      </c>
      <c r="DH139" s="19">
        <v>79.853383344941335</v>
      </c>
      <c r="DI139" s="19">
        <v>79.944262926730133</v>
      </c>
      <c r="DJ139" s="19">
        <v>80.034732558871923</v>
      </c>
      <c r="DK139" s="19">
        <v>80.124794090612809</v>
      </c>
      <c r="DL139" s="19">
        <v>80.214449362857124</v>
      </c>
      <c r="DM139" s="19">
        <v>80.303700208205044</v>
      </c>
      <c r="DN139" s="19">
        <v>80.392548450990049</v>
      </c>
      <c r="DO139" s="19">
        <v>80.480995907316199</v>
      </c>
      <c r="DP139" s="19">
        <v>80.569044385095296</v>
      </c>
      <c r="DQ139" s="19">
        <v>80.656695684083786</v>
      </c>
      <c r="DR139" s="19">
        <v>80.743951595919597</v>
      </c>
      <c r="DS139" s="19">
        <v>80.830813904158745</v>
      </c>
      <c r="DT139" s="19">
        <v>80.917284384311756</v>
      </c>
      <c r="DU139" s="19">
        <v>81.003364803880004</v>
      </c>
      <c r="DV139" s="19">
        <v>81.089056922391833</v>
      </c>
      <c r="DW139" s="19">
        <v>81.174362491438487</v>
      </c>
      <c r="DX139" s="19">
        <v>81.25928325470997</v>
      </c>
      <c r="DY139" s="19">
        <v>81.343820948030626</v>
      </c>
      <c r="DZ139" s="19">
        <v>81.427977299394669</v>
      </c>
      <c r="EA139" s="19">
        <v>81.51175402900148</v>
      </c>
      <c r="EB139" s="19">
        <v>81.595152849290784</v>
      </c>
      <c r="EC139" s="19">
        <v>81.678175464977627</v>
      </c>
      <c r="ED139" s="19">
        <v>81.760823573087251</v>
      </c>
      <c r="EE139" s="19">
        <v>81.843098862989763</v>
      </c>
      <c r="EF139" s="19">
        <v>81.925003016434687</v>
      </c>
      <c r="EG139" s="19">
        <v>82.006537707585309</v>
      </c>
      <c r="EH139" s="19">
        <v>82.087704603052913</v>
      </c>
      <c r="EI139" s="19">
        <v>82.168505361930869</v>
      </c>
      <c r="EJ139" s="19">
        <v>82.248941635828501</v>
      </c>
      <c r="EK139" s="19">
        <v>82.32901506890488</v>
      </c>
      <c r="EL139" s="19">
        <v>82.408727297902431</v>
      </c>
      <c r="EM139" s="19">
        <v>82.488079952180385</v>
      </c>
      <c r="EN139" s="19">
        <v>82.567074653748051</v>
      </c>
      <c r="EO139" s="19">
        <v>82.645713017298036</v>
      </c>
      <c r="EP139" s="19">
        <v>82.723996650239187</v>
      </c>
      <c r="EQ139" s="19">
        <v>82.801927152729476</v>
      </c>
      <c r="ER139" s="19">
        <v>82.879506117708729</v>
      </c>
      <c r="ES139" s="19">
        <v>82.956735130931136</v>
      </c>
      <c r="ET139" s="19">
        <v>83.033615770997699</v>
      </c>
      <c r="EU139" s="19">
        <v>83.1101496093885</v>
      </c>
      <c r="EV139" s="19">
        <v>83.18633821049481</v>
      </c>
      <c r="EW139" s="19">
        <v>83.262183131651071</v>
      </c>
      <c r="EX139" s="19">
        <v>83.337685923166731</v>
      </c>
      <c r="EY139" s="19">
        <v>83.412848128357936</v>
      </c>
      <c r="EZ139" s="19">
        <v>83.487671283579061</v>
      </c>
      <c r="FA139" s="19">
        <v>83.562156918254132</v>
      </c>
      <c r="FB139" s="19">
        <v>83.636306554908074</v>
      </c>
      <c r="FC139" s="19">
        <v>83.710121709197836</v>
      </c>
      <c r="FD139" s="19">
        <v>83.783603889943393</v>
      </c>
      <c r="FE139" s="19">
        <v>83.856754599158549</v>
      </c>
      <c r="FF139" s="19">
        <v>83.929575332081654</v>
      </c>
      <c r="FG139" s="19">
        <v>84.002067577206191</v>
      </c>
      <c r="FH139" s="19">
        <v>84.074232816311181</v>
      </c>
      <c r="FI139" s="19">
        <v>84.146072524491458</v>
      </c>
      <c r="FJ139" s="19">
        <v>84.217588170187838</v>
      </c>
      <c r="FK139" s="19">
        <v>84.288781215217142</v>
      </c>
      <c r="FL139" s="19">
        <v>84.359653114802072</v>
      </c>
      <c r="FM139" s="19">
        <v>84.430205317600922</v>
      </c>
      <c r="FN139" s="19">
        <v>84.500439265737242</v>
      </c>
      <c r="FO139" s="19">
        <v>84.57035639482929</v>
      </c>
      <c r="FP139" s="19">
        <v>84.639958134019381</v>
      </c>
      <c r="FQ139" s="19">
        <v>84.709245906003076</v>
      </c>
      <c r="FR139" s="19">
        <v>84.778221127058316</v>
      </c>
      <c r="FS139" s="19">
        <v>84.846885207074308</v>
      </c>
      <c r="FT139" s="19">
        <v>84.915239549580392</v>
      </c>
      <c r="FU139" s="19">
        <v>84.983285551774713</v>
      </c>
      <c r="FV139" s="19">
        <v>85.051024604552779</v>
      </c>
      <c r="FW139" s="19">
        <v>85.118458092535889</v>
      </c>
      <c r="FX139" s="19">
        <v>85.185587394099443</v>
      </c>
      <c r="FY139" s="19">
        <v>85.252413881401111</v>
      </c>
      <c r="FZ139" s="19">
        <v>85.318938920408883</v>
      </c>
      <c r="GA139" s="19">
        <v>85.385163870928992</v>
      </c>
      <c r="GB139" s="19">
        <v>85.451090086633712</v>
      </c>
      <c r="GC139" s="19">
        <v>85.516718915089015</v>
      </c>
      <c r="GD139" s="19">
        <v>85.58205169778212</v>
      </c>
      <c r="GE139" s="19">
        <v>85.647089770148924</v>
      </c>
      <c r="GF139" s="19">
        <v>85.711834461601299</v>
      </c>
      <c r="GG139" s="19">
        <v>85.776287095554238</v>
      </c>
      <c r="GH139" s="19">
        <v>85.840448989452952</v>
      </c>
      <c r="GI139" s="19">
        <v>85.904321454799756</v>
      </c>
      <c r="GJ139" s="19">
        <v>85.967905797180904</v>
      </c>
      <c r="GK139" s="19">
        <v>86.031203316293272</v>
      </c>
      <c r="GL139" s="19">
        <v>86.09421530597092</v>
      </c>
      <c r="GM139" s="19">
        <v>86.156943054211524</v>
      </c>
      <c r="GN139" s="19">
        <v>86.219387843202725</v>
      </c>
      <c r="GO139" s="19">
        <v>86.281550949348329</v>
      </c>
      <c r="GP139" s="19">
        <v>86.343433643294418</v>
      </c>
      <c r="GQ139" s="19">
        <v>86.40503718995528</v>
      </c>
      <c r="GR139" s="19">
        <v>86.466362848539291</v>
      </c>
      <c r="GS139" s="19">
        <v>86.52741187257466</v>
      </c>
      <c r="GT139" s="19">
        <v>86.588185509935045</v>
      </c>
    </row>
    <row r="140" spans="1:202" s="19" customFormat="1" x14ac:dyDescent="0.4">
      <c r="A140" s="7"/>
      <c r="B140" s="21">
        <f t="shared" si="152"/>
        <v>10</v>
      </c>
      <c r="C140" s="19">
        <v>29.843744913256852</v>
      </c>
      <c r="D140" s="19">
        <v>50.780998722038262</v>
      </c>
      <c r="E140" s="19">
        <v>65.4697919122858</v>
      </c>
      <c r="F140" s="19">
        <v>75.774899132000016</v>
      </c>
      <c r="G140" s="19">
        <v>79.442006852375471</v>
      </c>
      <c r="H140" s="19">
        <v>82.554001134581483</v>
      </c>
      <c r="I140" s="19">
        <v>85.19491303326204</v>
      </c>
      <c r="J140" s="19">
        <v>87.436053287430042</v>
      </c>
      <c r="K140" s="19">
        <v>88.218994255714861</v>
      </c>
      <c r="L140" s="19">
        <v>88.953145096674035</v>
      </c>
      <c r="M140" s="19">
        <v>89.641546239434277</v>
      </c>
      <c r="N140" s="19">
        <v>90.287048644273099</v>
      </c>
      <c r="O140" s="19">
        <v>90.57403674714908</v>
      </c>
      <c r="P140" s="19">
        <v>90.852545226461032</v>
      </c>
      <c r="Q140" s="19">
        <v>91.122824629235339</v>
      </c>
      <c r="R140" s="19">
        <v>91.385118099597577</v>
      </c>
      <c r="S140" s="19">
        <v>91.535131821204999</v>
      </c>
      <c r="T140" s="19">
        <v>91.682533305415475</v>
      </c>
      <c r="U140" s="19">
        <v>91.827368039962693</v>
      </c>
      <c r="V140" s="19">
        <v>91.969680720487744</v>
      </c>
      <c r="W140" s="19">
        <v>92.065119787517119</v>
      </c>
      <c r="X140" s="19">
        <v>92.159424576419013</v>
      </c>
      <c r="Y140" s="19">
        <v>92.25260856790851</v>
      </c>
      <c r="Z140" s="19">
        <v>92.344685082484546</v>
      </c>
      <c r="AA140" s="19">
        <v>92.412139601939145</v>
      </c>
      <c r="AB140" s="19">
        <v>92.478999748432756</v>
      </c>
      <c r="AC140" s="19">
        <v>92.545270759260362</v>
      </c>
      <c r="AD140" s="19">
        <v>92.610957825568732</v>
      </c>
      <c r="AE140" s="19">
        <v>92.661632919200173</v>
      </c>
      <c r="AF140" s="19">
        <v>92.711960475890564</v>
      </c>
      <c r="AG140" s="19">
        <v>92.761942879097276</v>
      </c>
      <c r="AH140" s="19">
        <v>92.811582495931603</v>
      </c>
      <c r="AI140" s="19">
        <v>92.851219349858511</v>
      </c>
      <c r="AJ140" s="19">
        <v>92.890637646615033</v>
      </c>
      <c r="AK140" s="19">
        <v>92.929838591322962</v>
      </c>
      <c r="AL140" s="19">
        <v>92.968823382459078</v>
      </c>
      <c r="AM140" s="19">
        <v>93.000774542943077</v>
      </c>
      <c r="AN140" s="19">
        <v>93.032580510565083</v>
      </c>
      <c r="AO140" s="19">
        <v>93.064241945112315</v>
      </c>
      <c r="AP140" s="19">
        <v>93.09575950337377</v>
      </c>
      <c r="AQ140" s="19">
        <v>93.127133839153856</v>
      </c>
      <c r="AR140" s="19">
        <v>93.158365603285972</v>
      </c>
      <c r="AS140" s="19">
        <v>93.189455443645969</v>
      </c>
      <c r="AT140" s="19">
        <v>93.220404005165619</v>
      </c>
      <c r="AU140" s="19">
        <v>93.251211929845994</v>
      </c>
      <c r="AV140" s="19">
        <v>93.281879856770772</v>
      </c>
      <c r="AW140" s="19">
        <v>93.312408422119503</v>
      </c>
      <c r="AX140" s="19">
        <v>93.34279825918081</v>
      </c>
      <c r="AY140" s="19">
        <v>93.373049998365488</v>
      </c>
      <c r="AZ140" s="19">
        <v>93.403164267219637</v>
      </c>
      <c r="BA140" s="19">
        <v>93.433141690437651</v>
      </c>
      <c r="BB140" s="19">
        <v>93.462982889875178</v>
      </c>
      <c r="BC140" s="19">
        <v>93.492688484562024</v>
      </c>
      <c r="BD140" s="19">
        <v>93.522259090714968</v>
      </c>
      <c r="BE140" s="19">
        <v>93.551695321750614</v>
      </c>
      <c r="BF140" s="19">
        <v>93.580997788298035</v>
      </c>
      <c r="BG140" s="19">
        <v>93.610167098211477</v>
      </c>
      <c r="BH140" s="19">
        <v>93.639203856582995</v>
      </c>
      <c r="BI140" s="19">
        <v>93.668108665754943</v>
      </c>
      <c r="BJ140" s="19">
        <v>93.696882125332536</v>
      </c>
      <c r="BK140" s="19">
        <v>93.725524832196228</v>
      </c>
      <c r="BL140" s="19">
        <v>93.754037380514134</v>
      </c>
      <c r="BM140" s="19">
        <v>93.782420361754347</v>
      </c>
      <c r="BN140" s="19">
        <v>93.810674364697192</v>
      </c>
      <c r="BO140" s="19">
        <v>93.838799975447458</v>
      </c>
      <c r="BP140" s="19">
        <v>93.866797777446536</v>
      </c>
      <c r="BQ140" s="19">
        <v>93.894668351484569</v>
      </c>
      <c r="BR140" s="19">
        <v>93.922412275712432</v>
      </c>
      <c r="BS140" s="19">
        <v>93.950030125653768</v>
      </c>
      <c r="BT140" s="19">
        <v>93.977522474216926</v>
      </c>
      <c r="BU140" s="19">
        <v>94.004889891706839</v>
      </c>
      <c r="BV140" s="19">
        <v>94.03213294583685</v>
      </c>
      <c r="BW140" s="19">
        <v>94.059252201740478</v>
      </c>
      <c r="BX140" s="19">
        <v>94.086248221983183</v>
      </c>
      <c r="BY140" s="19">
        <v>94.11312156657398</v>
      </c>
      <c r="BZ140" s="19">
        <v>94.139872792977101</v>
      </c>
      <c r="CA140" s="19">
        <v>94.166502456123538</v>
      </c>
      <c r="CB140" s="19">
        <v>94.193011108422567</v>
      </c>
      <c r="CC140" s="19">
        <v>94.219399299773173</v>
      </c>
      <c r="CD140" s="19">
        <v>94.245667577575517</v>
      </c>
      <c r="CE140" s="19">
        <v>94.271816486742225</v>
      </c>
      <c r="CF140" s="19">
        <v>94.297846569709748</v>
      </c>
      <c r="CG140" s="19">
        <v>94.323758366449582</v>
      </c>
      <c r="CH140" s="19">
        <v>94.349552414479476</v>
      </c>
      <c r="CI140" s="19">
        <v>94.375229248874589</v>
      </c>
      <c r="CJ140" s="19">
        <v>94.400789402278576</v>
      </c>
      <c r="CK140" s="19">
        <v>94.426233404914669</v>
      </c>
      <c r="CL140" s="19">
        <v>94.45156178459662</v>
      </c>
      <c r="CM140" s="19">
        <v>94.476775066739705</v>
      </c>
      <c r="CN140" s="19">
        <v>94.501873774371589</v>
      </c>
      <c r="CO140" s="19">
        <v>94.5268584281432</v>
      </c>
      <c r="CP140" s="19">
        <v>94.551729546339516</v>
      </c>
      <c r="CQ140" s="19">
        <v>94.576487644890307</v>
      </c>
      <c r="CR140" s="19">
        <v>94.601133237380864</v>
      </c>
      <c r="CS140" s="19">
        <v>94.625666835062631</v>
      </c>
      <c r="CT140" s="19">
        <v>94.650088946863804</v>
      </c>
      <c r="CU140" s="19">
        <v>94.674400079399916</v>
      </c>
      <c r="CV140" s="19">
        <v>94.698600736984332</v>
      </c>
      <c r="CW140" s="19">
        <v>94.7226914216387</v>
      </c>
      <c r="CX140" s="19">
        <v>94.746672633103387</v>
      </c>
      <c r="CY140" s="19">
        <v>94.770544868847821</v>
      </c>
      <c r="CZ140" s="19">
        <v>94.794308624080827</v>
      </c>
      <c r="DA140" s="19">
        <v>94.81796439176091</v>
      </c>
      <c r="DB140" s="19">
        <v>94.841512662606448</v>
      </c>
      <c r="DC140" s="19">
        <v>94.864953925105894</v>
      </c>
      <c r="DD140" s="19">
        <v>94.888288665527909</v>
      </c>
      <c r="DE140" s="19">
        <v>94.911517367931452</v>
      </c>
      <c r="DF140" s="19">
        <v>94.934640514175797</v>
      </c>
      <c r="DG140" s="19">
        <v>94.957658583930581</v>
      </c>
      <c r="DH140" s="19">
        <v>94.98057205468568</v>
      </c>
      <c r="DI140" s="19">
        <v>95.003381401761175</v>
      </c>
      <c r="DJ140" s="19">
        <v>95.026087098317191</v>
      </c>
      <c r="DK140" s="19">
        <v>95.048689615363713</v>
      </c>
      <c r="DL140" s="19">
        <v>95.071189421770356</v>
      </c>
      <c r="DM140" s="19">
        <v>95.093586984276087</v>
      </c>
      <c r="DN140" s="19">
        <v>95.115882767498931</v>
      </c>
      <c r="DO140" s="19">
        <v>95.138077233945552</v>
      </c>
      <c r="DP140" s="19">
        <v>95.160170844020925</v>
      </c>
      <c r="DQ140" s="19">
        <v>95.18216405603782</v>
      </c>
      <c r="DR140" s="19">
        <v>95.204057326226348</v>
      </c>
      <c r="DS140" s="19">
        <v>95.225851108743413</v>
      </c>
      <c r="DT140" s="19">
        <v>95.247545855682134</v>
      </c>
      <c r="DU140" s="19">
        <v>95.269142017081222</v>
      </c>
      <c r="DV140" s="19">
        <v>95.290640040934321</v>
      </c>
      <c r="DW140" s="19">
        <v>95.312040373199281</v>
      </c>
      <c r="DX140" s="19">
        <v>95.333343457807445</v>
      </c>
      <c r="DY140" s="19">
        <v>95.354549736672823</v>
      </c>
      <c r="DZ140" s="19">
        <v>95.375659649701277</v>
      </c>
      <c r="EA140" s="19">
        <v>95.396673634799654</v>
      </c>
      <c r="EB140" s="19">
        <v>95.417592127884845</v>
      </c>
      <c r="EC140" s="19">
        <v>95.438415562892843</v>
      </c>
      <c r="ED140" s="19">
        <v>95.459144371787744</v>
      </c>
      <c r="EE140" s="19">
        <v>95.479778984570714</v>
      </c>
      <c r="EF140" s="19">
        <v>95.500319829288912</v>
      </c>
      <c r="EG140" s="19">
        <v>95.520767332044343</v>
      </c>
      <c r="EH140" s="19">
        <v>95.541121917002712</v>
      </c>
      <c r="EI140" s="19">
        <v>95.561384006402236</v>
      </c>
      <c r="EJ140" s="19">
        <v>95.581554020562379</v>
      </c>
      <c r="EK140" s="19">
        <v>95.601632377892599</v>
      </c>
      <c r="EL140" s="19">
        <v>95.621619494901012</v>
      </c>
      <c r="EM140" s="19">
        <v>95.641515786203016</v>
      </c>
      <c r="EN140" s="19">
        <v>95.661321664529922</v>
      </c>
      <c r="EO140" s="19">
        <v>95.681037540737506</v>
      </c>
      <c r="EP140" s="19">
        <v>95.700663823814509</v>
      </c>
      <c r="EQ140" s="19">
        <v>95.720200920891159</v>
      </c>
      <c r="ER140" s="19">
        <v>95.73964923724759</v>
      </c>
      <c r="ES140" s="19">
        <v>95.759009176322266</v>
      </c>
      <c r="ET140" s="19">
        <v>95.77828113972032</v>
      </c>
      <c r="EU140" s="19">
        <v>95.797465527221931</v>
      </c>
      <c r="EV140" s="19">
        <v>95.816562736790573</v>
      </c>
      <c r="EW140" s="19">
        <v>95.835573164581291</v>
      </c>
      <c r="EX140" s="19">
        <v>95.854497204948927</v>
      </c>
      <c r="EY140" s="19">
        <v>95.873335250456293</v>
      </c>
      <c r="EZ140" s="19">
        <v>95.892087691882296</v>
      </c>
      <c r="FA140" s="19">
        <v>95.910754918230083</v>
      </c>
      <c r="FB140" s="19">
        <v>95.929337316735058</v>
      </c>
      <c r="FC140" s="19">
        <v>95.947835272872979</v>
      </c>
      <c r="FD140" s="19">
        <v>95.966249170367888</v>
      </c>
      <c r="FE140" s="19">
        <v>95.984579391200128</v>
      </c>
      <c r="FF140" s="19">
        <v>96.002826315614243</v>
      </c>
      <c r="FG140" s="19">
        <v>96.020990322126835</v>
      </c>
      <c r="FH140" s="19">
        <v>96.039071787534482</v>
      </c>
      <c r="FI140" s="19">
        <v>96.057071086921496</v>
      </c>
      <c r="FJ140" s="19">
        <v>96.07498859366774</v>
      </c>
      <c r="FK140" s="19">
        <v>96.092824679456342</v>
      </c>
      <c r="FL140" s="19">
        <v>96.110579714281428</v>
      </c>
      <c r="FM140" s="19">
        <v>96.12825406645581</v>
      </c>
      <c r="FN140" s="19">
        <v>96.145848102618601</v>
      </c>
      <c r="FO140" s="19">
        <v>96.163362187742806</v>
      </c>
      <c r="FP140" s="19">
        <v>96.180796685142937</v>
      </c>
      <c r="FQ140" s="19">
        <v>96.198151956482533</v>
      </c>
      <c r="FR140" s="19">
        <v>96.215428361781633</v>
      </c>
      <c r="FS140" s="19">
        <v>96.232626259424293</v>
      </c>
      <c r="FT140" s="19">
        <v>96.249746006165978</v>
      </c>
      <c r="FU140" s="19">
        <v>96.266787957140991</v>
      </c>
      <c r="FV140" s="19">
        <v>96.28375246586981</v>
      </c>
      <c r="FW140" s="19">
        <v>96.300639884266474</v>
      </c>
      <c r="FX140" s="19">
        <v>96.317450562645831</v>
      </c>
      <c r="FY140" s="19">
        <v>96.334184849730818</v>
      </c>
      <c r="FZ140" s="19">
        <v>96.350843092659701</v>
      </c>
      <c r="GA140" s="19">
        <v>96.367425636993303</v>
      </c>
      <c r="GB140" s="19">
        <v>96.383932826722102</v>
      </c>
      <c r="GC140" s="19">
        <v>96.400365004273453</v>
      </c>
      <c r="GD140" s="19">
        <v>96.416722510518625</v>
      </c>
      <c r="GE140" s="19">
        <v>96.433005684779886</v>
      </c>
      <c r="GF140" s="19">
        <v>96.449214864837572</v>
      </c>
      <c r="GG140" s="19">
        <v>96.465350386937061</v>
      </c>
      <c r="GH140" s="19">
        <v>96.481412585795781</v>
      </c>
      <c r="GI140" s="19">
        <v>96.497401794610099</v>
      </c>
      <c r="GJ140" s="19">
        <v>96.513318345062288</v>
      </c>
      <c r="GK140" s="19">
        <v>96.52916256732739</v>
      </c>
      <c r="GL140" s="19">
        <v>96.544934790080063</v>
      </c>
      <c r="GM140" s="19">
        <v>96.560635340501378</v>
      </c>
      <c r="GN140" s="19">
        <v>96.576264544285635</v>
      </c>
      <c r="GO140" s="19">
        <v>96.59182272564712</v>
      </c>
      <c r="GP140" s="19">
        <v>96.607310207326805</v>
      </c>
      <c r="GQ140" s="19">
        <v>96.622727310599061</v>
      </c>
      <c r="GR140" s="19">
        <v>96.638074355278334</v>
      </c>
      <c r="GS140" s="19">
        <v>96.653351659725757</v>
      </c>
      <c r="GT140" s="19">
        <v>96.668559540855753</v>
      </c>
    </row>
    <row r="141" spans="1:202" s="19" customFormat="1" x14ac:dyDescent="0.4">
      <c r="A141" s="7"/>
      <c r="B141" s="21" t="str">
        <f t="shared" si="152"/>
        <v/>
      </c>
    </row>
    <row r="142" spans="1:202" s="19" customFormat="1" x14ac:dyDescent="0.4">
      <c r="A142" s="7"/>
      <c r="B142" s="21" t="str">
        <f t="shared" si="152"/>
        <v/>
      </c>
    </row>
    <row r="143" spans="1:202" s="19" customFormat="1" x14ac:dyDescent="0.4">
      <c r="A143" s="7"/>
      <c r="B143" s="21" t="str">
        <f t="shared" si="152"/>
        <v/>
      </c>
    </row>
    <row r="144" spans="1:202" s="19" customFormat="1" x14ac:dyDescent="0.4">
      <c r="A144" s="7"/>
      <c r="B144" s="21" t="str">
        <f t="shared" si="152"/>
        <v/>
      </c>
    </row>
    <row r="145" spans="1:2" s="19" customFormat="1" x14ac:dyDescent="0.4">
      <c r="A145" s="7"/>
      <c r="B145" s="21" t="str">
        <f t="shared" si="152"/>
        <v/>
      </c>
    </row>
  </sheetData>
  <mergeCells count="20">
    <mergeCell ref="C33:L33"/>
    <mergeCell ref="C57:L57"/>
    <mergeCell ref="C81:L81"/>
    <mergeCell ref="C105:L105"/>
    <mergeCell ref="C129:L129"/>
    <mergeCell ref="EQ6:FE7"/>
    <mergeCell ref="FN6:GB7"/>
    <mergeCell ref="GK6:GY7"/>
    <mergeCell ref="HH6:HV7"/>
    <mergeCell ref="IE6:IS7"/>
    <mergeCell ref="AF6:AT7"/>
    <mergeCell ref="BC6:BQ7"/>
    <mergeCell ref="BZ6:CN7"/>
    <mergeCell ref="CW6:DK7"/>
    <mergeCell ref="DT6:EH7"/>
    <mergeCell ref="B3:D4"/>
    <mergeCell ref="F3:G4"/>
    <mergeCell ref="B6:C6"/>
    <mergeCell ref="B31:C31"/>
    <mergeCell ref="I3:V4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eet2.PDGen">
                <anchor moveWithCells="1" sizeWithCells="1">
                  <from>
                    <xdr:col>5</xdr:col>
                    <xdr:colOff>53340</xdr:colOff>
                    <xdr:row>4</xdr:row>
                    <xdr:rowOff>76200</xdr:rowOff>
                  </from>
                  <to>
                    <xdr:col>6</xdr:col>
                    <xdr:colOff>647700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TM평활화작업</vt:lpstr>
      <vt:lpstr>PDCurve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2023-06-05T06:44:05Z</dcterms:created>
  <dcterms:modified xsi:type="dcterms:W3CDTF">2023-06-05T09:38:54Z</dcterms:modified>
</cp:coreProperties>
</file>