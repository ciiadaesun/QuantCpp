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BondForward\"/>
    </mc:Choice>
  </mc:AlternateContent>
  <xr:revisionPtr revIDLastSave="0" documentId="13_ncr:1_{3D6B022E-0CDC-493A-AF56-9141FA428574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O21" i="1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4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4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<sst xmlns="http://schemas.openxmlformats.org/spreadsheetml/2006/main" count="42" uniqueCount="39">
  <si>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</si>
  <si>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</si>
  <si>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</si>
  <si>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</si>
  <si>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</si>
  <si>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</si>
  <si>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</si>
  <si>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</si>
  <si>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선도계약 정보</t>
    <phoneticPr fontId="3" type="noConversion"/>
  </si>
  <si>
    <t>선도만기일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</si>
  <si>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</si>
  <si>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</si>
  <si>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</si>
  <si>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</si>
  <si>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</si>
  <si>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</si>
  <si>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선도 행사가격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</si>
  <si>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</si>
  <si>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</si>
  <si>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</si>
  <si>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</si>
  <si>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</si>
  <si>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</si>
  <si>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</si>
  <si>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</si>
  <si>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</si>
  <si>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</si>
  <si>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현재 정산가치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</si>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</sst>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82" formatCode="_-* #,##0.00000_-;\-* #,##0.00000_-;_-* &quot;-&quot;_-;_-@_-"/>
    <numFmt numFmtId="185" formatCode="0.0000000"/>
    <numFmt numFmtId="186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0" fontId="4" fillId="10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>
      <alignment vertical="center"/>
    </xf>
    <xf numFmtId="182" fontId="5" fillId="6" borderId="6" xfId="2" applyNumberFormat="1" applyFont="1" applyFill="1" applyBorder="1" applyAlignment="1" applyProtection="1">
      <alignment horizontal="center" vertical="center"/>
      <protection locked="0"/>
    </xf>
    <xf numFmtId="182" fontId="5" fillId="6" borderId="7" xfId="2" applyNumberFormat="1" applyFont="1" applyFill="1" applyBorder="1" applyAlignment="1" applyProtection="1">
      <alignment horizontal="center" vertical="center"/>
      <protection locked="0"/>
    </xf>
    <xf numFmtId="43" fontId="0" fillId="2" borderId="0" xfId="0" applyNumberFormat="1" applyFill="1">
      <alignment vertical="center"/>
    </xf>
    <xf numFmtId="0" fontId="4" fillId="10" borderId="0" xfId="0" applyFont="1" applyFill="1" applyAlignment="1">
      <alignment vertical="center"/>
    </xf>
    <xf numFmtId="0" fontId="0" fillId="11" borderId="0" xfId="0" applyFill="1">
      <alignment vertical="center"/>
    </xf>
    <xf numFmtId="185" fontId="0" fillId="11" borderId="0" xfId="0" applyNumberFormat="1" applyFill="1">
      <alignment vertical="center"/>
    </xf>
    <xf numFmtId="186" fontId="0" fillId="11" borderId="0" xfId="0" applyNumberForma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workbookViewId="0">
      <selection activeCell="O20" sqref="O20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46"/>
    <col min="16" max="16" width="11.09765625" style="1"/>
    <col min="17" max="19" width="11.09765625" style="47"/>
    <col min="20" max="20" width="11.09765625" style="1"/>
    <col min="21" max="23" width="11.09765625" style="48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28</v>
      </c>
      <c r="C2" s="1">
        <v>1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1" t="s">
        <v>18</v>
      </c>
      <c r="D3" s="22"/>
      <c r="E3" s="22"/>
      <c r="F3" s="23"/>
      <c r="I3" s="1"/>
      <c r="K3" s="21" t="s">
        <v>19</v>
      </c>
      <c r="L3" s="22"/>
      <c r="M3" s="22"/>
      <c r="N3" s="23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14" t="s">
        <v>0</v>
      </c>
      <c r="D4" s="14"/>
      <c r="E4" s="35">
        <v>46160</v>
      </c>
      <c r="F4" s="36"/>
      <c r="I4" s="20" t="s">
        <v>17</v>
      </c>
      <c r="K4" s="14" t="s">
        <v>20</v>
      </c>
      <c r="L4" s="14"/>
      <c r="M4" s="15">
        <v>1</v>
      </c>
      <c r="N4" s="16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37" t="s">
        <v>1</v>
      </c>
      <c r="D5" s="38"/>
      <c r="E5" s="36">
        <v>0</v>
      </c>
      <c r="F5" s="36"/>
      <c r="I5" s="20"/>
      <c r="K5" s="14" t="s">
        <v>21</v>
      </c>
      <c r="L5" s="14"/>
      <c r="M5" s="15">
        <v>0</v>
      </c>
      <c r="N5" s="16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37" t="s">
        <v>2</v>
      </c>
      <c r="D6" s="38"/>
      <c r="E6" s="36">
        <v>0</v>
      </c>
      <c r="F6" s="36"/>
      <c r="I6" s="11">
        <v>43101</v>
      </c>
      <c r="K6" s="14" t="s">
        <v>22</v>
      </c>
      <c r="L6" s="14"/>
      <c r="M6" s="15">
        <v>100</v>
      </c>
      <c r="N6" s="16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14" t="s">
        <v>3</v>
      </c>
      <c r="D7" s="14"/>
      <c r="E7" s="36">
        <v>1000</v>
      </c>
      <c r="F7" s="36"/>
      <c r="G7" s="3" t="str">
        <f>IF(AQ13=1,"x Rcv FX","원")</f>
        <v>원</v>
      </c>
      <c r="I7" s="11">
        <v>43146</v>
      </c>
      <c r="K7" s="1"/>
      <c r="L7" s="1"/>
      <c r="M7" s="1"/>
      <c r="N7" s="1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1" t="s">
        <v>7</v>
      </c>
      <c r="D9" s="22"/>
      <c r="E9" s="22"/>
      <c r="F9" s="23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39" t="s">
        <v>4</v>
      </c>
      <c r="D10" s="40"/>
      <c r="E10" s="31">
        <v>46160</v>
      </c>
      <c r="F10" s="32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29" t="s">
        <v>5</v>
      </c>
      <c r="D11" s="30"/>
      <c r="E11" s="33">
        <v>49813</v>
      </c>
      <c r="F11" s="34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14" t="s">
        <v>6</v>
      </c>
      <c r="D12" s="14"/>
      <c r="E12" s="15">
        <v>1</v>
      </c>
      <c r="F12" s="16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29" t="s">
        <v>10</v>
      </c>
      <c r="D13" s="30"/>
      <c r="E13" s="27">
        <v>0.04</v>
      </c>
      <c r="F13" s="28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29" t="s">
        <v>14</v>
      </c>
      <c r="D15" s="30"/>
      <c r="E15" s="15">
        <v>0</v>
      </c>
      <c r="F15" s="16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29" t="s">
        <v>15</v>
      </c>
      <c r="D16" s="30"/>
      <c r="E16" s="27">
        <v>1</v>
      </c>
      <c r="F16" s="28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17" t="s">
        <v>23</v>
      </c>
      <c r="L17" s="18"/>
      <c r="M17" s="18"/>
      <c r="N17" s="19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1" t="s">
        <v>8</v>
      </c>
      <c r="D18" s="22"/>
      <c r="E18" s="22"/>
      <c r="F18" s="23"/>
      <c r="I18" s="11">
        <v>43369</v>
      </c>
      <c r="K18" s="13" t="s">
        <v>24</v>
      </c>
      <c r="L18" s="13"/>
      <c r="M18" s="42">
        <v>959.03896899885433</v>
      </c>
      <c r="N18" s="43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25" t="s">
        <v>9</v>
      </c>
      <c r="D19" s="26"/>
      <c r="E19" s="31">
        <f>E11</f>
        <v>49813</v>
      </c>
      <c r="F19" s="32"/>
      <c r="I19" s="11">
        <v>43376</v>
      </c>
      <c r="K19" s="13" t="s">
        <v>25</v>
      </c>
      <c r="L19" s="13"/>
      <c r="M19" s="42">
        <v>999.99999999999966</v>
      </c>
      <c r="N19" s="43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25" t="s">
        <v>16</v>
      </c>
      <c r="D20" s="26"/>
      <c r="E20" s="27">
        <v>0.98521000000000003</v>
      </c>
      <c r="F20" s="28"/>
      <c r="I20" s="11">
        <v>43382</v>
      </c>
      <c r="K20" s="13" t="s">
        <v>26</v>
      </c>
      <c r="L20" s="13"/>
      <c r="M20" s="42">
        <v>999.99999999999989</v>
      </c>
      <c r="N20" s="43"/>
      <c r="O20" s="1">
        <v>19.026052910306021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1"/>
      <c r="D21" s="1"/>
      <c r="E21" s="1"/>
      <c r="F21" s="1"/>
      <c r="I21" s="11">
        <v>43459</v>
      </c>
      <c r="K21" s="13" t="s">
        <v>27</v>
      </c>
      <c r="L21" s="13"/>
      <c r="M21" s="42">
        <v>-25.270889283750975</v>
      </c>
      <c r="N21" s="43"/>
      <c r="O21" s="44">
        <f>M20-E20*E7</f>
        <v>14.78999999999985</v>
      </c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9" t="s">
        <v>11</v>
      </c>
      <c r="D22" s="10">
        <v>1</v>
      </c>
      <c r="E22" s="1"/>
      <c r="F22" s="41">
        <v>44848</v>
      </c>
      <c r="I22" s="11">
        <v>43466</v>
      </c>
      <c r="K22" s="1"/>
      <c r="L22" s="1"/>
      <c r="M22" s="1"/>
      <c r="N22" s="1"/>
      <c r="O22" s="1"/>
      <c r="Q22" s="13" t="s">
        <v>34</v>
      </c>
      <c r="R22" s="13"/>
      <c r="S22" s="13"/>
      <c r="U22" s="13" t="s">
        <v>35</v>
      </c>
      <c r="V22" s="13"/>
      <c r="W22" s="13"/>
    </row>
    <row r="23" spans="1:23" ht="16.2" customHeight="1" x14ac:dyDescent="0.4">
      <c r="A23" s="2">
        <f t="shared" si="2"/>
        <v>23</v>
      </c>
      <c r="C23" s="24" t="s">
        <v>13</v>
      </c>
      <c r="D23" s="24"/>
      <c r="E23" s="24"/>
      <c r="F23" s="24"/>
      <c r="I23" s="11">
        <v>43500</v>
      </c>
      <c r="K23" s="45" t="s">
        <v>33</v>
      </c>
      <c r="L23" s="45" t="s">
        <v>31</v>
      </c>
      <c r="M23" s="45" t="s">
        <v>29</v>
      </c>
      <c r="N23" s="45" t="s">
        <v>30</v>
      </c>
      <c r="O23" s="45" t="s">
        <v>32</v>
      </c>
      <c r="Q23" s="45" t="s">
        <v>36</v>
      </c>
      <c r="R23" s="45" t="s">
        <v>37</v>
      </c>
      <c r="S23" s="45" t="s">
        <v>38</v>
      </c>
      <c r="U23" s="45" t="s">
        <v>36</v>
      </c>
      <c r="V23" s="45" t="s">
        <v>37</v>
      </c>
      <c r="W23" s="45" t="s">
        <v>38</v>
      </c>
    </row>
    <row r="24" spans="1:23" ht="16.2" customHeight="1" x14ac:dyDescent="0.4">
      <c r="A24" s="2">
        <f t="shared" si="2"/>
        <v>24</v>
      </c>
      <c r="C24" s="20" t="str">
        <f>IF(D22=0,"채권할인커브", "YTM 1개 넣기")</f>
        <v>YTM 1개 넣기</v>
      </c>
      <c r="D24" s="20"/>
      <c r="E24" s="20" t="s">
        <v>12</v>
      </c>
      <c r="F24" s="20"/>
      <c r="I24" s="11">
        <v>43501</v>
      </c>
      <c r="K24" s="46">
        <v>20270518</v>
      </c>
      <c r="L24" s="46">
        <v>0.04</v>
      </c>
      <c r="M24" s="46">
        <v>40</v>
      </c>
      <c r="N24" s="46">
        <v>0.96153846153846145</v>
      </c>
      <c r="O24" s="46">
        <v>38.46153846153846</v>
      </c>
      <c r="Q24" s="47">
        <v>2.7397260273972603E-3</v>
      </c>
      <c r="R24" s="47">
        <v>-0.92166536532533883</v>
      </c>
      <c r="S24" s="47">
        <v>9.7535409850024735E-4</v>
      </c>
      <c r="U24" s="48">
        <v>2.7397260273972603E-3</v>
      </c>
      <c r="V24" s="48">
        <v>0</v>
      </c>
      <c r="W24" s="48">
        <v>0</v>
      </c>
    </row>
    <row r="25" spans="1:23" ht="16.2" customHeight="1" x14ac:dyDescent="0.4">
      <c r="A25" s="2">
        <f t="shared" si="2"/>
        <v>25</v>
      </c>
      <c r="C25" s="20"/>
      <c r="D25" s="20"/>
      <c r="E25" s="20"/>
      <c r="F25" s="20"/>
      <c r="I25" s="11">
        <v>43502</v>
      </c>
      <c r="K25" s="46">
        <v>20280518</v>
      </c>
      <c r="L25" s="46">
        <v>0.04</v>
      </c>
      <c r="M25" s="46">
        <v>40</v>
      </c>
      <c r="N25" s="46">
        <v>0.92455621301775137</v>
      </c>
      <c r="O25" s="46">
        <v>36.982248520710058</v>
      </c>
      <c r="U25" s="48">
        <v>0.24931506849315069</v>
      </c>
      <c r="V25" s="48">
        <v>0</v>
      </c>
      <c r="W25" s="48">
        <v>0</v>
      </c>
    </row>
    <row r="26" spans="1:23" ht="16.2" customHeight="1" x14ac:dyDescent="0.35">
      <c r="A26" s="2">
        <f t="shared" si="2"/>
        <v>26</v>
      </c>
      <c r="C26" s="4">
        <v>46161</v>
      </c>
      <c r="D26" s="5">
        <v>0.04</v>
      </c>
      <c r="E26" s="4">
        <v>46161</v>
      </c>
      <c r="F26" s="5">
        <v>3.5000000000000003E-2</v>
      </c>
      <c r="I26" s="11">
        <v>43525</v>
      </c>
      <c r="K26" s="46">
        <v>20290518</v>
      </c>
      <c r="L26" s="46">
        <v>0.04</v>
      </c>
      <c r="M26" s="46">
        <v>40</v>
      </c>
      <c r="N26" s="46">
        <v>0.88899635867091487</v>
      </c>
      <c r="O26" s="46">
        <v>35.559854346836595</v>
      </c>
      <c r="U26" s="48">
        <v>0.49863013698630138</v>
      </c>
      <c r="V26" s="48">
        <v>0</v>
      </c>
      <c r="W26" s="48">
        <v>0</v>
      </c>
    </row>
    <row r="27" spans="1:23" ht="16.2" customHeight="1" x14ac:dyDescent="0.35">
      <c r="A27" s="2">
        <f t="shared" si="2"/>
        <v>27</v>
      </c>
      <c r="C27" s="4"/>
      <c r="D27" s="5"/>
      <c r="E27" s="4">
        <v>46251</v>
      </c>
      <c r="F27" s="5">
        <v>3.5000000000000003E-2</v>
      </c>
      <c r="I27" s="11">
        <v>43586</v>
      </c>
      <c r="K27" s="46">
        <v>20300520</v>
      </c>
      <c r="L27" s="46">
        <v>0.04</v>
      </c>
      <c r="M27" s="46">
        <v>40</v>
      </c>
      <c r="N27" s="46">
        <v>0.85480419102972571</v>
      </c>
      <c r="O27" s="46">
        <v>34.19216764118903</v>
      </c>
      <c r="U27" s="48">
        <v>1</v>
      </c>
      <c r="V27" s="48">
        <v>0</v>
      </c>
      <c r="W27" s="48">
        <v>0</v>
      </c>
    </row>
    <row r="28" spans="1:23" ht="16.2" customHeight="1" x14ac:dyDescent="0.35">
      <c r="A28" s="2">
        <f t="shared" si="2"/>
        <v>28</v>
      </c>
      <c r="C28" s="4"/>
      <c r="D28" s="5"/>
      <c r="E28" s="4">
        <v>46342</v>
      </c>
      <c r="F28" s="5">
        <v>3.5000000000000003E-2</v>
      </c>
      <c r="I28" s="11">
        <v>43591</v>
      </c>
      <c r="K28" s="46">
        <v>20310519</v>
      </c>
      <c r="L28" s="46">
        <v>0.04</v>
      </c>
      <c r="M28" s="46">
        <v>40</v>
      </c>
      <c r="N28" s="46">
        <v>0.82192710675935166</v>
      </c>
      <c r="O28" s="46">
        <v>32.87708427037407</v>
      </c>
      <c r="U28" s="48">
        <v>1.4986301369863013</v>
      </c>
      <c r="V28" s="48">
        <v>0</v>
      </c>
      <c r="W28" s="48">
        <v>0</v>
      </c>
    </row>
    <row r="29" spans="1:23" ht="16.2" customHeight="1" x14ac:dyDescent="0.35">
      <c r="A29" s="2">
        <f t="shared" si="2"/>
        <v>29</v>
      </c>
      <c r="C29" s="4"/>
      <c r="D29" s="5"/>
      <c r="E29" s="4">
        <v>46525</v>
      </c>
      <c r="F29" s="5">
        <v>3.5000000000000003E-2</v>
      </c>
      <c r="I29" s="11">
        <v>43598</v>
      </c>
      <c r="K29" s="46">
        <v>20320518</v>
      </c>
      <c r="L29" s="46">
        <v>0.04</v>
      </c>
      <c r="M29" s="46">
        <v>40</v>
      </c>
      <c r="N29" s="46">
        <v>0.79031452573014571</v>
      </c>
      <c r="O29" s="46">
        <v>31.612581029205828</v>
      </c>
      <c r="U29" s="48">
        <v>2</v>
      </c>
      <c r="V29" s="48">
        <v>0</v>
      </c>
      <c r="W29" s="48">
        <v>0</v>
      </c>
    </row>
    <row r="30" spans="1:23" ht="16.2" customHeight="1" x14ac:dyDescent="0.35">
      <c r="A30" s="2">
        <f t="shared" si="2"/>
        <v>30</v>
      </c>
      <c r="C30" s="4"/>
      <c r="D30" s="5"/>
      <c r="E30" s="4">
        <v>46707</v>
      </c>
      <c r="F30" s="5">
        <v>3.5000000000000003E-2</v>
      </c>
      <c r="I30" s="11">
        <v>43622</v>
      </c>
      <c r="K30" s="46">
        <v>20330518</v>
      </c>
      <c r="L30" s="46">
        <v>0.04</v>
      </c>
      <c r="M30" s="46">
        <v>40</v>
      </c>
      <c r="N30" s="46">
        <v>0.75991781320206331</v>
      </c>
      <c r="O30" s="46">
        <v>30.396712528082531</v>
      </c>
      <c r="U30" s="48">
        <v>3</v>
      </c>
      <c r="V30" s="48">
        <v>0</v>
      </c>
      <c r="W30" s="48">
        <v>0</v>
      </c>
    </row>
    <row r="31" spans="1:23" ht="16.2" customHeight="1" x14ac:dyDescent="0.35">
      <c r="A31" s="2">
        <f t="shared" si="2"/>
        <v>31</v>
      </c>
      <c r="C31" s="4"/>
      <c r="D31" s="5"/>
      <c r="E31" s="4">
        <v>46890</v>
      </c>
      <c r="F31" s="5">
        <v>3.5000000000000003E-2</v>
      </c>
      <c r="I31" s="11">
        <v>43692</v>
      </c>
      <c r="K31" s="46">
        <v>20340518</v>
      </c>
      <c r="L31" s="46">
        <v>0.04</v>
      </c>
      <c r="M31" s="46">
        <v>40</v>
      </c>
      <c r="N31" s="46">
        <v>0.73069020500198389</v>
      </c>
      <c r="O31" s="46">
        <v>29.227608200079356</v>
      </c>
      <c r="U31" s="48">
        <v>4</v>
      </c>
      <c r="V31" s="48">
        <v>0</v>
      </c>
      <c r="W31" s="48">
        <v>0</v>
      </c>
    </row>
    <row r="32" spans="1:23" ht="16.2" customHeight="1" x14ac:dyDescent="0.35">
      <c r="A32" s="2">
        <f t="shared" si="2"/>
        <v>32</v>
      </c>
      <c r="C32" s="4"/>
      <c r="D32" s="5"/>
      <c r="E32" s="4">
        <v>47255</v>
      </c>
      <c r="F32" s="5">
        <v>3.5000000000000003E-2</v>
      </c>
      <c r="I32" s="11">
        <v>43720</v>
      </c>
      <c r="K32" s="46">
        <v>20350518</v>
      </c>
      <c r="L32" s="46">
        <v>0.04</v>
      </c>
      <c r="M32" s="46">
        <v>40</v>
      </c>
      <c r="N32" s="46">
        <v>0.70258673557883056</v>
      </c>
      <c r="O32" s="46">
        <v>28.103469423153221</v>
      </c>
      <c r="U32" s="48">
        <v>5</v>
      </c>
      <c r="V32" s="48">
        <v>0</v>
      </c>
      <c r="W32" s="48">
        <v>0</v>
      </c>
    </row>
    <row r="33" spans="1:23" ht="16.2" customHeight="1" x14ac:dyDescent="0.35">
      <c r="A33" s="2">
        <f t="shared" si="2"/>
        <v>33</v>
      </c>
      <c r="C33" s="4"/>
      <c r="D33" s="5"/>
      <c r="E33" s="4">
        <v>47620</v>
      </c>
      <c r="F33" s="5">
        <v>3.5000000000000003E-2</v>
      </c>
      <c r="I33" s="11">
        <v>43721</v>
      </c>
      <c r="K33" s="46">
        <v>20360519</v>
      </c>
      <c r="L33" s="46">
        <v>0.04</v>
      </c>
      <c r="M33" s="46">
        <v>40</v>
      </c>
      <c r="N33" s="46">
        <v>0.67556416882579862</v>
      </c>
      <c r="O33" s="46">
        <v>27.022566753031946</v>
      </c>
      <c r="U33" s="48">
        <v>10</v>
      </c>
      <c r="V33" s="48">
        <v>0.95951749542825837</v>
      </c>
      <c r="W33" s="48">
        <v>9.5903674559849605E-4</v>
      </c>
    </row>
    <row r="34" spans="1:23" ht="16.2" customHeight="1" x14ac:dyDescent="0.35">
      <c r="A34" s="2">
        <f t="shared" si="2"/>
        <v>34</v>
      </c>
      <c r="C34" s="4"/>
      <c r="D34" s="5"/>
      <c r="E34" s="4">
        <v>47985</v>
      </c>
      <c r="F34" s="5">
        <v>3.5000000000000003E-2</v>
      </c>
      <c r="I34" s="11">
        <v>43722</v>
      </c>
      <c r="U34" s="48">
        <v>20</v>
      </c>
      <c r="V34" s="48">
        <v>1.0521539696810578E-3</v>
      </c>
      <c r="W34" s="48">
        <v>1.1543761502252892E-9</v>
      </c>
    </row>
    <row r="35" spans="1:23" ht="16.2" customHeight="1" x14ac:dyDescent="0.35">
      <c r="A35" s="2">
        <f t="shared" si="2"/>
        <v>35</v>
      </c>
      <c r="C35" s="4"/>
      <c r="D35" s="5"/>
      <c r="E35" s="4">
        <v>49810</v>
      </c>
      <c r="F35" s="5">
        <v>3.5000000000000003E-2</v>
      </c>
      <c r="I35" s="11">
        <v>43741</v>
      </c>
      <c r="U35" s="48">
        <v>30</v>
      </c>
      <c r="V35" s="48">
        <v>0</v>
      </c>
      <c r="W35" s="48">
        <v>0</v>
      </c>
    </row>
    <row r="36" spans="1:23" ht="16.2" customHeight="1" x14ac:dyDescent="0.35">
      <c r="A36" s="2">
        <f t="shared" si="2"/>
        <v>36</v>
      </c>
      <c r="C36" s="4"/>
      <c r="D36" s="5"/>
      <c r="E36" s="4">
        <v>53460</v>
      </c>
      <c r="F36" s="5">
        <v>3.5000000000000003E-2</v>
      </c>
      <c r="I36" s="11">
        <v>43747</v>
      </c>
    </row>
    <row r="37" spans="1:23" ht="16.2" customHeight="1" x14ac:dyDescent="0.35">
      <c r="A37" s="2">
        <f t="shared" si="2"/>
        <v>37</v>
      </c>
      <c r="C37" s="4"/>
      <c r="D37" s="6"/>
      <c r="E37" s="4">
        <v>57110</v>
      </c>
      <c r="F37" s="5">
        <v>3.5000000000000003E-2</v>
      </c>
      <c r="I37" s="11">
        <v>43824</v>
      </c>
    </row>
    <row r="38" spans="1:23" ht="16.2" customHeight="1" x14ac:dyDescent="0.35">
      <c r="A38" s="2">
        <f t="shared" si="2"/>
        <v>38</v>
      </c>
      <c r="C38" s="4"/>
      <c r="D38" s="6"/>
      <c r="E38" s="4"/>
      <c r="F38" s="6"/>
      <c r="I38" s="11">
        <v>43831</v>
      </c>
    </row>
    <row r="39" spans="1:23" ht="16.2" customHeight="1" x14ac:dyDescent="0.35">
      <c r="A39" s="2">
        <f t="shared" si="2"/>
        <v>39</v>
      </c>
      <c r="C39" s="4"/>
      <c r="D39" s="6"/>
      <c r="E39" s="4"/>
      <c r="F39" s="6"/>
      <c r="I39" s="11">
        <v>43854</v>
      </c>
    </row>
    <row r="40" spans="1:23" ht="16.2" customHeight="1" x14ac:dyDescent="0.4">
      <c r="A40" s="2">
        <f t="shared" si="2"/>
        <v>40</v>
      </c>
      <c r="C40" s="7"/>
      <c r="D40" s="8"/>
      <c r="E40" s="7"/>
      <c r="F40" s="8"/>
      <c r="I40" s="11">
        <v>43855</v>
      </c>
    </row>
    <row r="41" spans="1:23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23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23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23" ht="16.2" customHeight="1" x14ac:dyDescent="0.4">
      <c r="A44" s="2">
        <f t="shared" si="2"/>
        <v>44</v>
      </c>
      <c r="I44" s="11">
        <v>43952</v>
      </c>
    </row>
    <row r="45" spans="1:23" ht="16.2" customHeight="1" x14ac:dyDescent="0.4">
      <c r="A45" s="2">
        <f t="shared" si="2"/>
        <v>45</v>
      </c>
      <c r="I45" s="11">
        <v>43956</v>
      </c>
    </row>
    <row r="46" spans="1:23" ht="16.2" customHeight="1" x14ac:dyDescent="0.4">
      <c r="A46" s="2">
        <f t="shared" si="2"/>
        <v>46</v>
      </c>
      <c r="I46" s="11">
        <v>43988</v>
      </c>
    </row>
    <row r="47" spans="1:23" ht="16.2" customHeight="1" x14ac:dyDescent="0.4">
      <c r="A47" s="2">
        <f t="shared" si="2"/>
        <v>47</v>
      </c>
      <c r="I47" s="11">
        <v>44060</v>
      </c>
    </row>
    <row r="48" spans="1:23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49"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C23:F23"/>
    <mergeCell ref="C24:D25"/>
    <mergeCell ref="E24:F25"/>
    <mergeCell ref="C20:D20"/>
    <mergeCell ref="E20:F20"/>
    <mergeCell ref="I4:I5"/>
    <mergeCell ref="C3:F3"/>
    <mergeCell ref="K3:N3"/>
    <mergeCell ref="K4:L4"/>
    <mergeCell ref="M4:N4"/>
    <mergeCell ref="K5:L5"/>
    <mergeCell ref="M5:N5"/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2026-05-17T14:42:21Z</dcterms:modified>
</cp:coreProperties>
</file>