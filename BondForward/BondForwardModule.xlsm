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임대선\Desktop\새 폴더\github5\BondForward\BondForward\"/>
    </mc:Choice>
  </mc:AlternateContent>
  <xr:revisionPtr revIDLastSave="0" documentId="13_ncr:1_{B2DE5E61-1C68-4C25-A861-A590987559EF}" xr6:coauthVersionLast="47" xr6:coauthVersionMax="47" xr10:uidLastSave="{00000000-0000-0000-0000-000000000000}"/>
  <bookViews>
    <workbookView xWindow="-108" yWindow="-108" windowWidth="23256" windowHeight="12456" xr2:uid="{4514B56E-832E-4AC7-A774-B053E58CAC6D}"/>
  </bookViews>
  <sheets>
    <sheet name="Sheet1" sheetId="1" r:id="rId1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9" i="1" l="1"/>
  <c r="O21" i="1" l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2" i="1"/>
  <c r="C24" i="1"/>
  <c r="G7" i="1" l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  <author>임대선</author>
  </authors>
  <commentList>
    <comment ref="C5" authorId="0" shapeId="0" xr:uid="{412023CD-18B6-40DB-9B0B-C30F78D980CE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C6" authorId="0" shapeId="0" xr:uid="{6B2FE56C-8956-41E3-8F63-28CA5394808D}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C24" authorId="1" shapeId="0" xr:uid="{69E86045-D7FC-4A2B-B758-29319271DEAF}">
      <text>
        <r>
          <rPr>
            <b/>
            <sz val="9"/>
            <color indexed="81"/>
            <rFont val="Tahoma"/>
            <family val="2"/>
          </rPr>
          <t>YTMFlag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YTM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sharedStrings.xml><?xml version="1.0" encoding="utf-8"?>
<sst xmlns="http://schemas.openxmlformats.org/spreadsheetml/2006/main" count="42" uniqueCount="39">
  <si>
    <t>가격평가일</t>
    <phoneticPr fontId="3" type="noConversion"/>
  </si>
  <si>
    <t>Fixed/Floating Flag</t>
    <phoneticPr fontId="3" type="noConversion"/>
  </si>
  <si>
    <t>DayCount</t>
    <phoneticPr fontId="3" type="noConversion"/>
  </si>
  <si>
    <t>Notional Amount</t>
    <phoneticPr fontId="3" type="noConversion"/>
  </si>
  <si>
    <t>상품발행일</t>
    <phoneticPr fontId="3" type="noConversion"/>
  </si>
  <si>
    <t>상품만기일</t>
    <phoneticPr fontId="3" type="noConversion"/>
  </si>
  <si>
    <t>연 쿠폰횟수</t>
    <phoneticPr fontId="3" type="noConversion"/>
  </si>
  <si>
    <t>언더라잉 채권정보</t>
    <phoneticPr fontId="3" type="noConversion"/>
  </si>
  <si>
    <t>선도계약 정보</t>
    <phoneticPr fontId="3" type="noConversion"/>
  </si>
  <si>
    <t>선도만기일</t>
    <phoneticPr fontId="3" type="noConversion"/>
  </si>
  <si>
    <t>고정금리</t>
    <phoneticPr fontId="3" type="noConversion"/>
  </si>
  <si>
    <t>YTMFlag</t>
    <phoneticPr fontId="3" type="noConversion"/>
  </si>
  <si>
    <t>이자율스왑커브</t>
    <phoneticPr fontId="3" type="noConversion"/>
  </si>
  <si>
    <t>ZeroCurve</t>
    <phoneticPr fontId="3" type="noConversion"/>
  </si>
  <si>
    <t>시장가격사용Flag</t>
    <phoneticPr fontId="3" type="noConversion"/>
  </si>
  <si>
    <t>시장가격</t>
    <phoneticPr fontId="3" type="noConversion"/>
  </si>
  <si>
    <t>선도 행사가격</t>
    <phoneticPr fontId="3" type="noConversion"/>
  </si>
  <si>
    <t>Holiday</t>
    <phoneticPr fontId="3" type="noConversion"/>
  </si>
  <si>
    <t>기본정보</t>
    <phoneticPr fontId="3" type="noConversion"/>
  </si>
  <si>
    <t>가격계산기</t>
    <phoneticPr fontId="3" type="noConversion"/>
  </si>
  <si>
    <t>GreekFlag</t>
    <phoneticPr fontId="3" type="noConversion"/>
  </si>
  <si>
    <t>TextFlag</t>
    <phoneticPr fontId="3" type="noConversion"/>
  </si>
  <si>
    <t>Result스케줄확인개수</t>
    <phoneticPr fontId="3" type="noConversion"/>
  </si>
  <si>
    <t>가격계산결과</t>
    <phoneticPr fontId="3" type="noConversion"/>
  </si>
  <si>
    <t>채권선도가격</t>
    <phoneticPr fontId="3" type="noConversion"/>
  </si>
  <si>
    <t>채권가격</t>
    <phoneticPr fontId="3" type="noConversion"/>
  </si>
  <si>
    <t>채권가격(Forward시점)</t>
    <phoneticPr fontId="3" type="noConversion"/>
  </si>
  <si>
    <t>현재 정산가치</t>
    <phoneticPr fontId="3" type="noConversion"/>
  </si>
  <si>
    <t>DebugFlag</t>
    <phoneticPr fontId="3" type="noConversion"/>
  </si>
  <si>
    <t>쿠폰</t>
    <phoneticPr fontId="3" type="noConversion"/>
  </si>
  <si>
    <t>DF</t>
    <phoneticPr fontId="3" type="noConversion"/>
  </si>
  <si>
    <t>기초금리</t>
    <phoneticPr fontId="3" type="noConversion"/>
  </si>
  <si>
    <t>DiscCashFlow</t>
    <phoneticPr fontId="3" type="noConversion"/>
  </si>
  <si>
    <t>지급일</t>
    <phoneticPr fontId="3" type="noConversion"/>
  </si>
  <si>
    <t>Greeks Discount</t>
    <phoneticPr fontId="3" type="noConversion"/>
  </si>
  <si>
    <t>Greeks RiskFreeRate</t>
    <phoneticPr fontId="3" type="noConversion"/>
  </si>
  <si>
    <t>Term</t>
    <phoneticPr fontId="3" type="noConversion"/>
  </si>
  <si>
    <t>PV01</t>
    <phoneticPr fontId="3" type="noConversion"/>
  </si>
  <si>
    <t>Gamma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</si>
</sst>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43" formatCode="_-* #,##0.00_-;\-* #,##0.00_-;_-* &quot;-&quot;??_-;_-@_-"/>
    <numFmt numFmtId="176" formatCode="0.000%"/>
    <numFmt numFmtId="177" formatCode="_-* #,##0.00000_-;\-* #,##0.00000_-;_-* &quot;-&quot;_-;_-@_-"/>
    <numFmt numFmtId="178" formatCode="0.0000000"/>
    <numFmt numFmtId="179" formatCode="0.000000"/>
  </numFmts>
  <fonts count="1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</cellStyleXfs>
  <cellXfs count="49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4" fillId="5" borderId="0" xfId="0" applyFont="1" applyFill="1">
      <alignment vertical="center"/>
    </xf>
    <xf numFmtId="14" fontId="10" fillId="8" borderId="0" xfId="0" applyNumberFormat="1" applyFont="1" applyFill="1">
      <alignment vertical="center"/>
    </xf>
    <xf numFmtId="10" fontId="11" fillId="8" borderId="0" xfId="0" applyNumberFormat="1" applyFont="1" applyFill="1" applyAlignment="1"/>
    <xf numFmtId="10" fontId="11" fillId="8" borderId="0" xfId="1" applyNumberFormat="1" applyFont="1" applyFill="1" applyBorder="1" applyAlignment="1"/>
    <xf numFmtId="14" fontId="12" fillId="8" borderId="0" xfId="0" applyNumberFormat="1" applyFont="1" applyFill="1">
      <alignment vertical="center"/>
    </xf>
    <xf numFmtId="10" fontId="5" fillId="8" borderId="0" xfId="1" applyNumberFormat="1" applyFont="1" applyFill="1" applyBorder="1">
      <alignment vertical="center"/>
    </xf>
    <xf numFmtId="0" fontId="13" fillId="5" borderId="0" xfId="0" applyFont="1" applyFill="1" applyAlignment="1">
      <alignment horizontal="center" vertical="center"/>
    </xf>
    <xf numFmtId="0" fontId="0" fillId="6" borderId="0" xfId="0" applyFill="1">
      <alignment vertical="center"/>
    </xf>
    <xf numFmtId="14" fontId="2" fillId="8" borderId="0" xfId="0" applyNumberFormat="1" applyFont="1" applyFill="1" applyAlignment="1">
      <alignment horizontal="center" vertical="center"/>
    </xf>
    <xf numFmtId="0" fontId="0" fillId="8" borderId="0" xfId="0" applyFill="1">
      <alignment vertical="center"/>
    </xf>
    <xf numFmtId="14" fontId="0" fillId="2" borderId="0" xfId="0" applyNumberFormat="1" applyFill="1">
      <alignment vertical="center"/>
    </xf>
    <xf numFmtId="43" fontId="0" fillId="2" borderId="0" xfId="0" applyNumberFormat="1" applyFill="1">
      <alignment vertical="center"/>
    </xf>
    <xf numFmtId="0" fontId="4" fillId="10" borderId="0" xfId="0" applyFont="1" applyFill="1">
      <alignment vertical="center"/>
    </xf>
    <xf numFmtId="0" fontId="0" fillId="11" borderId="0" xfId="0" applyFill="1">
      <alignment vertical="center"/>
    </xf>
    <xf numFmtId="178" fontId="0" fillId="11" borderId="0" xfId="0" applyNumberFormat="1" applyFill="1">
      <alignment vertical="center"/>
    </xf>
    <xf numFmtId="179" fontId="0" fillId="11" borderId="0" xfId="0" applyNumberFormat="1" applyFill="1">
      <alignment vertical="center"/>
    </xf>
    <xf numFmtId="0" fontId="4" fillId="10" borderId="0" xfId="0" applyFont="1" applyFill="1" applyAlignment="1">
      <alignment horizontal="center" vertical="center"/>
    </xf>
    <xf numFmtId="177" fontId="5" fillId="6" borderId="6" xfId="2" applyNumberFormat="1" applyFont="1" applyFill="1" applyBorder="1" applyAlignment="1" applyProtection="1">
      <alignment horizontal="center" vertical="center"/>
      <protection locked="0"/>
    </xf>
    <xf numFmtId="177" fontId="5" fillId="6" borderId="7" xfId="2" applyNumberFormat="1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Alignment="1">
      <alignment horizontal="center" vertical="center"/>
    </xf>
    <xf numFmtId="0" fontId="5" fillId="6" borderId="6" xfId="0" applyFont="1" applyFill="1" applyBorder="1" applyAlignment="1" applyProtection="1">
      <alignment horizontal="center" vertical="center"/>
      <protection locked="0"/>
    </xf>
    <xf numFmtId="0" fontId="5" fillId="6" borderId="7" xfId="0" applyFont="1" applyFill="1" applyBorder="1" applyAlignment="1" applyProtection="1">
      <alignment horizontal="center" vertical="center"/>
      <protection locked="0"/>
    </xf>
    <xf numFmtId="0" fontId="9" fillId="10" borderId="1" xfId="0" applyFont="1" applyFill="1" applyBorder="1" applyAlignment="1">
      <alignment horizontal="center" vertical="center" wrapText="1"/>
    </xf>
    <xf numFmtId="0" fontId="9" fillId="10" borderId="2" xfId="0" applyFont="1" applyFill="1" applyBorder="1" applyAlignment="1">
      <alignment horizontal="center" vertical="center" wrapText="1"/>
    </xf>
    <xf numFmtId="0" fontId="9" fillId="10" borderId="3" xfId="0" applyFont="1" applyFill="1" applyBorder="1" applyAlignment="1">
      <alignment horizontal="center" vertical="center" wrapText="1"/>
    </xf>
    <xf numFmtId="0" fontId="9" fillId="7" borderId="0" xfId="0" applyFont="1" applyFill="1" applyAlignment="1">
      <alignment horizontal="center" vertical="center"/>
    </xf>
    <xf numFmtId="0" fontId="9" fillId="3" borderId="1" xfId="0" applyFont="1" applyFill="1" applyBorder="1" applyAlignment="1">
      <alignment horizontal="center" vertical="center" wrapText="1"/>
    </xf>
    <xf numFmtId="0" fontId="9" fillId="3" borderId="2" xfId="0" applyFont="1" applyFill="1" applyBorder="1" applyAlignment="1">
      <alignment horizontal="center" vertical="center" wrapText="1"/>
    </xf>
    <xf numFmtId="0" fontId="9" fillId="3" borderId="3" xfId="0" applyFont="1" applyFill="1" applyBorder="1" applyAlignment="1">
      <alignment horizontal="center" vertical="center" wrapText="1"/>
    </xf>
    <xf numFmtId="0" fontId="9" fillId="9" borderId="0" xfId="0" applyFont="1" applyFill="1" applyAlignment="1">
      <alignment horizontal="center" vertical="center"/>
    </xf>
    <xf numFmtId="0" fontId="9" fillId="3" borderId="4" xfId="0" applyFont="1" applyFill="1" applyBorder="1" applyAlignment="1" applyProtection="1">
      <alignment horizontal="center" vertical="center" wrapText="1"/>
      <protection locked="0"/>
    </xf>
    <xf numFmtId="0" fontId="9" fillId="3" borderId="5" xfId="0" applyFont="1" applyFill="1" applyBorder="1" applyAlignment="1" applyProtection="1">
      <alignment horizontal="center" vertical="center" wrapText="1"/>
      <protection locked="0"/>
    </xf>
    <xf numFmtId="176" fontId="5" fillId="6" borderId="0" xfId="1" applyNumberFormat="1" applyFont="1" applyFill="1" applyBorder="1" applyAlignment="1" applyProtection="1">
      <alignment horizontal="center" vertical="center"/>
      <protection locked="0"/>
    </xf>
    <xf numFmtId="176" fontId="5" fillId="6" borderId="7" xfId="1" applyNumberFormat="1" applyFont="1" applyFill="1" applyBorder="1" applyAlignment="1" applyProtection="1">
      <alignment horizontal="center" vertical="center"/>
      <protection locked="0"/>
    </xf>
    <xf numFmtId="0" fontId="9" fillId="3" borderId="6" xfId="0" applyFont="1" applyFill="1" applyBorder="1" applyAlignment="1" applyProtection="1">
      <alignment horizontal="center" vertical="center"/>
      <protection locked="0"/>
    </xf>
    <xf numFmtId="0" fontId="9" fillId="3" borderId="7" xfId="0" applyFont="1" applyFill="1" applyBorder="1" applyAlignment="1" applyProtection="1">
      <alignment horizontal="center" vertical="center"/>
      <protection locked="0"/>
    </xf>
    <xf numFmtId="14" fontId="5" fillId="6" borderId="4" xfId="0" applyNumberFormat="1" applyFont="1" applyFill="1" applyBorder="1" applyAlignment="1" applyProtection="1">
      <alignment horizontal="center" vertical="center"/>
      <protection locked="0"/>
    </xf>
    <xf numFmtId="14" fontId="5" fillId="6" borderId="5" xfId="0" applyNumberFormat="1" applyFont="1" applyFill="1" applyBorder="1" applyAlignment="1" applyProtection="1">
      <alignment horizontal="center" vertical="center"/>
      <protection locked="0"/>
    </xf>
    <xf numFmtId="14" fontId="5" fillId="6" borderId="6" xfId="0" applyNumberFormat="1" applyFont="1" applyFill="1" applyBorder="1" applyAlignment="1" applyProtection="1">
      <alignment horizontal="center" vertical="center"/>
      <protection locked="0"/>
    </xf>
    <xf numFmtId="14" fontId="5" fillId="6" borderId="7" xfId="0" applyNumberFormat="1" applyFont="1" applyFill="1" applyBorder="1" applyAlignment="1" applyProtection="1">
      <alignment horizontal="center" vertical="center"/>
      <protection locked="0"/>
    </xf>
    <xf numFmtId="14" fontId="5" fillId="4" borderId="0" xfId="0" applyNumberFormat="1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9" fillId="3" borderId="4" xfId="0" applyFont="1" applyFill="1" applyBorder="1" applyAlignment="1" applyProtection="1">
      <alignment horizontal="center" vertical="center"/>
      <protection locked="0"/>
    </xf>
    <xf numFmtId="0" fontId="9" fillId="3" borderId="5" xfId="0" applyFont="1" applyFill="1" applyBorder="1" applyAlignment="1" applyProtection="1">
      <alignment horizontal="center" vertical="center"/>
      <protection locked="0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243840</xdr:colOff>
          <xdr:row>7</xdr:row>
          <xdr:rowOff>121920</xdr:rowOff>
        </xdr:from>
        <xdr:to>
          <xdr:col>13</xdr:col>
          <xdr:colOff>312420</xdr:colOff>
          <xdr:row>11</xdr:row>
          <xdr:rowOff>91440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B0FC6-DE52-4EE2-BA7F-3169497E4757}">
  <sheetPr codeName="Sheet1"/>
  <dimension ref="A1:BU426"/>
  <sheetViews>
    <sheetView tabSelected="1" workbookViewId="0">
      <selection activeCell="M6" sqref="M6:N6"/>
    </sheetView>
  </sheetViews>
  <sheetFormatPr defaultColWidth="11.09765625" defaultRowHeight="16.2" customHeight="1" x14ac:dyDescent="0.4"/>
  <cols>
    <col min="1" max="1" width="11.09765625" style="2"/>
    <col min="2" max="2" width="11.09765625" style="1"/>
    <col min="3" max="6" width="11.09765625" style="12"/>
    <col min="7" max="7" width="11.09765625" style="1"/>
    <col min="8" max="8" width="0" style="1" hidden="1" customWidth="1"/>
    <col min="9" max="9" width="11.09765625" style="12"/>
    <col min="10" max="10" width="11.09765625" style="1"/>
    <col min="11" max="15" width="11.09765625" style="16"/>
    <col min="16" max="16" width="11.09765625" style="1"/>
    <col min="17" max="19" width="11.09765625" style="17"/>
    <col min="20" max="20" width="11.09765625" style="1"/>
    <col min="21" max="23" width="11.09765625" style="18"/>
    <col min="24" max="16384" width="11.09765625" style="1"/>
  </cols>
  <sheetData>
    <row r="1" spans="1:73" s="2" customFormat="1" ht="16.2" customHeight="1" x14ac:dyDescent="0.4">
      <c r="A1" s="2">
        <v>1</v>
      </c>
      <c r="B1" s="2">
        <f>A1+1</f>
        <v>2</v>
      </c>
      <c r="C1" s="2">
        <f t="shared" ref="C1:AJ1" si="0">B1+1</f>
        <v>3</v>
      </c>
      <c r="D1" s="2">
        <f t="shared" si="0"/>
        <v>4</v>
      </c>
      <c r="E1" s="2">
        <f t="shared" si="0"/>
        <v>5</v>
      </c>
      <c r="F1" s="2">
        <f t="shared" si="0"/>
        <v>6</v>
      </c>
      <c r="G1" s="2">
        <f t="shared" si="0"/>
        <v>7</v>
      </c>
      <c r="H1" s="2">
        <f t="shared" si="0"/>
        <v>8</v>
      </c>
      <c r="I1" s="2">
        <f t="shared" si="0"/>
        <v>9</v>
      </c>
      <c r="J1" s="2">
        <f t="shared" si="0"/>
        <v>10</v>
      </c>
      <c r="K1" s="2">
        <f t="shared" si="0"/>
        <v>11</v>
      </c>
      <c r="L1" s="2">
        <f t="shared" si="0"/>
        <v>12</v>
      </c>
      <c r="M1" s="2">
        <f t="shared" si="0"/>
        <v>13</v>
      </c>
      <c r="N1" s="2">
        <f t="shared" si="0"/>
        <v>14</v>
      </c>
      <c r="O1" s="2">
        <f t="shared" si="0"/>
        <v>15</v>
      </c>
      <c r="P1" s="2">
        <f t="shared" si="0"/>
        <v>16</v>
      </c>
      <c r="Q1" s="2">
        <f t="shared" si="0"/>
        <v>17</v>
      </c>
      <c r="R1" s="2">
        <f t="shared" si="0"/>
        <v>18</v>
      </c>
      <c r="S1" s="2">
        <f t="shared" si="0"/>
        <v>19</v>
      </c>
      <c r="T1" s="2">
        <f t="shared" si="0"/>
        <v>20</v>
      </c>
      <c r="U1" s="2">
        <f t="shared" si="0"/>
        <v>21</v>
      </c>
      <c r="V1" s="2">
        <f t="shared" si="0"/>
        <v>22</v>
      </c>
      <c r="W1" s="2">
        <f t="shared" si="0"/>
        <v>23</v>
      </c>
      <c r="X1" s="2">
        <f t="shared" si="0"/>
        <v>24</v>
      </c>
      <c r="Y1" s="2">
        <f t="shared" si="0"/>
        <v>25</v>
      </c>
      <c r="Z1" s="2">
        <f t="shared" si="0"/>
        <v>26</v>
      </c>
      <c r="AA1" s="2">
        <f t="shared" si="0"/>
        <v>27</v>
      </c>
      <c r="AB1" s="2">
        <f t="shared" si="0"/>
        <v>28</v>
      </c>
      <c r="AC1" s="2">
        <f t="shared" si="0"/>
        <v>29</v>
      </c>
      <c r="AD1" s="2">
        <f t="shared" si="0"/>
        <v>30</v>
      </c>
      <c r="AE1" s="2">
        <f t="shared" si="0"/>
        <v>31</v>
      </c>
      <c r="AF1" s="2">
        <f t="shared" si="0"/>
        <v>32</v>
      </c>
      <c r="AG1" s="2">
        <f t="shared" si="0"/>
        <v>33</v>
      </c>
      <c r="AH1" s="2">
        <f t="shared" si="0"/>
        <v>34</v>
      </c>
      <c r="AI1" s="2">
        <f t="shared" si="0"/>
        <v>35</v>
      </c>
      <c r="AJ1" s="2">
        <f t="shared" si="0"/>
        <v>36</v>
      </c>
      <c r="AK1" s="2">
        <f>AJ1+1</f>
        <v>37</v>
      </c>
      <c r="AL1" s="2">
        <f t="shared" ref="AL1:BU1" si="1">AK1+1</f>
        <v>38</v>
      </c>
      <c r="AM1" s="2">
        <f t="shared" si="1"/>
        <v>39</v>
      </c>
      <c r="AN1" s="2">
        <f t="shared" si="1"/>
        <v>40</v>
      </c>
      <c r="AO1" s="2">
        <f t="shared" si="1"/>
        <v>41</v>
      </c>
      <c r="AP1" s="2">
        <f t="shared" si="1"/>
        <v>42</v>
      </c>
      <c r="AQ1" s="2">
        <f t="shared" si="1"/>
        <v>43</v>
      </c>
      <c r="AR1" s="2">
        <f t="shared" si="1"/>
        <v>44</v>
      </c>
      <c r="AS1" s="2">
        <f t="shared" si="1"/>
        <v>45</v>
      </c>
      <c r="AT1" s="2">
        <f t="shared" si="1"/>
        <v>46</v>
      </c>
      <c r="AU1" s="2">
        <f t="shared" si="1"/>
        <v>47</v>
      </c>
      <c r="AV1" s="2">
        <f t="shared" si="1"/>
        <v>48</v>
      </c>
      <c r="AW1" s="2">
        <f t="shared" si="1"/>
        <v>49</v>
      </c>
      <c r="AX1" s="2">
        <f t="shared" si="1"/>
        <v>50</v>
      </c>
      <c r="AY1" s="2">
        <f t="shared" si="1"/>
        <v>51</v>
      </c>
      <c r="AZ1" s="2">
        <f t="shared" si="1"/>
        <v>52</v>
      </c>
      <c r="BA1" s="2">
        <f t="shared" si="1"/>
        <v>53</v>
      </c>
      <c r="BB1" s="2">
        <f t="shared" si="1"/>
        <v>54</v>
      </c>
      <c r="BC1" s="2">
        <f t="shared" si="1"/>
        <v>55</v>
      </c>
      <c r="BD1" s="2">
        <f t="shared" si="1"/>
        <v>56</v>
      </c>
      <c r="BE1" s="2">
        <f t="shared" si="1"/>
        <v>57</v>
      </c>
      <c r="BF1" s="2">
        <f t="shared" si="1"/>
        <v>58</v>
      </c>
      <c r="BG1" s="2">
        <f t="shared" si="1"/>
        <v>59</v>
      </c>
      <c r="BH1" s="2">
        <f t="shared" si="1"/>
        <v>60</v>
      </c>
      <c r="BI1" s="2">
        <f t="shared" si="1"/>
        <v>61</v>
      </c>
      <c r="BJ1" s="2">
        <f t="shared" si="1"/>
        <v>62</v>
      </c>
      <c r="BK1" s="2">
        <f t="shared" si="1"/>
        <v>63</v>
      </c>
      <c r="BL1" s="2">
        <f t="shared" si="1"/>
        <v>64</v>
      </c>
      <c r="BM1" s="2">
        <f t="shared" si="1"/>
        <v>65</v>
      </c>
      <c r="BN1" s="2">
        <f t="shared" si="1"/>
        <v>66</v>
      </c>
      <c r="BO1" s="2">
        <f t="shared" si="1"/>
        <v>67</v>
      </c>
      <c r="BP1" s="2">
        <f t="shared" si="1"/>
        <v>68</v>
      </c>
      <c r="BQ1" s="2">
        <f t="shared" si="1"/>
        <v>69</v>
      </c>
      <c r="BR1" s="2">
        <f t="shared" si="1"/>
        <v>70</v>
      </c>
      <c r="BS1" s="2">
        <f t="shared" si="1"/>
        <v>71</v>
      </c>
      <c r="BT1" s="2">
        <f t="shared" si="1"/>
        <v>72</v>
      </c>
      <c r="BU1" s="2">
        <f t="shared" si="1"/>
        <v>73</v>
      </c>
    </row>
    <row r="2" spans="1:73" ht="16.2" customHeight="1" x14ac:dyDescent="0.4">
      <c r="A2" s="2">
        <f>A1+1</f>
        <v>2</v>
      </c>
      <c r="B2" s="1" t="s">
        <v>28</v>
      </c>
      <c r="C2" s="1">
        <v>1</v>
      </c>
      <c r="D2" s="1"/>
      <c r="E2" s="1"/>
      <c r="F2" s="1"/>
      <c r="I2" s="1"/>
      <c r="K2" s="1"/>
      <c r="L2" s="1"/>
      <c r="M2" s="1"/>
      <c r="N2" s="1"/>
      <c r="O2" s="1"/>
      <c r="Q2" s="1"/>
      <c r="R2" s="1"/>
      <c r="S2" s="1"/>
      <c r="U2" s="1"/>
      <c r="V2" s="1"/>
      <c r="W2" s="1"/>
    </row>
    <row r="3" spans="1:73" ht="16.2" customHeight="1" x14ac:dyDescent="0.4">
      <c r="A3" s="2">
        <f t="shared" ref="A3:A65" si="2">A2+1</f>
        <v>3</v>
      </c>
      <c r="C3" s="29" t="s">
        <v>18</v>
      </c>
      <c r="D3" s="30"/>
      <c r="E3" s="30"/>
      <c r="F3" s="31"/>
      <c r="I3" s="1"/>
      <c r="K3" s="29" t="s">
        <v>19</v>
      </c>
      <c r="L3" s="30"/>
      <c r="M3" s="30"/>
      <c r="N3" s="31"/>
      <c r="O3" s="1"/>
      <c r="Q3" s="1"/>
      <c r="R3" s="1"/>
      <c r="S3" s="1"/>
      <c r="U3" s="1"/>
      <c r="V3" s="1"/>
      <c r="W3" s="1"/>
    </row>
    <row r="4" spans="1:73" ht="16.2" customHeight="1" x14ac:dyDescent="0.4">
      <c r="A4" s="2">
        <f t="shared" si="2"/>
        <v>4</v>
      </c>
      <c r="C4" s="22" t="s">
        <v>0</v>
      </c>
      <c r="D4" s="22"/>
      <c r="E4" s="43">
        <v>46160</v>
      </c>
      <c r="F4" s="44"/>
      <c r="I4" s="28" t="s">
        <v>17</v>
      </c>
      <c r="K4" s="22" t="s">
        <v>20</v>
      </c>
      <c r="L4" s="22"/>
      <c r="M4" s="23">
        <v>1</v>
      </c>
      <c r="N4" s="24"/>
      <c r="O4" s="1"/>
      <c r="Q4" s="1"/>
      <c r="R4" s="1"/>
      <c r="S4" s="1"/>
      <c r="U4" s="1"/>
      <c r="V4" s="1"/>
      <c r="W4" s="1"/>
    </row>
    <row r="5" spans="1:73" ht="16.2" customHeight="1" x14ac:dyDescent="0.4">
      <c r="A5" s="2">
        <f t="shared" si="2"/>
        <v>5</v>
      </c>
      <c r="C5" s="45" t="s">
        <v>1</v>
      </c>
      <c r="D5" s="46"/>
      <c r="E5" s="44">
        <v>0</v>
      </c>
      <c r="F5" s="44"/>
      <c r="I5" s="28"/>
      <c r="K5" s="22" t="s">
        <v>21</v>
      </c>
      <c r="L5" s="22"/>
      <c r="M5" s="23">
        <v>0</v>
      </c>
      <c r="N5" s="24"/>
      <c r="O5" s="1"/>
      <c r="Q5" s="1"/>
      <c r="R5" s="1"/>
      <c r="S5" s="1"/>
      <c r="U5" s="1"/>
      <c r="V5" s="1"/>
      <c r="W5" s="1"/>
    </row>
    <row r="6" spans="1:73" ht="16.2" customHeight="1" x14ac:dyDescent="0.4">
      <c r="A6" s="2">
        <f t="shared" si="2"/>
        <v>6</v>
      </c>
      <c r="C6" s="45" t="s">
        <v>2</v>
      </c>
      <c r="D6" s="46"/>
      <c r="E6" s="44">
        <v>0</v>
      </c>
      <c r="F6" s="44"/>
      <c r="I6" s="11">
        <v>43101</v>
      </c>
      <c r="K6" s="22" t="s">
        <v>22</v>
      </c>
      <c r="L6" s="22"/>
      <c r="M6" s="23">
        <v>100</v>
      </c>
      <c r="N6" s="24"/>
      <c r="O6" s="1"/>
      <c r="Q6" s="1"/>
      <c r="R6" s="1"/>
      <c r="S6" s="1"/>
      <c r="U6" s="1"/>
      <c r="V6" s="1"/>
      <c r="W6" s="1"/>
    </row>
    <row r="7" spans="1:73" ht="16.2" customHeight="1" x14ac:dyDescent="0.4">
      <c r="A7" s="2">
        <f t="shared" si="2"/>
        <v>7</v>
      </c>
      <c r="C7" s="22" t="s">
        <v>3</v>
      </c>
      <c r="D7" s="22"/>
      <c r="E7" s="44">
        <v>1000</v>
      </c>
      <c r="F7" s="44"/>
      <c r="G7" s="3" t="str">
        <f>IF(AQ13=1,"x Rcv FX","원")</f>
        <v>원</v>
      </c>
      <c r="I7" s="11">
        <v>43146</v>
      </c>
      <c r="K7" s="1"/>
      <c r="L7" s="1"/>
      <c r="M7" s="1"/>
      <c r="N7" s="1"/>
      <c r="O7" s="1"/>
      <c r="Q7" s="1"/>
      <c r="R7" s="1"/>
      <c r="S7" s="1"/>
      <c r="U7" s="1"/>
      <c r="V7" s="1"/>
      <c r="W7" s="1"/>
    </row>
    <row r="8" spans="1:73" ht="16.2" customHeight="1" x14ac:dyDescent="0.4">
      <c r="A8" s="2">
        <f t="shared" si="2"/>
        <v>8</v>
      </c>
      <c r="C8" s="1"/>
      <c r="D8" s="1"/>
      <c r="E8" s="1"/>
      <c r="F8" s="1"/>
      <c r="I8" s="11">
        <v>43147</v>
      </c>
      <c r="K8" s="1"/>
      <c r="L8" s="1"/>
      <c r="M8" s="1"/>
      <c r="N8" s="1"/>
      <c r="O8" s="1"/>
      <c r="Q8" s="1"/>
      <c r="R8" s="1"/>
      <c r="S8" s="1"/>
      <c r="U8" s="1"/>
      <c r="V8" s="1"/>
      <c r="W8" s="1"/>
    </row>
    <row r="9" spans="1:73" ht="16.2" customHeight="1" x14ac:dyDescent="0.4">
      <c r="A9" s="2">
        <f t="shared" si="2"/>
        <v>9</v>
      </c>
      <c r="C9" s="29" t="s">
        <v>7</v>
      </c>
      <c r="D9" s="30"/>
      <c r="E9" s="30"/>
      <c r="F9" s="31"/>
      <c r="I9" s="11">
        <v>43148</v>
      </c>
      <c r="K9" s="1"/>
      <c r="L9" s="1"/>
      <c r="M9" s="1"/>
      <c r="N9" s="1"/>
      <c r="O9" s="1"/>
      <c r="Q9" s="1"/>
      <c r="R9" s="1"/>
      <c r="S9" s="1"/>
      <c r="U9" s="1"/>
      <c r="V9" s="1"/>
      <c r="W9" s="1"/>
    </row>
    <row r="10" spans="1:73" ht="16.2" customHeight="1" x14ac:dyDescent="0.4">
      <c r="A10" s="2">
        <f t="shared" si="2"/>
        <v>10</v>
      </c>
      <c r="C10" s="47" t="s">
        <v>4</v>
      </c>
      <c r="D10" s="48"/>
      <c r="E10" s="39">
        <v>46160</v>
      </c>
      <c r="F10" s="40"/>
      <c r="I10" s="11">
        <v>43160</v>
      </c>
      <c r="K10" s="1"/>
      <c r="L10" s="1"/>
      <c r="M10" s="1"/>
      <c r="N10" s="1"/>
      <c r="O10" s="1"/>
      <c r="Q10" s="1"/>
      <c r="R10" s="1"/>
      <c r="S10" s="1"/>
      <c r="U10" s="1"/>
      <c r="V10" s="1"/>
      <c r="W10" s="1"/>
    </row>
    <row r="11" spans="1:73" ht="16.2" customHeight="1" x14ac:dyDescent="0.4">
      <c r="A11" s="2">
        <f t="shared" si="2"/>
        <v>11</v>
      </c>
      <c r="C11" s="37" t="s">
        <v>5</v>
      </c>
      <c r="D11" s="38"/>
      <c r="E11" s="41">
        <v>49813</v>
      </c>
      <c r="F11" s="42"/>
      <c r="I11" s="11">
        <v>43221</v>
      </c>
      <c r="K11" s="1"/>
      <c r="L11" s="1"/>
      <c r="M11" s="1"/>
      <c r="N11" s="1"/>
      <c r="O11" s="1"/>
      <c r="Q11" s="1"/>
      <c r="R11" s="1"/>
      <c r="S11" s="1"/>
      <c r="U11" s="1"/>
      <c r="V11" s="1"/>
      <c r="W11" s="1"/>
    </row>
    <row r="12" spans="1:73" ht="16.2" customHeight="1" x14ac:dyDescent="0.4">
      <c r="A12" s="2">
        <f t="shared" si="2"/>
        <v>12</v>
      </c>
      <c r="C12" s="22" t="s">
        <v>6</v>
      </c>
      <c r="D12" s="22"/>
      <c r="E12" s="23">
        <v>1</v>
      </c>
      <c r="F12" s="24"/>
      <c r="I12" s="11">
        <v>43227</v>
      </c>
      <c r="K12" s="1"/>
      <c r="L12" s="1"/>
      <c r="M12" s="1"/>
      <c r="N12" s="1"/>
      <c r="O12" s="1"/>
      <c r="Q12" s="1"/>
      <c r="R12" s="1"/>
      <c r="S12" s="1"/>
      <c r="U12" s="1"/>
      <c r="V12" s="1"/>
      <c r="W12" s="1"/>
    </row>
    <row r="13" spans="1:73" ht="16.2" customHeight="1" x14ac:dyDescent="0.4">
      <c r="A13" s="2">
        <f t="shared" si="2"/>
        <v>13</v>
      </c>
      <c r="C13" s="37" t="s">
        <v>10</v>
      </c>
      <c r="D13" s="38"/>
      <c r="E13" s="35">
        <v>0.04</v>
      </c>
      <c r="F13" s="36"/>
      <c r="I13" s="11">
        <v>43242</v>
      </c>
      <c r="K13" s="1"/>
      <c r="L13" s="1"/>
      <c r="M13" s="1"/>
      <c r="N13" s="1"/>
      <c r="O13" s="1"/>
      <c r="Q13" s="1"/>
      <c r="R13" s="1"/>
      <c r="S13" s="1"/>
      <c r="U13" s="1"/>
      <c r="V13" s="1"/>
      <c r="W13" s="1"/>
    </row>
    <row r="14" spans="1:73" ht="16.2" customHeight="1" x14ac:dyDescent="0.4">
      <c r="A14" s="2">
        <f t="shared" si="2"/>
        <v>14</v>
      </c>
      <c r="C14" s="1"/>
      <c r="D14" s="1"/>
      <c r="E14" s="1"/>
      <c r="F14" s="1"/>
      <c r="I14" s="11">
        <v>43257</v>
      </c>
      <c r="K14" s="1"/>
      <c r="L14" s="1"/>
      <c r="M14" s="1"/>
      <c r="N14" s="1"/>
      <c r="O14" s="1"/>
      <c r="Q14" s="1"/>
      <c r="R14" s="1"/>
      <c r="S14" s="1"/>
      <c r="U14" s="1"/>
      <c r="V14" s="1"/>
      <c r="W14" s="1"/>
    </row>
    <row r="15" spans="1:73" ht="16.2" customHeight="1" x14ac:dyDescent="0.4">
      <c r="A15" s="2">
        <f t="shared" si="2"/>
        <v>15</v>
      </c>
      <c r="C15" s="37" t="s">
        <v>14</v>
      </c>
      <c r="D15" s="38"/>
      <c r="E15" s="23">
        <v>0</v>
      </c>
      <c r="F15" s="24"/>
      <c r="I15" s="11">
        <v>43327</v>
      </c>
      <c r="K15" s="1"/>
      <c r="L15" s="1"/>
      <c r="M15" s="1"/>
      <c r="N15" s="1"/>
      <c r="O15" s="1"/>
      <c r="Q15" s="1"/>
      <c r="R15" s="1"/>
      <c r="S15" s="1"/>
      <c r="U15" s="1"/>
      <c r="V15" s="1"/>
      <c r="W15" s="1"/>
    </row>
    <row r="16" spans="1:73" ht="16.2" customHeight="1" x14ac:dyDescent="0.4">
      <c r="A16" s="2">
        <f t="shared" si="2"/>
        <v>16</v>
      </c>
      <c r="C16" s="37" t="s">
        <v>15</v>
      </c>
      <c r="D16" s="38"/>
      <c r="E16" s="35">
        <v>1</v>
      </c>
      <c r="F16" s="36"/>
      <c r="I16" s="11">
        <v>43367</v>
      </c>
      <c r="K16" s="1"/>
      <c r="L16" s="1"/>
      <c r="M16" s="1"/>
      <c r="N16" s="1"/>
      <c r="O16" s="1"/>
      <c r="Q16" s="1"/>
      <c r="R16" s="1"/>
      <c r="S16" s="1"/>
      <c r="U16" s="1"/>
      <c r="V16" s="1"/>
      <c r="W16" s="1"/>
    </row>
    <row r="17" spans="1:23" ht="16.2" customHeight="1" x14ac:dyDescent="0.4">
      <c r="A17" s="2">
        <f t="shared" si="2"/>
        <v>17</v>
      </c>
      <c r="C17" s="1"/>
      <c r="D17" s="1"/>
      <c r="E17" s="1"/>
      <c r="F17" s="1"/>
      <c r="I17" s="11">
        <v>43368</v>
      </c>
      <c r="K17" s="25" t="s">
        <v>23</v>
      </c>
      <c r="L17" s="26"/>
      <c r="M17" s="26"/>
      <c r="N17" s="27"/>
      <c r="O17" s="1"/>
      <c r="Q17" s="1"/>
      <c r="R17" s="1"/>
      <c r="S17" s="1"/>
      <c r="U17" s="1"/>
      <c r="V17" s="1"/>
      <c r="W17" s="1"/>
    </row>
    <row r="18" spans="1:23" ht="16.2" customHeight="1" x14ac:dyDescent="0.4">
      <c r="A18" s="2">
        <f t="shared" si="2"/>
        <v>18</v>
      </c>
      <c r="C18" s="29" t="s">
        <v>8</v>
      </c>
      <c r="D18" s="30"/>
      <c r="E18" s="30"/>
      <c r="F18" s="31"/>
      <c r="I18" s="11">
        <v>43369</v>
      </c>
      <c r="K18" s="19" t="s">
        <v>24</v>
      </c>
      <c r="L18" s="19"/>
      <c r="M18" s="20">
        <v>959.03896899885433</v>
      </c>
      <c r="N18" s="21"/>
      <c r="O18" s="1"/>
      <c r="Q18" s="1"/>
      <c r="R18" s="1"/>
      <c r="S18" s="1"/>
      <c r="U18" s="1"/>
      <c r="V18" s="1"/>
      <c r="W18" s="1"/>
    </row>
    <row r="19" spans="1:23" ht="16.2" customHeight="1" x14ac:dyDescent="0.4">
      <c r="A19" s="2">
        <f t="shared" si="2"/>
        <v>19</v>
      </c>
      <c r="C19" s="33" t="s">
        <v>9</v>
      </c>
      <c r="D19" s="34"/>
      <c r="E19" s="39">
        <f>E11</f>
        <v>49813</v>
      </c>
      <c r="F19" s="40"/>
      <c r="I19" s="11">
        <v>43376</v>
      </c>
      <c r="K19" s="19" t="s">
        <v>25</v>
      </c>
      <c r="L19" s="19"/>
      <c r="M19" s="20">
        <v>999.99999999999966</v>
      </c>
      <c r="N19" s="21"/>
      <c r="O19" s="1"/>
      <c r="Q19" s="1"/>
      <c r="R19" s="1"/>
      <c r="S19" s="1"/>
      <c r="U19" s="1"/>
      <c r="V19" s="1"/>
      <c r="W19" s="1"/>
    </row>
    <row r="20" spans="1:23" ht="16.2" customHeight="1" x14ac:dyDescent="0.4">
      <c r="A20" s="2">
        <f t="shared" si="2"/>
        <v>20</v>
      </c>
      <c r="C20" s="33" t="s">
        <v>16</v>
      </c>
      <c r="D20" s="34"/>
      <c r="E20" s="35">
        <v>0.98521000000000003</v>
      </c>
      <c r="F20" s="36"/>
      <c r="I20" s="11">
        <v>43382</v>
      </c>
      <c r="K20" s="19" t="s">
        <v>26</v>
      </c>
      <c r="L20" s="19"/>
      <c r="M20" s="20">
        <v>999.99999999999989</v>
      </c>
      <c r="N20" s="21"/>
      <c r="O20" s="1">
        <v>19.026052910306021</v>
      </c>
      <c r="Q20" s="1"/>
      <c r="R20" s="1"/>
      <c r="S20" s="1"/>
      <c r="U20" s="1"/>
      <c r="V20" s="1"/>
      <c r="W20" s="1"/>
    </row>
    <row r="21" spans="1:23" ht="16.2" customHeight="1" x14ac:dyDescent="0.4">
      <c r="A21" s="2">
        <f t="shared" si="2"/>
        <v>21</v>
      </c>
      <c r="C21" s="1"/>
      <c r="D21" s="1"/>
      <c r="E21" s="1"/>
      <c r="F21" s="1"/>
      <c r="I21" s="11">
        <v>43459</v>
      </c>
      <c r="K21" s="19" t="s">
        <v>27</v>
      </c>
      <c r="L21" s="19"/>
      <c r="M21" s="20">
        <v>-25.270889283750975</v>
      </c>
      <c r="N21" s="21"/>
      <c r="O21" s="14">
        <f>M20-E20*E7</f>
        <v>14.78999999999985</v>
      </c>
      <c r="Q21" s="1"/>
      <c r="R21" s="1"/>
      <c r="S21" s="1"/>
      <c r="U21" s="1"/>
      <c r="V21" s="1"/>
      <c r="W21" s="1"/>
    </row>
    <row r="22" spans="1:23" ht="16.2" customHeight="1" x14ac:dyDescent="0.4">
      <c r="A22" s="2">
        <f t="shared" si="2"/>
        <v>22</v>
      </c>
      <c r="C22" s="9" t="s">
        <v>11</v>
      </c>
      <c r="D22" s="10">
        <v>1</v>
      </c>
      <c r="E22" s="1"/>
      <c r="F22" s="13">
        <v>44848</v>
      </c>
      <c r="I22" s="11">
        <v>43466</v>
      </c>
      <c r="K22" s="1"/>
      <c r="L22" s="1"/>
      <c r="M22" s="1"/>
      <c r="N22" s="1"/>
      <c r="O22" s="1"/>
      <c r="Q22" s="19" t="s">
        <v>34</v>
      </c>
      <c r="R22" s="19"/>
      <c r="S22" s="19"/>
      <c r="U22" s="19" t="s">
        <v>35</v>
      </c>
      <c r="V22" s="19"/>
      <c r="W22" s="19"/>
    </row>
    <row r="23" spans="1:23" ht="16.2" customHeight="1" x14ac:dyDescent="0.4">
      <c r="A23" s="2">
        <f t="shared" si="2"/>
        <v>23</v>
      </c>
      <c r="C23" s="32" t="s">
        <v>13</v>
      </c>
      <c r="D23" s="32"/>
      <c r="E23" s="32"/>
      <c r="F23" s="32"/>
      <c r="I23" s="11">
        <v>43500</v>
      </c>
      <c r="K23" s="15" t="s">
        <v>33</v>
      </c>
      <c r="L23" s="15" t="s">
        <v>31</v>
      </c>
      <c r="M23" s="15" t="s">
        <v>29</v>
      </c>
      <c r="N23" s="15" t="s">
        <v>30</v>
      </c>
      <c r="O23" s="15" t="s">
        <v>32</v>
      </c>
      <c r="Q23" s="15" t="s">
        <v>36</v>
      </c>
      <c r="R23" s="15" t="s">
        <v>37</v>
      </c>
      <c r="S23" s="15" t="s">
        <v>38</v>
      </c>
      <c r="U23" s="15" t="s">
        <v>36</v>
      </c>
      <c r="V23" s="15" t="s">
        <v>37</v>
      </c>
      <c r="W23" s="15" t="s">
        <v>38</v>
      </c>
    </row>
    <row r="24" spans="1:23" ht="16.2" customHeight="1" x14ac:dyDescent="0.4">
      <c r="A24" s="2">
        <f t="shared" si="2"/>
        <v>24</v>
      </c>
      <c r="C24" s="28" t="str">
        <f>IF(D22=0,"채권할인커브", "YTM 1개 넣기")</f>
        <v>YTM 1개 넣기</v>
      </c>
      <c r="D24" s="28"/>
      <c r="E24" s="28" t="s">
        <v>12</v>
      </c>
      <c r="F24" s="28"/>
      <c r="I24" s="11">
        <v>43501</v>
      </c>
      <c r="K24" s="16">
        <v>20270518</v>
      </c>
      <c r="L24" s="16">
        <v>0.04</v>
      </c>
      <c r="M24" s="16">
        <v>40</v>
      </c>
      <c r="N24" s="16">
        <v>0.96153846153846145</v>
      </c>
      <c r="O24" s="16">
        <v>38.46153846153846</v>
      </c>
      <c r="Q24" s="17">
        <v>2.7397260273972603E-3</v>
      </c>
      <c r="R24" s="17">
        <v>-0.92166536532533883</v>
      </c>
      <c r="S24" s="17">
        <v>9.7535409850024735E-4</v>
      </c>
      <c r="U24" s="18">
        <v>2.7397260273972603E-3</v>
      </c>
      <c r="V24" s="18">
        <v>0</v>
      </c>
      <c r="W24" s="18">
        <v>0</v>
      </c>
    </row>
    <row r="25" spans="1:23" ht="16.2" customHeight="1" x14ac:dyDescent="0.4">
      <c r="A25" s="2">
        <f t="shared" si="2"/>
        <v>25</v>
      </c>
      <c r="C25" s="28"/>
      <c r="D25" s="28"/>
      <c r="E25" s="28"/>
      <c r="F25" s="28"/>
      <c r="I25" s="11">
        <v>43502</v>
      </c>
      <c r="K25" s="16">
        <v>20280518</v>
      </c>
      <c r="L25" s="16">
        <v>0.04</v>
      </c>
      <c r="M25" s="16">
        <v>40</v>
      </c>
      <c r="N25" s="16">
        <v>0.92455621301775137</v>
      </c>
      <c r="O25" s="16">
        <v>36.982248520710058</v>
      </c>
      <c r="U25" s="18">
        <v>0.24931506849315069</v>
      </c>
      <c r="V25" s="18">
        <v>0</v>
      </c>
      <c r="W25" s="18">
        <v>0</v>
      </c>
    </row>
    <row r="26" spans="1:23" ht="16.2" customHeight="1" x14ac:dyDescent="0.35">
      <c r="A26" s="2">
        <f t="shared" si="2"/>
        <v>26</v>
      </c>
      <c r="C26" s="4">
        <v>46161</v>
      </c>
      <c r="D26" s="5">
        <v>0.04</v>
      </c>
      <c r="E26" s="4">
        <v>46161</v>
      </c>
      <c r="F26" s="5">
        <v>3.5000000000000003E-2</v>
      </c>
      <c r="I26" s="11">
        <v>43525</v>
      </c>
      <c r="K26" s="16">
        <v>20290518</v>
      </c>
      <c r="L26" s="16">
        <v>0.04</v>
      </c>
      <c r="M26" s="16">
        <v>40</v>
      </c>
      <c r="N26" s="16">
        <v>0.88899635867091487</v>
      </c>
      <c r="O26" s="16">
        <v>35.559854346836595</v>
      </c>
      <c r="U26" s="18">
        <v>0.49863013698630138</v>
      </c>
      <c r="V26" s="18">
        <v>0</v>
      </c>
      <c r="W26" s="18">
        <v>0</v>
      </c>
    </row>
    <row r="27" spans="1:23" ht="16.2" customHeight="1" x14ac:dyDescent="0.35">
      <c r="A27" s="2">
        <f t="shared" si="2"/>
        <v>27</v>
      </c>
      <c r="C27" s="4"/>
      <c r="D27" s="5"/>
      <c r="E27" s="4">
        <v>46251</v>
      </c>
      <c r="F27" s="5">
        <v>3.5000000000000003E-2</v>
      </c>
      <c r="I27" s="11">
        <v>43586</v>
      </c>
      <c r="K27" s="16">
        <v>20300520</v>
      </c>
      <c r="L27" s="16">
        <v>0.04</v>
      </c>
      <c r="M27" s="16">
        <v>40</v>
      </c>
      <c r="N27" s="16">
        <v>0.85480419102972571</v>
      </c>
      <c r="O27" s="16">
        <v>34.19216764118903</v>
      </c>
      <c r="U27" s="18">
        <v>1</v>
      </c>
      <c r="V27" s="18">
        <v>0</v>
      </c>
      <c r="W27" s="18">
        <v>0</v>
      </c>
    </row>
    <row r="28" spans="1:23" ht="16.2" customHeight="1" x14ac:dyDescent="0.35">
      <c r="A28" s="2">
        <f t="shared" si="2"/>
        <v>28</v>
      </c>
      <c r="C28" s="4"/>
      <c r="D28" s="5"/>
      <c r="E28" s="4">
        <v>46342</v>
      </c>
      <c r="F28" s="5">
        <v>3.5000000000000003E-2</v>
      </c>
      <c r="I28" s="11">
        <v>43591</v>
      </c>
      <c r="K28" s="16">
        <v>20310519</v>
      </c>
      <c r="L28" s="16">
        <v>0.04</v>
      </c>
      <c r="M28" s="16">
        <v>40</v>
      </c>
      <c r="N28" s="16">
        <v>0.82192710675935166</v>
      </c>
      <c r="O28" s="16">
        <v>32.87708427037407</v>
      </c>
      <c r="U28" s="18">
        <v>1.4986301369863013</v>
      </c>
      <c r="V28" s="18">
        <v>0</v>
      </c>
      <c r="W28" s="18">
        <v>0</v>
      </c>
    </row>
    <row r="29" spans="1:23" ht="16.2" customHeight="1" x14ac:dyDescent="0.35">
      <c r="A29" s="2">
        <f t="shared" si="2"/>
        <v>29</v>
      </c>
      <c r="C29" s="4"/>
      <c r="D29" s="5"/>
      <c r="E29" s="4">
        <v>46525</v>
      </c>
      <c r="F29" s="5">
        <v>3.5000000000000003E-2</v>
      </c>
      <c r="I29" s="11">
        <v>43598</v>
      </c>
      <c r="K29" s="16">
        <v>20320518</v>
      </c>
      <c r="L29" s="16">
        <v>0.04</v>
      </c>
      <c r="M29" s="16">
        <v>40</v>
      </c>
      <c r="N29" s="16">
        <v>0.79031452573014571</v>
      </c>
      <c r="O29" s="16">
        <v>31.612581029205828</v>
      </c>
      <c r="U29" s="18">
        <v>2</v>
      </c>
      <c r="V29" s="18">
        <v>0</v>
      </c>
      <c r="W29" s="18">
        <v>0</v>
      </c>
    </row>
    <row r="30" spans="1:23" ht="16.2" customHeight="1" x14ac:dyDescent="0.35">
      <c r="A30" s="2">
        <f t="shared" si="2"/>
        <v>30</v>
      </c>
      <c r="C30" s="4"/>
      <c r="D30" s="5"/>
      <c r="E30" s="4">
        <v>46707</v>
      </c>
      <c r="F30" s="5">
        <v>3.5000000000000003E-2</v>
      </c>
      <c r="I30" s="11">
        <v>43622</v>
      </c>
      <c r="K30" s="16">
        <v>20330518</v>
      </c>
      <c r="L30" s="16">
        <v>0.04</v>
      </c>
      <c r="M30" s="16">
        <v>40</v>
      </c>
      <c r="N30" s="16">
        <v>0.75991781320206331</v>
      </c>
      <c r="O30" s="16">
        <v>30.396712528082531</v>
      </c>
      <c r="U30" s="18">
        <v>3</v>
      </c>
      <c r="V30" s="18">
        <v>0</v>
      </c>
      <c r="W30" s="18">
        <v>0</v>
      </c>
    </row>
    <row r="31" spans="1:23" ht="16.2" customHeight="1" x14ac:dyDescent="0.35">
      <c r="A31" s="2">
        <f t="shared" si="2"/>
        <v>31</v>
      </c>
      <c r="C31" s="4"/>
      <c r="D31" s="5"/>
      <c r="E31" s="4">
        <v>46890</v>
      </c>
      <c r="F31" s="5">
        <v>3.5000000000000003E-2</v>
      </c>
      <c r="I31" s="11">
        <v>43692</v>
      </c>
      <c r="K31" s="16">
        <v>20340518</v>
      </c>
      <c r="L31" s="16">
        <v>0.04</v>
      </c>
      <c r="M31" s="16">
        <v>40</v>
      </c>
      <c r="N31" s="16">
        <v>0.73069020500198389</v>
      </c>
      <c r="O31" s="16">
        <v>29.227608200079356</v>
      </c>
      <c r="U31" s="18">
        <v>4</v>
      </c>
      <c r="V31" s="18">
        <v>0</v>
      </c>
      <c r="W31" s="18">
        <v>0</v>
      </c>
    </row>
    <row r="32" spans="1:23" ht="16.2" customHeight="1" x14ac:dyDescent="0.35">
      <c r="A32" s="2">
        <f t="shared" si="2"/>
        <v>32</v>
      </c>
      <c r="C32" s="4"/>
      <c r="D32" s="5"/>
      <c r="E32" s="4">
        <v>47255</v>
      </c>
      <c r="F32" s="5">
        <v>3.5000000000000003E-2</v>
      </c>
      <c r="I32" s="11">
        <v>43720</v>
      </c>
      <c r="K32" s="16">
        <v>20350518</v>
      </c>
      <c r="L32" s="16">
        <v>0.04</v>
      </c>
      <c r="M32" s="16">
        <v>40</v>
      </c>
      <c r="N32" s="16">
        <v>0.70258673557883056</v>
      </c>
      <c r="O32" s="16">
        <v>28.103469423153221</v>
      </c>
      <c r="U32" s="18">
        <v>5</v>
      </c>
      <c r="V32" s="18">
        <v>0</v>
      </c>
      <c r="W32" s="18">
        <v>0</v>
      </c>
    </row>
    <row r="33" spans="1:23" ht="16.2" customHeight="1" x14ac:dyDescent="0.35">
      <c r="A33" s="2">
        <f t="shared" si="2"/>
        <v>33</v>
      </c>
      <c r="C33" s="4"/>
      <c r="D33" s="5"/>
      <c r="E33" s="4">
        <v>47620</v>
      </c>
      <c r="F33" s="5">
        <v>3.5000000000000003E-2</v>
      </c>
      <c r="I33" s="11">
        <v>43721</v>
      </c>
      <c r="K33" s="16">
        <v>20360519</v>
      </c>
      <c r="L33" s="16">
        <v>0.04</v>
      </c>
      <c r="M33" s="16">
        <v>40</v>
      </c>
      <c r="N33" s="16">
        <v>0.67556416882579862</v>
      </c>
      <c r="O33" s="16">
        <v>27.022566753031946</v>
      </c>
      <c r="U33" s="18">
        <v>10</v>
      </c>
      <c r="V33" s="18">
        <v>0.95951749542825837</v>
      </c>
      <c r="W33" s="18">
        <v>9.5903674559849605E-4</v>
      </c>
    </row>
    <row r="34" spans="1:23" ht="16.2" customHeight="1" x14ac:dyDescent="0.35">
      <c r="A34" s="2">
        <f t="shared" si="2"/>
        <v>34</v>
      </c>
      <c r="C34" s="4"/>
      <c r="D34" s="5"/>
      <c r="E34" s="4">
        <v>47985</v>
      </c>
      <c r="F34" s="5">
        <v>3.5000000000000003E-2</v>
      </c>
      <c r="I34" s="11">
        <v>43722</v>
      </c>
      <c r="U34" s="18">
        <v>20</v>
      </c>
      <c r="V34" s="18">
        <v>1.0521539696810578E-3</v>
      </c>
      <c r="W34" s="18">
        <v>1.1543761502252892E-9</v>
      </c>
    </row>
    <row r="35" spans="1:23" ht="16.2" customHeight="1" x14ac:dyDescent="0.35">
      <c r="A35" s="2">
        <f t="shared" si="2"/>
        <v>35</v>
      </c>
      <c r="C35" s="4"/>
      <c r="D35" s="5"/>
      <c r="E35" s="4">
        <v>49810</v>
      </c>
      <c r="F35" s="5">
        <v>3.5000000000000003E-2</v>
      </c>
      <c r="I35" s="11">
        <v>43741</v>
      </c>
      <c r="U35" s="18">
        <v>30</v>
      </c>
      <c r="V35" s="18">
        <v>0</v>
      </c>
      <c r="W35" s="18">
        <v>0</v>
      </c>
    </row>
    <row r="36" spans="1:23" ht="16.2" customHeight="1" x14ac:dyDescent="0.35">
      <c r="A36" s="2">
        <f t="shared" si="2"/>
        <v>36</v>
      </c>
      <c r="C36" s="4"/>
      <c r="D36" s="5"/>
      <c r="E36" s="4">
        <v>53460</v>
      </c>
      <c r="F36" s="5">
        <v>3.5000000000000003E-2</v>
      </c>
      <c r="I36" s="11">
        <v>43747</v>
      </c>
    </row>
    <row r="37" spans="1:23" ht="16.2" customHeight="1" x14ac:dyDescent="0.35">
      <c r="A37" s="2">
        <f t="shared" si="2"/>
        <v>37</v>
      </c>
      <c r="C37" s="4"/>
      <c r="D37" s="6"/>
      <c r="E37" s="4">
        <v>57110</v>
      </c>
      <c r="F37" s="5">
        <v>3.5000000000000003E-2</v>
      </c>
      <c r="I37" s="11">
        <v>43824</v>
      </c>
    </row>
    <row r="38" spans="1:23" ht="16.2" customHeight="1" x14ac:dyDescent="0.35">
      <c r="A38" s="2">
        <f t="shared" si="2"/>
        <v>38</v>
      </c>
      <c r="C38" s="4"/>
      <c r="D38" s="6"/>
      <c r="E38" s="4"/>
      <c r="F38" s="6"/>
      <c r="I38" s="11">
        <v>43831</v>
      </c>
    </row>
    <row r="39" spans="1:23" ht="16.2" customHeight="1" x14ac:dyDescent="0.35">
      <c r="A39" s="2">
        <f t="shared" si="2"/>
        <v>39</v>
      </c>
      <c r="C39" s="4"/>
      <c r="D39" s="6"/>
      <c r="E39" s="4"/>
      <c r="F39" s="6"/>
      <c r="I39" s="11">
        <v>43854</v>
      </c>
    </row>
    <row r="40" spans="1:23" ht="16.2" customHeight="1" x14ac:dyDescent="0.4">
      <c r="A40" s="2">
        <f t="shared" si="2"/>
        <v>40</v>
      </c>
      <c r="C40" s="7"/>
      <c r="D40" s="8"/>
      <c r="E40" s="7"/>
      <c r="F40" s="8"/>
      <c r="I40" s="11">
        <v>43855</v>
      </c>
    </row>
    <row r="41" spans="1:23" ht="16.2" customHeight="1" x14ac:dyDescent="0.4">
      <c r="A41" s="2">
        <f t="shared" si="2"/>
        <v>41</v>
      </c>
      <c r="C41" s="7"/>
      <c r="D41" s="8"/>
      <c r="E41" s="7"/>
      <c r="F41" s="8"/>
      <c r="I41" s="11">
        <v>43857</v>
      </c>
    </row>
    <row r="42" spans="1:23" ht="16.2" customHeight="1" x14ac:dyDescent="0.4">
      <c r="A42" s="2">
        <f t="shared" si="2"/>
        <v>42</v>
      </c>
      <c r="C42" s="7"/>
      <c r="D42" s="8"/>
      <c r="E42" s="7"/>
      <c r="F42" s="8"/>
      <c r="I42" s="11">
        <v>43892</v>
      </c>
    </row>
    <row r="43" spans="1:23" ht="16.2" customHeight="1" x14ac:dyDescent="0.4">
      <c r="A43" s="2">
        <f t="shared" si="2"/>
        <v>43</v>
      </c>
      <c r="C43" s="7"/>
      <c r="D43" s="8"/>
      <c r="E43" s="7"/>
      <c r="F43" s="8"/>
      <c r="I43" s="11">
        <v>43951</v>
      </c>
    </row>
    <row r="44" spans="1:23" ht="16.2" customHeight="1" x14ac:dyDescent="0.4">
      <c r="A44" s="2">
        <f t="shared" si="2"/>
        <v>44</v>
      </c>
      <c r="I44" s="11">
        <v>43952</v>
      </c>
    </row>
    <row r="45" spans="1:23" ht="16.2" customHeight="1" x14ac:dyDescent="0.4">
      <c r="A45" s="2">
        <f t="shared" si="2"/>
        <v>45</v>
      </c>
      <c r="I45" s="11">
        <v>43956</v>
      </c>
    </row>
    <row r="46" spans="1:23" ht="16.2" customHeight="1" x14ac:dyDescent="0.4">
      <c r="A46" s="2">
        <f t="shared" si="2"/>
        <v>46</v>
      </c>
      <c r="I46" s="11">
        <v>43988</v>
      </c>
    </row>
    <row r="47" spans="1:23" ht="16.2" customHeight="1" x14ac:dyDescent="0.4">
      <c r="A47" s="2">
        <f t="shared" si="2"/>
        <v>47</v>
      </c>
      <c r="I47" s="11">
        <v>44060</v>
      </c>
    </row>
    <row r="48" spans="1:23" ht="16.2" customHeight="1" x14ac:dyDescent="0.4">
      <c r="A48" s="2">
        <f t="shared" si="2"/>
        <v>48</v>
      </c>
      <c r="I48" s="11">
        <v>44060</v>
      </c>
    </row>
    <row r="49" spans="1:9" ht="16.2" customHeight="1" x14ac:dyDescent="0.4">
      <c r="A49" s="2">
        <f t="shared" si="2"/>
        <v>49</v>
      </c>
      <c r="I49" s="11">
        <v>44104</v>
      </c>
    </row>
    <row r="50" spans="1:9" ht="16.2" customHeight="1" x14ac:dyDescent="0.4">
      <c r="A50" s="2">
        <f t="shared" si="2"/>
        <v>50</v>
      </c>
      <c r="I50" s="11">
        <v>44105</v>
      </c>
    </row>
    <row r="51" spans="1:9" ht="16.2" customHeight="1" x14ac:dyDescent="0.4">
      <c r="A51" s="2">
        <f t="shared" si="2"/>
        <v>51</v>
      </c>
      <c r="I51" s="11">
        <v>44106</v>
      </c>
    </row>
    <row r="52" spans="1:9" ht="16.2" customHeight="1" x14ac:dyDescent="0.4">
      <c r="A52" s="2">
        <f t="shared" si="2"/>
        <v>52</v>
      </c>
      <c r="I52" s="11">
        <v>44109</v>
      </c>
    </row>
    <row r="53" spans="1:9" ht="16.2" customHeight="1" x14ac:dyDescent="0.4">
      <c r="A53" s="2">
        <f t="shared" si="2"/>
        <v>53</v>
      </c>
      <c r="I53" s="11">
        <v>44113</v>
      </c>
    </row>
    <row r="54" spans="1:9" ht="16.2" customHeight="1" x14ac:dyDescent="0.4">
      <c r="A54" s="2">
        <f t="shared" si="2"/>
        <v>54</v>
      </c>
      <c r="I54" s="11">
        <v>44190</v>
      </c>
    </row>
    <row r="55" spans="1:9" ht="16.2" customHeight="1" x14ac:dyDescent="0.4">
      <c r="A55" s="2">
        <f t="shared" si="2"/>
        <v>55</v>
      </c>
      <c r="I55" s="11">
        <v>44197</v>
      </c>
    </row>
    <row r="56" spans="1:9" ht="16.2" customHeight="1" x14ac:dyDescent="0.4">
      <c r="A56" s="2">
        <f t="shared" si="2"/>
        <v>56</v>
      </c>
      <c r="I56" s="11">
        <v>44238</v>
      </c>
    </row>
    <row r="57" spans="1:9" ht="16.2" customHeight="1" x14ac:dyDescent="0.4">
      <c r="A57" s="2">
        <f t="shared" si="2"/>
        <v>57</v>
      </c>
      <c r="I57" s="11">
        <v>44239</v>
      </c>
    </row>
    <row r="58" spans="1:9" ht="16.2" customHeight="1" x14ac:dyDescent="0.4">
      <c r="A58" s="2">
        <f t="shared" si="2"/>
        <v>58</v>
      </c>
      <c r="I58" s="11">
        <v>44240</v>
      </c>
    </row>
    <row r="59" spans="1:9" ht="16.2" customHeight="1" x14ac:dyDescent="0.4">
      <c r="A59" s="2">
        <f t="shared" si="2"/>
        <v>59</v>
      </c>
      <c r="I59" s="11">
        <v>44256</v>
      </c>
    </row>
    <row r="60" spans="1:9" ht="16.2" customHeight="1" x14ac:dyDescent="0.4">
      <c r="A60" s="2">
        <f t="shared" si="2"/>
        <v>60</v>
      </c>
      <c r="I60" s="11">
        <v>44317</v>
      </c>
    </row>
    <row r="61" spans="1:9" ht="16.2" customHeight="1" x14ac:dyDescent="0.4">
      <c r="A61" s="2">
        <f t="shared" si="2"/>
        <v>61</v>
      </c>
      <c r="I61" s="11">
        <v>44321</v>
      </c>
    </row>
    <row r="62" spans="1:9" ht="16.2" customHeight="1" x14ac:dyDescent="0.4">
      <c r="A62" s="2">
        <f t="shared" si="2"/>
        <v>62</v>
      </c>
      <c r="I62" s="11">
        <v>44335</v>
      </c>
    </row>
    <row r="63" spans="1:9" ht="16.2" customHeight="1" x14ac:dyDescent="0.4">
      <c r="A63" s="2">
        <f t="shared" si="2"/>
        <v>63</v>
      </c>
      <c r="I63" s="11">
        <v>44353</v>
      </c>
    </row>
    <row r="64" spans="1:9" ht="16.2" customHeight="1" x14ac:dyDescent="0.4">
      <c r="A64" s="2">
        <f t="shared" si="2"/>
        <v>64</v>
      </c>
      <c r="I64" s="11">
        <v>44424</v>
      </c>
    </row>
    <row r="65" spans="1:9" ht="16.2" customHeight="1" x14ac:dyDescent="0.4">
      <c r="A65" s="2">
        <f t="shared" si="2"/>
        <v>65</v>
      </c>
      <c r="I65" s="11">
        <v>44459</v>
      </c>
    </row>
    <row r="66" spans="1:9" ht="16.2" customHeight="1" x14ac:dyDescent="0.4">
      <c r="I66" s="11">
        <v>44460</v>
      </c>
    </row>
    <row r="67" spans="1:9" ht="16.2" customHeight="1" x14ac:dyDescent="0.4">
      <c r="I67" s="11">
        <v>44461</v>
      </c>
    </row>
    <row r="68" spans="1:9" ht="16.2" customHeight="1" x14ac:dyDescent="0.4">
      <c r="I68" s="11">
        <v>44473</v>
      </c>
    </row>
    <row r="69" spans="1:9" ht="16.2" customHeight="1" x14ac:dyDescent="0.4">
      <c r="I69" s="11">
        <v>44480</v>
      </c>
    </row>
    <row r="70" spans="1:9" ht="16.2" customHeight="1" x14ac:dyDescent="0.4">
      <c r="I70" s="11">
        <v>44557</v>
      </c>
    </row>
    <row r="71" spans="1:9" ht="16.2" customHeight="1" x14ac:dyDescent="0.4">
      <c r="I71" s="11">
        <v>44562</v>
      </c>
    </row>
    <row r="72" spans="1:9" ht="16.2" customHeight="1" x14ac:dyDescent="0.4">
      <c r="I72" s="11">
        <v>44592</v>
      </c>
    </row>
    <row r="73" spans="1:9" ht="16.2" customHeight="1" x14ac:dyDescent="0.4">
      <c r="I73" s="11">
        <v>44593</v>
      </c>
    </row>
    <row r="74" spans="1:9" ht="16.2" customHeight="1" x14ac:dyDescent="0.4">
      <c r="I74" s="11">
        <v>44594</v>
      </c>
    </row>
    <row r="75" spans="1:9" ht="16.2" customHeight="1" x14ac:dyDescent="0.4">
      <c r="I75" s="11">
        <v>44621</v>
      </c>
    </row>
    <row r="76" spans="1:9" ht="16.2" customHeight="1" x14ac:dyDescent="0.4">
      <c r="I76" s="11">
        <v>44629</v>
      </c>
    </row>
    <row r="77" spans="1:9" ht="16.2" customHeight="1" x14ac:dyDescent="0.4">
      <c r="I77" s="11">
        <v>44682</v>
      </c>
    </row>
    <row r="78" spans="1:9" ht="16.2" customHeight="1" x14ac:dyDescent="0.4">
      <c r="I78" s="11">
        <v>44686</v>
      </c>
    </row>
    <row r="79" spans="1:9" ht="16.2" customHeight="1" x14ac:dyDescent="0.4">
      <c r="I79" s="11">
        <v>44690</v>
      </c>
    </row>
    <row r="80" spans="1:9" ht="16.2" customHeight="1" x14ac:dyDescent="0.4">
      <c r="I80" s="11">
        <v>44713</v>
      </c>
    </row>
    <row r="81" spans="9:9" ht="16.2" customHeight="1" x14ac:dyDescent="0.4">
      <c r="I81" s="11">
        <v>44718</v>
      </c>
    </row>
    <row r="82" spans="9:9" ht="16.2" customHeight="1" x14ac:dyDescent="0.4">
      <c r="I82" s="11">
        <v>44788</v>
      </c>
    </row>
    <row r="83" spans="9:9" ht="16.2" customHeight="1" x14ac:dyDescent="0.4">
      <c r="I83" s="11">
        <v>44813</v>
      </c>
    </row>
    <row r="84" spans="9:9" ht="16.2" customHeight="1" x14ac:dyDescent="0.4">
      <c r="I84" s="11">
        <v>44814</v>
      </c>
    </row>
    <row r="85" spans="9:9" ht="16.2" customHeight="1" x14ac:dyDescent="0.4">
      <c r="I85" s="11">
        <v>44816</v>
      </c>
    </row>
    <row r="86" spans="9:9" ht="16.2" customHeight="1" x14ac:dyDescent="0.4">
      <c r="I86" s="11">
        <v>44837</v>
      </c>
    </row>
    <row r="87" spans="9:9" ht="16.2" customHeight="1" x14ac:dyDescent="0.4">
      <c r="I87" s="11">
        <v>44844</v>
      </c>
    </row>
    <row r="88" spans="9:9" ht="16.2" customHeight="1" x14ac:dyDescent="0.4">
      <c r="I88" s="11">
        <v>44921</v>
      </c>
    </row>
    <row r="89" spans="9:9" ht="16.2" customHeight="1" x14ac:dyDescent="0.4">
      <c r="I89" s="11">
        <v>44927</v>
      </c>
    </row>
    <row r="90" spans="9:9" ht="16.2" customHeight="1" x14ac:dyDescent="0.4">
      <c r="I90" s="11">
        <v>44947</v>
      </c>
    </row>
    <row r="91" spans="9:9" ht="16.2" customHeight="1" x14ac:dyDescent="0.4">
      <c r="I91" s="11">
        <v>44949</v>
      </c>
    </row>
    <row r="92" spans="9:9" ht="16.2" customHeight="1" x14ac:dyDescent="0.4">
      <c r="I92" s="11">
        <v>44950</v>
      </c>
    </row>
    <row r="93" spans="9:9" ht="16.2" customHeight="1" x14ac:dyDescent="0.4">
      <c r="I93" s="11">
        <v>44986</v>
      </c>
    </row>
    <row r="94" spans="9:9" ht="16.2" customHeight="1" x14ac:dyDescent="0.4">
      <c r="I94" s="11">
        <v>45047</v>
      </c>
    </row>
    <row r="95" spans="9:9" ht="16.2" customHeight="1" x14ac:dyDescent="0.4">
      <c r="I95" s="11">
        <v>45051</v>
      </c>
    </row>
    <row r="96" spans="9:9" ht="16.2" customHeight="1" x14ac:dyDescent="0.4">
      <c r="I96" s="11">
        <v>45075</v>
      </c>
    </row>
    <row r="97" spans="9:9" ht="16.2" customHeight="1" x14ac:dyDescent="0.4">
      <c r="I97" s="11">
        <v>45083</v>
      </c>
    </row>
    <row r="98" spans="9:9" ht="16.2" customHeight="1" x14ac:dyDescent="0.4">
      <c r="I98" s="11">
        <v>45153</v>
      </c>
    </row>
    <row r="99" spans="9:9" ht="16.2" customHeight="1" x14ac:dyDescent="0.4">
      <c r="I99" s="11">
        <v>45197</v>
      </c>
    </row>
    <row r="100" spans="9:9" ht="16.2" customHeight="1" x14ac:dyDescent="0.4">
      <c r="I100" s="11">
        <v>45198</v>
      </c>
    </row>
    <row r="101" spans="9:9" ht="16.2" customHeight="1" x14ac:dyDescent="0.4">
      <c r="I101" s="11">
        <v>45199</v>
      </c>
    </row>
    <row r="102" spans="9:9" ht="16.2" customHeight="1" x14ac:dyDescent="0.4">
      <c r="I102" s="11">
        <v>45201</v>
      </c>
    </row>
    <row r="103" spans="9:9" ht="16.2" customHeight="1" x14ac:dyDescent="0.4">
      <c r="I103" s="11">
        <v>45202</v>
      </c>
    </row>
    <row r="104" spans="9:9" ht="16.2" customHeight="1" x14ac:dyDescent="0.4">
      <c r="I104" s="11">
        <v>45208</v>
      </c>
    </row>
    <row r="105" spans="9:9" ht="16.2" customHeight="1" x14ac:dyDescent="0.4">
      <c r="I105" s="11">
        <v>45285</v>
      </c>
    </row>
    <row r="106" spans="9:9" ht="16.2" customHeight="1" x14ac:dyDescent="0.4">
      <c r="I106" s="11">
        <v>45292</v>
      </c>
    </row>
    <row r="107" spans="9:9" ht="16.2" customHeight="1" x14ac:dyDescent="0.4">
      <c r="I107" s="11">
        <v>45331</v>
      </c>
    </row>
    <row r="108" spans="9:9" ht="16.2" customHeight="1" x14ac:dyDescent="0.4">
      <c r="I108" s="11">
        <v>45332</v>
      </c>
    </row>
    <row r="109" spans="9:9" ht="16.2" customHeight="1" x14ac:dyDescent="0.4">
      <c r="I109" s="11">
        <v>45334</v>
      </c>
    </row>
    <row r="110" spans="9:9" ht="16.2" customHeight="1" x14ac:dyDescent="0.4">
      <c r="I110" s="11">
        <v>45352</v>
      </c>
    </row>
    <row r="111" spans="9:9" ht="16.2" customHeight="1" x14ac:dyDescent="0.4">
      <c r="I111" s="11">
        <v>45392</v>
      </c>
    </row>
    <row r="112" spans="9:9" ht="16.2" customHeight="1" x14ac:dyDescent="0.4">
      <c r="I112" s="11">
        <v>45413</v>
      </c>
    </row>
    <row r="113" spans="9:9" ht="16.2" customHeight="1" x14ac:dyDescent="0.4">
      <c r="I113" s="11">
        <v>45418</v>
      </c>
    </row>
    <row r="114" spans="9:9" ht="16.2" customHeight="1" x14ac:dyDescent="0.4">
      <c r="I114" s="11">
        <v>45427</v>
      </c>
    </row>
    <row r="115" spans="9:9" ht="16.2" customHeight="1" x14ac:dyDescent="0.4">
      <c r="I115" s="11">
        <v>45449</v>
      </c>
    </row>
    <row r="116" spans="9:9" ht="16.2" customHeight="1" x14ac:dyDescent="0.4">
      <c r="I116" s="11">
        <v>45519</v>
      </c>
    </row>
    <row r="117" spans="9:9" ht="16.2" customHeight="1" x14ac:dyDescent="0.4">
      <c r="I117" s="11">
        <v>45551</v>
      </c>
    </row>
    <row r="118" spans="9:9" ht="16.2" customHeight="1" x14ac:dyDescent="0.4">
      <c r="I118" s="11">
        <v>45552</v>
      </c>
    </row>
    <row r="119" spans="9:9" ht="16.2" customHeight="1" x14ac:dyDescent="0.4">
      <c r="I119" s="11">
        <v>45553</v>
      </c>
    </row>
    <row r="120" spans="9:9" ht="16.2" customHeight="1" x14ac:dyDescent="0.4">
      <c r="I120" s="11">
        <v>45568</v>
      </c>
    </row>
    <row r="121" spans="9:9" ht="16.2" customHeight="1" x14ac:dyDescent="0.4">
      <c r="I121" s="11">
        <v>45574</v>
      </c>
    </row>
    <row r="122" spans="9:9" ht="16.2" customHeight="1" x14ac:dyDescent="0.4">
      <c r="I122" s="11">
        <v>45651</v>
      </c>
    </row>
    <row r="123" spans="9:9" ht="16.2" customHeight="1" x14ac:dyDescent="0.4">
      <c r="I123" s="11">
        <v>45658</v>
      </c>
    </row>
    <row r="124" spans="9:9" ht="16.2" customHeight="1" x14ac:dyDescent="0.4">
      <c r="I124" s="11">
        <v>45685</v>
      </c>
    </row>
    <row r="125" spans="9:9" ht="16.2" customHeight="1" x14ac:dyDescent="0.4">
      <c r="I125" s="11">
        <v>45686</v>
      </c>
    </row>
    <row r="126" spans="9:9" ht="16.2" customHeight="1" x14ac:dyDescent="0.4">
      <c r="I126" s="11">
        <v>45687</v>
      </c>
    </row>
    <row r="127" spans="9:9" ht="16.2" customHeight="1" x14ac:dyDescent="0.4">
      <c r="I127" s="11">
        <v>45719</v>
      </c>
    </row>
    <row r="128" spans="9:9" ht="16.2" customHeight="1" x14ac:dyDescent="0.4">
      <c r="I128" s="11">
        <v>45778</v>
      </c>
    </row>
    <row r="129" spans="9:9" ht="16.2" customHeight="1" x14ac:dyDescent="0.4">
      <c r="I129" s="11">
        <v>45782</v>
      </c>
    </row>
    <row r="130" spans="9:9" ht="16.2" customHeight="1" x14ac:dyDescent="0.4">
      <c r="I130" s="11">
        <v>45783</v>
      </c>
    </row>
    <row r="131" spans="9:9" ht="16.2" customHeight="1" x14ac:dyDescent="0.4">
      <c r="I131" s="11">
        <v>45814</v>
      </c>
    </row>
    <row r="132" spans="9:9" ht="16.2" customHeight="1" x14ac:dyDescent="0.4">
      <c r="I132" s="11">
        <v>45884</v>
      </c>
    </row>
    <row r="133" spans="9:9" ht="16.2" customHeight="1" x14ac:dyDescent="0.4">
      <c r="I133" s="11">
        <v>45933</v>
      </c>
    </row>
    <row r="134" spans="9:9" ht="16.2" customHeight="1" x14ac:dyDescent="0.4">
      <c r="I134" s="11">
        <v>45936</v>
      </c>
    </row>
    <row r="135" spans="9:9" ht="16.2" customHeight="1" x14ac:dyDescent="0.4">
      <c r="I135" s="11">
        <v>45937</v>
      </c>
    </row>
    <row r="136" spans="9:9" ht="16.2" customHeight="1" x14ac:dyDescent="0.4">
      <c r="I136" s="11">
        <v>45938</v>
      </c>
    </row>
    <row r="137" spans="9:9" ht="16.2" customHeight="1" x14ac:dyDescent="0.4">
      <c r="I137" s="11">
        <v>45939</v>
      </c>
    </row>
    <row r="138" spans="9:9" ht="16.2" customHeight="1" x14ac:dyDescent="0.4">
      <c r="I138" s="11">
        <v>46016</v>
      </c>
    </row>
    <row r="139" spans="9:9" ht="16.2" customHeight="1" x14ac:dyDescent="0.4">
      <c r="I139" s="11">
        <v>46023</v>
      </c>
    </row>
    <row r="140" spans="9:9" ht="16.2" customHeight="1" x14ac:dyDescent="0.4">
      <c r="I140" s="11">
        <v>46069</v>
      </c>
    </row>
    <row r="141" spans="9:9" ht="16.2" customHeight="1" x14ac:dyDescent="0.4">
      <c r="I141" s="11">
        <v>46070</v>
      </c>
    </row>
    <row r="142" spans="9:9" ht="16.2" customHeight="1" x14ac:dyDescent="0.4">
      <c r="I142" s="11">
        <v>46071</v>
      </c>
    </row>
    <row r="143" spans="9:9" ht="16.2" customHeight="1" x14ac:dyDescent="0.4">
      <c r="I143" s="11">
        <v>46083</v>
      </c>
    </row>
    <row r="144" spans="9:9" ht="16.2" customHeight="1" x14ac:dyDescent="0.4">
      <c r="I144" s="11">
        <v>46143</v>
      </c>
    </row>
    <row r="145" spans="9:9" ht="16.2" customHeight="1" x14ac:dyDescent="0.4">
      <c r="I145" s="11">
        <v>46147</v>
      </c>
    </row>
    <row r="146" spans="9:9" ht="16.2" customHeight="1" x14ac:dyDescent="0.4">
      <c r="I146" s="11">
        <v>46167</v>
      </c>
    </row>
    <row r="147" spans="9:9" ht="16.2" customHeight="1" x14ac:dyDescent="0.4">
      <c r="I147" s="11">
        <v>46179</v>
      </c>
    </row>
    <row r="148" spans="9:9" ht="16.2" customHeight="1" x14ac:dyDescent="0.4">
      <c r="I148" s="11">
        <v>46251</v>
      </c>
    </row>
    <row r="149" spans="9:9" ht="16.2" customHeight="1" x14ac:dyDescent="0.4">
      <c r="I149" s="11">
        <v>46289</v>
      </c>
    </row>
    <row r="150" spans="9:9" ht="16.2" customHeight="1" x14ac:dyDescent="0.4">
      <c r="I150" s="11">
        <v>46290</v>
      </c>
    </row>
    <row r="151" spans="9:9" ht="16.2" customHeight="1" x14ac:dyDescent="0.4">
      <c r="I151" s="11">
        <v>46291</v>
      </c>
    </row>
    <row r="152" spans="9:9" ht="16.2" customHeight="1" x14ac:dyDescent="0.4">
      <c r="I152" s="11">
        <v>46300</v>
      </c>
    </row>
    <row r="153" spans="9:9" ht="16.2" customHeight="1" x14ac:dyDescent="0.4">
      <c r="I153" s="11">
        <v>46304</v>
      </c>
    </row>
    <row r="154" spans="9:9" ht="16.2" customHeight="1" x14ac:dyDescent="0.4">
      <c r="I154" s="11">
        <v>46381</v>
      </c>
    </row>
    <row r="155" spans="9:9" ht="16.2" customHeight="1" x14ac:dyDescent="0.4">
      <c r="I155" s="11">
        <v>46388</v>
      </c>
    </row>
    <row r="156" spans="9:9" ht="16.2" customHeight="1" x14ac:dyDescent="0.4">
      <c r="I156" s="11">
        <v>46424</v>
      </c>
    </row>
    <row r="157" spans="9:9" ht="16.2" customHeight="1" x14ac:dyDescent="0.4">
      <c r="I157" s="11">
        <v>46426</v>
      </c>
    </row>
    <row r="158" spans="9:9" ht="16.2" customHeight="1" x14ac:dyDescent="0.4">
      <c r="I158" s="11">
        <v>46427</v>
      </c>
    </row>
    <row r="159" spans="9:9" ht="16.2" customHeight="1" x14ac:dyDescent="0.4">
      <c r="I159" s="11">
        <v>46447</v>
      </c>
    </row>
    <row r="160" spans="9:9" ht="16.2" customHeight="1" x14ac:dyDescent="0.4">
      <c r="I160" s="11">
        <v>46508</v>
      </c>
    </row>
    <row r="161" spans="9:9" ht="16.2" customHeight="1" x14ac:dyDescent="0.4">
      <c r="I161" s="11">
        <v>46512</v>
      </c>
    </row>
    <row r="162" spans="9:9" ht="16.2" customHeight="1" x14ac:dyDescent="0.4">
      <c r="I162" s="11">
        <v>46520</v>
      </c>
    </row>
    <row r="163" spans="9:9" ht="16.2" customHeight="1" x14ac:dyDescent="0.4">
      <c r="I163" s="11">
        <v>46544</v>
      </c>
    </row>
    <row r="164" spans="9:9" ht="16.2" customHeight="1" x14ac:dyDescent="0.4">
      <c r="I164" s="11">
        <v>46615</v>
      </c>
    </row>
    <row r="165" spans="9:9" ht="16.2" customHeight="1" x14ac:dyDescent="0.4">
      <c r="I165" s="11">
        <v>46644</v>
      </c>
    </row>
    <row r="166" spans="9:9" ht="16.2" customHeight="1" x14ac:dyDescent="0.4">
      <c r="I166" s="11">
        <v>46645</v>
      </c>
    </row>
    <row r="167" spans="9:9" ht="16.2" customHeight="1" x14ac:dyDescent="0.4">
      <c r="I167" s="11">
        <v>46646</v>
      </c>
    </row>
    <row r="168" spans="9:9" ht="16.2" customHeight="1" x14ac:dyDescent="0.4">
      <c r="I168" s="11">
        <v>46664</v>
      </c>
    </row>
    <row r="169" spans="9:9" ht="16.2" customHeight="1" x14ac:dyDescent="0.4">
      <c r="I169" s="11">
        <v>46671</v>
      </c>
    </row>
    <row r="170" spans="9:9" ht="16.2" customHeight="1" x14ac:dyDescent="0.4">
      <c r="I170" s="11">
        <v>46748</v>
      </c>
    </row>
    <row r="171" spans="9:9" ht="16.2" customHeight="1" x14ac:dyDescent="0.4">
      <c r="I171" s="11">
        <v>46753</v>
      </c>
    </row>
    <row r="172" spans="9:9" ht="16.2" customHeight="1" x14ac:dyDescent="0.4">
      <c r="I172" s="11">
        <v>46778</v>
      </c>
    </row>
    <row r="173" spans="9:9" ht="16.2" customHeight="1" x14ac:dyDescent="0.4">
      <c r="I173" s="11">
        <v>46779</v>
      </c>
    </row>
    <row r="174" spans="9:9" ht="16.2" customHeight="1" x14ac:dyDescent="0.4">
      <c r="I174" s="11">
        <v>46780</v>
      </c>
    </row>
    <row r="175" spans="9:9" ht="16.2" customHeight="1" x14ac:dyDescent="0.4">
      <c r="I175" s="11">
        <v>46813</v>
      </c>
    </row>
    <row r="176" spans="9:9" ht="16.2" customHeight="1" x14ac:dyDescent="0.4">
      <c r="I176" s="11">
        <v>46874</v>
      </c>
    </row>
    <row r="177" spans="9:9" ht="16.2" customHeight="1" x14ac:dyDescent="0.4">
      <c r="I177" s="11">
        <v>46875</v>
      </c>
    </row>
    <row r="178" spans="9:9" ht="16.2" customHeight="1" x14ac:dyDescent="0.4">
      <c r="I178" s="11">
        <v>46878</v>
      </c>
    </row>
    <row r="179" spans="9:9" ht="16.2" customHeight="1" x14ac:dyDescent="0.4">
      <c r="I179" s="11">
        <v>46910</v>
      </c>
    </row>
    <row r="180" spans="9:9" ht="16.2" customHeight="1" x14ac:dyDescent="0.4">
      <c r="I180" s="11">
        <v>46980</v>
      </c>
    </row>
    <row r="181" spans="9:9" ht="16.2" customHeight="1" x14ac:dyDescent="0.4">
      <c r="I181" s="11">
        <v>47028</v>
      </c>
    </row>
    <row r="182" spans="9:9" ht="16.2" customHeight="1" x14ac:dyDescent="0.4">
      <c r="I182" s="11">
        <v>47029</v>
      </c>
    </row>
    <row r="183" spans="9:9" ht="16.2" customHeight="1" x14ac:dyDescent="0.4">
      <c r="I183" s="11">
        <v>47029</v>
      </c>
    </row>
    <row r="184" spans="9:9" ht="16.2" customHeight="1" x14ac:dyDescent="0.4">
      <c r="I184" s="11">
        <v>47030</v>
      </c>
    </row>
    <row r="185" spans="9:9" ht="16.2" customHeight="1" x14ac:dyDescent="0.4">
      <c r="I185" s="11">
        <v>47035</v>
      </c>
    </row>
    <row r="186" spans="9:9" ht="16.2" customHeight="1" x14ac:dyDescent="0.4">
      <c r="I186" s="11">
        <v>47112</v>
      </c>
    </row>
    <row r="187" spans="9:9" ht="16.2" customHeight="1" x14ac:dyDescent="0.4">
      <c r="I187" s="11">
        <v>47119</v>
      </c>
    </row>
    <row r="188" spans="9:9" ht="16.2" customHeight="1" x14ac:dyDescent="0.4">
      <c r="I188" s="11">
        <v>47161</v>
      </c>
    </row>
    <row r="189" spans="9:9" ht="16.2" customHeight="1" x14ac:dyDescent="0.4">
      <c r="I189" s="11">
        <v>47162</v>
      </c>
    </row>
    <row r="190" spans="9:9" ht="16.2" customHeight="1" x14ac:dyDescent="0.4">
      <c r="I190" s="11">
        <v>47163</v>
      </c>
    </row>
    <row r="191" spans="9:9" ht="16.2" customHeight="1" x14ac:dyDescent="0.4">
      <c r="I191" s="11">
        <v>47178</v>
      </c>
    </row>
    <row r="192" spans="9:9" ht="16.2" customHeight="1" x14ac:dyDescent="0.4">
      <c r="I192" s="11">
        <v>47239</v>
      </c>
    </row>
    <row r="193" spans="9:9" ht="16.2" customHeight="1" x14ac:dyDescent="0.4">
      <c r="I193" s="11">
        <v>47245</v>
      </c>
    </row>
    <row r="194" spans="9:9" ht="16.2" customHeight="1" x14ac:dyDescent="0.4">
      <c r="I194" s="11">
        <v>47259</v>
      </c>
    </row>
    <row r="195" spans="9:9" ht="16.2" customHeight="1" x14ac:dyDescent="0.4">
      <c r="I195" s="11">
        <v>47275</v>
      </c>
    </row>
    <row r="196" spans="9:9" ht="16.2" customHeight="1" x14ac:dyDescent="0.4">
      <c r="I196" s="11">
        <v>47345</v>
      </c>
    </row>
    <row r="197" spans="9:9" ht="16.2" customHeight="1" x14ac:dyDescent="0.4">
      <c r="I197" s="11">
        <v>47382</v>
      </c>
    </row>
    <row r="198" spans="9:9" ht="16.2" customHeight="1" x14ac:dyDescent="0.4">
      <c r="I198" s="11">
        <v>47383</v>
      </c>
    </row>
    <row r="199" spans="9:9" ht="16.2" customHeight="1" x14ac:dyDescent="0.4">
      <c r="I199" s="11">
        <v>47385</v>
      </c>
    </row>
    <row r="200" spans="9:9" ht="16.2" customHeight="1" x14ac:dyDescent="0.4">
      <c r="I200" s="11">
        <v>47394</v>
      </c>
    </row>
    <row r="201" spans="9:9" ht="16.2" customHeight="1" x14ac:dyDescent="0.4">
      <c r="I201" s="11">
        <v>47400</v>
      </c>
    </row>
    <row r="202" spans="9:9" ht="16.2" customHeight="1" x14ac:dyDescent="0.4">
      <c r="I202" s="11">
        <v>47477</v>
      </c>
    </row>
    <row r="203" spans="9:9" ht="16.2" customHeight="1" x14ac:dyDescent="0.4">
      <c r="I203" s="11">
        <v>47484</v>
      </c>
    </row>
    <row r="204" spans="9:9" ht="16.2" customHeight="1" x14ac:dyDescent="0.4">
      <c r="I204" s="11">
        <v>47516</v>
      </c>
    </row>
    <row r="205" spans="9:9" ht="16.2" customHeight="1" x14ac:dyDescent="0.4">
      <c r="I205" s="11">
        <v>47518</v>
      </c>
    </row>
    <row r="206" spans="9:9" ht="16.2" customHeight="1" x14ac:dyDescent="0.4">
      <c r="I206" s="11">
        <v>47519</v>
      </c>
    </row>
    <row r="207" spans="9:9" ht="16.2" customHeight="1" x14ac:dyDescent="0.4">
      <c r="I207" s="11">
        <v>47543</v>
      </c>
    </row>
    <row r="208" spans="9:9" ht="16.2" customHeight="1" x14ac:dyDescent="0.4">
      <c r="I208" s="11">
        <v>47604</v>
      </c>
    </row>
    <row r="209" spans="9:9" ht="16.2" customHeight="1" x14ac:dyDescent="0.4">
      <c r="I209" s="11">
        <v>47609</v>
      </c>
    </row>
    <row r="210" spans="9:9" ht="16.2" customHeight="1" x14ac:dyDescent="0.4">
      <c r="I210" s="11">
        <v>47612</v>
      </c>
    </row>
    <row r="211" spans="9:9" ht="16.2" customHeight="1" x14ac:dyDescent="0.4">
      <c r="I211" s="11">
        <v>47640</v>
      </c>
    </row>
    <row r="212" spans="9:9" ht="16.2" customHeight="1" x14ac:dyDescent="0.4">
      <c r="I212" s="11">
        <v>47710</v>
      </c>
    </row>
    <row r="213" spans="9:9" ht="16.2" customHeight="1" x14ac:dyDescent="0.4">
      <c r="I213" s="11">
        <v>47737</v>
      </c>
    </row>
    <row r="214" spans="9:9" ht="16.2" customHeight="1" x14ac:dyDescent="0.4">
      <c r="I214" s="11">
        <v>47738</v>
      </c>
    </row>
    <row r="215" spans="9:9" ht="16.2" customHeight="1" x14ac:dyDescent="0.4">
      <c r="I215" s="11">
        <v>47739</v>
      </c>
    </row>
    <row r="216" spans="9:9" ht="16.2" customHeight="1" x14ac:dyDescent="0.4">
      <c r="I216" s="11">
        <v>47759</v>
      </c>
    </row>
    <row r="217" spans="9:9" ht="16.2" customHeight="1" x14ac:dyDescent="0.4">
      <c r="I217" s="11">
        <v>47765</v>
      </c>
    </row>
    <row r="218" spans="9:9" ht="16.2" customHeight="1" x14ac:dyDescent="0.4">
      <c r="I218" s="11">
        <v>47842</v>
      </c>
    </row>
    <row r="219" spans="9:9" ht="16.2" customHeight="1" x14ac:dyDescent="0.4">
      <c r="I219" s="11">
        <v>47849</v>
      </c>
    </row>
    <row r="220" spans="9:9" ht="16.2" customHeight="1" x14ac:dyDescent="0.4">
      <c r="I220" s="11">
        <v>47870</v>
      </c>
    </row>
    <row r="221" spans="9:9" ht="16.2" customHeight="1" x14ac:dyDescent="0.4">
      <c r="I221" s="11">
        <v>47871</v>
      </c>
    </row>
    <row r="222" spans="9:9" ht="16.2" customHeight="1" x14ac:dyDescent="0.4">
      <c r="I222" s="11">
        <v>47872</v>
      </c>
    </row>
    <row r="223" spans="9:9" ht="16.2" customHeight="1" x14ac:dyDescent="0.4">
      <c r="I223" s="11">
        <v>47910</v>
      </c>
    </row>
    <row r="224" spans="9:9" ht="16.2" customHeight="1" x14ac:dyDescent="0.4">
      <c r="I224" s="11">
        <v>47969</v>
      </c>
    </row>
    <row r="225" spans="9:9" ht="16.2" customHeight="1" x14ac:dyDescent="0.4">
      <c r="I225" s="11">
        <v>47973</v>
      </c>
    </row>
    <row r="226" spans="9:9" ht="16.2" customHeight="1" x14ac:dyDescent="0.4">
      <c r="I226" s="11">
        <v>47996</v>
      </c>
    </row>
    <row r="227" spans="9:9" ht="16.2" customHeight="1" x14ac:dyDescent="0.4">
      <c r="I227" s="11">
        <v>48005</v>
      </c>
    </row>
    <row r="228" spans="9:9" ht="16.2" customHeight="1" x14ac:dyDescent="0.4">
      <c r="I228" s="11">
        <v>48075</v>
      </c>
    </row>
    <row r="229" spans="9:9" ht="16.2" customHeight="1" x14ac:dyDescent="0.4">
      <c r="I229" s="11">
        <v>48121</v>
      </c>
    </row>
    <row r="230" spans="9:9" ht="16.2" customHeight="1" x14ac:dyDescent="0.4">
      <c r="I230" s="11">
        <v>48122</v>
      </c>
    </row>
    <row r="231" spans="9:9" ht="16.2" customHeight="1" x14ac:dyDescent="0.4">
      <c r="I231" s="11">
        <v>48123</v>
      </c>
    </row>
    <row r="232" spans="9:9" ht="16.2" customHeight="1" x14ac:dyDescent="0.4">
      <c r="I232" s="11">
        <v>48124</v>
      </c>
    </row>
    <row r="233" spans="9:9" ht="16.2" customHeight="1" x14ac:dyDescent="0.4">
      <c r="I233" s="11">
        <v>48130</v>
      </c>
    </row>
    <row r="234" spans="9:9" ht="16.2" customHeight="1" x14ac:dyDescent="0.4">
      <c r="I234" s="11">
        <v>48207</v>
      </c>
    </row>
    <row r="235" spans="9:9" ht="16.2" customHeight="1" x14ac:dyDescent="0.4">
      <c r="I235" s="11">
        <v>48214</v>
      </c>
    </row>
    <row r="236" spans="9:9" ht="16.2" customHeight="1" x14ac:dyDescent="0.4">
      <c r="I236" s="11">
        <v>48254</v>
      </c>
    </row>
    <row r="237" spans="9:9" ht="16.2" customHeight="1" x14ac:dyDescent="0.4">
      <c r="I237" s="11">
        <v>48255</v>
      </c>
    </row>
    <row r="238" spans="9:9" ht="16.2" customHeight="1" x14ac:dyDescent="0.4">
      <c r="I238" s="11">
        <v>48256</v>
      </c>
    </row>
    <row r="239" spans="9:9" ht="16.2" customHeight="1" x14ac:dyDescent="0.4">
      <c r="I239" s="11">
        <v>48274</v>
      </c>
    </row>
    <row r="240" spans="9:9" ht="16.2" customHeight="1" x14ac:dyDescent="0.4">
      <c r="I240" s="11">
        <v>48335</v>
      </c>
    </row>
    <row r="241" spans="9:9" ht="16.2" customHeight="1" x14ac:dyDescent="0.4">
      <c r="I241" s="11">
        <v>48339</v>
      </c>
    </row>
    <row r="242" spans="9:9" ht="16.2" customHeight="1" x14ac:dyDescent="0.4">
      <c r="I242" s="11">
        <v>48351</v>
      </c>
    </row>
    <row r="243" spans="9:9" ht="16.2" customHeight="1" x14ac:dyDescent="0.4">
      <c r="I243" s="11">
        <v>48371</v>
      </c>
    </row>
    <row r="244" spans="9:9" ht="16.2" customHeight="1" x14ac:dyDescent="0.4">
      <c r="I244" s="11">
        <v>48442</v>
      </c>
    </row>
    <row r="245" spans="9:9" ht="16.2" customHeight="1" x14ac:dyDescent="0.4">
      <c r="I245" s="11">
        <v>48475</v>
      </c>
    </row>
    <row r="246" spans="9:9" ht="16.2" customHeight="1" x14ac:dyDescent="0.4">
      <c r="I246" s="11">
        <v>48477</v>
      </c>
    </row>
    <row r="247" spans="9:9" ht="16.2" customHeight="1" x14ac:dyDescent="0.4">
      <c r="I247" s="11">
        <v>48478</v>
      </c>
    </row>
    <row r="248" spans="9:9" ht="16.2" customHeight="1" x14ac:dyDescent="0.4">
      <c r="I248" s="11">
        <v>48491</v>
      </c>
    </row>
    <row r="249" spans="9:9" ht="16.2" customHeight="1" x14ac:dyDescent="0.4">
      <c r="I249" s="11">
        <v>48498</v>
      </c>
    </row>
    <row r="250" spans="9:9" ht="16.2" customHeight="1" x14ac:dyDescent="0.4">
      <c r="I250" s="11">
        <v>48575</v>
      </c>
    </row>
    <row r="251" spans="9:9" ht="16.2" customHeight="1" x14ac:dyDescent="0.4">
      <c r="I251" s="11">
        <v>48580</v>
      </c>
    </row>
    <row r="252" spans="9:9" ht="16.2" customHeight="1" x14ac:dyDescent="0.4">
      <c r="I252" s="11">
        <v>48610</v>
      </c>
    </row>
    <row r="253" spans="9:9" ht="16.2" customHeight="1" x14ac:dyDescent="0.4">
      <c r="I253" s="11">
        <v>48611</v>
      </c>
    </row>
    <row r="254" spans="9:9" ht="16.2" customHeight="1" x14ac:dyDescent="0.4">
      <c r="I254" s="11">
        <v>48612</v>
      </c>
    </row>
    <row r="255" spans="9:9" ht="16.2" customHeight="1" x14ac:dyDescent="0.4">
      <c r="I255" s="11">
        <v>48639</v>
      </c>
    </row>
    <row r="256" spans="9:9" ht="16.2" customHeight="1" x14ac:dyDescent="0.4">
      <c r="I256" s="11">
        <v>48700</v>
      </c>
    </row>
    <row r="257" spans="9:9" ht="16.2" customHeight="1" x14ac:dyDescent="0.4">
      <c r="I257" s="11">
        <v>48704</v>
      </c>
    </row>
    <row r="258" spans="9:9" ht="16.2" customHeight="1" x14ac:dyDescent="0.4">
      <c r="I258" s="11">
        <v>48705</v>
      </c>
    </row>
    <row r="259" spans="9:9" ht="16.2" customHeight="1" x14ac:dyDescent="0.4">
      <c r="I259" s="11">
        <v>48736</v>
      </c>
    </row>
    <row r="260" spans="9:9" ht="16.2" customHeight="1" x14ac:dyDescent="0.4">
      <c r="I260" s="11">
        <v>48806</v>
      </c>
    </row>
    <row r="261" spans="9:9" ht="16.2" customHeight="1" x14ac:dyDescent="0.4">
      <c r="I261" s="11">
        <v>48829</v>
      </c>
    </row>
    <row r="262" spans="9:9" ht="16.2" customHeight="1" x14ac:dyDescent="0.4">
      <c r="I262" s="11">
        <v>48830</v>
      </c>
    </row>
    <row r="263" spans="9:9" ht="16.2" customHeight="1" x14ac:dyDescent="0.4">
      <c r="I263" s="11">
        <v>48831</v>
      </c>
    </row>
    <row r="264" spans="9:9" ht="16.2" customHeight="1" x14ac:dyDescent="0.4">
      <c r="I264" s="11">
        <v>48855</v>
      </c>
    </row>
    <row r="265" spans="9:9" ht="16.2" customHeight="1" x14ac:dyDescent="0.4">
      <c r="I265" s="11">
        <v>48862</v>
      </c>
    </row>
    <row r="266" spans="9:9" ht="16.2" customHeight="1" x14ac:dyDescent="0.4">
      <c r="I266" s="11">
        <v>48939</v>
      </c>
    </row>
    <row r="267" spans="9:9" ht="16.2" customHeight="1" x14ac:dyDescent="0.4">
      <c r="I267" s="11">
        <v>48945</v>
      </c>
    </row>
    <row r="268" spans="9:9" ht="16.2" customHeight="1" x14ac:dyDescent="0.4">
      <c r="I268" s="11">
        <v>48993</v>
      </c>
    </row>
    <row r="269" spans="9:9" ht="16.2" customHeight="1" x14ac:dyDescent="0.4">
      <c r="I269" s="11">
        <v>48995</v>
      </c>
    </row>
    <row r="270" spans="9:9" ht="16.2" customHeight="1" x14ac:dyDescent="0.4">
      <c r="I270" s="11">
        <v>48996</v>
      </c>
    </row>
    <row r="271" spans="9:9" ht="16.2" customHeight="1" x14ac:dyDescent="0.4">
      <c r="I271" s="11">
        <v>49004</v>
      </c>
    </row>
    <row r="272" spans="9:9" ht="16.2" customHeight="1" x14ac:dyDescent="0.4">
      <c r="I272" s="11">
        <v>49065</v>
      </c>
    </row>
    <row r="273" spans="9:9" ht="16.2" customHeight="1" x14ac:dyDescent="0.4">
      <c r="I273" s="11">
        <v>49069</v>
      </c>
    </row>
    <row r="274" spans="9:9" ht="16.2" customHeight="1" x14ac:dyDescent="0.4">
      <c r="I274" s="11">
        <v>49089</v>
      </c>
    </row>
    <row r="275" spans="9:9" ht="16.2" customHeight="1" x14ac:dyDescent="0.4">
      <c r="I275" s="11">
        <v>49101</v>
      </c>
    </row>
    <row r="276" spans="9:9" ht="16.2" customHeight="1" x14ac:dyDescent="0.4">
      <c r="I276" s="11">
        <v>49171</v>
      </c>
    </row>
    <row r="277" spans="9:9" ht="16.2" customHeight="1" x14ac:dyDescent="0.4">
      <c r="I277" s="11">
        <v>49213</v>
      </c>
    </row>
    <row r="278" spans="9:9" ht="16.2" customHeight="1" x14ac:dyDescent="0.4">
      <c r="I278" s="11">
        <v>49214</v>
      </c>
    </row>
    <row r="279" spans="9:9" ht="16.2" customHeight="1" x14ac:dyDescent="0.4">
      <c r="I279" s="11">
        <v>49215</v>
      </c>
    </row>
    <row r="280" spans="9:9" ht="16.2" customHeight="1" x14ac:dyDescent="0.4">
      <c r="I280" s="11">
        <v>49220</v>
      </c>
    </row>
    <row r="281" spans="9:9" ht="16.2" customHeight="1" x14ac:dyDescent="0.4">
      <c r="I281" s="11">
        <v>49226</v>
      </c>
    </row>
    <row r="282" spans="9:9" ht="16.2" customHeight="1" x14ac:dyDescent="0.4">
      <c r="I282" s="11">
        <v>49303</v>
      </c>
    </row>
    <row r="283" spans="9:9" ht="16.2" customHeight="1" x14ac:dyDescent="0.4">
      <c r="I283" s="11">
        <v>49310</v>
      </c>
    </row>
    <row r="284" spans="9:9" ht="16.2" customHeight="1" x14ac:dyDescent="0.4">
      <c r="I284" s="11">
        <v>49347</v>
      </c>
    </row>
    <row r="285" spans="9:9" ht="16.2" customHeight="1" x14ac:dyDescent="0.4">
      <c r="I285" s="11">
        <v>49348</v>
      </c>
    </row>
    <row r="286" spans="9:9" ht="16.2" customHeight="1" x14ac:dyDescent="0.4">
      <c r="I286" s="11">
        <v>49349</v>
      </c>
    </row>
    <row r="287" spans="9:9" ht="16.2" customHeight="1" x14ac:dyDescent="0.4">
      <c r="I287" s="11">
        <v>49369</v>
      </c>
    </row>
    <row r="288" spans="9:9" ht="16.2" customHeight="1" x14ac:dyDescent="0.4">
      <c r="I288" s="11">
        <v>49430</v>
      </c>
    </row>
    <row r="289" spans="9:9" ht="16.2" customHeight="1" x14ac:dyDescent="0.4">
      <c r="I289" s="11">
        <v>49436</v>
      </c>
    </row>
    <row r="290" spans="9:9" ht="16.2" customHeight="1" x14ac:dyDescent="0.4">
      <c r="I290" s="11">
        <v>49444</v>
      </c>
    </row>
    <row r="291" spans="9:9" ht="16.2" customHeight="1" x14ac:dyDescent="0.4">
      <c r="I291" s="11">
        <v>49466</v>
      </c>
    </row>
    <row r="292" spans="9:9" ht="16.2" customHeight="1" x14ac:dyDescent="0.4">
      <c r="I292" s="11">
        <v>49536</v>
      </c>
    </row>
    <row r="293" spans="9:9" ht="16.2" customHeight="1" x14ac:dyDescent="0.4">
      <c r="I293" s="11">
        <v>49567</v>
      </c>
    </row>
    <row r="294" spans="9:9" ht="16.2" customHeight="1" x14ac:dyDescent="0.4">
      <c r="I294" s="11">
        <v>49569</v>
      </c>
    </row>
    <row r="295" spans="9:9" ht="16.2" customHeight="1" x14ac:dyDescent="0.4">
      <c r="I295" s="11">
        <v>49570</v>
      </c>
    </row>
    <row r="296" spans="9:9" ht="16.2" customHeight="1" x14ac:dyDescent="0.4">
      <c r="I296" s="11">
        <v>49585</v>
      </c>
    </row>
    <row r="297" spans="9:9" ht="16.2" customHeight="1" x14ac:dyDescent="0.4">
      <c r="I297" s="11">
        <v>49591</v>
      </c>
    </row>
    <row r="298" spans="9:9" ht="16.2" customHeight="1" x14ac:dyDescent="0.4">
      <c r="I298" s="11">
        <v>49668</v>
      </c>
    </row>
    <row r="299" spans="9:9" ht="16.2" customHeight="1" x14ac:dyDescent="0.4">
      <c r="I299" s="11">
        <v>49675</v>
      </c>
    </row>
    <row r="300" spans="9:9" ht="16.2" customHeight="1" x14ac:dyDescent="0.4">
      <c r="I300" s="11">
        <v>49702</v>
      </c>
    </row>
    <row r="301" spans="9:9" ht="16.2" customHeight="1" x14ac:dyDescent="0.4">
      <c r="I301" s="11">
        <v>49703</v>
      </c>
    </row>
    <row r="302" spans="9:9" ht="16.2" customHeight="1" x14ac:dyDescent="0.4">
      <c r="I302" s="11">
        <v>49704</v>
      </c>
    </row>
    <row r="303" spans="9:9" ht="16.2" customHeight="1" x14ac:dyDescent="0.4">
      <c r="I303" s="11">
        <v>49737</v>
      </c>
    </row>
    <row r="304" spans="9:9" ht="16.2" customHeight="1" x14ac:dyDescent="0.4">
      <c r="I304" s="11">
        <v>49796</v>
      </c>
    </row>
    <row r="305" spans="9:9" ht="16.2" customHeight="1" x14ac:dyDescent="0.4">
      <c r="I305" s="11">
        <v>49800</v>
      </c>
    </row>
    <row r="306" spans="9:9" ht="16.2" customHeight="1" x14ac:dyDescent="0.4">
      <c r="I306" s="11">
        <v>49800</v>
      </c>
    </row>
    <row r="307" spans="9:9" ht="16.2" customHeight="1" x14ac:dyDescent="0.4">
      <c r="I307" s="11">
        <v>49832</v>
      </c>
    </row>
    <row r="308" spans="9:9" ht="16.2" customHeight="1" x14ac:dyDescent="0.4">
      <c r="I308" s="11">
        <v>49902</v>
      </c>
    </row>
    <row r="309" spans="9:9" ht="16.2" customHeight="1" x14ac:dyDescent="0.4">
      <c r="I309" s="11">
        <v>49951</v>
      </c>
    </row>
    <row r="310" spans="9:9" ht="16.2" customHeight="1" x14ac:dyDescent="0.4">
      <c r="I310" s="11">
        <v>49951</v>
      </c>
    </row>
    <row r="311" spans="9:9" ht="16.2" customHeight="1" x14ac:dyDescent="0.4">
      <c r="I311" s="11">
        <v>49952</v>
      </c>
    </row>
    <row r="312" spans="9:9" ht="16.2" customHeight="1" x14ac:dyDescent="0.4">
      <c r="I312" s="11">
        <v>49954</v>
      </c>
    </row>
    <row r="313" spans="9:9" ht="16.2" customHeight="1" x14ac:dyDescent="0.4">
      <c r="I313" s="11">
        <v>49957</v>
      </c>
    </row>
    <row r="314" spans="9:9" ht="16.2" customHeight="1" x14ac:dyDescent="0.4">
      <c r="I314" s="11">
        <v>50034</v>
      </c>
    </row>
    <row r="315" spans="9:9" ht="16.2" customHeight="1" x14ac:dyDescent="0.4">
      <c r="I315" s="11">
        <v>50041</v>
      </c>
    </row>
    <row r="316" spans="9:9" ht="16.2" customHeight="1" x14ac:dyDescent="0.4">
      <c r="I316" s="11">
        <v>50085</v>
      </c>
    </row>
    <row r="317" spans="9:9" ht="16.2" customHeight="1" x14ac:dyDescent="0.4">
      <c r="I317" s="11">
        <v>50087</v>
      </c>
    </row>
    <row r="318" spans="9:9" ht="16.2" customHeight="1" x14ac:dyDescent="0.4">
      <c r="I318" s="11">
        <v>50088</v>
      </c>
    </row>
    <row r="319" spans="9:9" ht="16.2" customHeight="1" x14ac:dyDescent="0.4">
      <c r="I319" s="11">
        <v>50101</v>
      </c>
    </row>
    <row r="320" spans="9:9" ht="16.2" customHeight="1" x14ac:dyDescent="0.4">
      <c r="I320" s="11">
        <v>50161</v>
      </c>
    </row>
    <row r="321" spans="9:9" ht="16.2" customHeight="1" x14ac:dyDescent="0.4">
      <c r="I321" s="11">
        <v>50165</v>
      </c>
    </row>
    <row r="322" spans="9:9" ht="16.2" customHeight="1" x14ac:dyDescent="0.4">
      <c r="I322" s="11">
        <v>50182</v>
      </c>
    </row>
    <row r="323" spans="9:9" ht="16.2" customHeight="1" x14ac:dyDescent="0.4">
      <c r="I323" s="11">
        <v>50197</v>
      </c>
    </row>
    <row r="324" spans="9:9" ht="16.2" customHeight="1" x14ac:dyDescent="0.4">
      <c r="I324" s="11">
        <v>50269</v>
      </c>
    </row>
    <row r="325" spans="9:9" ht="16.2" customHeight="1" x14ac:dyDescent="0.4">
      <c r="I325" s="11">
        <v>50306</v>
      </c>
    </row>
    <row r="326" spans="9:9" ht="16.2" customHeight="1" x14ac:dyDescent="0.4">
      <c r="I326" s="11">
        <v>50307</v>
      </c>
    </row>
    <row r="327" spans="9:9" ht="16.2" customHeight="1" x14ac:dyDescent="0.4">
      <c r="I327" s="11">
        <v>50308</v>
      </c>
    </row>
    <row r="328" spans="9:9" ht="16.2" customHeight="1" x14ac:dyDescent="0.4">
      <c r="I328" s="11">
        <v>50318</v>
      </c>
    </row>
    <row r="329" spans="9:9" ht="16.2" customHeight="1" x14ac:dyDescent="0.4">
      <c r="I329" s="11">
        <v>50322</v>
      </c>
    </row>
    <row r="330" spans="9:9" ht="16.2" customHeight="1" x14ac:dyDescent="0.4">
      <c r="I330" s="11">
        <v>50399</v>
      </c>
    </row>
    <row r="331" spans="9:9" ht="16.2" customHeight="1" x14ac:dyDescent="0.4">
      <c r="I331" s="11">
        <v>50406</v>
      </c>
    </row>
    <row r="332" spans="9:9" ht="16.2" customHeight="1" x14ac:dyDescent="0.4">
      <c r="I332" s="11">
        <v>50439</v>
      </c>
    </row>
    <row r="333" spans="9:9" ht="16.2" customHeight="1" x14ac:dyDescent="0.4">
      <c r="I333" s="11">
        <v>50440</v>
      </c>
    </row>
    <row r="334" spans="9:9" ht="16.2" customHeight="1" x14ac:dyDescent="0.4">
      <c r="I334" s="11">
        <v>50441</v>
      </c>
    </row>
    <row r="335" spans="9:9" ht="16.2" customHeight="1" x14ac:dyDescent="0.4">
      <c r="I335" s="11">
        <v>50465</v>
      </c>
    </row>
    <row r="336" spans="9:9" ht="16.2" customHeight="1" x14ac:dyDescent="0.4">
      <c r="I336" s="11">
        <v>50526</v>
      </c>
    </row>
    <row r="337" spans="9:9" ht="16.2" customHeight="1" x14ac:dyDescent="0.4">
      <c r="I337" s="11">
        <v>50530</v>
      </c>
    </row>
    <row r="338" spans="9:9" ht="16.2" customHeight="1" x14ac:dyDescent="0.4">
      <c r="I338" s="11">
        <v>50536</v>
      </c>
    </row>
    <row r="339" spans="9:9" ht="16.2" customHeight="1" x14ac:dyDescent="0.4">
      <c r="I339" s="11">
        <v>50562</v>
      </c>
    </row>
    <row r="340" spans="9:9" ht="16.2" customHeight="1" x14ac:dyDescent="0.4">
      <c r="I340" s="11">
        <v>50633</v>
      </c>
    </row>
    <row r="341" spans="9:9" ht="16.2" customHeight="1" x14ac:dyDescent="0.4">
      <c r="I341" s="11">
        <v>50661</v>
      </c>
    </row>
    <row r="342" spans="9:9" ht="16.2" customHeight="1" x14ac:dyDescent="0.4">
      <c r="I342" s="11">
        <v>50662</v>
      </c>
    </row>
    <row r="343" spans="9:9" ht="16.2" customHeight="1" x14ac:dyDescent="0.4">
      <c r="I343" s="11">
        <v>50663</v>
      </c>
    </row>
    <row r="344" spans="9:9" ht="16.2" customHeight="1" x14ac:dyDescent="0.4">
      <c r="I344" s="11">
        <v>50682</v>
      </c>
    </row>
    <row r="345" spans="9:9" ht="16.2" customHeight="1" x14ac:dyDescent="0.4">
      <c r="I345" s="11">
        <v>50689</v>
      </c>
    </row>
    <row r="346" spans="9:9" ht="16.2" customHeight="1" x14ac:dyDescent="0.4">
      <c r="I346" s="11">
        <v>50766</v>
      </c>
    </row>
    <row r="347" spans="9:9" ht="16.2" customHeight="1" x14ac:dyDescent="0.4">
      <c r="I347" s="11">
        <v>50771</v>
      </c>
    </row>
    <row r="348" spans="9:9" ht="16.2" customHeight="1" x14ac:dyDescent="0.4">
      <c r="I348" s="11">
        <v>50794</v>
      </c>
    </row>
    <row r="349" spans="9:9" ht="16.2" customHeight="1" x14ac:dyDescent="0.4">
      <c r="I349" s="11">
        <v>50795</v>
      </c>
    </row>
    <row r="350" spans="9:9" ht="16.2" customHeight="1" x14ac:dyDescent="0.4">
      <c r="I350" s="11">
        <v>50796</v>
      </c>
    </row>
    <row r="351" spans="9:9" ht="16.2" customHeight="1" x14ac:dyDescent="0.4">
      <c r="I351" s="11">
        <v>50830</v>
      </c>
    </row>
    <row r="352" spans="9:9" ht="16.2" customHeight="1" x14ac:dyDescent="0.4">
      <c r="I352" s="11">
        <v>50891</v>
      </c>
    </row>
    <row r="353" spans="9:9" ht="16.2" customHeight="1" x14ac:dyDescent="0.4">
      <c r="I353" s="11">
        <v>50892</v>
      </c>
    </row>
    <row r="354" spans="9:9" ht="16.2" customHeight="1" x14ac:dyDescent="0.4">
      <c r="I354" s="11">
        <v>50895</v>
      </c>
    </row>
    <row r="355" spans="9:9" ht="16.2" customHeight="1" x14ac:dyDescent="0.4">
      <c r="I355" s="11">
        <v>50927</v>
      </c>
    </row>
    <row r="356" spans="9:9" ht="16.2" customHeight="1" x14ac:dyDescent="0.4">
      <c r="I356" s="11">
        <v>50997</v>
      </c>
    </row>
    <row r="357" spans="9:9" ht="16.2" customHeight="1" x14ac:dyDescent="0.4">
      <c r="I357" s="11">
        <v>51044</v>
      </c>
    </row>
    <row r="358" spans="9:9" ht="16.2" customHeight="1" x14ac:dyDescent="0.4">
      <c r="I358" s="11">
        <v>51046</v>
      </c>
    </row>
    <row r="359" spans="9:9" ht="16.2" customHeight="1" x14ac:dyDescent="0.4">
      <c r="I359" s="11">
        <v>51046</v>
      </c>
    </row>
    <row r="360" spans="9:9" ht="16.2" customHeight="1" x14ac:dyDescent="0.4">
      <c r="I360" s="11">
        <v>51047</v>
      </c>
    </row>
    <row r="361" spans="9:9" ht="16.2" customHeight="1" x14ac:dyDescent="0.4">
      <c r="I361" s="11">
        <v>51053</v>
      </c>
    </row>
    <row r="362" spans="9:9" ht="16.2" customHeight="1" x14ac:dyDescent="0.4">
      <c r="I362" s="11">
        <v>51130</v>
      </c>
    </row>
    <row r="363" spans="9:9" ht="16.2" customHeight="1" x14ac:dyDescent="0.4">
      <c r="I363" s="11">
        <v>51136</v>
      </c>
    </row>
    <row r="364" spans="9:9" ht="16.2" customHeight="1" x14ac:dyDescent="0.4">
      <c r="I364" s="11">
        <v>51177</v>
      </c>
    </row>
    <row r="365" spans="9:9" ht="16.2" customHeight="1" x14ac:dyDescent="0.4">
      <c r="I365" s="11">
        <v>51179</v>
      </c>
    </row>
    <row r="366" spans="9:9" ht="16.2" customHeight="1" x14ac:dyDescent="0.4">
      <c r="I366" s="11">
        <v>51180</v>
      </c>
    </row>
    <row r="367" spans="9:9" ht="16.2" customHeight="1" x14ac:dyDescent="0.4">
      <c r="I367" s="11">
        <v>51196</v>
      </c>
    </row>
    <row r="368" spans="9:9" ht="16.2" customHeight="1" x14ac:dyDescent="0.4">
      <c r="I368" s="11">
        <v>51257</v>
      </c>
    </row>
    <row r="369" spans="9:9" ht="16.2" customHeight="1" x14ac:dyDescent="0.4">
      <c r="I369" s="11">
        <v>51263</v>
      </c>
    </row>
    <row r="370" spans="9:9" ht="16.2" customHeight="1" x14ac:dyDescent="0.4">
      <c r="I370" s="11">
        <v>51274</v>
      </c>
    </row>
    <row r="371" spans="9:9" ht="16.2" customHeight="1" x14ac:dyDescent="0.4">
      <c r="I371" s="11">
        <v>51293</v>
      </c>
    </row>
    <row r="372" spans="9:9" ht="16.2" customHeight="1" x14ac:dyDescent="0.4">
      <c r="I372" s="11">
        <v>51363</v>
      </c>
    </row>
    <row r="373" spans="9:9" ht="16.2" customHeight="1" x14ac:dyDescent="0.4">
      <c r="I373" s="11">
        <v>51399</v>
      </c>
    </row>
    <row r="374" spans="9:9" ht="16.2" customHeight="1" x14ac:dyDescent="0.4">
      <c r="I374" s="11">
        <v>51400</v>
      </c>
    </row>
    <row r="375" spans="9:9" ht="16.2" customHeight="1" x14ac:dyDescent="0.4">
      <c r="I375" s="11">
        <v>51401</v>
      </c>
    </row>
    <row r="376" spans="9:9" ht="16.2" customHeight="1" x14ac:dyDescent="0.4">
      <c r="I376" s="11">
        <v>51412</v>
      </c>
    </row>
    <row r="377" spans="9:9" ht="16.2" customHeight="1" x14ac:dyDescent="0.4">
      <c r="I377" s="11">
        <v>51418</v>
      </c>
    </row>
    <row r="378" spans="9:9" ht="16.2" customHeight="1" x14ac:dyDescent="0.4">
      <c r="I378" s="11">
        <v>51495</v>
      </c>
    </row>
    <row r="379" spans="9:9" ht="16.2" customHeight="1" x14ac:dyDescent="0.4">
      <c r="I379" s="11">
        <v>51502</v>
      </c>
    </row>
    <row r="380" spans="9:9" ht="16.2" customHeight="1" x14ac:dyDescent="0.4">
      <c r="I380" s="11">
        <v>51532</v>
      </c>
    </row>
    <row r="381" spans="9:9" ht="16.2" customHeight="1" x14ac:dyDescent="0.4">
      <c r="I381" s="11">
        <v>51533</v>
      </c>
    </row>
    <row r="382" spans="9:9" ht="16.2" customHeight="1" x14ac:dyDescent="0.4">
      <c r="I382" s="11">
        <v>51534</v>
      </c>
    </row>
    <row r="383" spans="9:9" ht="16.2" customHeight="1" x14ac:dyDescent="0.4">
      <c r="I383" s="11">
        <v>51561</v>
      </c>
    </row>
    <row r="384" spans="9:9" ht="16.2" customHeight="1" x14ac:dyDescent="0.4">
      <c r="I384" s="11">
        <v>51622</v>
      </c>
    </row>
    <row r="385" spans="9:9" ht="16.2" customHeight="1" x14ac:dyDescent="0.4">
      <c r="I385" s="11">
        <v>51627</v>
      </c>
    </row>
    <row r="386" spans="9:9" ht="16.2" customHeight="1" x14ac:dyDescent="0.4">
      <c r="I386" s="11">
        <v>51628</v>
      </c>
    </row>
    <row r="387" spans="9:9" ht="16.2" customHeight="1" x14ac:dyDescent="0.4">
      <c r="I387" s="11">
        <v>51658</v>
      </c>
    </row>
    <row r="388" spans="9:9" ht="16.2" customHeight="1" x14ac:dyDescent="0.4">
      <c r="I388" s="11">
        <v>51728</v>
      </c>
    </row>
    <row r="389" spans="9:9" ht="16.2" customHeight="1" x14ac:dyDescent="0.4">
      <c r="I389" s="11">
        <v>51753</v>
      </c>
    </row>
    <row r="390" spans="9:9" ht="16.2" customHeight="1" x14ac:dyDescent="0.4">
      <c r="I390" s="11">
        <v>51754</v>
      </c>
    </row>
    <row r="391" spans="9:9" ht="16.2" customHeight="1" x14ac:dyDescent="0.4">
      <c r="I391" s="11">
        <v>51755</v>
      </c>
    </row>
    <row r="392" spans="9:9" ht="16.2" customHeight="1" x14ac:dyDescent="0.4">
      <c r="I392" s="11">
        <v>51777</v>
      </c>
    </row>
    <row r="393" spans="9:9" ht="16.2" customHeight="1" x14ac:dyDescent="0.4">
      <c r="I393" s="11">
        <v>51783</v>
      </c>
    </row>
    <row r="394" spans="9:9" ht="16.2" customHeight="1" x14ac:dyDescent="0.4">
      <c r="I394" s="11">
        <v>51860</v>
      </c>
    </row>
    <row r="395" spans="9:9" ht="16.2" customHeight="1" x14ac:dyDescent="0.4">
      <c r="I395" s="11">
        <v>51867</v>
      </c>
    </row>
    <row r="396" spans="9:9" ht="16.2" customHeight="1" x14ac:dyDescent="0.4">
      <c r="I396" s="11">
        <v>51887</v>
      </c>
    </row>
    <row r="397" spans="9:9" ht="16.2" customHeight="1" x14ac:dyDescent="0.4">
      <c r="I397" s="11">
        <v>51888</v>
      </c>
    </row>
    <row r="398" spans="9:9" ht="16.2" customHeight="1" x14ac:dyDescent="0.4">
      <c r="I398" s="11">
        <v>51889</v>
      </c>
    </row>
    <row r="399" spans="9:9" ht="16.2" customHeight="1" x14ac:dyDescent="0.4">
      <c r="I399" s="11">
        <v>51928</v>
      </c>
    </row>
    <row r="400" spans="9:9" ht="16.2" customHeight="1" x14ac:dyDescent="0.4">
      <c r="I400" s="11">
        <v>51987</v>
      </c>
    </row>
    <row r="401" spans="9:9" ht="16.2" customHeight="1" x14ac:dyDescent="0.4">
      <c r="I401" s="11">
        <v>51991</v>
      </c>
    </row>
    <row r="402" spans="9:9" ht="16.2" customHeight="1" x14ac:dyDescent="0.4">
      <c r="I402" s="11">
        <v>52012</v>
      </c>
    </row>
    <row r="403" spans="9:9" ht="16.2" customHeight="1" x14ac:dyDescent="0.4">
      <c r="I403" s="11">
        <v>52023</v>
      </c>
    </row>
    <row r="404" spans="9:9" ht="16.2" customHeight="1" x14ac:dyDescent="0.4">
      <c r="I404" s="11">
        <v>52093</v>
      </c>
    </row>
    <row r="405" spans="9:9" ht="16.2" customHeight="1" x14ac:dyDescent="0.4">
      <c r="I405" s="11">
        <v>52136</v>
      </c>
    </row>
    <row r="406" spans="9:9" ht="16.2" customHeight="1" x14ac:dyDescent="0.4">
      <c r="I406" s="11">
        <v>52138</v>
      </c>
    </row>
    <row r="407" spans="9:9" ht="16.2" customHeight="1" x14ac:dyDescent="0.4">
      <c r="I407" s="11">
        <v>52139</v>
      </c>
    </row>
    <row r="408" spans="9:9" ht="16.2" customHeight="1" x14ac:dyDescent="0.4">
      <c r="I408" s="11">
        <v>52142</v>
      </c>
    </row>
    <row r="409" spans="9:9" ht="16.2" customHeight="1" x14ac:dyDescent="0.4">
      <c r="I409" s="11">
        <v>52148</v>
      </c>
    </row>
    <row r="410" spans="9:9" ht="16.2" customHeight="1" x14ac:dyDescent="0.4">
      <c r="I410" s="11">
        <v>52225</v>
      </c>
    </row>
    <row r="411" spans="9:9" ht="16.2" customHeight="1" x14ac:dyDescent="0.4">
      <c r="I411" s="11">
        <v>52232</v>
      </c>
    </row>
    <row r="412" spans="9:9" ht="16.2" customHeight="1" x14ac:dyDescent="0.4">
      <c r="I412" s="11">
        <v>52271</v>
      </c>
    </row>
    <row r="413" spans="9:9" ht="16.2" customHeight="1" x14ac:dyDescent="0.4">
      <c r="I413" s="11">
        <v>52272</v>
      </c>
    </row>
    <row r="414" spans="9:9" ht="16.2" customHeight="1" x14ac:dyDescent="0.4">
      <c r="I414" s="11">
        <v>52273</v>
      </c>
    </row>
    <row r="415" spans="9:9" ht="16.2" customHeight="1" x14ac:dyDescent="0.4">
      <c r="I415" s="11">
        <v>52292</v>
      </c>
    </row>
    <row r="416" spans="9:9" ht="16.2" customHeight="1" x14ac:dyDescent="0.4">
      <c r="I416" s="11">
        <v>52352</v>
      </c>
    </row>
    <row r="417" spans="9:9" ht="16.2" customHeight="1" x14ac:dyDescent="0.4">
      <c r="I417" s="11">
        <v>52356</v>
      </c>
    </row>
    <row r="418" spans="9:9" ht="16.2" customHeight="1" x14ac:dyDescent="0.4">
      <c r="I418" s="11">
        <v>52369</v>
      </c>
    </row>
    <row r="419" spans="9:9" ht="16.2" customHeight="1" x14ac:dyDescent="0.4">
      <c r="I419" s="11">
        <v>52388</v>
      </c>
    </row>
    <row r="420" spans="9:9" ht="16.2" customHeight="1" x14ac:dyDescent="0.4">
      <c r="I420" s="11">
        <v>52460</v>
      </c>
    </row>
    <row r="421" spans="9:9" ht="16.2" customHeight="1" x14ac:dyDescent="0.4">
      <c r="I421" s="11">
        <v>52490</v>
      </c>
    </row>
    <row r="422" spans="9:9" ht="16.2" customHeight="1" x14ac:dyDescent="0.4">
      <c r="I422" s="11">
        <v>52491</v>
      </c>
    </row>
    <row r="423" spans="9:9" ht="16.2" customHeight="1" x14ac:dyDescent="0.4">
      <c r="I423" s="11">
        <v>52492</v>
      </c>
    </row>
    <row r="424" spans="9:9" ht="16.2" customHeight="1" x14ac:dyDescent="0.4">
      <c r="I424" s="11">
        <v>52509</v>
      </c>
    </row>
    <row r="425" spans="9:9" ht="16.2" customHeight="1" x14ac:dyDescent="0.4">
      <c r="I425" s="11">
        <v>52513</v>
      </c>
    </row>
    <row r="426" spans="9:9" ht="16.2" customHeight="1" x14ac:dyDescent="0.4">
      <c r="I426" s="11">
        <v>52590</v>
      </c>
    </row>
  </sheetData>
  <mergeCells count="49">
    <mergeCell ref="Q22:S22"/>
    <mergeCell ref="U22:W22"/>
    <mergeCell ref="C11:D11"/>
    <mergeCell ref="E11:F11"/>
    <mergeCell ref="C4:D4"/>
    <mergeCell ref="E4:F4"/>
    <mergeCell ref="C5:D5"/>
    <mergeCell ref="E5:F5"/>
    <mergeCell ref="C6:D6"/>
    <mergeCell ref="E6:F6"/>
    <mergeCell ref="C7:D7"/>
    <mergeCell ref="E7:F7"/>
    <mergeCell ref="C9:F9"/>
    <mergeCell ref="C10:D10"/>
    <mergeCell ref="E10:F10"/>
    <mergeCell ref="C19:D19"/>
    <mergeCell ref="E16:F16"/>
    <mergeCell ref="C16:D16"/>
    <mergeCell ref="E19:F19"/>
    <mergeCell ref="C12:D12"/>
    <mergeCell ref="E12:F12"/>
    <mergeCell ref="C18:F18"/>
    <mergeCell ref="C15:D15"/>
    <mergeCell ref="E15:F15"/>
    <mergeCell ref="C13:D13"/>
    <mergeCell ref="E13:F13"/>
    <mergeCell ref="C23:F23"/>
    <mergeCell ref="C24:D25"/>
    <mergeCell ref="E24:F25"/>
    <mergeCell ref="C20:D20"/>
    <mergeCell ref="E20:F20"/>
    <mergeCell ref="I4:I5"/>
    <mergeCell ref="C3:F3"/>
    <mergeCell ref="K3:N3"/>
    <mergeCell ref="K4:L4"/>
    <mergeCell ref="M4:N4"/>
    <mergeCell ref="K5:L5"/>
    <mergeCell ref="M5:N5"/>
    <mergeCell ref="K20:L20"/>
    <mergeCell ref="M20:N20"/>
    <mergeCell ref="K21:L21"/>
    <mergeCell ref="M21:N21"/>
    <mergeCell ref="K6:L6"/>
    <mergeCell ref="M6:N6"/>
    <mergeCell ref="K17:N17"/>
    <mergeCell ref="K18:L18"/>
    <mergeCell ref="M18:N18"/>
    <mergeCell ref="K19:L19"/>
    <mergeCell ref="M19:N19"/>
  </mergeCells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Sheet1.BondForwardPricing">
                <anchor moveWithCells="1" sizeWithCells="1">
                  <from>
                    <xdr:col>10</xdr:col>
                    <xdr:colOff>243840</xdr:colOff>
                    <xdr:row>7</xdr:row>
                    <xdr:rowOff>121920</xdr:rowOff>
                  </from>
                  <to>
                    <xdr:col>13</xdr:col>
                    <xdr:colOff>312420</xdr:colOff>
                    <xdr:row>11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임대선</dc:creator>
  <cp:lastModifiedBy>임대선</cp:lastModifiedBy>
  <dcterms:created xsi:type="dcterms:W3CDTF">2026-05-17T12:55:06Z</dcterms:created>
  <dcterms:modified xsi:type="dcterms:W3CDTF">2026-05-18T11:06:29Z</dcterms:modified>
</cp:coreProperties>
</file>