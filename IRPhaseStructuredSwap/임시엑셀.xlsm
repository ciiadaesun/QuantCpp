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3016" windowHeight="9084"/>
  </bookViews>
  <sheets>
    <sheet name="Calibration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62" i="1" l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N31" i="1"/>
  <c r="M31" i="1"/>
  <c r="N30" i="1"/>
  <c r="M30" i="1"/>
  <c r="N29" i="1"/>
  <c r="M29" i="1"/>
  <c r="N28" i="1"/>
  <c r="M28" i="1"/>
  <c r="N27" i="1"/>
  <c r="M27" i="1"/>
  <c r="N26" i="1"/>
  <c r="M26" i="1"/>
  <c r="N25" i="1"/>
  <c r="M25" i="1"/>
  <c r="N24" i="1"/>
  <c r="M24" i="1"/>
  <c r="N23" i="1"/>
  <c r="M23" i="1"/>
  <c r="N22" i="1"/>
  <c r="M22" i="1"/>
  <c r="N21" i="1"/>
  <c r="M21" i="1"/>
  <c r="N20" i="1"/>
  <c r="M20" i="1"/>
  <c r="N19" i="1"/>
  <c r="M19" i="1"/>
  <c r="N18" i="1"/>
  <c r="M18" i="1"/>
  <c r="N17" i="1"/>
  <c r="M17" i="1"/>
  <c r="N16" i="1"/>
  <c r="M16" i="1"/>
  <c r="N15" i="1"/>
  <c r="M15" i="1"/>
  <c r="N14" i="1"/>
  <c r="M14" i="1"/>
  <c r="N13" i="1"/>
  <c r="M13" i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N12" i="1"/>
  <c r="M12" i="1"/>
  <c r="L12" i="1"/>
  <c r="N11" i="1"/>
  <c r="M11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sharedStrings.xml><?xml version="1.0" encoding="utf-8"?>
<sst xmlns="http://schemas.openxmlformats.org/spreadsheetml/2006/main" count="61" uniqueCount="39">
  <si>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</si>
  <si>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</si>
  <si>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</si>
  <si>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</si>
  <si>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</si>
  <si>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Zero Rate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</si>
  <si>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</si>
  <si>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</si>
  <si>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</si>
  <si>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</si>
  <si>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</si>
  <si>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</si>
  <si>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</si>
  <si>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</si>
  <si>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</si>
  <si>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</si>
  <si>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</si>
  <si>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</si>
  <si>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</si>
  <si>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</si>
  <si>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</si>
  <si>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</si>
  <si>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</si>
  <si>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</si>
  <si>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</si>
  <si>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</si>
  <si>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</si>
  <si>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</si>
  <si>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</si>
  <si>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 xml:space="preserve">커브2
</t>
    <phoneticPr fontId="2" type="noConversion"/>
  </si>
  <si>
    <t>커브2 Information</t>
    <phoneticPr fontId="2" type="noConversion"/>
  </si>
  <si>
    <t>Result HW</t>
    <phoneticPr fontId="2" type="noConversion"/>
  </si>
  <si>
    <t>Zero Rate</t>
    <phoneticPr fontId="2" type="noConversion"/>
  </si>
  <si>
    <t>Kappa고정Flag</t>
    <phoneticPr fontId="2" type="noConversion"/>
  </si>
  <si>
    <t>Kappa고정값</t>
    <phoneticPr fontId="2" type="noConversion"/>
  </si>
  <si>
    <t>Swap Frequency</t>
    <phoneticPr fontId="2" type="noConversion"/>
  </si>
  <si>
    <t>Quanto보정</t>
    <phoneticPr fontId="2" type="noConversion"/>
  </si>
  <si>
    <t>Term입력</t>
    <phoneticPr fontId="2" type="noConversion"/>
  </si>
  <si>
    <t>기준연월일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</si>
</sst>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</numFmts>
  <fonts count="13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7" fontId="8" fillId="11" borderId="10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7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4" fillId="12" borderId="10" xfId="0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178" fontId="1" fillId="2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abSelected="1" workbookViewId="0">
      <selection activeCell="D13" sqref="D13:E15"/>
    </sheetView>
  </sheetViews>
  <sheetFormatPr defaultColWidth="10.09765625" defaultRowHeight="15.6" x14ac:dyDescent="0.4"/>
  <cols>
    <col min="1" max="8" width="10.09765625" style="1"/>
    <col min="9" max="10" width="10.3984375" style="1" bestFit="1" customWidth="1"/>
    <col min="11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39" t="s">
        <v>0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</row>
    <row r="3" spans="1:41" x14ac:dyDescent="0.4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</row>
    <row r="4" spans="1:41" x14ac:dyDescent="0.4">
      <c r="A4" s="1">
        <f>4</f>
        <v>4</v>
      </c>
      <c r="B4" s="24" t="s">
        <v>1</v>
      </c>
      <c r="C4" s="24"/>
      <c r="D4" s="25">
        <v>2</v>
      </c>
      <c r="E4" s="25"/>
    </row>
    <row r="5" spans="1:41" x14ac:dyDescent="0.4">
      <c r="A5" s="1">
        <f>A4+1</f>
        <v>5</v>
      </c>
      <c r="B5" s="24" t="s">
        <v>38</v>
      </c>
      <c r="C5" s="24"/>
      <c r="D5" s="40">
        <v>44815</v>
      </c>
      <c r="E5" s="25"/>
      <c r="G5" s="30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31"/>
      <c r="H6" s="32" t="s">
        <v>4</v>
      </c>
      <c r="I6" s="33"/>
      <c r="L6" s="36" t="s">
        <v>5</v>
      </c>
      <c r="M6" s="36"/>
      <c r="N6" s="36"/>
      <c r="R6" s="36" t="s">
        <v>6</v>
      </c>
      <c r="S6" s="36"/>
      <c r="T6" s="36"/>
    </row>
    <row r="7" spans="1:41" x14ac:dyDescent="0.4">
      <c r="A7" s="1">
        <f t="shared" si="1"/>
        <v>7</v>
      </c>
      <c r="B7" s="24" t="s">
        <v>7</v>
      </c>
      <c r="C7" s="24"/>
      <c r="D7" s="25">
        <v>0</v>
      </c>
      <c r="E7" s="25"/>
      <c r="G7" s="31"/>
      <c r="H7" s="34"/>
      <c r="I7" s="35"/>
      <c r="L7" s="36"/>
      <c r="M7" s="36"/>
      <c r="N7" s="36"/>
      <c r="R7" s="36"/>
      <c r="S7" s="36"/>
      <c r="T7" s="36"/>
    </row>
    <row r="8" spans="1:41" x14ac:dyDescent="0.4">
      <c r="A8" s="1">
        <f t="shared" si="1"/>
        <v>8</v>
      </c>
      <c r="B8" s="24" t="s">
        <v>8</v>
      </c>
      <c r="C8" s="24"/>
      <c r="D8" s="25">
        <v>0.01</v>
      </c>
      <c r="E8" s="25"/>
      <c r="G8" s="31"/>
      <c r="I8" s="3" t="s">
        <v>9</v>
      </c>
      <c r="J8" s="3" t="s">
        <v>10</v>
      </c>
      <c r="K8" s="3" t="s">
        <v>11</v>
      </c>
      <c r="R8" s="36" t="s">
        <v>12</v>
      </c>
      <c r="S8" s="36"/>
      <c r="T8" s="4">
        <v>3</v>
      </c>
    </row>
    <row r="9" spans="1:41" x14ac:dyDescent="0.4">
      <c r="A9" s="1">
        <f t="shared" si="1"/>
        <v>9</v>
      </c>
      <c r="G9" s="31"/>
      <c r="H9" s="3" t="s">
        <v>13</v>
      </c>
      <c r="I9" s="5">
        <v>8.544847801454962E-2</v>
      </c>
      <c r="J9" s="6">
        <v>3.9623379186015668E-2</v>
      </c>
      <c r="K9" s="6">
        <v>-0.87717525687590936</v>
      </c>
      <c r="N9" s="7">
        <v>45212</v>
      </c>
    </row>
    <row r="10" spans="1:41" x14ac:dyDescent="0.4">
      <c r="A10" s="1">
        <f t="shared" si="1"/>
        <v>10</v>
      </c>
      <c r="G10" s="31"/>
      <c r="H10" s="8" t="s">
        <v>14</v>
      </c>
      <c r="I10" s="37" t="s">
        <v>15</v>
      </c>
      <c r="J10" s="38"/>
      <c r="L10" s="9" t="s">
        <v>16</v>
      </c>
      <c r="M10" s="9" t="s">
        <v>37</v>
      </c>
      <c r="N10" s="8" t="s">
        <v>17</v>
      </c>
      <c r="R10" s="26" t="s">
        <v>18</v>
      </c>
      <c r="S10" s="26" t="s">
        <v>19</v>
      </c>
      <c r="T10" s="26" t="s">
        <v>20</v>
      </c>
      <c r="U10" s="26" t="s">
        <v>21</v>
      </c>
      <c r="V10" s="26" t="s">
        <v>22</v>
      </c>
      <c r="W10" s="26" t="s">
        <v>23</v>
      </c>
    </row>
    <row r="11" spans="1:41" x14ac:dyDescent="0.4">
      <c r="A11" s="1">
        <f t="shared" si="1"/>
        <v>11</v>
      </c>
      <c r="G11" s="31"/>
      <c r="H11" s="10">
        <v>0.25</v>
      </c>
      <c r="I11" s="11">
        <v>9.6509347865434206E-3</v>
      </c>
      <c r="J11" s="12"/>
      <c r="L11" s="13">
        <v>1</v>
      </c>
      <c r="M11" s="14">
        <f>(O11-$N$9)/365</f>
        <v>8.21917808219178E-3</v>
      </c>
      <c r="N11" s="15">
        <f>P11/100</f>
        <v>3.5114930000000003E-2</v>
      </c>
      <c r="O11" s="7">
        <v>45215</v>
      </c>
      <c r="P11" s="1">
        <v>3.5114930000000002</v>
      </c>
      <c r="Q11" s="1">
        <v>3.5114930000000002</v>
      </c>
      <c r="R11" s="27"/>
      <c r="S11" s="27"/>
      <c r="T11" s="27"/>
      <c r="U11" s="27"/>
      <c r="V11" s="27"/>
      <c r="W11" s="27"/>
    </row>
    <row r="12" spans="1:41" x14ac:dyDescent="0.4">
      <c r="A12" s="1">
        <f t="shared" si="1"/>
        <v>12</v>
      </c>
      <c r="G12" s="31"/>
      <c r="H12" s="10">
        <v>0.5</v>
      </c>
      <c r="I12" s="11">
        <v>1.1290443419588687E-2</v>
      </c>
      <c r="J12" s="12"/>
      <c r="L12" s="13">
        <f>L11+1</f>
        <v>2</v>
      </c>
      <c r="M12" s="14">
        <f t="shared" ref="M12:M31" si="2">(O12-$N$9)/365</f>
        <v>1.0958904109589041E-2</v>
      </c>
      <c r="N12" s="15">
        <f t="shared" ref="N12:N31" si="3">P12/100</f>
        <v>3.512415E-2</v>
      </c>
      <c r="O12" s="7">
        <v>45216</v>
      </c>
      <c r="P12" s="1">
        <v>3.5124149999999998</v>
      </c>
      <c r="Q12" s="1">
        <v>3.5124149999999998</v>
      </c>
      <c r="R12" s="16">
        <v>0.25</v>
      </c>
      <c r="S12" s="16">
        <v>1</v>
      </c>
      <c r="T12" s="17">
        <v>9.1889999999999993E-3</v>
      </c>
      <c r="U12" s="11">
        <v>1.7714085993766398E-3</v>
      </c>
      <c r="V12" s="11">
        <v>1.7714085993800429E-3</v>
      </c>
      <c r="W12" s="18">
        <v>-3.4030937789975013E-15</v>
      </c>
    </row>
    <row r="13" spans="1:41" x14ac:dyDescent="0.4">
      <c r="A13" s="1">
        <f t="shared" si="1"/>
        <v>13</v>
      </c>
      <c r="C13" s="19" t="s">
        <v>23</v>
      </c>
      <c r="D13" s="28" t="s">
        <v>24</v>
      </c>
      <c r="E13" s="28"/>
      <c r="G13" s="31"/>
      <c r="H13" s="10">
        <v>0.75</v>
      </c>
      <c r="I13" s="11">
        <v>1.190510003696103E-2</v>
      </c>
      <c r="J13" s="12"/>
      <c r="L13" s="13">
        <f t="shared" ref="L13:L53" si="4">L12+1</f>
        <v>3</v>
      </c>
      <c r="M13" s="14">
        <f t="shared" si="2"/>
        <v>0.26027397260273971</v>
      </c>
      <c r="N13" s="15">
        <f t="shared" si="3"/>
        <v>3.792562E-2</v>
      </c>
      <c r="O13" s="7">
        <v>45307</v>
      </c>
      <c r="P13" s="1">
        <v>3.7925620000000002</v>
      </c>
      <c r="Q13" s="1">
        <v>3.7925620000000002</v>
      </c>
      <c r="R13" s="16">
        <v>0.5</v>
      </c>
      <c r="S13" s="16">
        <v>2</v>
      </c>
      <c r="T13" s="17">
        <v>9.3720000000000001E-3</v>
      </c>
      <c r="U13" s="11">
        <v>4.9630522901371625E-3</v>
      </c>
      <c r="V13" s="11">
        <v>4.9630522901341553E-3</v>
      </c>
      <c r="W13" s="18">
        <v>3.0071431456057951E-15</v>
      </c>
    </row>
    <row r="14" spans="1:41" x14ac:dyDescent="0.4">
      <c r="A14" s="1">
        <f t="shared" si="1"/>
        <v>14</v>
      </c>
      <c r="D14" s="28"/>
      <c r="E14" s="28"/>
      <c r="G14" s="31"/>
      <c r="H14" s="10">
        <v>1</v>
      </c>
      <c r="I14" s="11">
        <v>1.2981987819544768E-2</v>
      </c>
      <c r="J14" s="12"/>
      <c r="L14" s="13">
        <f t="shared" si="4"/>
        <v>4</v>
      </c>
      <c r="M14" s="14">
        <f t="shared" si="2"/>
        <v>0.50958904109589043</v>
      </c>
      <c r="N14" s="15">
        <f t="shared" si="3"/>
        <v>3.8730349999999997E-2</v>
      </c>
      <c r="O14" s="7">
        <v>45398</v>
      </c>
      <c r="P14" s="1">
        <v>3.8730349999999998</v>
      </c>
      <c r="Q14" s="1">
        <v>3.8730349999999998</v>
      </c>
      <c r="R14" s="16">
        <v>0.75</v>
      </c>
      <c r="S14" s="16">
        <v>3</v>
      </c>
      <c r="T14" s="17">
        <v>9.4859999999999996E-3</v>
      </c>
      <c r="U14" s="11">
        <v>8.9659423531971497E-3</v>
      </c>
      <c r="V14" s="11">
        <v>8.9659423531992747E-3</v>
      </c>
      <c r="W14" s="18">
        <v>-2.1250362580715887E-15</v>
      </c>
    </row>
    <row r="15" spans="1:41" x14ac:dyDescent="0.4">
      <c r="A15" s="1">
        <f t="shared" si="1"/>
        <v>15</v>
      </c>
      <c r="D15" s="28"/>
      <c r="E15" s="28"/>
      <c r="G15" s="31"/>
      <c r="H15" s="10">
        <v>2</v>
      </c>
      <c r="I15" s="11">
        <v>9.0576129277989519E-3</v>
      </c>
      <c r="J15" s="12"/>
      <c r="L15" s="13">
        <f t="shared" si="4"/>
        <v>5</v>
      </c>
      <c r="M15" s="14">
        <f t="shared" si="2"/>
        <v>0.75890410958904109</v>
      </c>
      <c r="N15" s="15">
        <f t="shared" si="3"/>
        <v>3.9020980000000004E-2</v>
      </c>
      <c r="O15" s="7">
        <v>45489</v>
      </c>
      <c r="P15" s="1">
        <v>3.9020980000000001</v>
      </c>
      <c r="Q15" s="1">
        <v>3.9020980000000001</v>
      </c>
      <c r="R15" s="16">
        <v>1</v>
      </c>
      <c r="S15" s="16">
        <v>4</v>
      </c>
      <c r="T15" s="17">
        <v>9.6360000000000005E-3</v>
      </c>
      <c r="U15" s="11">
        <v>1.3624316007604213E-2</v>
      </c>
      <c r="V15" s="11">
        <v>1.3624316007603193E-2</v>
      </c>
      <c r="W15" s="18">
        <v>1.0200174038743626E-15</v>
      </c>
    </row>
    <row r="16" spans="1:41" x14ac:dyDescent="0.4">
      <c r="A16" s="1">
        <f t="shared" si="1"/>
        <v>16</v>
      </c>
      <c r="G16" s="31"/>
      <c r="H16" s="10">
        <v>3</v>
      </c>
      <c r="I16" s="11">
        <v>1.0661517432759143E-2</v>
      </c>
      <c r="J16" s="12"/>
      <c r="L16" s="13">
        <f t="shared" si="4"/>
        <v>6</v>
      </c>
      <c r="M16" s="14">
        <f t="shared" si="2"/>
        <v>1.010958904109589</v>
      </c>
      <c r="N16" s="15">
        <f t="shared" si="3"/>
        <v>3.920444E-2</v>
      </c>
      <c r="O16" s="7">
        <v>45581</v>
      </c>
      <c r="P16" s="1">
        <v>3.9204439999999998</v>
      </c>
      <c r="Q16" s="1">
        <v>3.9204439999999998</v>
      </c>
      <c r="R16" s="16">
        <v>2</v>
      </c>
      <c r="S16" s="16">
        <v>5</v>
      </c>
      <c r="T16" s="17">
        <v>8.6180000000000007E-3</v>
      </c>
      <c r="U16" s="11">
        <v>2.0325396119212937E-2</v>
      </c>
      <c r="V16" s="11">
        <v>2.0325396119213274E-2</v>
      </c>
      <c r="W16" s="18">
        <v>-3.3653635433950058E-16</v>
      </c>
    </row>
    <row r="17" spans="1:23" x14ac:dyDescent="0.4">
      <c r="A17" s="1">
        <f t="shared" si="1"/>
        <v>17</v>
      </c>
      <c r="D17" s="29">
        <v>45202.835729166669</v>
      </c>
      <c r="E17" s="29"/>
      <c r="G17" s="31"/>
      <c r="H17" s="10">
        <v>5</v>
      </c>
      <c r="I17" s="11">
        <v>1.1957872528143414E-2</v>
      </c>
      <c r="J17" s="12"/>
      <c r="L17" s="13">
        <f t="shared" si="4"/>
        <v>7</v>
      </c>
      <c r="M17" s="14">
        <f t="shared" si="2"/>
        <v>1.5095890410958903</v>
      </c>
      <c r="N17" s="15">
        <f t="shared" si="3"/>
        <v>3.9238849999999999E-2</v>
      </c>
      <c r="O17" s="7">
        <v>45763</v>
      </c>
      <c r="P17" s="1">
        <v>3.9238849999999998</v>
      </c>
      <c r="Q17" s="1">
        <v>3.9238849999999998</v>
      </c>
      <c r="R17" s="16">
        <v>3</v>
      </c>
      <c r="S17" s="16">
        <v>7</v>
      </c>
      <c r="T17" s="17">
        <v>7.5290000000000001E-3</v>
      </c>
      <c r="U17" s="11">
        <v>2.8178321240633547E-2</v>
      </c>
      <c r="V17" s="11">
        <v>2.8178321240633422E-2</v>
      </c>
      <c r="W17" s="18">
        <v>1.2490009027033011E-16</v>
      </c>
    </row>
    <row r="18" spans="1:23" x14ac:dyDescent="0.4">
      <c r="A18" s="1">
        <f t="shared" si="1"/>
        <v>18</v>
      </c>
      <c r="D18" s="29">
        <v>45202.835729166669</v>
      </c>
      <c r="E18" s="29"/>
      <c r="G18" s="31"/>
      <c r="H18" s="10"/>
      <c r="I18" s="11"/>
      <c r="J18" s="12"/>
      <c r="L18" s="13">
        <f t="shared" si="4"/>
        <v>8</v>
      </c>
      <c r="M18" s="14">
        <f t="shared" si="2"/>
        <v>2.010958904109589</v>
      </c>
      <c r="N18" s="15">
        <f t="shared" si="3"/>
        <v>3.9116110000000003E-2</v>
      </c>
      <c r="O18" s="7">
        <v>45946</v>
      </c>
      <c r="P18" s="1">
        <v>3.9116110000000002</v>
      </c>
      <c r="Q18" s="1">
        <v>3.9116110000000002</v>
      </c>
      <c r="R18" s="16">
        <v>5</v>
      </c>
      <c r="S18" s="16">
        <v>10</v>
      </c>
      <c r="T18" s="17">
        <v>6.8240000000000002E-3</v>
      </c>
      <c r="U18" s="11">
        <v>4.1090962313551214E-2</v>
      </c>
      <c r="V18" s="11">
        <v>4.1090962313551173E-2</v>
      </c>
      <c r="W18" s="18">
        <v>4.163336342344337E-17</v>
      </c>
    </row>
    <row r="19" spans="1:23" x14ac:dyDescent="0.4">
      <c r="A19" s="1">
        <f t="shared" si="1"/>
        <v>19</v>
      </c>
      <c r="G19" s="31"/>
      <c r="H19" s="10"/>
      <c r="I19" s="11"/>
      <c r="J19" s="12"/>
      <c r="L19" s="13">
        <f t="shared" si="4"/>
        <v>9</v>
      </c>
      <c r="M19" s="14">
        <f t="shared" si="2"/>
        <v>3.010958904109589</v>
      </c>
      <c r="N19" s="15">
        <f t="shared" si="3"/>
        <v>3.8993020000000003E-2</v>
      </c>
      <c r="O19" s="7">
        <v>46311</v>
      </c>
      <c r="P19" s="1">
        <v>3.899302</v>
      </c>
      <c r="Q19" s="1">
        <v>3.899302</v>
      </c>
      <c r="R19" s="16"/>
      <c r="S19" s="16"/>
      <c r="T19" s="17"/>
      <c r="U19" s="11"/>
      <c r="V19" s="11"/>
      <c r="W19" s="18"/>
    </row>
    <row r="20" spans="1:23" x14ac:dyDescent="0.4">
      <c r="A20" s="1">
        <f t="shared" si="1"/>
        <v>20</v>
      </c>
      <c r="G20" s="31"/>
      <c r="H20" s="10"/>
      <c r="I20" s="11"/>
      <c r="J20" s="12"/>
      <c r="L20" s="13">
        <f t="shared" si="4"/>
        <v>10</v>
      </c>
      <c r="M20" s="14">
        <f t="shared" si="2"/>
        <v>4.0164383561643833</v>
      </c>
      <c r="N20" s="15">
        <f t="shared" si="3"/>
        <v>3.902303E-2</v>
      </c>
      <c r="O20" s="7">
        <v>46678</v>
      </c>
      <c r="P20" s="1">
        <v>3.9023029999999999</v>
      </c>
      <c r="Q20" s="1">
        <v>3.9023029999999999</v>
      </c>
      <c r="R20" s="16"/>
      <c r="S20" s="16"/>
      <c r="T20" s="17"/>
      <c r="U20" s="11"/>
      <c r="V20" s="11"/>
      <c r="W20" s="18"/>
    </row>
    <row r="21" spans="1:23" x14ac:dyDescent="0.4">
      <c r="A21" s="1">
        <f t="shared" si="1"/>
        <v>21</v>
      </c>
      <c r="G21" s="31"/>
      <c r="H21" s="10"/>
      <c r="I21" s="11"/>
      <c r="J21" s="12"/>
      <c r="L21" s="13">
        <f t="shared" si="4"/>
        <v>11</v>
      </c>
      <c r="M21" s="14">
        <f t="shared" si="2"/>
        <v>5.0136986301369859</v>
      </c>
      <c r="N21" s="15">
        <f t="shared" si="3"/>
        <v>3.9025310000000001E-2</v>
      </c>
      <c r="O21" s="7">
        <v>47042</v>
      </c>
      <c r="P21" s="1">
        <v>3.9025310000000002</v>
      </c>
      <c r="Q21" s="1">
        <v>3.9025310000000002</v>
      </c>
      <c r="R21" s="16"/>
      <c r="S21" s="16"/>
      <c r="T21" s="17"/>
      <c r="U21" s="11"/>
      <c r="V21" s="11"/>
      <c r="W21" s="18"/>
    </row>
    <row r="22" spans="1:23" x14ac:dyDescent="0.4">
      <c r="A22" s="1">
        <f t="shared" si="1"/>
        <v>22</v>
      </c>
      <c r="G22" s="31"/>
      <c r="H22" s="10"/>
      <c r="I22" s="11"/>
      <c r="J22" s="12"/>
      <c r="L22" s="13">
        <f t="shared" si="4"/>
        <v>12</v>
      </c>
      <c r="M22" s="14">
        <f t="shared" si="2"/>
        <v>6.0136986301369859</v>
      </c>
      <c r="N22" s="15">
        <f t="shared" si="3"/>
        <v>3.9081440000000002E-2</v>
      </c>
      <c r="O22" s="7">
        <v>47407</v>
      </c>
      <c r="P22" s="1">
        <v>3.9081440000000001</v>
      </c>
      <c r="Q22" s="1">
        <v>3.9081440000000001</v>
      </c>
      <c r="R22" s="16"/>
      <c r="S22" s="16"/>
      <c r="T22" s="17"/>
      <c r="U22" s="11"/>
      <c r="V22" s="11"/>
      <c r="W22" s="18"/>
    </row>
    <row r="23" spans="1:23" x14ac:dyDescent="0.4">
      <c r="A23" s="1">
        <f t="shared" si="1"/>
        <v>23</v>
      </c>
      <c r="B23" s="24" t="s">
        <v>25</v>
      </c>
      <c r="C23" s="24"/>
      <c r="D23" s="25">
        <v>1</v>
      </c>
      <c r="E23" s="25"/>
      <c r="G23" s="31"/>
      <c r="H23" s="10"/>
      <c r="I23" s="11"/>
      <c r="J23" s="12"/>
      <c r="L23" s="13">
        <f t="shared" si="4"/>
        <v>13</v>
      </c>
      <c r="M23" s="14">
        <f t="shared" si="2"/>
        <v>7.0136986301369859</v>
      </c>
      <c r="N23" s="15">
        <f t="shared" si="3"/>
        <v>3.9137569999999997E-2</v>
      </c>
      <c r="O23" s="7">
        <v>47772</v>
      </c>
      <c r="P23" s="1">
        <v>3.9137569999999999</v>
      </c>
      <c r="Q23" s="1">
        <v>3.9137569999999999</v>
      </c>
      <c r="R23" s="16"/>
      <c r="S23" s="16"/>
      <c r="T23" s="17"/>
      <c r="U23" s="11"/>
      <c r="V23" s="11"/>
      <c r="W23" s="18"/>
    </row>
    <row r="24" spans="1:23" x14ac:dyDescent="0.4">
      <c r="A24" s="1">
        <f t="shared" si="1"/>
        <v>24</v>
      </c>
      <c r="B24" s="24" t="s">
        <v>26</v>
      </c>
      <c r="C24" s="24"/>
      <c r="D24" s="25">
        <v>0</v>
      </c>
      <c r="E24" s="25"/>
      <c r="G24" s="31"/>
      <c r="H24" s="10"/>
      <c r="I24" s="11"/>
      <c r="J24" s="12"/>
      <c r="L24" s="13">
        <f t="shared" si="4"/>
        <v>14</v>
      </c>
      <c r="M24" s="14">
        <f t="shared" si="2"/>
        <v>8.0136986301369859</v>
      </c>
      <c r="N24" s="15">
        <f t="shared" si="3"/>
        <v>3.922254E-2</v>
      </c>
      <c r="O24" s="7">
        <v>48137</v>
      </c>
      <c r="P24" s="1">
        <v>3.9222540000000001</v>
      </c>
      <c r="Q24" s="1">
        <v>3.9222540000000001</v>
      </c>
      <c r="R24" s="16"/>
      <c r="S24" s="16"/>
      <c r="T24" s="17"/>
      <c r="U24" s="11"/>
      <c r="V24" s="11"/>
      <c r="W24" s="18"/>
    </row>
    <row r="25" spans="1:23" x14ac:dyDescent="0.4">
      <c r="A25" s="1">
        <f t="shared" si="1"/>
        <v>25</v>
      </c>
      <c r="B25" s="24" t="s">
        <v>27</v>
      </c>
      <c r="C25" s="24"/>
      <c r="D25" s="25">
        <v>-0.1</v>
      </c>
      <c r="E25" s="25"/>
      <c r="G25" s="31"/>
      <c r="H25" s="10"/>
      <c r="I25" s="11"/>
      <c r="J25" s="12"/>
      <c r="L25" s="13">
        <f t="shared" si="4"/>
        <v>15</v>
      </c>
      <c r="M25" s="14">
        <f t="shared" si="2"/>
        <v>9.0219178082191789</v>
      </c>
      <c r="N25" s="15">
        <f t="shared" si="3"/>
        <v>3.9337179999999999E-2</v>
      </c>
      <c r="O25" s="7">
        <v>48505</v>
      </c>
      <c r="P25" s="1">
        <v>3.9337179999999998</v>
      </c>
      <c r="Q25" s="1">
        <v>3.9337179999999998</v>
      </c>
      <c r="R25" s="16"/>
      <c r="S25" s="16"/>
      <c r="T25" s="17"/>
      <c r="U25" s="11"/>
      <c r="V25" s="11"/>
      <c r="W25" s="18"/>
    </row>
    <row r="26" spans="1:23" x14ac:dyDescent="0.4">
      <c r="A26" s="1">
        <f t="shared" si="1"/>
        <v>26</v>
      </c>
      <c r="B26" s="24" t="s">
        <v>28</v>
      </c>
      <c r="C26" s="24"/>
      <c r="D26" s="25">
        <v>0.15</v>
      </c>
      <c r="E26" s="25"/>
      <c r="G26" s="31"/>
      <c r="H26" s="10"/>
      <c r="I26" s="11"/>
      <c r="J26" s="12"/>
      <c r="L26" s="13">
        <f t="shared" si="4"/>
        <v>16</v>
      </c>
      <c r="M26" s="14">
        <f t="shared" si="2"/>
        <v>10.019178082191781</v>
      </c>
      <c r="N26" s="15">
        <f t="shared" si="3"/>
        <v>3.945328E-2</v>
      </c>
      <c r="O26" s="7">
        <v>48869</v>
      </c>
      <c r="P26" s="1">
        <v>3.9453279999999999</v>
      </c>
      <c r="Q26" s="1">
        <v>3.9453279999999999</v>
      </c>
      <c r="R26" s="16"/>
      <c r="S26" s="16"/>
      <c r="T26" s="17"/>
      <c r="U26" s="11"/>
      <c r="V26" s="11"/>
      <c r="W26" s="18"/>
    </row>
    <row r="27" spans="1:23" x14ac:dyDescent="0.4">
      <c r="A27" s="1">
        <f t="shared" si="1"/>
        <v>27</v>
      </c>
      <c r="G27" s="31"/>
      <c r="H27" s="10"/>
      <c r="I27" s="11"/>
      <c r="J27" s="12"/>
      <c r="L27" s="13">
        <f t="shared" si="4"/>
        <v>17</v>
      </c>
      <c r="M27" s="14">
        <f t="shared" si="2"/>
        <v>12.016438356164384</v>
      </c>
      <c r="N27" s="15">
        <f t="shared" si="3"/>
        <v>3.9689729999999999E-2</v>
      </c>
      <c r="O27" s="7">
        <v>49598</v>
      </c>
      <c r="P27" s="1">
        <v>3.9689730000000001</v>
      </c>
      <c r="Q27" s="1">
        <v>3.9689730000000001</v>
      </c>
      <c r="R27" s="16"/>
      <c r="S27" s="16"/>
      <c r="T27" s="17"/>
      <c r="U27" s="11"/>
      <c r="V27" s="11"/>
      <c r="W27" s="18"/>
    </row>
    <row r="28" spans="1:23" x14ac:dyDescent="0.4">
      <c r="A28" s="1">
        <f t="shared" si="1"/>
        <v>28</v>
      </c>
      <c r="G28" s="31"/>
      <c r="H28" s="10"/>
      <c r="I28" s="11"/>
      <c r="J28" s="12"/>
      <c r="L28" s="13">
        <f t="shared" si="4"/>
        <v>18</v>
      </c>
      <c r="M28" s="14">
        <f t="shared" si="2"/>
        <v>15.024657534246575</v>
      </c>
      <c r="N28" s="15">
        <f t="shared" si="3"/>
        <v>3.9608210000000005E-2</v>
      </c>
      <c r="O28" s="7">
        <v>50696</v>
      </c>
      <c r="P28" s="1">
        <v>3.9608210000000001</v>
      </c>
      <c r="Q28" s="1">
        <v>3.9608210000000001</v>
      </c>
      <c r="R28" s="16"/>
      <c r="S28" s="16"/>
      <c r="T28" s="17"/>
      <c r="U28" s="11"/>
      <c r="V28" s="11"/>
      <c r="W28" s="18"/>
    </row>
    <row r="29" spans="1:23" x14ac:dyDescent="0.4">
      <c r="A29" s="1">
        <f t="shared" si="1"/>
        <v>29</v>
      </c>
      <c r="G29" s="31"/>
      <c r="H29" s="10"/>
      <c r="I29" s="11"/>
      <c r="J29" s="12"/>
      <c r="L29" s="13">
        <f t="shared" si="4"/>
        <v>19</v>
      </c>
      <c r="M29" s="14">
        <f t="shared" si="2"/>
        <v>20.021917808219179</v>
      </c>
      <c r="N29" s="15">
        <f t="shared" si="3"/>
        <v>3.802929E-2</v>
      </c>
      <c r="O29" s="7">
        <v>52520</v>
      </c>
      <c r="P29" s="1">
        <v>3.8029289999999998</v>
      </c>
      <c r="Q29" s="1">
        <v>3.8029289999999998</v>
      </c>
      <c r="R29" s="16"/>
      <c r="S29" s="16"/>
      <c r="T29" s="17"/>
      <c r="U29" s="11"/>
      <c r="V29" s="11"/>
      <c r="W29" s="18"/>
    </row>
    <row r="30" spans="1:23" x14ac:dyDescent="0.4">
      <c r="A30" s="1">
        <f t="shared" si="1"/>
        <v>30</v>
      </c>
      <c r="G30" s="31"/>
      <c r="H30" s="10"/>
      <c r="I30" s="11"/>
      <c r="J30" s="12"/>
      <c r="L30" s="13">
        <f t="shared" si="4"/>
        <v>20</v>
      </c>
      <c r="M30" s="14">
        <f t="shared" si="2"/>
        <v>25.027397260273972</v>
      </c>
      <c r="N30" s="15">
        <f t="shared" si="3"/>
        <v>3.641312E-2</v>
      </c>
      <c r="O30" s="7">
        <v>54347</v>
      </c>
      <c r="P30" s="1">
        <v>3.6413120000000001</v>
      </c>
      <c r="Q30" s="1">
        <v>3.6413120000000001</v>
      </c>
      <c r="R30" s="16"/>
      <c r="S30" s="16"/>
      <c r="T30" s="17"/>
      <c r="U30" s="11"/>
      <c r="V30" s="11"/>
      <c r="W30" s="18"/>
    </row>
    <row r="31" spans="1:23" x14ac:dyDescent="0.4">
      <c r="A31" s="1">
        <f t="shared" si="1"/>
        <v>31</v>
      </c>
      <c r="G31" s="31"/>
      <c r="H31" s="10"/>
      <c r="I31" s="11"/>
      <c r="J31" s="12"/>
      <c r="L31" s="13">
        <f t="shared" si="4"/>
        <v>21</v>
      </c>
      <c r="M31" s="14">
        <f t="shared" si="2"/>
        <v>30.030136986301368</v>
      </c>
      <c r="N31" s="15">
        <f t="shared" si="3"/>
        <v>3.5521360000000002E-2</v>
      </c>
      <c r="O31" s="7">
        <v>56173</v>
      </c>
      <c r="P31" s="1">
        <v>3.552136</v>
      </c>
      <c r="Q31" s="1">
        <v>3.552136</v>
      </c>
      <c r="R31" s="16"/>
      <c r="S31" s="16"/>
      <c r="T31" s="17"/>
      <c r="U31" s="11"/>
      <c r="V31" s="11"/>
      <c r="W31" s="18"/>
    </row>
    <row r="32" spans="1:23" x14ac:dyDescent="0.4">
      <c r="A32" s="1">
        <f t="shared" si="1"/>
        <v>32</v>
      </c>
      <c r="G32" s="31"/>
      <c r="H32" s="10"/>
      <c r="I32" s="11"/>
      <c r="J32" s="12"/>
      <c r="L32" s="13">
        <f t="shared" si="4"/>
        <v>22</v>
      </c>
      <c r="M32" s="20"/>
      <c r="N32" s="21"/>
      <c r="O32" s="7"/>
      <c r="R32" s="16"/>
      <c r="S32" s="16"/>
      <c r="T32" s="17"/>
      <c r="U32" s="11"/>
      <c r="V32" s="11"/>
      <c r="W32" s="18"/>
    </row>
    <row r="33" spans="1:23" x14ac:dyDescent="0.4">
      <c r="A33" s="1">
        <f t="shared" si="1"/>
        <v>33</v>
      </c>
      <c r="G33" s="31"/>
      <c r="H33" s="10"/>
      <c r="I33" s="11"/>
      <c r="J33" s="12"/>
      <c r="L33" s="13">
        <f t="shared" si="4"/>
        <v>23</v>
      </c>
      <c r="M33" s="20"/>
      <c r="N33" s="21"/>
      <c r="R33" s="16"/>
      <c r="S33" s="16"/>
      <c r="T33" s="17"/>
      <c r="U33" s="11"/>
      <c r="V33" s="11"/>
      <c r="W33" s="18"/>
    </row>
    <row r="34" spans="1:23" x14ac:dyDescent="0.4">
      <c r="A34" s="1">
        <f t="shared" si="1"/>
        <v>34</v>
      </c>
      <c r="G34" s="31"/>
      <c r="H34" s="10"/>
      <c r="I34" s="11"/>
      <c r="J34" s="12"/>
      <c r="L34" s="13">
        <f t="shared" si="4"/>
        <v>24</v>
      </c>
      <c r="M34" s="20"/>
      <c r="N34" s="21"/>
      <c r="R34" s="16"/>
      <c r="S34" s="16"/>
      <c r="T34" s="17"/>
      <c r="U34" s="11"/>
      <c r="V34" s="11"/>
      <c r="W34" s="18"/>
    </row>
    <row r="35" spans="1:23" x14ac:dyDescent="0.4">
      <c r="A35" s="1">
        <f t="shared" si="1"/>
        <v>35</v>
      </c>
      <c r="G35" s="31"/>
      <c r="H35" s="10"/>
      <c r="I35" s="11"/>
      <c r="J35" s="12"/>
      <c r="L35" s="13">
        <f t="shared" si="4"/>
        <v>25</v>
      </c>
      <c r="M35" s="20"/>
      <c r="N35" s="21"/>
      <c r="R35" s="16"/>
      <c r="S35" s="16"/>
      <c r="T35" s="17"/>
      <c r="U35" s="11"/>
      <c r="V35" s="11"/>
      <c r="W35" s="18"/>
    </row>
    <row r="36" spans="1:23" x14ac:dyDescent="0.4">
      <c r="A36" s="1">
        <f t="shared" si="1"/>
        <v>36</v>
      </c>
      <c r="G36" s="31"/>
      <c r="H36" s="10"/>
      <c r="I36" s="11"/>
      <c r="J36" s="12"/>
      <c r="L36" s="13">
        <f t="shared" si="4"/>
        <v>26</v>
      </c>
      <c r="M36" s="20"/>
      <c r="N36" s="21"/>
      <c r="R36" s="16"/>
      <c r="S36" s="16"/>
      <c r="T36" s="17"/>
      <c r="U36" s="11"/>
      <c r="V36" s="11"/>
      <c r="W36" s="18"/>
    </row>
    <row r="37" spans="1:23" x14ac:dyDescent="0.4">
      <c r="A37" s="1">
        <f t="shared" si="1"/>
        <v>37</v>
      </c>
      <c r="G37" s="31"/>
      <c r="H37" s="10"/>
      <c r="I37" s="11"/>
      <c r="J37" s="12"/>
      <c r="L37" s="13">
        <f t="shared" si="4"/>
        <v>27</v>
      </c>
      <c r="M37" s="20"/>
      <c r="N37" s="21"/>
      <c r="R37" s="16"/>
      <c r="S37" s="16"/>
      <c r="T37" s="17"/>
      <c r="U37" s="11"/>
      <c r="V37" s="11"/>
      <c r="W37" s="18"/>
    </row>
    <row r="38" spans="1:23" x14ac:dyDescent="0.4">
      <c r="A38" s="1">
        <f t="shared" si="1"/>
        <v>38</v>
      </c>
      <c r="G38" s="31"/>
      <c r="H38" s="10"/>
      <c r="I38" s="11"/>
      <c r="J38" s="12"/>
      <c r="L38" s="13">
        <f t="shared" si="4"/>
        <v>28</v>
      </c>
      <c r="M38" s="20"/>
      <c r="N38" s="21"/>
      <c r="R38" s="16"/>
      <c r="S38" s="16"/>
      <c r="T38" s="17"/>
      <c r="U38" s="11"/>
      <c r="V38" s="11"/>
      <c r="W38" s="18"/>
    </row>
    <row r="39" spans="1:23" x14ac:dyDescent="0.4">
      <c r="A39" s="1">
        <f t="shared" si="1"/>
        <v>39</v>
      </c>
      <c r="G39" s="31"/>
      <c r="H39" s="10"/>
      <c r="I39" s="11"/>
      <c r="J39" s="12"/>
      <c r="L39" s="13">
        <f t="shared" si="4"/>
        <v>29</v>
      </c>
      <c r="M39" s="20"/>
      <c r="N39" s="21"/>
      <c r="R39" s="16"/>
      <c r="S39" s="16"/>
      <c r="T39" s="17"/>
      <c r="U39" s="11"/>
      <c r="V39" s="11"/>
      <c r="W39" s="18"/>
    </row>
    <row r="40" spans="1:23" x14ac:dyDescent="0.4">
      <c r="A40" s="1">
        <f t="shared" si="1"/>
        <v>40</v>
      </c>
      <c r="G40" s="31"/>
      <c r="H40" s="10"/>
      <c r="I40" s="11"/>
      <c r="J40" s="12"/>
      <c r="L40" s="13">
        <f t="shared" si="4"/>
        <v>30</v>
      </c>
      <c r="M40" s="20"/>
      <c r="N40" s="21"/>
      <c r="R40" s="16"/>
      <c r="S40" s="16"/>
      <c r="T40" s="17"/>
      <c r="U40" s="11"/>
      <c r="V40" s="11"/>
      <c r="W40" s="18"/>
    </row>
    <row r="41" spans="1:23" x14ac:dyDescent="0.4">
      <c r="A41" s="1">
        <f t="shared" si="1"/>
        <v>41</v>
      </c>
      <c r="G41" s="22"/>
      <c r="H41" s="10"/>
      <c r="I41" s="11"/>
      <c r="J41" s="12"/>
      <c r="L41" s="13">
        <f t="shared" si="4"/>
        <v>31</v>
      </c>
      <c r="M41" s="20"/>
      <c r="N41" s="21"/>
      <c r="R41" s="16"/>
      <c r="S41" s="16"/>
      <c r="T41" s="17"/>
      <c r="U41" s="11"/>
      <c r="V41" s="11"/>
      <c r="W41" s="18"/>
    </row>
    <row r="42" spans="1:23" x14ac:dyDescent="0.4">
      <c r="A42" s="1">
        <f t="shared" si="1"/>
        <v>42</v>
      </c>
      <c r="G42" s="22"/>
      <c r="H42" s="10"/>
      <c r="I42" s="11"/>
      <c r="J42" s="12"/>
      <c r="L42" s="13">
        <f t="shared" si="4"/>
        <v>32</v>
      </c>
      <c r="M42" s="20"/>
      <c r="N42" s="21"/>
      <c r="R42" s="16"/>
      <c r="S42" s="16"/>
      <c r="T42" s="17"/>
      <c r="U42" s="11"/>
      <c r="V42" s="11"/>
      <c r="W42" s="18"/>
    </row>
    <row r="43" spans="1:23" x14ac:dyDescent="0.4">
      <c r="A43" s="1">
        <f t="shared" si="1"/>
        <v>43</v>
      </c>
      <c r="G43" s="22"/>
      <c r="H43" s="10"/>
      <c r="I43" s="11"/>
      <c r="J43" s="12"/>
      <c r="L43" s="13">
        <f t="shared" si="4"/>
        <v>33</v>
      </c>
      <c r="M43" s="20"/>
      <c r="N43" s="21"/>
      <c r="R43" s="16"/>
      <c r="S43" s="16"/>
      <c r="T43" s="17"/>
      <c r="U43" s="11"/>
      <c r="V43" s="11"/>
      <c r="W43" s="18"/>
    </row>
    <row r="44" spans="1:23" x14ac:dyDescent="0.4">
      <c r="A44" s="1">
        <f t="shared" si="1"/>
        <v>44</v>
      </c>
      <c r="G44" s="22"/>
      <c r="H44" s="10"/>
      <c r="I44" s="11"/>
      <c r="J44" s="12"/>
      <c r="L44" s="13">
        <f t="shared" si="4"/>
        <v>34</v>
      </c>
      <c r="M44" s="20"/>
      <c r="N44" s="21"/>
      <c r="R44" s="16"/>
      <c r="S44" s="16"/>
      <c r="T44" s="17"/>
      <c r="U44" s="11"/>
      <c r="V44" s="11"/>
      <c r="W44" s="18"/>
    </row>
    <row r="45" spans="1:23" x14ac:dyDescent="0.4">
      <c r="A45" s="1">
        <f t="shared" si="1"/>
        <v>45</v>
      </c>
      <c r="G45" s="22"/>
      <c r="H45" s="10"/>
      <c r="I45" s="11"/>
      <c r="J45" s="12"/>
      <c r="L45" s="13">
        <f t="shared" si="4"/>
        <v>35</v>
      </c>
      <c r="M45" s="20"/>
      <c r="N45" s="21"/>
      <c r="R45" s="16"/>
      <c r="S45" s="16"/>
      <c r="T45" s="17"/>
      <c r="U45" s="11"/>
      <c r="V45" s="11"/>
      <c r="W45" s="18"/>
    </row>
    <row r="46" spans="1:23" x14ac:dyDescent="0.4">
      <c r="A46" s="1">
        <f t="shared" si="1"/>
        <v>46</v>
      </c>
      <c r="G46" s="22"/>
      <c r="H46" s="10"/>
      <c r="I46" s="11"/>
      <c r="J46" s="12"/>
      <c r="L46" s="13">
        <f t="shared" si="4"/>
        <v>36</v>
      </c>
      <c r="M46" s="20"/>
      <c r="N46" s="21"/>
      <c r="R46" s="16"/>
      <c r="S46" s="16"/>
      <c r="T46" s="17"/>
      <c r="U46" s="11"/>
      <c r="V46" s="11"/>
      <c r="W46" s="18"/>
    </row>
    <row r="47" spans="1:23" x14ac:dyDescent="0.4">
      <c r="A47" s="1">
        <f t="shared" si="1"/>
        <v>47</v>
      </c>
      <c r="G47" s="22"/>
      <c r="H47" s="10"/>
      <c r="I47" s="11"/>
      <c r="J47" s="12"/>
      <c r="L47" s="13">
        <f t="shared" si="4"/>
        <v>37</v>
      </c>
      <c r="M47" s="20"/>
      <c r="N47" s="21"/>
      <c r="R47" s="16"/>
      <c r="S47" s="16"/>
      <c r="T47" s="17"/>
      <c r="U47" s="11"/>
      <c r="V47" s="11"/>
      <c r="W47" s="18"/>
    </row>
    <row r="48" spans="1:23" x14ac:dyDescent="0.4">
      <c r="A48" s="1">
        <f t="shared" si="1"/>
        <v>48</v>
      </c>
      <c r="G48" s="22"/>
      <c r="H48" s="10"/>
      <c r="I48" s="11"/>
      <c r="J48" s="12"/>
      <c r="L48" s="13">
        <f t="shared" si="4"/>
        <v>38</v>
      </c>
      <c r="M48" s="20"/>
      <c r="N48" s="21"/>
      <c r="R48" s="16"/>
      <c r="S48" s="16"/>
      <c r="T48" s="17"/>
      <c r="U48" s="11"/>
      <c r="V48" s="11"/>
      <c r="W48" s="18"/>
    </row>
    <row r="49" spans="1:23" x14ac:dyDescent="0.4">
      <c r="A49" s="1">
        <f t="shared" si="1"/>
        <v>49</v>
      </c>
      <c r="G49" s="22"/>
      <c r="H49" s="10"/>
      <c r="I49" s="11"/>
      <c r="J49" s="12"/>
      <c r="L49" s="13">
        <f t="shared" si="4"/>
        <v>39</v>
      </c>
      <c r="M49" s="20"/>
      <c r="N49" s="21"/>
      <c r="R49" s="16"/>
      <c r="S49" s="16"/>
      <c r="T49" s="17"/>
      <c r="U49" s="11"/>
      <c r="V49" s="11"/>
      <c r="W49" s="18"/>
    </row>
    <row r="50" spans="1:23" x14ac:dyDescent="0.4">
      <c r="A50" s="1">
        <f t="shared" si="1"/>
        <v>50</v>
      </c>
      <c r="G50" s="22"/>
      <c r="H50" s="10"/>
      <c r="I50" s="11"/>
      <c r="J50" s="12"/>
      <c r="L50" s="13">
        <f t="shared" si="4"/>
        <v>40</v>
      </c>
      <c r="M50" s="20"/>
      <c r="N50" s="21"/>
      <c r="R50" s="16"/>
      <c r="S50" s="16"/>
      <c r="T50" s="17"/>
      <c r="U50" s="11"/>
      <c r="V50" s="11"/>
      <c r="W50" s="18"/>
    </row>
    <row r="51" spans="1:23" x14ac:dyDescent="0.4">
      <c r="A51" s="1">
        <f t="shared" si="1"/>
        <v>51</v>
      </c>
      <c r="G51" s="22"/>
      <c r="H51" s="10"/>
      <c r="I51" s="11"/>
      <c r="J51" s="12"/>
      <c r="L51" s="13">
        <f t="shared" si="4"/>
        <v>41</v>
      </c>
      <c r="M51" s="20"/>
      <c r="N51" s="21"/>
      <c r="R51" s="16"/>
      <c r="S51" s="16"/>
      <c r="T51" s="17"/>
      <c r="U51" s="11"/>
      <c r="V51" s="11"/>
      <c r="W51" s="18"/>
    </row>
    <row r="52" spans="1:23" x14ac:dyDescent="0.4">
      <c r="A52" s="1">
        <f t="shared" si="1"/>
        <v>52</v>
      </c>
      <c r="G52" s="22"/>
      <c r="H52" s="10"/>
      <c r="I52" s="11"/>
      <c r="J52" s="12"/>
      <c r="L52" s="13">
        <f t="shared" si="4"/>
        <v>42</v>
      </c>
      <c r="M52" s="20"/>
      <c r="N52" s="21"/>
      <c r="R52" s="16"/>
      <c r="S52" s="16"/>
      <c r="T52" s="17"/>
      <c r="U52" s="11"/>
      <c r="V52" s="11"/>
      <c r="W52" s="18"/>
    </row>
    <row r="53" spans="1:23" x14ac:dyDescent="0.4">
      <c r="A53" s="1">
        <f t="shared" si="1"/>
        <v>53</v>
      </c>
      <c r="G53" s="22"/>
      <c r="H53" s="10"/>
      <c r="I53" s="11"/>
      <c r="J53" s="12"/>
      <c r="L53" s="13">
        <f t="shared" si="4"/>
        <v>43</v>
      </c>
      <c r="M53" s="20"/>
      <c r="N53" s="21"/>
      <c r="R53" s="16"/>
      <c r="S53" s="16"/>
      <c r="T53" s="17"/>
      <c r="U53" s="11"/>
      <c r="V53" s="11"/>
      <c r="W53" s="18"/>
    </row>
    <row r="54" spans="1:23" x14ac:dyDescent="0.4">
      <c r="A54" s="1">
        <f t="shared" si="1"/>
        <v>54</v>
      </c>
    </row>
    <row r="55" spans="1:23" x14ac:dyDescent="0.4">
      <c r="A55" s="1">
        <f t="shared" si="1"/>
        <v>55</v>
      </c>
      <c r="G55" s="30" t="s">
        <v>29</v>
      </c>
      <c r="H55" s="2" t="s">
        <v>30</v>
      </c>
      <c r="I55" s="2"/>
      <c r="J55" s="2"/>
      <c r="K55" s="2"/>
      <c r="L55" s="2"/>
      <c r="M55" s="2"/>
      <c r="N55" s="2"/>
      <c r="O55" s="2"/>
      <c r="P55" s="2"/>
    </row>
    <row r="56" spans="1:23" x14ac:dyDescent="0.4">
      <c r="A56" s="1">
        <f t="shared" si="1"/>
        <v>56</v>
      </c>
      <c r="G56" s="31"/>
      <c r="H56" s="32" t="s">
        <v>31</v>
      </c>
      <c r="I56" s="33"/>
      <c r="L56" s="36" t="s">
        <v>32</v>
      </c>
      <c r="M56" s="36"/>
      <c r="N56" s="36"/>
      <c r="R56" s="36" t="s">
        <v>6</v>
      </c>
      <c r="S56" s="36"/>
      <c r="T56" s="36"/>
    </row>
    <row r="57" spans="1:23" x14ac:dyDescent="0.4">
      <c r="A57" s="1">
        <f t="shared" si="1"/>
        <v>57</v>
      </c>
      <c r="B57" s="24" t="s">
        <v>33</v>
      </c>
      <c r="C57" s="24"/>
      <c r="D57" s="25">
        <v>0</v>
      </c>
      <c r="E57" s="25"/>
      <c r="G57" s="31"/>
      <c r="H57" s="34"/>
      <c r="I57" s="35"/>
      <c r="L57" s="36"/>
      <c r="M57" s="36"/>
      <c r="N57" s="36"/>
      <c r="R57" s="36"/>
      <c r="S57" s="36"/>
      <c r="T57" s="36"/>
    </row>
    <row r="58" spans="1:23" x14ac:dyDescent="0.4">
      <c r="A58" s="1">
        <f t="shared" si="1"/>
        <v>58</v>
      </c>
      <c r="B58" s="24" t="s">
        <v>34</v>
      </c>
      <c r="C58" s="24"/>
      <c r="D58" s="25">
        <v>0.01</v>
      </c>
      <c r="E58" s="25"/>
      <c r="G58" s="31"/>
      <c r="I58" s="3" t="s">
        <v>9</v>
      </c>
      <c r="J58" s="3" t="s">
        <v>10</v>
      </c>
      <c r="K58" s="3" t="s">
        <v>11</v>
      </c>
      <c r="R58" s="36" t="s">
        <v>35</v>
      </c>
      <c r="S58" s="36"/>
      <c r="T58" s="4">
        <v>3</v>
      </c>
    </row>
    <row r="59" spans="1:23" x14ac:dyDescent="0.4">
      <c r="A59" s="1">
        <f t="shared" si="1"/>
        <v>59</v>
      </c>
      <c r="G59" s="31"/>
      <c r="H59" s="3" t="s">
        <v>13</v>
      </c>
      <c r="I59" s="5">
        <v>8.7778670542422249E-2</v>
      </c>
      <c r="J59" s="6">
        <v>8.8579889368855039E-2</v>
      </c>
      <c r="K59" s="6">
        <v>-2.4103286557977258E-3</v>
      </c>
    </row>
    <row r="60" spans="1:23" x14ac:dyDescent="0.4">
      <c r="A60" s="1">
        <f t="shared" si="1"/>
        <v>60</v>
      </c>
      <c r="G60" s="31"/>
      <c r="H60" s="8" t="s">
        <v>14</v>
      </c>
      <c r="I60" s="37" t="s">
        <v>15</v>
      </c>
      <c r="J60" s="38"/>
      <c r="L60" s="9" t="s">
        <v>16</v>
      </c>
      <c r="M60" s="9" t="s">
        <v>37</v>
      </c>
      <c r="N60" s="8" t="s">
        <v>17</v>
      </c>
      <c r="R60" s="26" t="s">
        <v>18</v>
      </c>
      <c r="S60" s="26" t="s">
        <v>19</v>
      </c>
      <c r="T60" s="26" t="s">
        <v>20</v>
      </c>
      <c r="U60" s="26" t="s">
        <v>21</v>
      </c>
      <c r="V60" s="26" t="s">
        <v>22</v>
      </c>
      <c r="W60" s="26" t="s">
        <v>23</v>
      </c>
    </row>
    <row r="61" spans="1:23" x14ac:dyDescent="0.4">
      <c r="A61" s="1">
        <f t="shared" si="1"/>
        <v>61</v>
      </c>
      <c r="G61" s="31"/>
      <c r="H61" s="10">
        <v>0.25</v>
      </c>
      <c r="I61" s="11">
        <v>1.2255602687994679E-2</v>
      </c>
      <c r="J61" s="12"/>
      <c r="L61" s="13">
        <v>1</v>
      </c>
      <c r="M61" s="14">
        <v>0.25</v>
      </c>
      <c r="N61" s="15">
        <v>3.9140000000000001E-2</v>
      </c>
      <c r="O61" s="23"/>
      <c r="R61" s="27"/>
      <c r="S61" s="27"/>
      <c r="T61" s="27"/>
      <c r="U61" s="27"/>
      <c r="V61" s="27"/>
      <c r="W61" s="27"/>
    </row>
    <row r="62" spans="1:23" x14ac:dyDescent="0.4">
      <c r="A62" s="1">
        <f t="shared" si="1"/>
        <v>62</v>
      </c>
      <c r="G62" s="31"/>
      <c r="H62" s="10">
        <v>0.5</v>
      </c>
      <c r="I62" s="11">
        <v>1.2636155904415058E-2</v>
      </c>
      <c r="J62" s="12"/>
      <c r="L62" s="13">
        <f>L61+1</f>
        <v>2</v>
      </c>
      <c r="M62" s="14">
        <v>0.5</v>
      </c>
      <c r="N62" s="15">
        <v>4.2099999999999999E-2</v>
      </c>
      <c r="O62" s="23"/>
      <c r="R62" s="16">
        <v>0.25</v>
      </c>
      <c r="S62" s="16">
        <v>1</v>
      </c>
      <c r="T62" s="17">
        <v>0.25</v>
      </c>
      <c r="U62" s="11">
        <v>2.2412529655053814E-3</v>
      </c>
      <c r="V62" s="11">
        <v>2.2412529655036805E-3</v>
      </c>
      <c r="W62" s="18">
        <v>1.7008963681952594E-15</v>
      </c>
    </row>
    <row r="63" spans="1:23" x14ac:dyDescent="0.4">
      <c r="A63" s="1">
        <f t="shared" si="1"/>
        <v>63</v>
      </c>
      <c r="C63" s="19" t="s">
        <v>23</v>
      </c>
      <c r="D63" s="28" t="s">
        <v>24</v>
      </c>
      <c r="E63" s="28"/>
      <c r="G63" s="31"/>
      <c r="H63" s="10">
        <v>0.75</v>
      </c>
      <c r="I63" s="11">
        <v>1.2871888916436347E-2</v>
      </c>
      <c r="J63" s="12"/>
      <c r="L63" s="13">
        <f t="shared" ref="L63:L103" si="5">L62+1</f>
        <v>3</v>
      </c>
      <c r="M63" s="14">
        <v>1</v>
      </c>
      <c r="N63" s="15">
        <v>4.521E-2</v>
      </c>
      <c r="O63" s="23"/>
      <c r="R63" s="16">
        <v>0.5</v>
      </c>
      <c r="S63" s="16">
        <v>2</v>
      </c>
      <c r="T63" s="17">
        <v>0.25</v>
      </c>
      <c r="U63" s="11">
        <v>5.9230620065206848E-3</v>
      </c>
      <c r="V63" s="11">
        <v>5.9230620065222356E-3</v>
      </c>
      <c r="W63" s="18">
        <v>-1.5508427875232655E-15</v>
      </c>
    </row>
    <row r="64" spans="1:23" x14ac:dyDescent="0.4">
      <c r="A64" s="1">
        <f t="shared" si="1"/>
        <v>64</v>
      </c>
      <c r="D64" s="28"/>
      <c r="E64" s="28"/>
      <c r="G64" s="31"/>
      <c r="H64" s="10">
        <v>1</v>
      </c>
      <c r="I64" s="11">
        <v>1.2190235146008576E-2</v>
      </c>
      <c r="J64" s="12"/>
      <c r="L64" s="13">
        <f t="shared" si="5"/>
        <v>4</v>
      </c>
      <c r="M64" s="14">
        <v>2</v>
      </c>
      <c r="N64" s="15">
        <v>4.4409999999999998E-2</v>
      </c>
      <c r="O64" s="23"/>
      <c r="R64" s="16">
        <v>0.75</v>
      </c>
      <c r="S64" s="16">
        <v>3</v>
      </c>
      <c r="T64" s="17">
        <v>0.25</v>
      </c>
      <c r="U64" s="11">
        <v>1.0185189334544679E-2</v>
      </c>
      <c r="V64" s="11">
        <v>1.0185189334544346E-2</v>
      </c>
      <c r="W64" s="18">
        <v>3.3306690738754696E-16</v>
      </c>
    </row>
    <row r="65" spans="1:23" x14ac:dyDescent="0.4">
      <c r="A65" s="1">
        <f t="shared" si="1"/>
        <v>65</v>
      </c>
      <c r="D65" s="28"/>
      <c r="E65" s="28"/>
      <c r="G65" s="31"/>
      <c r="H65" s="10">
        <v>2</v>
      </c>
      <c r="I65" s="11">
        <v>1.3584389289284637E-2</v>
      </c>
      <c r="J65" s="12"/>
      <c r="L65" s="13">
        <f t="shared" si="5"/>
        <v>5</v>
      </c>
      <c r="M65" s="14">
        <v>3</v>
      </c>
      <c r="N65" s="15">
        <v>4.4269999999999997E-2</v>
      </c>
      <c r="O65" s="23"/>
      <c r="R65" s="16">
        <v>1</v>
      </c>
      <c r="S65" s="16">
        <v>4</v>
      </c>
      <c r="T65" s="17">
        <v>0.25</v>
      </c>
      <c r="U65" s="11">
        <v>1.4481540184639513E-2</v>
      </c>
      <c r="V65" s="11">
        <v>1.4481540184639468E-2</v>
      </c>
      <c r="W65" s="18">
        <v>4.5102810375396984E-17</v>
      </c>
    </row>
    <row r="66" spans="1:23" x14ac:dyDescent="0.4">
      <c r="A66" s="1">
        <f t="shared" si="1"/>
        <v>66</v>
      </c>
      <c r="G66" s="31"/>
      <c r="H66" s="10">
        <v>3</v>
      </c>
      <c r="I66" s="11">
        <v>1.4382409929610339E-2</v>
      </c>
      <c r="J66" s="12"/>
      <c r="L66" s="13">
        <f t="shared" si="5"/>
        <v>6</v>
      </c>
      <c r="M66" s="14">
        <v>5</v>
      </c>
      <c r="N66" s="15">
        <v>4.2089999999999995E-2</v>
      </c>
      <c r="O66" s="23"/>
      <c r="R66" s="16">
        <v>2</v>
      </c>
      <c r="S66" s="16">
        <v>5</v>
      </c>
      <c r="T66" s="17">
        <v>0.25</v>
      </c>
      <c r="U66" s="11">
        <v>2.3170311806366254E-2</v>
      </c>
      <c r="V66" s="11">
        <v>2.3170311806366185E-2</v>
      </c>
      <c r="W66" s="18">
        <v>6.9388939039072284E-17</v>
      </c>
    </row>
    <row r="67" spans="1:23" x14ac:dyDescent="0.4">
      <c r="A67" s="1">
        <f t="shared" si="1"/>
        <v>67</v>
      </c>
      <c r="D67" s="29">
        <v>45202.835729166669</v>
      </c>
      <c r="E67" s="29"/>
      <c r="G67" s="31"/>
      <c r="H67" s="10">
        <v>5</v>
      </c>
      <c r="I67" s="11">
        <v>2.0742401449132593E-2</v>
      </c>
      <c r="J67" s="12"/>
      <c r="L67" s="13">
        <f t="shared" si="5"/>
        <v>7</v>
      </c>
      <c r="M67" s="14">
        <v>7</v>
      </c>
      <c r="N67" s="15">
        <v>4.1120000000000004E-2</v>
      </c>
      <c r="O67" s="23"/>
      <c r="R67" s="16">
        <v>3</v>
      </c>
      <c r="S67" s="16">
        <v>7</v>
      </c>
      <c r="T67" s="17">
        <v>0.25</v>
      </c>
      <c r="U67" s="11">
        <v>3.500797771960424E-2</v>
      </c>
      <c r="V67" s="11">
        <v>3.5007977719604268E-2</v>
      </c>
      <c r="W67" s="18">
        <v>-2.7755575615628914E-17</v>
      </c>
    </row>
    <row r="68" spans="1:23" x14ac:dyDescent="0.4">
      <c r="A68" s="1">
        <f t="shared" si="1"/>
        <v>68</v>
      </c>
      <c r="D68" s="29">
        <v>45202.835729166669</v>
      </c>
      <c r="E68" s="29"/>
      <c r="G68" s="31"/>
      <c r="H68" s="10"/>
      <c r="I68" s="11"/>
      <c r="J68" s="12"/>
      <c r="L68" s="13">
        <f t="shared" si="5"/>
        <v>8</v>
      </c>
      <c r="M68" s="14">
        <v>10</v>
      </c>
      <c r="N68" s="15">
        <v>3.984E-2</v>
      </c>
      <c r="O68" s="23"/>
      <c r="R68" s="16">
        <v>5</v>
      </c>
      <c r="S68" s="16">
        <v>10</v>
      </c>
      <c r="T68" s="17">
        <v>0.25</v>
      </c>
      <c r="U68" s="11">
        <v>5.9952275504189613E-2</v>
      </c>
      <c r="V68" s="11">
        <v>5.9952275504189412E-2</v>
      </c>
      <c r="W68" s="18">
        <v>2.0122792321330962E-16</v>
      </c>
    </row>
    <row r="69" spans="1:23" x14ac:dyDescent="0.4">
      <c r="A69" s="1">
        <f t="shared" si="1"/>
        <v>69</v>
      </c>
      <c r="G69" s="31"/>
      <c r="H69" s="10"/>
      <c r="I69" s="11"/>
      <c r="J69" s="12"/>
      <c r="L69" s="13">
        <f t="shared" si="5"/>
        <v>9</v>
      </c>
      <c r="M69" s="14">
        <v>20</v>
      </c>
      <c r="N69" s="15">
        <v>4.2839999999999996E-2</v>
      </c>
      <c r="O69" s="23"/>
      <c r="R69" s="16"/>
      <c r="S69" s="16"/>
      <c r="T69" s="17"/>
      <c r="U69" s="11"/>
      <c r="V69" s="11"/>
      <c r="W69" s="18"/>
    </row>
    <row r="70" spans="1:23" x14ac:dyDescent="0.4">
      <c r="A70" s="1">
        <f t="shared" ref="A70:A133" si="6">A69+1</f>
        <v>70</v>
      </c>
      <c r="G70" s="31"/>
      <c r="H70" s="10"/>
      <c r="I70" s="11"/>
      <c r="J70" s="12"/>
      <c r="L70" s="13">
        <f t="shared" si="5"/>
        <v>10</v>
      </c>
      <c r="M70" s="14">
        <v>30</v>
      </c>
      <c r="N70" s="15">
        <v>4.3839999999999997E-2</v>
      </c>
      <c r="O70" s="23"/>
      <c r="R70" s="16"/>
      <c r="S70" s="16"/>
      <c r="T70" s="17"/>
      <c r="U70" s="11"/>
      <c r="V70" s="11"/>
      <c r="W70" s="18"/>
    </row>
    <row r="71" spans="1:23" x14ac:dyDescent="0.4">
      <c r="A71" s="1">
        <f t="shared" si="6"/>
        <v>71</v>
      </c>
      <c r="G71" s="31"/>
      <c r="H71" s="10"/>
      <c r="I71" s="11"/>
      <c r="J71" s="12"/>
      <c r="L71" s="13">
        <f t="shared" si="5"/>
        <v>11</v>
      </c>
      <c r="M71" s="14"/>
      <c r="N71" s="15"/>
      <c r="R71" s="16"/>
      <c r="S71" s="16"/>
      <c r="T71" s="17"/>
      <c r="U71" s="11"/>
      <c r="V71" s="11"/>
      <c r="W71" s="18"/>
    </row>
    <row r="72" spans="1:23" x14ac:dyDescent="0.4">
      <c r="A72" s="1">
        <f t="shared" si="6"/>
        <v>72</v>
      </c>
      <c r="G72" s="31"/>
      <c r="H72" s="10"/>
      <c r="I72" s="11"/>
      <c r="J72" s="12"/>
      <c r="L72" s="13">
        <f t="shared" si="5"/>
        <v>12</v>
      </c>
      <c r="M72" s="14"/>
      <c r="N72" s="15"/>
      <c r="R72" s="16"/>
      <c r="S72" s="16"/>
      <c r="T72" s="17"/>
      <c r="U72" s="11"/>
      <c r="V72" s="11"/>
      <c r="W72" s="18"/>
    </row>
    <row r="73" spans="1:23" x14ac:dyDescent="0.4">
      <c r="A73" s="1">
        <f t="shared" si="6"/>
        <v>73</v>
      </c>
      <c r="B73" s="24" t="s">
        <v>25</v>
      </c>
      <c r="C73" s="24"/>
      <c r="D73" s="25">
        <v>0</v>
      </c>
      <c r="E73" s="25"/>
      <c r="G73" s="31"/>
      <c r="H73" s="10"/>
      <c r="I73" s="11"/>
      <c r="J73" s="12"/>
      <c r="L73" s="13">
        <f t="shared" si="5"/>
        <v>13</v>
      </c>
      <c r="M73" s="14"/>
      <c r="N73" s="15"/>
      <c r="R73" s="16"/>
      <c r="S73" s="16"/>
      <c r="T73" s="17"/>
      <c r="U73" s="11"/>
      <c r="V73" s="11"/>
      <c r="W73" s="18"/>
    </row>
    <row r="74" spans="1:23" x14ac:dyDescent="0.4">
      <c r="A74" s="1">
        <f t="shared" si="6"/>
        <v>74</v>
      </c>
      <c r="B74" s="24" t="s">
        <v>36</v>
      </c>
      <c r="C74" s="24"/>
      <c r="D74" s="25">
        <v>1</v>
      </c>
      <c r="E74" s="25"/>
      <c r="G74" s="31"/>
      <c r="H74" s="10"/>
      <c r="I74" s="11"/>
      <c r="J74" s="12"/>
      <c r="L74" s="13">
        <f t="shared" si="5"/>
        <v>14</v>
      </c>
      <c r="M74" s="14"/>
      <c r="N74" s="15"/>
      <c r="R74" s="16"/>
      <c r="S74" s="16"/>
      <c r="T74" s="17"/>
      <c r="U74" s="11"/>
      <c r="V74" s="11"/>
      <c r="W74" s="18"/>
    </row>
    <row r="75" spans="1:23" x14ac:dyDescent="0.4">
      <c r="A75" s="1">
        <f t="shared" si="6"/>
        <v>75</v>
      </c>
      <c r="B75" s="24" t="s">
        <v>27</v>
      </c>
      <c r="C75" s="24"/>
      <c r="D75" s="25">
        <v>-0.12</v>
      </c>
      <c r="E75" s="25"/>
      <c r="G75" s="31"/>
      <c r="H75" s="10"/>
      <c r="I75" s="11"/>
      <c r="J75" s="12"/>
      <c r="L75" s="13">
        <f t="shared" si="5"/>
        <v>15</v>
      </c>
      <c r="M75" s="14"/>
      <c r="N75" s="15"/>
      <c r="R75" s="16"/>
      <c r="S75" s="16"/>
      <c r="T75" s="17"/>
      <c r="U75" s="11"/>
      <c r="V75" s="11"/>
      <c r="W75" s="18"/>
    </row>
    <row r="76" spans="1:23" x14ac:dyDescent="0.4">
      <c r="A76" s="1">
        <f t="shared" si="6"/>
        <v>76</v>
      </c>
      <c r="B76" s="24" t="s">
        <v>28</v>
      </c>
      <c r="C76" s="24"/>
      <c r="D76" s="25">
        <v>0.24</v>
      </c>
      <c r="E76" s="25"/>
      <c r="G76" s="31"/>
      <c r="H76" s="10"/>
      <c r="I76" s="11"/>
      <c r="J76" s="12"/>
      <c r="L76" s="13">
        <f t="shared" si="5"/>
        <v>16</v>
      </c>
      <c r="M76" s="14"/>
      <c r="N76" s="15"/>
      <c r="R76" s="16"/>
      <c r="S76" s="16"/>
      <c r="T76" s="17"/>
      <c r="U76" s="11"/>
      <c r="V76" s="11"/>
      <c r="W76" s="18"/>
    </row>
    <row r="77" spans="1:23" x14ac:dyDescent="0.4">
      <c r="A77" s="1">
        <f t="shared" si="6"/>
        <v>77</v>
      </c>
      <c r="G77" s="31"/>
      <c r="H77" s="10"/>
      <c r="I77" s="11"/>
      <c r="J77" s="12"/>
      <c r="L77" s="13">
        <f t="shared" si="5"/>
        <v>17</v>
      </c>
      <c r="M77" s="14"/>
      <c r="N77" s="15"/>
      <c r="R77" s="16"/>
      <c r="S77" s="16"/>
      <c r="T77" s="17"/>
      <c r="U77" s="11"/>
      <c r="V77" s="11"/>
      <c r="W77" s="18"/>
    </row>
    <row r="78" spans="1:23" x14ac:dyDescent="0.4">
      <c r="A78" s="1">
        <f t="shared" si="6"/>
        <v>78</v>
      </c>
      <c r="G78" s="31"/>
      <c r="H78" s="10"/>
      <c r="I78" s="11"/>
      <c r="J78" s="12"/>
      <c r="L78" s="13">
        <f t="shared" si="5"/>
        <v>18</v>
      </c>
      <c r="M78" s="14"/>
      <c r="N78" s="15"/>
      <c r="R78" s="16"/>
      <c r="S78" s="16"/>
      <c r="T78" s="17"/>
      <c r="U78" s="11"/>
      <c r="V78" s="11"/>
      <c r="W78" s="18"/>
    </row>
    <row r="79" spans="1:23" x14ac:dyDescent="0.4">
      <c r="A79" s="1">
        <f t="shared" si="6"/>
        <v>79</v>
      </c>
      <c r="G79" s="31"/>
      <c r="H79" s="10"/>
      <c r="I79" s="11"/>
      <c r="J79" s="12"/>
      <c r="L79" s="13">
        <f t="shared" si="5"/>
        <v>19</v>
      </c>
      <c r="M79" s="20"/>
      <c r="N79" s="21"/>
      <c r="R79" s="16"/>
      <c r="S79" s="16"/>
      <c r="T79" s="17"/>
      <c r="U79" s="11"/>
      <c r="V79" s="11"/>
      <c r="W79" s="18"/>
    </row>
    <row r="80" spans="1:23" x14ac:dyDescent="0.4">
      <c r="A80" s="1">
        <f t="shared" si="6"/>
        <v>80</v>
      </c>
      <c r="G80" s="31"/>
      <c r="H80" s="10"/>
      <c r="I80" s="11"/>
      <c r="J80" s="12"/>
      <c r="L80" s="13">
        <f t="shared" si="5"/>
        <v>20</v>
      </c>
      <c r="M80" s="20"/>
      <c r="N80" s="21"/>
      <c r="R80" s="16"/>
      <c r="S80" s="16"/>
      <c r="T80" s="17"/>
      <c r="U80" s="11"/>
      <c r="V80" s="11"/>
      <c r="W80" s="18"/>
    </row>
    <row r="81" spans="1:23" x14ac:dyDescent="0.4">
      <c r="A81" s="1">
        <f t="shared" si="6"/>
        <v>81</v>
      </c>
      <c r="G81" s="31"/>
      <c r="H81" s="10"/>
      <c r="I81" s="11"/>
      <c r="J81" s="12"/>
      <c r="L81" s="13">
        <f t="shared" si="5"/>
        <v>21</v>
      </c>
      <c r="M81" s="20"/>
      <c r="N81" s="21"/>
      <c r="R81" s="16"/>
      <c r="S81" s="16"/>
      <c r="T81" s="17"/>
      <c r="U81" s="11"/>
      <c r="V81" s="11"/>
      <c r="W81" s="18"/>
    </row>
    <row r="82" spans="1:23" x14ac:dyDescent="0.4">
      <c r="A82" s="1">
        <f t="shared" si="6"/>
        <v>82</v>
      </c>
      <c r="G82" s="31"/>
      <c r="H82" s="10"/>
      <c r="I82" s="11"/>
      <c r="J82" s="12"/>
      <c r="L82" s="13">
        <f t="shared" si="5"/>
        <v>22</v>
      </c>
      <c r="M82" s="20"/>
      <c r="N82" s="21"/>
      <c r="R82" s="16"/>
      <c r="S82" s="16"/>
      <c r="T82" s="17"/>
      <c r="U82" s="11"/>
      <c r="V82" s="11"/>
      <c r="W82" s="18"/>
    </row>
    <row r="83" spans="1:23" x14ac:dyDescent="0.4">
      <c r="A83" s="1">
        <f t="shared" si="6"/>
        <v>83</v>
      </c>
      <c r="G83" s="31"/>
      <c r="H83" s="10"/>
      <c r="I83" s="11"/>
      <c r="J83" s="12"/>
      <c r="L83" s="13">
        <f t="shared" si="5"/>
        <v>23</v>
      </c>
      <c r="M83" s="20"/>
      <c r="N83" s="21"/>
      <c r="R83" s="16"/>
      <c r="S83" s="16"/>
      <c r="T83" s="17"/>
      <c r="U83" s="11"/>
      <c r="V83" s="11"/>
      <c r="W83" s="18"/>
    </row>
    <row r="84" spans="1:23" x14ac:dyDescent="0.4">
      <c r="A84" s="1">
        <f t="shared" si="6"/>
        <v>84</v>
      </c>
      <c r="G84" s="31"/>
      <c r="H84" s="10"/>
      <c r="I84" s="11"/>
      <c r="J84" s="12"/>
      <c r="L84" s="13">
        <f t="shared" si="5"/>
        <v>24</v>
      </c>
      <c r="M84" s="20"/>
      <c r="N84" s="21"/>
      <c r="R84" s="16"/>
      <c r="S84" s="16"/>
      <c r="T84" s="17"/>
      <c r="U84" s="11"/>
      <c r="V84" s="11"/>
      <c r="W84" s="18"/>
    </row>
    <row r="85" spans="1:23" x14ac:dyDescent="0.4">
      <c r="A85" s="1">
        <f t="shared" si="6"/>
        <v>85</v>
      </c>
      <c r="G85" s="31"/>
      <c r="H85" s="10"/>
      <c r="I85" s="11"/>
      <c r="J85" s="12"/>
      <c r="L85" s="13">
        <f t="shared" si="5"/>
        <v>25</v>
      </c>
      <c r="M85" s="20"/>
      <c r="N85" s="21"/>
      <c r="R85" s="16"/>
      <c r="S85" s="16"/>
      <c r="T85" s="17"/>
      <c r="U85" s="11"/>
      <c r="V85" s="11"/>
      <c r="W85" s="18"/>
    </row>
    <row r="86" spans="1:23" x14ac:dyDescent="0.4">
      <c r="A86" s="1">
        <f t="shared" si="6"/>
        <v>86</v>
      </c>
      <c r="G86" s="31"/>
      <c r="H86" s="10"/>
      <c r="I86" s="11"/>
      <c r="J86" s="12"/>
      <c r="L86" s="13">
        <f t="shared" si="5"/>
        <v>26</v>
      </c>
      <c r="M86" s="20"/>
      <c r="N86" s="21"/>
      <c r="R86" s="16"/>
      <c r="S86" s="16"/>
      <c r="T86" s="17"/>
      <c r="U86" s="11"/>
      <c r="V86" s="11"/>
      <c r="W86" s="18"/>
    </row>
    <row r="87" spans="1:23" x14ac:dyDescent="0.4">
      <c r="A87" s="1">
        <f t="shared" si="6"/>
        <v>87</v>
      </c>
      <c r="G87" s="31"/>
      <c r="H87" s="10"/>
      <c r="I87" s="11"/>
      <c r="J87" s="12"/>
      <c r="L87" s="13">
        <f t="shared" si="5"/>
        <v>27</v>
      </c>
      <c r="M87" s="20"/>
      <c r="N87" s="21"/>
      <c r="R87" s="16"/>
      <c r="S87" s="16"/>
      <c r="T87" s="17"/>
      <c r="U87" s="11"/>
      <c r="V87" s="11"/>
      <c r="W87" s="18"/>
    </row>
    <row r="88" spans="1:23" x14ac:dyDescent="0.4">
      <c r="A88" s="1">
        <f t="shared" si="6"/>
        <v>88</v>
      </c>
      <c r="G88" s="31"/>
      <c r="H88" s="10"/>
      <c r="I88" s="11"/>
      <c r="J88" s="12"/>
      <c r="L88" s="13">
        <f t="shared" si="5"/>
        <v>28</v>
      </c>
      <c r="M88" s="20"/>
      <c r="N88" s="21"/>
      <c r="R88" s="16"/>
      <c r="S88" s="16"/>
      <c r="T88" s="17"/>
      <c r="U88" s="11"/>
      <c r="V88" s="11"/>
      <c r="W88" s="18"/>
    </row>
    <row r="89" spans="1:23" x14ac:dyDescent="0.4">
      <c r="A89" s="1">
        <f t="shared" si="6"/>
        <v>89</v>
      </c>
      <c r="G89" s="31"/>
      <c r="H89" s="10"/>
      <c r="I89" s="11"/>
      <c r="J89" s="12"/>
      <c r="L89" s="13">
        <f t="shared" si="5"/>
        <v>29</v>
      </c>
      <c r="M89" s="20"/>
      <c r="N89" s="21"/>
      <c r="R89" s="16"/>
      <c r="S89" s="16"/>
      <c r="T89" s="17"/>
      <c r="U89" s="11"/>
      <c r="V89" s="11"/>
      <c r="W89" s="18"/>
    </row>
    <row r="90" spans="1:23" x14ac:dyDescent="0.4">
      <c r="A90" s="1">
        <f t="shared" si="6"/>
        <v>90</v>
      </c>
      <c r="G90" s="31"/>
      <c r="H90" s="10"/>
      <c r="I90" s="11"/>
      <c r="J90" s="12"/>
      <c r="L90" s="13">
        <f t="shared" si="5"/>
        <v>30</v>
      </c>
      <c r="M90" s="20"/>
      <c r="N90" s="21"/>
      <c r="R90" s="16"/>
      <c r="S90" s="16"/>
      <c r="T90" s="17"/>
      <c r="U90" s="11"/>
      <c r="V90" s="11"/>
      <c r="W90" s="18"/>
    </row>
    <row r="91" spans="1:23" x14ac:dyDescent="0.4">
      <c r="A91" s="1">
        <f t="shared" si="6"/>
        <v>91</v>
      </c>
      <c r="G91" s="22"/>
      <c r="H91" s="10"/>
      <c r="I91" s="11"/>
      <c r="J91" s="12"/>
      <c r="L91" s="13">
        <f t="shared" si="5"/>
        <v>31</v>
      </c>
      <c r="M91" s="20"/>
      <c r="N91" s="21"/>
      <c r="R91" s="16"/>
      <c r="S91" s="16"/>
      <c r="T91" s="17"/>
      <c r="U91" s="11"/>
      <c r="V91" s="11"/>
      <c r="W91" s="18"/>
    </row>
    <row r="92" spans="1:23" x14ac:dyDescent="0.4">
      <c r="A92" s="1">
        <f t="shared" si="6"/>
        <v>92</v>
      </c>
      <c r="G92" s="22"/>
      <c r="H92" s="10"/>
      <c r="I92" s="11"/>
      <c r="J92" s="12"/>
      <c r="L92" s="13">
        <f t="shared" si="5"/>
        <v>32</v>
      </c>
      <c r="M92" s="20"/>
      <c r="N92" s="21"/>
      <c r="R92" s="16"/>
      <c r="S92" s="16"/>
      <c r="T92" s="17"/>
      <c r="U92" s="11"/>
      <c r="V92" s="11"/>
      <c r="W92" s="18"/>
    </row>
    <row r="93" spans="1:23" x14ac:dyDescent="0.4">
      <c r="A93" s="1">
        <f t="shared" si="6"/>
        <v>93</v>
      </c>
      <c r="G93" s="22"/>
      <c r="H93" s="10"/>
      <c r="I93" s="11"/>
      <c r="J93" s="12"/>
      <c r="L93" s="13">
        <f t="shared" si="5"/>
        <v>33</v>
      </c>
      <c r="M93" s="20"/>
      <c r="N93" s="21"/>
      <c r="R93" s="16"/>
      <c r="S93" s="16"/>
      <c r="T93" s="17"/>
      <c r="U93" s="11"/>
      <c r="V93" s="11"/>
      <c r="W93" s="18"/>
    </row>
    <row r="94" spans="1:23" x14ac:dyDescent="0.4">
      <c r="A94" s="1">
        <f t="shared" si="6"/>
        <v>94</v>
      </c>
      <c r="G94" s="22"/>
      <c r="H94" s="10"/>
      <c r="I94" s="11"/>
      <c r="J94" s="12"/>
      <c r="L94" s="13">
        <f t="shared" si="5"/>
        <v>34</v>
      </c>
      <c r="M94" s="20"/>
      <c r="N94" s="21"/>
      <c r="R94" s="16"/>
      <c r="S94" s="16"/>
      <c r="T94" s="17"/>
      <c r="U94" s="11"/>
      <c r="V94" s="11"/>
      <c r="W94" s="18"/>
    </row>
    <row r="95" spans="1:23" x14ac:dyDescent="0.4">
      <c r="A95" s="1">
        <f t="shared" si="6"/>
        <v>95</v>
      </c>
      <c r="G95" s="22"/>
      <c r="H95" s="10"/>
      <c r="I95" s="11"/>
      <c r="J95" s="12"/>
      <c r="L95" s="13">
        <f t="shared" si="5"/>
        <v>35</v>
      </c>
      <c r="M95" s="20"/>
      <c r="N95" s="21"/>
      <c r="R95" s="16"/>
      <c r="S95" s="16"/>
      <c r="T95" s="17"/>
      <c r="U95" s="11"/>
      <c r="V95" s="11"/>
      <c r="W95" s="18"/>
    </row>
    <row r="96" spans="1:23" x14ac:dyDescent="0.4">
      <c r="A96" s="1">
        <f t="shared" si="6"/>
        <v>96</v>
      </c>
      <c r="G96" s="22"/>
      <c r="H96" s="10"/>
      <c r="I96" s="11"/>
      <c r="J96" s="12"/>
      <c r="L96" s="13">
        <f t="shared" si="5"/>
        <v>36</v>
      </c>
      <c r="M96" s="20"/>
      <c r="N96" s="21"/>
      <c r="R96" s="16"/>
      <c r="S96" s="16"/>
      <c r="T96" s="17"/>
      <c r="U96" s="11"/>
      <c r="V96" s="11"/>
      <c r="W96" s="18"/>
    </row>
    <row r="97" spans="1:23" x14ac:dyDescent="0.4">
      <c r="A97" s="1">
        <f t="shared" si="6"/>
        <v>97</v>
      </c>
      <c r="G97" s="22"/>
      <c r="H97" s="10"/>
      <c r="I97" s="11"/>
      <c r="J97" s="12"/>
      <c r="L97" s="13">
        <f t="shared" si="5"/>
        <v>37</v>
      </c>
      <c r="M97" s="20"/>
      <c r="N97" s="21"/>
      <c r="R97" s="16"/>
      <c r="S97" s="16"/>
      <c r="T97" s="17"/>
      <c r="U97" s="11"/>
      <c r="V97" s="11"/>
      <c r="W97" s="18"/>
    </row>
    <row r="98" spans="1:23" x14ac:dyDescent="0.4">
      <c r="A98" s="1">
        <f t="shared" si="6"/>
        <v>98</v>
      </c>
      <c r="G98" s="22"/>
      <c r="H98" s="10"/>
      <c r="I98" s="11"/>
      <c r="J98" s="12"/>
      <c r="L98" s="13">
        <f t="shared" si="5"/>
        <v>38</v>
      </c>
      <c r="M98" s="20"/>
      <c r="N98" s="21"/>
      <c r="R98" s="16"/>
      <c r="S98" s="16"/>
      <c r="T98" s="17"/>
      <c r="U98" s="11"/>
      <c r="V98" s="11"/>
      <c r="W98" s="18"/>
    </row>
    <row r="99" spans="1:23" x14ac:dyDescent="0.4">
      <c r="A99" s="1">
        <f t="shared" si="6"/>
        <v>99</v>
      </c>
      <c r="G99" s="22"/>
      <c r="H99" s="10"/>
      <c r="I99" s="11"/>
      <c r="J99" s="12"/>
      <c r="L99" s="13">
        <f t="shared" si="5"/>
        <v>39</v>
      </c>
      <c r="M99" s="20"/>
      <c r="N99" s="21"/>
      <c r="R99" s="16"/>
      <c r="S99" s="16"/>
      <c r="T99" s="17"/>
      <c r="U99" s="11"/>
      <c r="V99" s="11"/>
      <c r="W99" s="18"/>
    </row>
    <row r="100" spans="1:23" x14ac:dyDescent="0.4">
      <c r="A100" s="1">
        <f t="shared" si="6"/>
        <v>100</v>
      </c>
      <c r="G100" s="22"/>
      <c r="H100" s="10"/>
      <c r="I100" s="11"/>
      <c r="J100" s="12"/>
      <c r="L100" s="13">
        <f t="shared" si="5"/>
        <v>40</v>
      </c>
      <c r="M100" s="20"/>
      <c r="N100" s="21"/>
      <c r="R100" s="16"/>
      <c r="S100" s="16"/>
      <c r="T100" s="17"/>
      <c r="U100" s="11"/>
      <c r="V100" s="11"/>
      <c r="W100" s="18"/>
    </row>
    <row r="101" spans="1:23" x14ac:dyDescent="0.4">
      <c r="A101" s="1">
        <f t="shared" si="6"/>
        <v>101</v>
      </c>
      <c r="G101" s="22"/>
      <c r="H101" s="10"/>
      <c r="I101" s="11"/>
      <c r="J101" s="12"/>
      <c r="L101" s="13">
        <f t="shared" si="5"/>
        <v>41</v>
      </c>
      <c r="M101" s="20"/>
      <c r="N101" s="21"/>
      <c r="R101" s="16"/>
      <c r="S101" s="16"/>
      <c r="T101" s="17"/>
      <c r="U101" s="11"/>
      <c r="V101" s="11"/>
      <c r="W101" s="18"/>
    </row>
    <row r="102" spans="1:23" x14ac:dyDescent="0.4">
      <c r="A102" s="1">
        <f t="shared" si="6"/>
        <v>102</v>
      </c>
      <c r="G102" s="22"/>
      <c r="H102" s="10"/>
      <c r="I102" s="11"/>
      <c r="J102" s="12"/>
      <c r="L102" s="13">
        <f t="shared" si="5"/>
        <v>42</v>
      </c>
      <c r="M102" s="20"/>
      <c r="N102" s="21"/>
      <c r="R102" s="16"/>
      <c r="S102" s="16"/>
      <c r="T102" s="17"/>
      <c r="U102" s="11"/>
      <c r="V102" s="11"/>
      <c r="W102" s="18"/>
    </row>
    <row r="103" spans="1:23" x14ac:dyDescent="0.4">
      <c r="A103" s="1">
        <f t="shared" si="6"/>
        <v>103</v>
      </c>
      <c r="G103" s="22"/>
      <c r="H103" s="10"/>
      <c r="I103" s="11"/>
      <c r="J103" s="12"/>
      <c r="L103" s="13">
        <f t="shared" si="5"/>
        <v>43</v>
      </c>
      <c r="M103" s="20"/>
      <c r="N103" s="21"/>
      <c r="R103" s="16"/>
      <c r="S103" s="16"/>
      <c r="T103" s="17"/>
      <c r="U103" s="11"/>
      <c r="V103" s="11"/>
      <c r="W103" s="18"/>
    </row>
    <row r="104" spans="1:23" x14ac:dyDescent="0.4">
      <c r="A104" s="1">
        <f t="shared" si="6"/>
        <v>104</v>
      </c>
    </row>
    <row r="105" spans="1:23" x14ac:dyDescent="0.4">
      <c r="A105" s="1">
        <f t="shared" si="6"/>
        <v>105</v>
      </c>
    </row>
    <row r="106" spans="1:23" x14ac:dyDescent="0.4">
      <c r="A106" s="1">
        <f t="shared" si="6"/>
        <v>106</v>
      </c>
    </row>
    <row r="107" spans="1:23" x14ac:dyDescent="0.4">
      <c r="A107" s="1">
        <f t="shared" si="6"/>
        <v>107</v>
      </c>
    </row>
    <row r="108" spans="1:23" x14ac:dyDescent="0.4">
      <c r="A108" s="1">
        <f t="shared" si="6"/>
        <v>108</v>
      </c>
    </row>
    <row r="109" spans="1:23" x14ac:dyDescent="0.4">
      <c r="A109" s="1">
        <f t="shared" si="6"/>
        <v>109</v>
      </c>
    </row>
    <row r="110" spans="1:23" x14ac:dyDescent="0.4">
      <c r="A110" s="1">
        <f t="shared" si="6"/>
        <v>110</v>
      </c>
    </row>
    <row r="111" spans="1:23" x14ac:dyDescent="0.4">
      <c r="A111" s="1">
        <f t="shared" si="6"/>
        <v>111</v>
      </c>
    </row>
    <row r="112" spans="1:23" x14ac:dyDescent="0.4">
      <c r="A112" s="1">
        <f t="shared" si="6"/>
        <v>112</v>
      </c>
    </row>
    <row r="113" spans="1:1" x14ac:dyDescent="0.4">
      <c r="A113" s="1">
        <f t="shared" si="6"/>
        <v>113</v>
      </c>
    </row>
    <row r="114" spans="1:1" x14ac:dyDescent="0.4">
      <c r="A114" s="1">
        <f t="shared" si="6"/>
        <v>114</v>
      </c>
    </row>
    <row r="115" spans="1:1" x14ac:dyDescent="0.4">
      <c r="A115" s="1">
        <f t="shared" si="6"/>
        <v>115</v>
      </c>
    </row>
    <row r="116" spans="1:1" x14ac:dyDescent="0.4">
      <c r="A116" s="1">
        <f t="shared" si="6"/>
        <v>116</v>
      </c>
    </row>
    <row r="117" spans="1:1" x14ac:dyDescent="0.4">
      <c r="A117" s="1">
        <f t="shared" si="6"/>
        <v>117</v>
      </c>
    </row>
    <row r="118" spans="1:1" x14ac:dyDescent="0.4">
      <c r="A118" s="1">
        <f t="shared" si="6"/>
        <v>118</v>
      </c>
    </row>
    <row r="119" spans="1:1" x14ac:dyDescent="0.4">
      <c r="A119" s="1">
        <f t="shared" si="6"/>
        <v>119</v>
      </c>
    </row>
    <row r="120" spans="1:1" x14ac:dyDescent="0.4">
      <c r="A120" s="1">
        <f t="shared" si="6"/>
        <v>120</v>
      </c>
    </row>
    <row r="121" spans="1:1" x14ac:dyDescent="0.4">
      <c r="A121" s="1">
        <f t="shared" si="6"/>
        <v>121</v>
      </c>
    </row>
    <row r="122" spans="1:1" x14ac:dyDescent="0.4">
      <c r="A122" s="1">
        <f t="shared" si="6"/>
        <v>122</v>
      </c>
    </row>
    <row r="123" spans="1:1" x14ac:dyDescent="0.4">
      <c r="A123" s="1">
        <f t="shared" si="6"/>
        <v>123</v>
      </c>
    </row>
    <row r="124" spans="1:1" x14ac:dyDescent="0.4">
      <c r="A124" s="1">
        <f t="shared" si="6"/>
        <v>124</v>
      </c>
    </row>
    <row r="125" spans="1:1" x14ac:dyDescent="0.4">
      <c r="A125" s="1">
        <f t="shared" si="6"/>
        <v>125</v>
      </c>
    </row>
    <row r="126" spans="1:1" x14ac:dyDescent="0.4">
      <c r="A126" s="1">
        <f t="shared" si="6"/>
        <v>126</v>
      </c>
    </row>
    <row r="127" spans="1:1" x14ac:dyDescent="0.4">
      <c r="A127" s="1">
        <f t="shared" si="6"/>
        <v>127</v>
      </c>
    </row>
    <row r="128" spans="1:1" x14ac:dyDescent="0.4">
      <c r="A128" s="1">
        <f t="shared" si="6"/>
        <v>128</v>
      </c>
    </row>
    <row r="129" spans="1:1" x14ac:dyDescent="0.4">
      <c r="A129" s="1">
        <f t="shared" si="6"/>
        <v>129</v>
      </c>
    </row>
    <row r="130" spans="1:1" x14ac:dyDescent="0.4">
      <c r="A130" s="1">
        <f t="shared" si="6"/>
        <v>130</v>
      </c>
    </row>
    <row r="131" spans="1:1" x14ac:dyDescent="0.4">
      <c r="A131" s="1">
        <f t="shared" si="6"/>
        <v>131</v>
      </c>
    </row>
    <row r="132" spans="1:1" x14ac:dyDescent="0.4">
      <c r="A132" s="1">
        <f t="shared" si="6"/>
        <v>132</v>
      </c>
    </row>
    <row r="133" spans="1:1" x14ac:dyDescent="0.4">
      <c r="A133" s="1">
        <f t="shared" si="6"/>
        <v>133</v>
      </c>
    </row>
    <row r="134" spans="1:1" x14ac:dyDescent="0.4">
      <c r="A134" s="1">
        <f t="shared" ref="A134:A197" si="7">A133+1</f>
        <v>134</v>
      </c>
    </row>
    <row r="135" spans="1:1" x14ac:dyDescent="0.4">
      <c r="A135" s="1">
        <f t="shared" si="7"/>
        <v>135</v>
      </c>
    </row>
    <row r="136" spans="1:1" x14ac:dyDescent="0.4">
      <c r="A136" s="1">
        <f t="shared" si="7"/>
        <v>136</v>
      </c>
    </row>
    <row r="137" spans="1:1" x14ac:dyDescent="0.4">
      <c r="A137" s="1">
        <f t="shared" si="7"/>
        <v>137</v>
      </c>
    </row>
    <row r="138" spans="1:1" x14ac:dyDescent="0.4">
      <c r="A138" s="1">
        <f t="shared" si="7"/>
        <v>138</v>
      </c>
    </row>
    <row r="139" spans="1:1" x14ac:dyDescent="0.4">
      <c r="A139" s="1">
        <f t="shared" si="7"/>
        <v>139</v>
      </c>
    </row>
    <row r="140" spans="1:1" x14ac:dyDescent="0.4">
      <c r="A140" s="1">
        <f t="shared" si="7"/>
        <v>140</v>
      </c>
    </row>
    <row r="141" spans="1:1" x14ac:dyDescent="0.4">
      <c r="A141" s="1">
        <f t="shared" si="7"/>
        <v>141</v>
      </c>
    </row>
    <row r="142" spans="1:1" x14ac:dyDescent="0.4">
      <c r="A142" s="1">
        <f t="shared" si="7"/>
        <v>142</v>
      </c>
    </row>
    <row r="143" spans="1:1" x14ac:dyDescent="0.4">
      <c r="A143" s="1">
        <f t="shared" si="7"/>
        <v>143</v>
      </c>
    </row>
    <row r="144" spans="1:1" x14ac:dyDescent="0.4">
      <c r="A144" s="1">
        <f t="shared" si="7"/>
        <v>144</v>
      </c>
    </row>
    <row r="145" spans="1:1" x14ac:dyDescent="0.4">
      <c r="A145" s="1">
        <f t="shared" si="7"/>
        <v>145</v>
      </c>
    </row>
    <row r="146" spans="1:1" x14ac:dyDescent="0.4">
      <c r="A146" s="1">
        <f t="shared" si="7"/>
        <v>146</v>
      </c>
    </row>
    <row r="147" spans="1:1" x14ac:dyDescent="0.4">
      <c r="A147" s="1">
        <f t="shared" si="7"/>
        <v>147</v>
      </c>
    </row>
    <row r="148" spans="1:1" x14ac:dyDescent="0.4">
      <c r="A148" s="1">
        <f t="shared" si="7"/>
        <v>148</v>
      </c>
    </row>
    <row r="149" spans="1:1" x14ac:dyDescent="0.4">
      <c r="A149" s="1">
        <f t="shared" si="7"/>
        <v>149</v>
      </c>
    </row>
    <row r="150" spans="1:1" x14ac:dyDescent="0.4">
      <c r="A150" s="1">
        <f t="shared" si="7"/>
        <v>150</v>
      </c>
    </row>
    <row r="151" spans="1:1" x14ac:dyDescent="0.4">
      <c r="A151" s="1">
        <f t="shared" si="7"/>
        <v>151</v>
      </c>
    </row>
    <row r="152" spans="1:1" x14ac:dyDescent="0.4">
      <c r="A152" s="1">
        <f t="shared" si="7"/>
        <v>152</v>
      </c>
    </row>
    <row r="153" spans="1:1" x14ac:dyDescent="0.4">
      <c r="A153" s="1">
        <f t="shared" si="7"/>
        <v>153</v>
      </c>
    </row>
    <row r="154" spans="1:1" x14ac:dyDescent="0.4">
      <c r="A154" s="1">
        <f t="shared" si="7"/>
        <v>154</v>
      </c>
    </row>
    <row r="155" spans="1:1" x14ac:dyDescent="0.4">
      <c r="A155" s="1">
        <f t="shared" si="7"/>
        <v>155</v>
      </c>
    </row>
    <row r="156" spans="1:1" x14ac:dyDescent="0.4">
      <c r="A156" s="1">
        <f t="shared" si="7"/>
        <v>156</v>
      </c>
    </row>
    <row r="157" spans="1:1" x14ac:dyDescent="0.4">
      <c r="A157" s="1">
        <f t="shared" si="7"/>
        <v>157</v>
      </c>
    </row>
    <row r="158" spans="1:1" x14ac:dyDescent="0.4">
      <c r="A158" s="1">
        <f t="shared" si="7"/>
        <v>158</v>
      </c>
    </row>
    <row r="159" spans="1:1" x14ac:dyDescent="0.4">
      <c r="A159" s="1">
        <f t="shared" si="7"/>
        <v>159</v>
      </c>
    </row>
    <row r="160" spans="1:1" x14ac:dyDescent="0.4">
      <c r="A160" s="1">
        <f t="shared" si="7"/>
        <v>160</v>
      </c>
    </row>
    <row r="161" spans="1:1" x14ac:dyDescent="0.4">
      <c r="A161" s="1">
        <f t="shared" si="7"/>
        <v>161</v>
      </c>
    </row>
    <row r="162" spans="1:1" x14ac:dyDescent="0.4">
      <c r="A162" s="1">
        <f t="shared" si="7"/>
        <v>162</v>
      </c>
    </row>
    <row r="163" spans="1:1" x14ac:dyDescent="0.4">
      <c r="A163" s="1">
        <f t="shared" si="7"/>
        <v>163</v>
      </c>
    </row>
    <row r="164" spans="1:1" x14ac:dyDescent="0.4">
      <c r="A164" s="1">
        <f t="shared" si="7"/>
        <v>164</v>
      </c>
    </row>
    <row r="165" spans="1:1" x14ac:dyDescent="0.4">
      <c r="A165" s="1">
        <f t="shared" si="7"/>
        <v>165</v>
      </c>
    </row>
    <row r="166" spans="1:1" x14ac:dyDescent="0.4">
      <c r="A166" s="1">
        <f t="shared" si="7"/>
        <v>166</v>
      </c>
    </row>
    <row r="167" spans="1:1" x14ac:dyDescent="0.4">
      <c r="A167" s="1">
        <f t="shared" si="7"/>
        <v>167</v>
      </c>
    </row>
    <row r="168" spans="1:1" x14ac:dyDescent="0.4">
      <c r="A168" s="1">
        <f t="shared" si="7"/>
        <v>168</v>
      </c>
    </row>
    <row r="169" spans="1:1" x14ac:dyDescent="0.4">
      <c r="A169" s="1">
        <f t="shared" si="7"/>
        <v>169</v>
      </c>
    </row>
    <row r="170" spans="1:1" x14ac:dyDescent="0.4">
      <c r="A170" s="1">
        <f t="shared" si="7"/>
        <v>170</v>
      </c>
    </row>
    <row r="171" spans="1:1" x14ac:dyDescent="0.4">
      <c r="A171" s="1">
        <f t="shared" si="7"/>
        <v>171</v>
      </c>
    </row>
    <row r="172" spans="1:1" x14ac:dyDescent="0.4">
      <c r="A172" s="1">
        <f t="shared" si="7"/>
        <v>172</v>
      </c>
    </row>
    <row r="173" spans="1:1" x14ac:dyDescent="0.4">
      <c r="A173" s="1">
        <f t="shared" si="7"/>
        <v>173</v>
      </c>
    </row>
    <row r="174" spans="1:1" x14ac:dyDescent="0.4">
      <c r="A174" s="1">
        <f t="shared" si="7"/>
        <v>174</v>
      </c>
    </row>
    <row r="175" spans="1:1" x14ac:dyDescent="0.4">
      <c r="A175" s="1">
        <f t="shared" si="7"/>
        <v>175</v>
      </c>
    </row>
    <row r="176" spans="1:1" x14ac:dyDescent="0.4">
      <c r="A176" s="1">
        <f t="shared" si="7"/>
        <v>176</v>
      </c>
    </row>
    <row r="177" spans="1:1" x14ac:dyDescent="0.4">
      <c r="A177" s="1">
        <f t="shared" si="7"/>
        <v>177</v>
      </c>
    </row>
    <row r="178" spans="1:1" x14ac:dyDescent="0.4">
      <c r="A178" s="1">
        <f t="shared" si="7"/>
        <v>178</v>
      </c>
    </row>
    <row r="179" spans="1:1" x14ac:dyDescent="0.4">
      <c r="A179" s="1">
        <f t="shared" si="7"/>
        <v>179</v>
      </c>
    </row>
    <row r="180" spans="1:1" x14ac:dyDescent="0.4">
      <c r="A180" s="1">
        <f t="shared" si="7"/>
        <v>180</v>
      </c>
    </row>
    <row r="181" spans="1:1" x14ac:dyDescent="0.4">
      <c r="A181" s="1">
        <f t="shared" si="7"/>
        <v>181</v>
      </c>
    </row>
    <row r="182" spans="1:1" x14ac:dyDescent="0.4">
      <c r="A182" s="1">
        <f t="shared" si="7"/>
        <v>182</v>
      </c>
    </row>
    <row r="183" spans="1:1" x14ac:dyDescent="0.4">
      <c r="A183" s="1">
        <f t="shared" si="7"/>
        <v>183</v>
      </c>
    </row>
    <row r="184" spans="1:1" x14ac:dyDescent="0.4">
      <c r="A184" s="1">
        <f t="shared" si="7"/>
        <v>184</v>
      </c>
    </row>
    <row r="185" spans="1:1" x14ac:dyDescent="0.4">
      <c r="A185" s="1">
        <f t="shared" si="7"/>
        <v>185</v>
      </c>
    </row>
    <row r="186" spans="1:1" x14ac:dyDescent="0.4">
      <c r="A186" s="1">
        <f t="shared" si="7"/>
        <v>186</v>
      </c>
    </row>
    <row r="187" spans="1:1" x14ac:dyDescent="0.4">
      <c r="A187" s="1">
        <f t="shared" si="7"/>
        <v>187</v>
      </c>
    </row>
    <row r="188" spans="1:1" x14ac:dyDescent="0.4">
      <c r="A188" s="1">
        <f t="shared" si="7"/>
        <v>188</v>
      </c>
    </row>
    <row r="189" spans="1:1" x14ac:dyDescent="0.4">
      <c r="A189" s="1">
        <f t="shared" si="7"/>
        <v>189</v>
      </c>
    </row>
    <row r="190" spans="1:1" x14ac:dyDescent="0.4">
      <c r="A190" s="1">
        <f t="shared" si="7"/>
        <v>190</v>
      </c>
    </row>
    <row r="191" spans="1:1" x14ac:dyDescent="0.4">
      <c r="A191" s="1">
        <f t="shared" si="7"/>
        <v>191</v>
      </c>
    </row>
    <row r="192" spans="1:1" x14ac:dyDescent="0.4">
      <c r="A192" s="1">
        <f t="shared" si="7"/>
        <v>192</v>
      </c>
    </row>
    <row r="193" spans="1:1" x14ac:dyDescent="0.4">
      <c r="A193" s="1">
        <f t="shared" si="7"/>
        <v>193</v>
      </c>
    </row>
    <row r="194" spans="1:1" x14ac:dyDescent="0.4">
      <c r="A194" s="1">
        <f t="shared" si="7"/>
        <v>194</v>
      </c>
    </row>
    <row r="195" spans="1:1" x14ac:dyDescent="0.4">
      <c r="A195" s="1">
        <f t="shared" si="7"/>
        <v>195</v>
      </c>
    </row>
    <row r="196" spans="1:1" x14ac:dyDescent="0.4">
      <c r="A196" s="1">
        <f t="shared" si="7"/>
        <v>196</v>
      </c>
    </row>
    <row r="197" spans="1:1" x14ac:dyDescent="0.4">
      <c r="A197" s="1">
        <f t="shared" si="7"/>
        <v>197</v>
      </c>
    </row>
    <row r="198" spans="1:1" x14ac:dyDescent="0.4">
      <c r="A198" s="1">
        <f t="shared" ref="A198:A202" si="8">A197+1</f>
        <v>198</v>
      </c>
    </row>
    <row r="199" spans="1:1" x14ac:dyDescent="0.4">
      <c r="A199" s="1">
        <f t="shared" si="8"/>
        <v>199</v>
      </c>
    </row>
    <row r="200" spans="1:1" x14ac:dyDescent="0.4">
      <c r="A200" s="1">
        <f t="shared" si="8"/>
        <v>200</v>
      </c>
    </row>
    <row r="201" spans="1:1" x14ac:dyDescent="0.4">
      <c r="A201" s="1">
        <f t="shared" si="8"/>
        <v>201</v>
      </c>
    </row>
    <row r="202" spans="1:1" x14ac:dyDescent="0.4">
      <c r="A202" s="1">
        <f t="shared" si="8"/>
        <v>202</v>
      </c>
    </row>
  </sheetData>
  <mergeCells count="59">
    <mergeCell ref="R8:S8"/>
    <mergeCell ref="I10:J10"/>
    <mergeCell ref="R10:R11"/>
    <mergeCell ref="S10:S11"/>
    <mergeCell ref="B5:C5"/>
    <mergeCell ref="D5:E5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D25:E25"/>
    <mergeCell ref="U10:U11"/>
    <mergeCell ref="V10:V11"/>
    <mergeCell ref="W10:W11"/>
    <mergeCell ref="D13:E15"/>
    <mergeCell ref="D17:E17"/>
    <mergeCell ref="D18:E18"/>
    <mergeCell ref="T10:T11"/>
    <mergeCell ref="R56:T57"/>
    <mergeCell ref="B57:C57"/>
    <mergeCell ref="D57:E57"/>
    <mergeCell ref="B58:C58"/>
    <mergeCell ref="D58:E58"/>
    <mergeCell ref="R58:S58"/>
    <mergeCell ref="B26:C26"/>
    <mergeCell ref="D26:E26"/>
    <mergeCell ref="G55:G90"/>
    <mergeCell ref="H56:I57"/>
    <mergeCell ref="L56:N57"/>
    <mergeCell ref="B74:C74"/>
    <mergeCell ref="D74:E74"/>
    <mergeCell ref="B75:C75"/>
    <mergeCell ref="D75:E75"/>
    <mergeCell ref="B76:C76"/>
    <mergeCell ref="I60:J60"/>
    <mergeCell ref="B73:C73"/>
    <mergeCell ref="D73:E73"/>
    <mergeCell ref="D76:E76"/>
    <mergeCell ref="V60:V61"/>
    <mergeCell ref="W60:W61"/>
    <mergeCell ref="D63:E65"/>
    <mergeCell ref="D67:E67"/>
    <mergeCell ref="D68:E68"/>
    <mergeCell ref="U60:U61"/>
    <mergeCell ref="R60:R61"/>
    <mergeCell ref="S60:S61"/>
    <mergeCell ref="T60:T6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3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2024-08-11T14:25:52Z</dcterms:modified>
</cp:coreProperties>
</file>