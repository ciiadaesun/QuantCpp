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M11" i="1"/>
  <c r="AT92" i="2"/>
  <c r="AT91" i="2"/>
  <c r="AT90" i="2"/>
  <c r="AT89" i="2"/>
  <c r="AT88" i="2"/>
  <c r="AT87" i="2"/>
  <c r="AT86" i="2"/>
  <c r="AT85" i="2"/>
  <c r="AT84" i="2"/>
  <c r="AT83" i="2"/>
  <c r="AT82" i="2"/>
  <c r="AT81" i="2"/>
  <c r="AT80" i="2"/>
  <c r="AT79" i="2"/>
  <c r="AT78" i="2"/>
  <c r="AT77" i="2"/>
  <c r="AT76" i="2"/>
  <c r="AT75" i="2"/>
  <c r="AT74" i="2"/>
  <c r="AT73" i="2"/>
  <c r="AT72" i="2"/>
  <c r="AT71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O14" i="2"/>
  <c r="N15" i="2" s="1"/>
  <c r="O15" i="2" s="1"/>
  <c r="N16" i="2" s="1"/>
  <c r="O16" i="2" s="1"/>
  <c r="N17" i="2" s="1"/>
  <c r="O17" i="2" s="1"/>
  <c r="N18" i="2" s="1"/>
  <c r="O18" i="2" s="1"/>
  <c r="N19" i="2" s="1"/>
  <c r="O19" i="2" s="1"/>
  <c r="N20" i="2" s="1"/>
  <c r="O20" i="2" s="1"/>
  <c r="N21" i="2" s="1"/>
  <c r="O21" i="2" s="1"/>
  <c r="N22" i="2" s="1"/>
  <c r="O22" i="2" s="1"/>
  <c r="N23" i="2" s="1"/>
  <c r="O23" i="2" s="1"/>
  <c r="N24" i="2" s="1"/>
  <c r="O24" i="2" s="1"/>
  <c r="N25" i="2" s="1"/>
  <c r="O25" i="2" s="1"/>
  <c r="N26" i="2" s="1"/>
  <c r="O26" i="2" s="1"/>
  <c r="N27" i="2" s="1"/>
  <c r="O27" i="2" s="1"/>
  <c r="N28" i="2" s="1"/>
  <c r="O28" i="2" s="1"/>
  <c r="N29" i="2" s="1"/>
  <c r="O29" i="2" s="1"/>
  <c r="N30" i="2" s="1"/>
  <c r="O30" i="2" s="1"/>
  <c r="N31" i="2" s="1"/>
  <c r="O31" i="2" s="1"/>
  <c r="N32" i="2" s="1"/>
  <c r="O32" i="2" s="1"/>
  <c r="N33" i="2" s="1"/>
  <c r="O33" i="2" s="1"/>
  <c r="N34" i="2" s="1"/>
  <c r="O34" i="2" s="1"/>
  <c r="N35" i="2" s="1"/>
  <c r="O35" i="2" s="1"/>
  <c r="N36" i="2" s="1"/>
  <c r="O36" i="2" s="1"/>
  <c r="N14" i="2"/>
  <c r="O13" i="2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T13" i="2" l="1"/>
  <c r="R13" i="2"/>
  <c r="AT14" i="2" l="1"/>
  <c r="N70" i="1"/>
  <c r="R14" i="2" l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T15" i="2" l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R15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T16" i="2" l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R16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T17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R17" i="2" l="1"/>
  <c r="AI29" i="2"/>
  <c r="AI20" i="2"/>
  <c r="AI11" i="2"/>
  <c r="G29" i="2"/>
  <c r="G20" i="2"/>
  <c r="G11" i="2"/>
  <c r="AT18" i="2" l="1"/>
  <c r="R18" i="2" l="1"/>
  <c r="AE31" i="2"/>
  <c r="AE22" i="2"/>
  <c r="AE13" i="2"/>
  <c r="C31" i="2"/>
  <c r="C22" i="2"/>
  <c r="C13" i="2"/>
  <c r="AT19" i="2" l="1"/>
  <c r="O11" i="2"/>
  <c r="AQ11" i="2"/>
  <c r="N11" i="2"/>
  <c r="AP11" i="2"/>
  <c r="R19" i="2" l="1"/>
  <c r="AJ39" i="2"/>
  <c r="H39" i="2"/>
  <c r="AT20" i="2" l="1"/>
  <c r="L11" i="3"/>
  <c r="K11" i="3"/>
  <c r="J11" i="3"/>
  <c r="E11" i="3"/>
  <c r="D11" i="3"/>
  <c r="C11" i="3"/>
  <c r="R20" i="2" l="1"/>
  <c r="Q1" i="4"/>
  <c r="R1" i="4" s="1"/>
  <c r="S1" i="4" s="1"/>
  <c r="T1" i="4" s="1"/>
  <c r="U1" i="4" s="1"/>
  <c r="V1" i="4" s="1"/>
  <c r="W1" i="4" s="1"/>
  <c r="AT21" i="2" l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R21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T22" i="2" l="1"/>
  <c r="K25" i="2"/>
  <c r="K16" i="2"/>
  <c r="K34" i="2"/>
  <c r="R22" i="2" l="1"/>
  <c r="AT23" i="2" l="1"/>
  <c r="R23" i="2" l="1"/>
  <c r="AT24" i="2" l="1"/>
  <c r="R24" i="2" l="1"/>
  <c r="AT25" i="2" l="1"/>
  <c r="R25" i="2" l="1"/>
  <c r="AT26" i="2" l="1"/>
  <c r="R26" i="2" l="1"/>
  <c r="AT27" i="2" l="1"/>
  <c r="R27" i="2" l="1"/>
  <c r="AT28" i="2" l="1"/>
  <c r="R28" i="2" l="1"/>
  <c r="AT29" i="2" l="1"/>
  <c r="R29" i="2" l="1"/>
  <c r="AT30" i="2" l="1"/>
  <c r="R30" i="2" l="1"/>
  <c r="AT31" i="2" l="1"/>
  <c r="R31" i="2" l="1"/>
  <c r="AT32" i="2" l="1"/>
  <c r="R32" i="2" l="1"/>
  <c r="AT33" i="2" l="1"/>
  <c r="R33" i="2" l="1"/>
  <c r="AT34" i="2" l="1"/>
  <c r="R34" i="2" l="1"/>
  <c r="AT35" i="2" l="1"/>
  <c r="R35" i="2" l="1"/>
  <c r="AT36" i="2" l="1"/>
  <c r="R36" i="2" l="1"/>
  <c r="AT37" i="2" l="1"/>
  <c r="AT38" i="2" l="1"/>
  <c r="AT39" i="2" l="1"/>
  <c r="AT40" i="2" l="1"/>
  <c r="AT41" i="2" l="1"/>
  <c r="AT42" i="2" l="1"/>
  <c r="AT43" i="2" l="1"/>
  <c r="AT44" i="2" l="1"/>
  <c r="AT45" i="2" l="1"/>
  <c r="AT46" i="2" l="1"/>
  <c r="AT47" i="2" l="1"/>
  <c r="AT48" i="2" l="1"/>
  <c r="AT49" i="2" l="1"/>
  <c r="AT50" i="2" l="1"/>
  <c r="AT51" i="2" l="1"/>
  <c r="AT52" i="2" l="1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<sst xmlns="http://schemas.openxmlformats.org/spreadsheetml/2006/main" count="273" uniqueCount="118">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</sst>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193" fontId="0" fillId="13" borderId="0" xfId="0" applyNumberForma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3" zoomScale="90" zoomScaleNormal="90" workbookViewId="0">
      <selection activeCell="M16" sqref="M16"/>
    </sheetView>
  </sheetViews>
  <sheetFormatPr defaultColWidth="10.09765625" defaultRowHeight="15.6" x14ac:dyDescent="0.4"/>
  <cols>
    <col min="1" max="8" width="10.09765625" style="9"/>
    <col min="9" max="9" width="10.5" style="9" bestFit="1" customWidth="1"/>
    <col min="10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1" t="s">
        <v>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</row>
    <row r="3" spans="1:45" x14ac:dyDescent="0.4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</row>
    <row r="4" spans="1:45" x14ac:dyDescent="0.4">
      <c r="A4" s="9">
        <f>4</f>
        <v>4</v>
      </c>
      <c r="B4" s="95" t="s">
        <v>2</v>
      </c>
      <c r="C4" s="95"/>
      <c r="D4" s="96">
        <v>2</v>
      </c>
      <c r="E4" s="96"/>
    </row>
    <row r="5" spans="1:45" x14ac:dyDescent="0.4">
      <c r="A5" s="9">
        <f>A4+1</f>
        <v>5</v>
      </c>
      <c r="G5" s="100" t="s">
        <v>22</v>
      </c>
      <c r="H5" s="102" t="s">
        <v>21</v>
      </c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</row>
    <row r="6" spans="1:45" x14ac:dyDescent="0.4">
      <c r="A6" s="9">
        <f t="shared" ref="A6:A82" si="1">A5+1</f>
        <v>6</v>
      </c>
      <c r="B6" s="95" t="s">
        <v>3</v>
      </c>
      <c r="C6" s="95"/>
      <c r="D6" s="96">
        <v>1</v>
      </c>
      <c r="E6" s="96"/>
      <c r="G6" s="101"/>
      <c r="H6" s="103" t="s">
        <v>7</v>
      </c>
      <c r="I6" s="104"/>
      <c r="L6" s="99" t="s">
        <v>11</v>
      </c>
      <c r="M6" s="99"/>
      <c r="N6" s="99"/>
      <c r="Q6" s="99" t="s">
        <v>12</v>
      </c>
      <c r="R6" s="99"/>
      <c r="S6" s="99"/>
      <c r="V6" s="99" t="s">
        <v>13</v>
      </c>
      <c r="W6" s="99"/>
      <c r="X6" s="99"/>
    </row>
    <row r="7" spans="1:45" x14ac:dyDescent="0.4">
      <c r="A7" s="9">
        <f t="shared" si="1"/>
        <v>7</v>
      </c>
      <c r="B7" s="95" t="s">
        <v>4</v>
      </c>
      <c r="C7" s="95"/>
      <c r="D7" s="96">
        <v>1</v>
      </c>
      <c r="E7" s="96"/>
      <c r="G7" s="101"/>
      <c r="H7" s="105"/>
      <c r="I7" s="106"/>
      <c r="L7" s="99"/>
      <c r="M7" s="99"/>
      <c r="N7" s="99"/>
      <c r="Q7" s="99"/>
      <c r="R7" s="99"/>
      <c r="S7" s="99"/>
      <c r="V7" s="99"/>
      <c r="W7" s="99"/>
      <c r="X7" s="99"/>
    </row>
    <row r="8" spans="1:45" x14ac:dyDescent="0.4">
      <c r="A8" s="9">
        <f t="shared" si="1"/>
        <v>8</v>
      </c>
      <c r="B8" s="95" t="s">
        <v>1</v>
      </c>
      <c r="C8" s="95"/>
      <c r="D8" s="96">
        <v>3.2899999999999999E-2</v>
      </c>
      <c r="E8" s="96"/>
      <c r="G8" s="101"/>
      <c r="I8" s="2" t="s">
        <v>106</v>
      </c>
      <c r="J8" s="2" t="s">
        <v>107</v>
      </c>
      <c r="K8" s="2" t="s">
        <v>109</v>
      </c>
      <c r="V8" s="99" t="s">
        <v>14</v>
      </c>
      <c r="W8" s="99"/>
      <c r="X8" s="4">
        <v>3</v>
      </c>
    </row>
    <row r="9" spans="1:45" x14ac:dyDescent="0.4">
      <c r="A9" s="9">
        <f t="shared" si="1"/>
        <v>9</v>
      </c>
      <c r="G9" s="101"/>
      <c r="H9" s="2" t="s">
        <v>8</v>
      </c>
      <c r="I9" s="3">
        <v>3.2899999999999999E-2</v>
      </c>
      <c r="J9" s="72">
        <v>0.01</v>
      </c>
      <c r="K9" s="72">
        <v>0.5</v>
      </c>
      <c r="Q9" s="99" t="s">
        <v>15</v>
      </c>
      <c r="R9" s="99"/>
      <c r="S9" s="4">
        <v>3</v>
      </c>
      <c r="V9" s="107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1"/>
      <c r="H10" s="73" t="s">
        <v>9</v>
      </c>
      <c r="I10" s="109" t="s">
        <v>10</v>
      </c>
      <c r="J10" s="110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8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1"/>
      <c r="H11" s="74">
        <v>1</v>
      </c>
      <c r="I11" s="75">
        <v>1.2316831945362695E-2</v>
      </c>
      <c r="J11" s="76">
        <v>6.4199670388870719E-3</v>
      </c>
      <c r="K11" s="75">
        <v>1.038E-2</v>
      </c>
      <c r="L11" s="78">
        <v>1</v>
      </c>
      <c r="M11" s="79">
        <f>1/365</f>
        <v>2.7397260273972603E-3</v>
      </c>
      <c r="N11" s="80">
        <v>3.6018000000000001E-2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1"/>
      <c r="H12" s="74">
        <v>2</v>
      </c>
      <c r="I12" s="75">
        <v>1.185958877901647E-2</v>
      </c>
      <c r="J12" s="76">
        <v>5.8696469136811247E-3</v>
      </c>
      <c r="K12" s="75">
        <v>1.086E-2</v>
      </c>
      <c r="L12" s="78">
        <f>L11+1</f>
        <v>2</v>
      </c>
      <c r="M12" s="79">
        <f>7/365</f>
        <v>1.9178082191780823E-2</v>
      </c>
      <c r="N12" s="80">
        <v>3.6025000000000001E-2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8" t="s">
        <v>6</v>
      </c>
      <c r="E13" s="98"/>
      <c r="G13" s="101"/>
      <c r="H13" s="74">
        <v>3</v>
      </c>
      <c r="I13" s="75">
        <v>1.2166277325153791E-2</v>
      </c>
      <c r="J13" s="76">
        <v>5.0245429835267643E-3</v>
      </c>
      <c r="K13" s="75">
        <v>1.0919999999999999E-2</v>
      </c>
      <c r="L13" s="78">
        <f t="shared" ref="L13:L53" si="2">L12+1</f>
        <v>3</v>
      </c>
      <c r="M13" s="79">
        <v>0.25</v>
      </c>
      <c r="N13" s="80">
        <v>3.7109999999999997E-2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8"/>
      <c r="E14" s="98"/>
      <c r="G14" s="101"/>
      <c r="H14" s="74">
        <v>4</v>
      </c>
      <c r="I14" s="75">
        <v>1.2122062999141167E-2</v>
      </c>
      <c r="J14" s="76">
        <v>3.8103072964281218E-3</v>
      </c>
      <c r="K14" s="75">
        <v>1.039E-2</v>
      </c>
      <c r="L14" s="78">
        <f t="shared" si="2"/>
        <v>4</v>
      </c>
      <c r="M14" s="79">
        <v>0.5</v>
      </c>
      <c r="N14" s="80">
        <v>3.8309000000000003E-2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8"/>
      <c r="E15" s="98"/>
      <c r="G15" s="101"/>
      <c r="H15" s="74">
        <v>5</v>
      </c>
      <c r="I15" s="75">
        <v>1.2757931624294627E-2</v>
      </c>
      <c r="J15" s="76">
        <v>4.5486509778841881E-3</v>
      </c>
      <c r="K15" s="75">
        <v>7.1700000000000002E-3</v>
      </c>
      <c r="L15" s="78">
        <f t="shared" si="2"/>
        <v>5</v>
      </c>
      <c r="M15" s="79">
        <v>0.75</v>
      </c>
      <c r="N15" s="80">
        <v>3.8809000000000003E-2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3.61E-2</v>
      </c>
      <c r="G16" s="101"/>
      <c r="H16" s="74">
        <v>7</v>
      </c>
      <c r="I16" s="75">
        <v>1.2331517110068944E-2</v>
      </c>
      <c r="J16" s="76">
        <v>3.8895156191384533E-3</v>
      </c>
      <c r="K16" s="75">
        <v>6.8999999999999999E-3</v>
      </c>
      <c r="L16" s="78">
        <f t="shared" si="2"/>
        <v>6</v>
      </c>
      <c r="M16" s="79">
        <v>1.02</v>
      </c>
      <c r="N16" s="80">
        <v>3.9007E-2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7">
        <v>45193.007592592592</v>
      </c>
      <c r="E17" s="97"/>
      <c r="G17" s="101"/>
      <c r="H17" s="74">
        <v>10</v>
      </c>
      <c r="I17" s="75">
        <v>1.1914736361434164E-2</v>
      </c>
      <c r="J17" s="76">
        <v>3.1742768641427215E-3</v>
      </c>
      <c r="K17" s="75">
        <v>8.0599999999999995E-3</v>
      </c>
      <c r="L17" s="78">
        <f t="shared" si="2"/>
        <v>7</v>
      </c>
      <c r="M17" s="79">
        <v>1.5</v>
      </c>
      <c r="N17" s="80">
        <v>3.875E-2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7">
        <v>45193.007592592592</v>
      </c>
      <c r="E18" s="97"/>
      <c r="G18" s="101"/>
      <c r="H18" s="74"/>
      <c r="I18" s="75"/>
      <c r="J18" s="76"/>
      <c r="K18" s="75">
        <v>7.1000000000000004E-3</v>
      </c>
      <c r="L18" s="78">
        <f t="shared" si="2"/>
        <v>8</v>
      </c>
      <c r="M18" s="79">
        <v>2.0099999999999998</v>
      </c>
      <c r="N18" s="80">
        <v>3.8503000000000003E-2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1"/>
      <c r="H19" s="74"/>
      <c r="I19" s="75"/>
      <c r="J19" s="76"/>
      <c r="K19" s="75">
        <v>8.3499999999999998E-3</v>
      </c>
      <c r="L19" s="78">
        <f t="shared" si="2"/>
        <v>9</v>
      </c>
      <c r="M19" s="79">
        <v>3.01</v>
      </c>
      <c r="N19" s="80">
        <v>3.7914999999999997E-2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1"/>
      <c r="H20" s="74"/>
      <c r="I20" s="75"/>
      <c r="J20" s="76"/>
      <c r="K20" s="75">
        <v>7.4149999999999997E-3</v>
      </c>
      <c r="L20" s="78">
        <f t="shared" si="2"/>
        <v>10</v>
      </c>
      <c r="M20" s="79">
        <v>4.01</v>
      </c>
      <c r="N20" s="80">
        <v>3.7738000000000001E-2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1"/>
      <c r="H21" s="74"/>
      <c r="I21" s="75"/>
      <c r="J21" s="76"/>
      <c r="K21" s="75">
        <v>6.3579999999999999E-3</v>
      </c>
      <c r="L21" s="78">
        <f t="shared" si="2"/>
        <v>11</v>
      </c>
      <c r="M21" s="79">
        <v>5.01</v>
      </c>
      <c r="N21" s="80">
        <v>3.7477000000000003E-2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1"/>
      <c r="H22" s="74"/>
      <c r="I22" s="75"/>
      <c r="J22" s="76"/>
      <c r="L22" s="78">
        <f t="shared" si="2"/>
        <v>12</v>
      </c>
      <c r="M22" s="79">
        <v>6.01</v>
      </c>
      <c r="N22" s="80">
        <v>3.7376E-2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5" t="s">
        <v>115</v>
      </c>
      <c r="C23" s="95"/>
      <c r="D23" s="96">
        <v>0</v>
      </c>
      <c r="E23" s="96"/>
      <c r="G23" s="101"/>
      <c r="H23" s="74"/>
      <c r="I23" s="75"/>
      <c r="J23" s="76"/>
      <c r="L23" s="78">
        <f t="shared" si="2"/>
        <v>13</v>
      </c>
      <c r="M23" s="79">
        <v>7.01</v>
      </c>
      <c r="N23" s="80">
        <v>3.7327410999999998E-2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5" t="s">
        <v>111</v>
      </c>
      <c r="C24" s="95"/>
      <c r="D24" s="96">
        <v>0</v>
      </c>
      <c r="E24" s="96"/>
      <c r="G24" s="101"/>
      <c r="H24" s="74"/>
      <c r="I24" s="75"/>
      <c r="J24" s="76"/>
      <c r="L24" s="78">
        <f t="shared" si="2"/>
        <v>14</v>
      </c>
      <c r="M24" s="79">
        <v>8.01</v>
      </c>
      <c r="N24" s="80">
        <v>3.73333369E-2</v>
      </c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5" t="s">
        <v>113</v>
      </c>
      <c r="C25" s="95"/>
      <c r="D25" s="96">
        <v>0.1</v>
      </c>
      <c r="E25" s="96"/>
      <c r="G25" s="101"/>
      <c r="H25" s="74"/>
      <c r="I25" s="75"/>
      <c r="J25" s="76"/>
      <c r="L25" s="78">
        <f t="shared" si="2"/>
        <v>15</v>
      </c>
      <c r="M25" s="79">
        <v>9.01</v>
      </c>
      <c r="N25" s="80">
        <v>3.7333797600000003E-2</v>
      </c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5" t="s">
        <v>112</v>
      </c>
      <c r="C26" s="95"/>
      <c r="D26" s="96">
        <v>0.15</v>
      </c>
      <c r="E26" s="96"/>
      <c r="G26" s="101"/>
      <c r="H26" s="74"/>
      <c r="I26" s="75"/>
      <c r="J26" s="76"/>
      <c r="L26" s="78">
        <f t="shared" si="2"/>
        <v>16</v>
      </c>
      <c r="M26" s="79">
        <v>10.01</v>
      </c>
      <c r="N26" s="80">
        <v>3.7341659999999999E-2</v>
      </c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1"/>
      <c r="H27" s="74"/>
      <c r="I27" s="75"/>
      <c r="J27" s="76"/>
      <c r="L27" s="78">
        <f t="shared" si="2"/>
        <v>17</v>
      </c>
      <c r="M27" s="79">
        <v>12.01</v>
      </c>
      <c r="N27" s="80">
        <v>3.7407480999999999E-2</v>
      </c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1"/>
      <c r="H28" s="74"/>
      <c r="I28" s="75"/>
      <c r="J28" s="76"/>
      <c r="L28" s="78">
        <f t="shared" si="2"/>
        <v>18</v>
      </c>
      <c r="M28" s="79">
        <v>15.01</v>
      </c>
      <c r="N28" s="80">
        <v>3.7347867E-2</v>
      </c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1"/>
      <c r="H29" s="74"/>
      <c r="I29" s="75"/>
      <c r="J29" s="76"/>
      <c r="L29" s="78">
        <f t="shared" si="2"/>
        <v>19</v>
      </c>
      <c r="M29" s="81">
        <v>20.02</v>
      </c>
      <c r="N29" s="82">
        <v>3.6350498000000002E-2</v>
      </c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1"/>
      <c r="H30" s="74"/>
      <c r="I30" s="75"/>
      <c r="J30" s="76"/>
      <c r="L30" s="78">
        <f t="shared" si="2"/>
        <v>20</v>
      </c>
      <c r="M30" s="81">
        <v>25.02</v>
      </c>
      <c r="N30" s="82">
        <v>3.4742453E-2</v>
      </c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1"/>
      <c r="H31" s="74"/>
      <c r="I31" s="75"/>
      <c r="J31" s="76"/>
      <c r="L31" s="78">
        <f t="shared" si="2"/>
        <v>21</v>
      </c>
      <c r="M31" s="81">
        <v>30.03</v>
      </c>
      <c r="N31" s="82">
        <v>3.3855162000000001E-2</v>
      </c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1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1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1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1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1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1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1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1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1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100" t="s">
        <v>24</v>
      </c>
      <c r="H55" s="102" t="s">
        <v>23</v>
      </c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1:40" x14ac:dyDescent="0.4">
      <c r="A56" s="9">
        <f t="shared" si="1"/>
        <v>56</v>
      </c>
      <c r="B56" s="95" t="s">
        <v>3</v>
      </c>
      <c r="C56" s="95"/>
      <c r="D56" s="96">
        <v>1</v>
      </c>
      <c r="E56" s="96"/>
      <c r="G56" s="101"/>
      <c r="H56" s="103" t="s">
        <v>7</v>
      </c>
      <c r="I56" s="104"/>
      <c r="L56" s="99" t="s">
        <v>11</v>
      </c>
      <c r="M56" s="99"/>
      <c r="N56" s="99"/>
      <c r="Q56" s="99" t="s">
        <v>12</v>
      </c>
      <c r="R56" s="99"/>
      <c r="S56" s="99"/>
      <c r="V56" s="99" t="s">
        <v>13</v>
      </c>
      <c r="W56" s="99"/>
      <c r="X56" s="99"/>
    </row>
    <row r="57" spans="1:40" x14ac:dyDescent="0.4">
      <c r="A57" s="9">
        <f t="shared" si="1"/>
        <v>57</v>
      </c>
      <c r="B57" s="95" t="s">
        <v>4</v>
      </c>
      <c r="C57" s="95"/>
      <c r="D57" s="96">
        <v>1</v>
      </c>
      <c r="E57" s="96"/>
      <c r="G57" s="101"/>
      <c r="H57" s="105"/>
      <c r="I57" s="106"/>
      <c r="L57" s="99"/>
      <c r="M57" s="99"/>
      <c r="N57" s="99"/>
      <c r="Q57" s="99"/>
      <c r="R57" s="99"/>
      <c r="S57" s="99"/>
      <c r="V57" s="99"/>
      <c r="W57" s="99"/>
      <c r="X57" s="99"/>
    </row>
    <row r="58" spans="1:40" x14ac:dyDescent="0.4">
      <c r="A58" s="9">
        <f t="shared" si="1"/>
        <v>58</v>
      </c>
      <c r="B58" s="95" t="s">
        <v>1</v>
      </c>
      <c r="C58" s="95"/>
      <c r="D58" s="96">
        <v>0.01</v>
      </c>
      <c r="E58" s="96"/>
      <c r="G58" s="101"/>
      <c r="I58" s="2" t="s">
        <v>106</v>
      </c>
      <c r="J58" s="2" t="s">
        <v>107</v>
      </c>
      <c r="K58" s="2" t="s">
        <v>109</v>
      </c>
      <c r="V58" s="99" t="s">
        <v>14</v>
      </c>
      <c r="W58" s="99"/>
      <c r="X58" s="4">
        <v>3</v>
      </c>
    </row>
    <row r="59" spans="1:40" x14ac:dyDescent="0.4">
      <c r="A59" s="9">
        <f t="shared" si="1"/>
        <v>59</v>
      </c>
      <c r="G59" s="101"/>
      <c r="H59" s="2" t="s">
        <v>8</v>
      </c>
      <c r="I59" s="3">
        <v>0.01</v>
      </c>
      <c r="J59" s="72">
        <v>0.01</v>
      </c>
      <c r="K59" s="72">
        <v>0.9</v>
      </c>
      <c r="Q59" s="99" t="s">
        <v>15</v>
      </c>
      <c r="R59" s="99"/>
      <c r="S59" s="4">
        <v>3</v>
      </c>
      <c r="V59" s="107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1"/>
      <c r="H60" s="73" t="s">
        <v>9</v>
      </c>
      <c r="I60" s="109" t="s">
        <v>10</v>
      </c>
      <c r="J60" s="110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8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1"/>
      <c r="H61" s="74">
        <v>1</v>
      </c>
      <c r="I61" s="75">
        <v>1.3179794086105524E-2</v>
      </c>
      <c r="J61" s="76">
        <v>6.2951295494765146E-3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1"/>
      <c r="H62" s="74">
        <v>2</v>
      </c>
      <c r="I62" s="75">
        <v>1.2003347093781683E-2</v>
      </c>
      <c r="J62" s="76">
        <v>6.4875888617879568E-3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8" t="s">
        <v>6</v>
      </c>
      <c r="E63" s="98"/>
      <c r="G63" s="101"/>
      <c r="H63" s="74">
        <v>3</v>
      </c>
      <c r="I63" s="75">
        <v>1.1763422778972925E-2</v>
      </c>
      <c r="J63" s="76">
        <v>5.7401620545591715E-3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8"/>
      <c r="E64" s="98"/>
      <c r="G64" s="101"/>
      <c r="H64" s="74">
        <v>4</v>
      </c>
      <c r="I64" s="75">
        <v>1.2245700586856338E-2</v>
      </c>
      <c r="J64" s="76">
        <v>4.1908013982093796E-3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8"/>
      <c r="E65" s="98"/>
      <c r="G65" s="101"/>
      <c r="H65" s="74">
        <v>5</v>
      </c>
      <c r="I65" s="75">
        <v>1.2995777704928289E-2</v>
      </c>
      <c r="J65" s="76">
        <v>5.8483018205641403E-3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101"/>
      <c r="H66" s="74">
        <v>7</v>
      </c>
      <c r="I66" s="75">
        <v>1.3388249104175196E-2</v>
      </c>
      <c r="J66" s="76">
        <v>5.0449530859286024E-3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7">
        <v>45193.007592592592</v>
      </c>
      <c r="E67" s="97"/>
      <c r="G67" s="101"/>
      <c r="H67" s="74">
        <v>10</v>
      </c>
      <c r="I67" s="75">
        <v>1.5966173861409468E-2</v>
      </c>
      <c r="J67" s="76">
        <v>4.250726545015294E-3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7">
        <v>45193.007592592592</v>
      </c>
      <c r="E68" s="97"/>
      <c r="G68" s="101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1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1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1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1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5" t="s">
        <v>115</v>
      </c>
      <c r="C73" s="95"/>
      <c r="D73" s="96">
        <v>0</v>
      </c>
      <c r="E73" s="96"/>
      <c r="G73" s="101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5" t="s">
        <v>111</v>
      </c>
      <c r="C74" s="95"/>
      <c r="D74" s="96">
        <v>1</v>
      </c>
      <c r="E74" s="96"/>
      <c r="G74" s="101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5" t="s">
        <v>113</v>
      </c>
      <c r="C75" s="95"/>
      <c r="D75" s="96">
        <v>-0.12</v>
      </c>
      <c r="E75" s="96"/>
      <c r="G75" s="101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5" t="s">
        <v>112</v>
      </c>
      <c r="C76" s="95"/>
      <c r="D76" s="96">
        <v>0.24</v>
      </c>
      <c r="E76" s="96"/>
      <c r="G76" s="101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1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1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1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1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1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1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1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1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1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1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1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1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1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1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100" t="s">
        <v>26</v>
      </c>
      <c r="H105" s="102" t="s">
        <v>25</v>
      </c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</row>
    <row r="106" spans="1:40" x14ac:dyDescent="0.4">
      <c r="A106" s="9">
        <f t="shared" si="6"/>
        <v>106</v>
      </c>
      <c r="B106" s="95" t="s">
        <v>3</v>
      </c>
      <c r="C106" s="95"/>
      <c r="D106" s="96">
        <v>1</v>
      </c>
      <c r="E106" s="96"/>
      <c r="G106" s="101"/>
      <c r="H106" s="103" t="s">
        <v>7</v>
      </c>
      <c r="I106" s="104"/>
      <c r="L106" s="99" t="s">
        <v>11</v>
      </c>
      <c r="M106" s="99"/>
      <c r="N106" s="99"/>
      <c r="Q106" s="99" t="s">
        <v>12</v>
      </c>
      <c r="R106" s="99"/>
      <c r="S106" s="99"/>
      <c r="V106" s="99" t="s">
        <v>13</v>
      </c>
      <c r="W106" s="99"/>
      <c r="X106" s="99"/>
    </row>
    <row r="107" spans="1:40" x14ac:dyDescent="0.4">
      <c r="A107" s="9">
        <f t="shared" si="6"/>
        <v>107</v>
      </c>
      <c r="B107" s="95" t="s">
        <v>4</v>
      </c>
      <c r="C107" s="95"/>
      <c r="D107" s="96">
        <v>1</v>
      </c>
      <c r="E107" s="96"/>
      <c r="G107" s="101"/>
      <c r="H107" s="105"/>
      <c r="I107" s="106"/>
      <c r="L107" s="99"/>
      <c r="M107" s="99"/>
      <c r="N107" s="99"/>
      <c r="Q107" s="99"/>
      <c r="R107" s="99"/>
      <c r="S107" s="99"/>
      <c r="V107" s="99"/>
      <c r="W107" s="99"/>
      <c r="X107" s="99"/>
    </row>
    <row r="108" spans="1:40" x14ac:dyDescent="0.4">
      <c r="A108" s="9">
        <f t="shared" si="6"/>
        <v>108</v>
      </c>
      <c r="B108" s="95" t="s">
        <v>1</v>
      </c>
      <c r="C108" s="95"/>
      <c r="D108" s="96">
        <v>0.01</v>
      </c>
      <c r="E108" s="96"/>
      <c r="G108" s="101"/>
      <c r="I108" s="2" t="s">
        <v>106</v>
      </c>
      <c r="J108" s="2" t="s">
        <v>107</v>
      </c>
      <c r="K108" s="2" t="s">
        <v>109</v>
      </c>
      <c r="V108" s="99" t="s">
        <v>14</v>
      </c>
      <c r="W108" s="99"/>
      <c r="X108" s="4">
        <v>3</v>
      </c>
    </row>
    <row r="109" spans="1:40" x14ac:dyDescent="0.4">
      <c r="A109" s="9">
        <f t="shared" si="6"/>
        <v>109</v>
      </c>
      <c r="G109" s="101"/>
      <c r="H109" s="2" t="s">
        <v>8</v>
      </c>
      <c r="I109" s="3">
        <v>0.01</v>
      </c>
      <c r="J109" s="72">
        <v>0.01</v>
      </c>
      <c r="K109" s="72">
        <v>0.9</v>
      </c>
      <c r="Q109" s="99" t="s">
        <v>15</v>
      </c>
      <c r="R109" s="99"/>
      <c r="S109" s="4">
        <v>3</v>
      </c>
      <c r="V109" s="107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1"/>
      <c r="H110" s="73" t="s">
        <v>9</v>
      </c>
      <c r="I110" s="109" t="s">
        <v>10</v>
      </c>
      <c r="J110" s="110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8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1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1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8" t="s">
        <v>6</v>
      </c>
      <c r="E113" s="98"/>
      <c r="G113" s="101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8"/>
      <c r="E114" s="98"/>
      <c r="G114" s="101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8"/>
      <c r="E115" s="98"/>
      <c r="G115" s="101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1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7">
        <v>44931.461863425924</v>
      </c>
      <c r="E117" s="97"/>
      <c r="G117" s="101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7">
        <v>44931.461875000001</v>
      </c>
      <c r="E118" s="97"/>
      <c r="G118" s="101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1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1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1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1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5" t="s">
        <v>115</v>
      </c>
      <c r="C123" s="95"/>
      <c r="D123" s="96">
        <v>0</v>
      </c>
      <c r="E123" s="96"/>
      <c r="G123" s="101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5" t="s">
        <v>111</v>
      </c>
      <c r="C124" s="95"/>
      <c r="D124" s="96">
        <v>0</v>
      </c>
      <c r="E124" s="96"/>
      <c r="G124" s="101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5" t="s">
        <v>113</v>
      </c>
      <c r="C125" s="95"/>
      <c r="D125" s="96">
        <v>-0.1</v>
      </c>
      <c r="E125" s="96"/>
      <c r="G125" s="101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5" t="s">
        <v>112</v>
      </c>
      <c r="C126" s="95"/>
      <c r="D126" s="96">
        <v>0.15</v>
      </c>
      <c r="E126" s="96"/>
      <c r="G126" s="101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1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1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1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1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1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1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1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1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1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1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1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1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1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1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100" t="s">
        <v>28</v>
      </c>
      <c r="H155" s="102" t="s">
        <v>27</v>
      </c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</row>
    <row r="156" spans="1:40" x14ac:dyDescent="0.4">
      <c r="A156" s="9">
        <f t="shared" si="9"/>
        <v>156</v>
      </c>
      <c r="B156" s="95" t="s">
        <v>3</v>
      </c>
      <c r="C156" s="95"/>
      <c r="D156" s="96">
        <v>1</v>
      </c>
      <c r="E156" s="96"/>
      <c r="G156" s="101"/>
      <c r="H156" s="103" t="s">
        <v>7</v>
      </c>
      <c r="I156" s="104"/>
      <c r="L156" s="99" t="s">
        <v>11</v>
      </c>
      <c r="M156" s="99"/>
      <c r="N156" s="99"/>
      <c r="Q156" s="99" t="s">
        <v>12</v>
      </c>
      <c r="R156" s="99"/>
      <c r="S156" s="99"/>
      <c r="V156" s="99" t="s">
        <v>13</v>
      </c>
      <c r="W156" s="99"/>
      <c r="X156" s="99"/>
    </row>
    <row r="157" spans="1:40" x14ac:dyDescent="0.4">
      <c r="A157" s="9">
        <f t="shared" si="9"/>
        <v>157</v>
      </c>
      <c r="B157" s="95" t="s">
        <v>4</v>
      </c>
      <c r="C157" s="95"/>
      <c r="D157" s="96">
        <v>1</v>
      </c>
      <c r="E157" s="96"/>
      <c r="G157" s="101"/>
      <c r="H157" s="105"/>
      <c r="I157" s="106"/>
      <c r="L157" s="99"/>
      <c r="M157" s="99"/>
      <c r="N157" s="99"/>
      <c r="Q157" s="99"/>
      <c r="R157" s="99"/>
      <c r="S157" s="99"/>
      <c r="V157" s="99"/>
      <c r="W157" s="99"/>
      <c r="X157" s="99"/>
    </row>
    <row r="158" spans="1:40" x14ac:dyDescent="0.4">
      <c r="A158" s="9">
        <f t="shared" si="9"/>
        <v>158</v>
      </c>
      <c r="B158" s="95" t="s">
        <v>1</v>
      </c>
      <c r="C158" s="95"/>
      <c r="D158" s="96">
        <v>0.01</v>
      </c>
      <c r="E158" s="96"/>
      <c r="G158" s="101"/>
      <c r="I158" s="2" t="s">
        <v>106</v>
      </c>
      <c r="J158" s="2" t="s">
        <v>107</v>
      </c>
      <c r="K158" s="2" t="s">
        <v>109</v>
      </c>
      <c r="V158" s="99" t="s">
        <v>14</v>
      </c>
      <c r="W158" s="99"/>
      <c r="X158" s="4">
        <v>3</v>
      </c>
    </row>
    <row r="159" spans="1:40" x14ac:dyDescent="0.4">
      <c r="A159" s="9">
        <f t="shared" si="9"/>
        <v>159</v>
      </c>
      <c r="G159" s="101"/>
      <c r="H159" s="2" t="s">
        <v>8</v>
      </c>
      <c r="I159" s="3">
        <v>0.01</v>
      </c>
      <c r="J159" s="72">
        <v>0.01</v>
      </c>
      <c r="K159" s="72">
        <v>0.9</v>
      </c>
      <c r="Q159" s="99" t="s">
        <v>15</v>
      </c>
      <c r="R159" s="99"/>
      <c r="S159" s="4">
        <v>3</v>
      </c>
      <c r="V159" s="107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1"/>
      <c r="H160" s="73" t="s">
        <v>9</v>
      </c>
      <c r="I160" s="109" t="s">
        <v>10</v>
      </c>
      <c r="J160" s="110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8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1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1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8" t="s">
        <v>6</v>
      </c>
      <c r="E163" s="98"/>
      <c r="G163" s="101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8"/>
      <c r="E164" s="98"/>
      <c r="G164" s="101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8"/>
      <c r="E165" s="98"/>
      <c r="G165" s="101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1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7">
        <v>44931.461875000001</v>
      </c>
      <c r="E167" s="97"/>
      <c r="G167" s="101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7">
        <v>44931.461875000001</v>
      </c>
      <c r="E168" s="97"/>
      <c r="G168" s="101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1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1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1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1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5" t="s">
        <v>115</v>
      </c>
      <c r="C173" s="95"/>
      <c r="D173" s="96">
        <v>0</v>
      </c>
      <c r="E173" s="96"/>
      <c r="G173" s="101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5" t="s">
        <v>111</v>
      </c>
      <c r="C174" s="95"/>
      <c r="D174" s="96">
        <v>0</v>
      </c>
      <c r="E174" s="96"/>
      <c r="G174" s="101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5" t="s">
        <v>113</v>
      </c>
      <c r="C175" s="95"/>
      <c r="D175" s="96">
        <v>-0.1</v>
      </c>
      <c r="E175" s="96"/>
      <c r="G175" s="101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5" t="s">
        <v>112</v>
      </c>
      <c r="C176" s="95"/>
      <c r="D176" s="96">
        <v>0.15</v>
      </c>
      <c r="E176" s="96"/>
      <c r="G176" s="101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1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1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1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1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1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1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1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1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1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1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1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1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1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1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L46" sqref="L4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4" t="s">
        <v>29</v>
      </c>
      <c r="C3" s="164"/>
      <c r="D3" s="165">
        <v>45177</v>
      </c>
      <c r="E3" s="136"/>
      <c r="F3" s="133" t="s">
        <v>31</v>
      </c>
      <c r="G3" s="133"/>
      <c r="H3" s="136">
        <v>0</v>
      </c>
      <c r="I3" s="136"/>
      <c r="J3" s="133" t="s">
        <v>67</v>
      </c>
      <c r="K3" s="133"/>
      <c r="L3" s="136">
        <v>30000000000</v>
      </c>
      <c r="M3" s="136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8" t="s">
        <v>46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D5" s="168" t="s">
        <v>47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</row>
    <row r="6" spans="1:57" ht="16.2" customHeight="1" x14ac:dyDescent="0.4">
      <c r="A6" s="34">
        <f t="shared" si="1"/>
        <v>6</v>
      </c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</row>
    <row r="7" spans="1:57" ht="16.2" customHeight="1" x14ac:dyDescent="0.4">
      <c r="A7" s="34">
        <f t="shared" si="1"/>
        <v>7</v>
      </c>
      <c r="B7" s="164" t="str">
        <f>IF(D7&gt;0,"레퍼런스금리 개수","기초금리는 1개 - 3개 입력가능")</f>
        <v>레퍼런스금리 개수</v>
      </c>
      <c r="C7" s="164"/>
      <c r="D7" s="135">
        <v>1</v>
      </c>
      <c r="E7" s="135"/>
      <c r="F7" s="151" t="s">
        <v>32</v>
      </c>
      <c r="G7" s="152"/>
      <c r="H7" s="136">
        <v>1</v>
      </c>
      <c r="I7" s="136"/>
      <c r="J7" s="133" t="s">
        <v>91</v>
      </c>
      <c r="K7" s="133"/>
      <c r="L7" s="136">
        <v>0</v>
      </c>
      <c r="M7" s="136"/>
      <c r="N7" s="35"/>
      <c r="O7" s="35"/>
      <c r="P7" s="35"/>
      <c r="Q7" s="35"/>
      <c r="R7" s="35"/>
      <c r="S7" s="35"/>
      <c r="T7" s="35"/>
      <c r="U7" s="35"/>
      <c r="AD7" s="164" t="str">
        <f>IF(AF7&gt;0,"레퍼런스금리 개수","기초금리는 1개 - 3개 입력가능")</f>
        <v>레퍼런스금리 개수</v>
      </c>
      <c r="AE7" s="164"/>
      <c r="AF7" s="135">
        <v>1</v>
      </c>
      <c r="AG7" s="135"/>
      <c r="AH7" s="151" t="s">
        <v>32</v>
      </c>
      <c r="AI7" s="152"/>
      <c r="AJ7" s="136">
        <v>0</v>
      </c>
      <c r="AK7" s="136"/>
      <c r="AL7" s="133" t="s">
        <v>91</v>
      </c>
      <c r="AM7" s="133"/>
      <c r="AN7" s="136">
        <v>0</v>
      </c>
      <c r="AO7" s="136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3" t="s">
        <v>50</v>
      </c>
      <c r="C8" s="133"/>
      <c r="D8" s="134">
        <v>1</v>
      </c>
      <c r="E8" s="135"/>
      <c r="F8" s="133" t="s">
        <v>51</v>
      </c>
      <c r="G8" s="133"/>
      <c r="H8" s="134">
        <v>1</v>
      </c>
      <c r="I8" s="135"/>
      <c r="J8" s="133" t="s">
        <v>42</v>
      </c>
      <c r="K8" s="133"/>
      <c r="L8" s="136">
        <v>0</v>
      </c>
      <c r="M8" s="136"/>
      <c r="N8" s="35"/>
      <c r="O8" s="35"/>
      <c r="P8" s="35"/>
      <c r="Q8" s="35"/>
      <c r="R8" s="35"/>
      <c r="S8" s="35"/>
      <c r="T8" s="35"/>
      <c r="U8" s="35"/>
      <c r="AD8" s="133" t="s">
        <v>50</v>
      </c>
      <c r="AE8" s="133"/>
      <c r="AF8" s="134">
        <v>1</v>
      </c>
      <c r="AG8" s="135"/>
      <c r="AH8" s="133" t="s">
        <v>51</v>
      </c>
      <c r="AI8" s="133"/>
      <c r="AJ8" s="134">
        <v>1</v>
      </c>
      <c r="AK8" s="135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9" t="str">
        <f>IF(D7&gt;=1,"기초금리1", "")</f>
        <v>기초금리1</v>
      </c>
      <c r="C10" s="166" t="str">
        <f>IF($D$7&gt;=1,"커브번호", "")</f>
        <v>커브번호</v>
      </c>
      <c r="D10" s="166"/>
      <c r="E10" s="167">
        <v>1</v>
      </c>
      <c r="F10" s="167"/>
      <c r="G10" s="65"/>
      <c r="H10" s="36"/>
      <c r="I10" s="169" t="str">
        <f>IF(OR(E11 = 0, E11 = 2, E11 = 4), "RefType = "&amp;E11&amp;" 이므로 Ref Swap 금리정보 사용안함", "사용")</f>
        <v>RefType = 0 이므로 Ref Swap 금리정보 사용안함</v>
      </c>
      <c r="J10" s="170"/>
      <c r="K10" s="170"/>
      <c r="L10" s="198"/>
      <c r="N10" s="153" t="s">
        <v>34</v>
      </c>
      <c r="O10" s="153"/>
      <c r="P10" s="153"/>
      <c r="Q10" s="153"/>
      <c r="R10" s="34"/>
      <c r="S10" s="34"/>
      <c r="T10" s="34"/>
      <c r="U10" s="34"/>
      <c r="W10" s="153" t="s">
        <v>52</v>
      </c>
      <c r="X10" s="153"/>
      <c r="Y10" s="153"/>
      <c r="AD10" s="121" t="str">
        <f>IF($AF$7&gt;=1,"기초금리1", "")</f>
        <v>기초금리1</v>
      </c>
      <c r="AE10" s="127" t="str">
        <f>IF($AF$7&gt;=1,"커브번호", "")</f>
        <v>커브번호</v>
      </c>
      <c r="AF10" s="127"/>
      <c r="AG10" s="167">
        <v>1</v>
      </c>
      <c r="AH10" s="167"/>
      <c r="AI10" s="65"/>
      <c r="AJ10" s="36"/>
      <c r="AK10" s="191" t="str">
        <f>IF(OR(AG11 = 0, AG11 = 2, AG11 = 4), "RefType = "&amp;AG11&amp;" 이므로 Ref Swap 금리정보 사용안함", "사용")</f>
        <v>사용</v>
      </c>
      <c r="AL10" s="191"/>
      <c r="AM10" s="191"/>
      <c r="AN10" s="192"/>
      <c r="AP10" s="153" t="s">
        <v>54</v>
      </c>
      <c r="AQ10" s="153"/>
      <c r="AR10" s="153"/>
      <c r="AS10" s="153"/>
      <c r="AT10" s="34"/>
      <c r="AU10" s="34"/>
      <c r="AV10" s="34"/>
      <c r="AW10" s="34"/>
      <c r="AY10" s="153" t="s">
        <v>53</v>
      </c>
      <c r="AZ10" s="153"/>
      <c r="BA10" s="153"/>
    </row>
    <row r="11" spans="1:57" ht="16.2" customHeight="1" x14ac:dyDescent="0.4">
      <c r="A11" s="34">
        <f t="shared" si="1"/>
        <v>11</v>
      </c>
      <c r="B11" s="150"/>
      <c r="C11" s="147" t="str">
        <f>IF($D$7&gt;=1,"Reference Rate Type", "")</f>
        <v>Reference Rate Type</v>
      </c>
      <c r="D11" s="148"/>
      <c r="E11" s="174">
        <v>0</v>
      </c>
      <c r="F11" s="175"/>
      <c r="G11" s="169" t="str">
        <f>IF(OR(E11 = 0, E11 = 2, E11 = 4), "", "Zero/Swap 레퍼런스금리정보")</f>
        <v/>
      </c>
      <c r="H11" s="170"/>
      <c r="I11" s="141" t="str">
        <f>IF(OR(E11 = 0, E11 = 2, E11 = 4), "", "연 지급횟수")</f>
        <v/>
      </c>
      <c r="J11" s="142"/>
      <c r="K11" s="143">
        <v>4</v>
      </c>
      <c r="L11" s="144"/>
      <c r="M11" s="34"/>
      <c r="N11" s="154" t="str">
        <f>IF(OR(E11 = 0, E11 = 2, E11 = 4), "ForwardStart", "ResetStart")</f>
        <v>ForwardStart</v>
      </c>
      <c r="O11" s="154" t="str">
        <f>IF(OR(E11 = 0, E11 = 2, E11 = 4), "ForwardEnd", "ResetEnd")</f>
        <v>ForwardEnd</v>
      </c>
      <c r="P11" s="155" t="s">
        <v>35</v>
      </c>
      <c r="Q11" s="155" t="s">
        <v>36</v>
      </c>
      <c r="R11" s="155" t="s">
        <v>37</v>
      </c>
      <c r="S11" s="155" t="s">
        <v>38</v>
      </c>
      <c r="T11" s="155" t="s">
        <v>116</v>
      </c>
      <c r="U11" s="155" t="s">
        <v>71</v>
      </c>
      <c r="W11" s="37" t="s">
        <v>43</v>
      </c>
      <c r="X11" s="188">
        <v>0</v>
      </c>
      <c r="Y11" s="188"/>
      <c r="AD11" s="193"/>
      <c r="AE11" s="178" t="str">
        <f>IF($AF$7&gt;=1,"Reference Rate Type", "")</f>
        <v>Reference Rate Type</v>
      </c>
      <c r="AF11" s="179"/>
      <c r="AG11" s="174">
        <v>1</v>
      </c>
      <c r="AH11" s="174"/>
      <c r="AI11" s="180" t="str">
        <f>IF(OR(AG11 = 0, AG11 = 2, AG11 = 4), "", "Zero/Swap 레퍼런스금리정보")</f>
        <v>Zero/Swap 레퍼런스금리정보</v>
      </c>
      <c r="AJ11" s="180"/>
      <c r="AK11" s="180" t="str">
        <f>IF(OR(AG11 = 0, AG11 = 2, AG11 = 4), "", "연 지급횟수")</f>
        <v>연 지급횟수</v>
      </c>
      <c r="AL11" s="181"/>
      <c r="AM11" s="143">
        <v>4</v>
      </c>
      <c r="AN11" s="144"/>
      <c r="AO11" s="34"/>
      <c r="AP11" s="155" t="str">
        <f>IF(OR(AG11 = 0, AG11 = 2, AG11 = 4), "ForwardStart", "ResetEnd")</f>
        <v>ResetEnd</v>
      </c>
      <c r="AQ11" s="155" t="str">
        <f>IF(OR(AG11 = 0, AG11 = 2, AG11 = 4), "ForwardEnd", "ResetEnd")</f>
        <v>ResetEnd</v>
      </c>
      <c r="AR11" s="155" t="s">
        <v>35</v>
      </c>
      <c r="AS11" s="155" t="s">
        <v>36</v>
      </c>
      <c r="AT11" s="155" t="s">
        <v>37</v>
      </c>
      <c r="AU11" s="155" t="s">
        <v>38</v>
      </c>
      <c r="AV11" s="155" t="s">
        <v>116</v>
      </c>
      <c r="AW11" s="155" t="s">
        <v>71</v>
      </c>
      <c r="AY11" s="37" t="s">
        <v>43</v>
      </c>
      <c r="AZ11" s="188">
        <v>0</v>
      </c>
      <c r="BA11" s="188"/>
    </row>
    <row r="12" spans="1:57" ht="16.2" customHeight="1" x14ac:dyDescent="0.4">
      <c r="A12" s="34">
        <f t="shared" si="1"/>
        <v>12</v>
      </c>
      <c r="B12" s="150"/>
      <c r="C12" s="147" t="str">
        <f>IF($D$7&gt;=1,"DayCount", "")</f>
        <v>DayCount</v>
      </c>
      <c r="D12" s="147"/>
      <c r="E12" s="160">
        <v>3</v>
      </c>
      <c r="F12" s="161"/>
      <c r="G12" s="171"/>
      <c r="H12" s="141"/>
      <c r="I12" s="141" t="str">
        <f>IF(OR(E11 = 0, E11 = 2, E11 = 4,E14=1), "", "만기")</f>
        <v/>
      </c>
      <c r="J12" s="142"/>
      <c r="K12" s="172">
        <v>10</v>
      </c>
      <c r="L12" s="173"/>
      <c r="N12" s="155"/>
      <c r="O12" s="155"/>
      <c r="P12" s="155"/>
      <c r="Q12" s="155"/>
      <c r="R12" s="155"/>
      <c r="S12" s="155"/>
      <c r="T12" s="155"/>
      <c r="U12" s="155"/>
      <c r="W12" s="37" t="s">
        <v>44</v>
      </c>
      <c r="X12" s="188">
        <v>0</v>
      </c>
      <c r="Y12" s="188"/>
      <c r="AD12" s="193"/>
      <c r="AE12" s="178" t="str">
        <f>IF($AF$7&gt;=1,"DayCount", "")</f>
        <v>DayCount</v>
      </c>
      <c r="AF12" s="178"/>
      <c r="AG12" s="160">
        <v>0</v>
      </c>
      <c r="AH12" s="160"/>
      <c r="AI12" s="180"/>
      <c r="AJ12" s="180"/>
      <c r="AK12" s="141" t="str">
        <f>IF(OR(AG11 = 0, AG11 = 2, AG11 = 4,AG14=1), "", "만기")</f>
        <v>만기</v>
      </c>
      <c r="AL12" s="142"/>
      <c r="AM12" s="145">
        <v>0.25</v>
      </c>
      <c r="AN12" s="146"/>
      <c r="AP12" s="155"/>
      <c r="AQ12" s="155"/>
      <c r="AR12" s="155"/>
      <c r="AS12" s="155"/>
      <c r="AT12" s="155"/>
      <c r="AU12" s="155"/>
      <c r="AV12" s="155"/>
      <c r="AW12" s="155"/>
      <c r="AY12" s="37" t="s">
        <v>44</v>
      </c>
      <c r="AZ12" s="188">
        <v>0</v>
      </c>
      <c r="BA12" s="188"/>
    </row>
    <row r="13" spans="1:57" ht="16.2" customHeight="1" x14ac:dyDescent="0.4">
      <c r="A13" s="34">
        <f t="shared" si="1"/>
        <v>13</v>
      </c>
      <c r="B13" s="150"/>
      <c r="C13" s="147" t="str">
        <f>IF($D$7&gt;=1,"금리결정조건Multiple", "")</f>
        <v>금리결정조건Multiple</v>
      </c>
      <c r="D13" s="148"/>
      <c r="E13" s="137">
        <v>1</v>
      </c>
      <c r="F13" s="187"/>
      <c r="G13" s="162" t="str">
        <f>IF(OR(E11 = 0, E11 = 2, E11 = 4), "", "ex) Zero Rate 5년 -&gt; 연 지급횟수= 0, 만기= 5 // CD91일 -&gt; 연 지급횟수= 4, 만기= 0.25")</f>
        <v/>
      </c>
      <c r="H13" s="162"/>
      <c r="I13" s="162"/>
      <c r="J13" s="162"/>
      <c r="K13" s="162"/>
      <c r="L13" s="163"/>
      <c r="M13" s="34"/>
      <c r="N13" s="38">
        <v>43362</v>
      </c>
      <c r="O13" s="38">
        <f>EDATE(N13,12)</f>
        <v>43727</v>
      </c>
      <c r="P13" s="38">
        <v>43362</v>
      </c>
      <c r="Q13" s="38">
        <v>43727</v>
      </c>
      <c r="R13" s="38">
        <f>Q13+1</f>
        <v>43728</v>
      </c>
      <c r="S13" s="85">
        <v>2.5700000000000001E-2</v>
      </c>
      <c r="T13" s="90">
        <v>0</v>
      </c>
      <c r="W13" s="37" t="s">
        <v>45</v>
      </c>
      <c r="X13" s="188">
        <v>0</v>
      </c>
      <c r="Y13" s="188"/>
      <c r="AD13" s="193"/>
      <c r="AE13" s="178" t="str">
        <f>IF($AF$7&gt;=1,"금리결정조건Multiple", "")</f>
        <v>금리결정조건Multiple</v>
      </c>
      <c r="AF13" s="179"/>
      <c r="AG13" s="137">
        <v>1</v>
      </c>
      <c r="AH13" s="137"/>
      <c r="AI13" s="162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62"/>
      <c r="AK13" s="162"/>
      <c r="AL13" s="162"/>
      <c r="AM13" s="162"/>
      <c r="AN13" s="163"/>
      <c r="AO13" s="34"/>
      <c r="AP13" s="38">
        <v>43362</v>
      </c>
      <c r="AQ13" s="38">
        <v>43543</v>
      </c>
      <c r="AR13" s="38">
        <v>43362</v>
      </c>
      <c r="AS13" s="38">
        <v>43543</v>
      </c>
      <c r="AT13" s="38">
        <f>AS13+1</f>
        <v>43544</v>
      </c>
      <c r="AU13" s="85">
        <v>2.2890000000000001E-2</v>
      </c>
      <c r="AV13" s="90">
        <v>0</v>
      </c>
      <c r="AY13" s="37" t="s">
        <v>45</v>
      </c>
      <c r="AZ13" s="188">
        <v>0</v>
      </c>
      <c r="BA13" s="188"/>
    </row>
    <row r="14" spans="1:57" ht="16.2" customHeight="1" x14ac:dyDescent="0.4">
      <c r="A14" s="34">
        <f t="shared" si="1"/>
        <v>14</v>
      </c>
      <c r="B14" s="150"/>
      <c r="C14" s="182" t="str">
        <f>IF($D$7&gt;=1,"Power Spread Flag", "")</f>
        <v>Power Spread Flag</v>
      </c>
      <c r="D14" s="182"/>
      <c r="E14" s="160">
        <v>0</v>
      </c>
      <c r="F14" s="161"/>
      <c r="G14" s="138" t="str">
        <f>IF(E14&gt;0,"PowerSpreadFlag 1일때 입력","입력필요X")</f>
        <v>입력필요X</v>
      </c>
      <c r="H14" s="138"/>
      <c r="I14" s="138" t="str">
        <f>IF(E14&gt;0,"만기1","")</f>
        <v/>
      </c>
      <c r="J14" s="138"/>
      <c r="K14" s="139">
        <v>10</v>
      </c>
      <c r="L14" s="140"/>
      <c r="M14" s="34"/>
      <c r="N14" s="38">
        <f>O13</f>
        <v>43727</v>
      </c>
      <c r="O14" s="38">
        <f>EDATE(N14,12)</f>
        <v>44093</v>
      </c>
      <c r="P14" s="38">
        <v>43727</v>
      </c>
      <c r="Q14" s="38">
        <v>44093</v>
      </c>
      <c r="R14" s="38">
        <f>Q14+1</f>
        <v>44094</v>
      </c>
      <c r="S14" s="85">
        <v>2.5700000000000001E-2</v>
      </c>
      <c r="T14" s="90">
        <v>0</v>
      </c>
      <c r="W14" s="40" t="s">
        <v>39</v>
      </c>
      <c r="X14" s="40" t="s">
        <v>40</v>
      </c>
      <c r="Y14" s="40" t="s">
        <v>41</v>
      </c>
      <c r="AD14" s="193"/>
      <c r="AE14" s="176" t="str">
        <f>IF($AF$7&gt;=1,"Power Spread Flag", "")</f>
        <v>Power Spread Flag</v>
      </c>
      <c r="AF14" s="176"/>
      <c r="AG14" s="160">
        <v>0</v>
      </c>
      <c r="AH14" s="160"/>
      <c r="AI14" s="177" t="str">
        <f>IF(AG14&gt;0,"PowerSpreadFlag 1일때 입력","입력필요X")</f>
        <v>입력필요X</v>
      </c>
      <c r="AJ14" s="177"/>
      <c r="AK14" s="177" t="str">
        <f>IF(AG14&gt;0,"만기1","")</f>
        <v/>
      </c>
      <c r="AL14" s="177"/>
      <c r="AM14" s="139">
        <v>10</v>
      </c>
      <c r="AN14" s="140"/>
      <c r="AP14" s="38">
        <v>43543</v>
      </c>
      <c r="AQ14" s="38">
        <v>43727</v>
      </c>
      <c r="AR14" s="38">
        <v>43543</v>
      </c>
      <c r="AS14" s="38">
        <v>43727</v>
      </c>
      <c r="AT14" s="38">
        <f>AS14+1</f>
        <v>43728</v>
      </c>
      <c r="AU14" s="85">
        <v>2.2890000000000001E-2</v>
      </c>
      <c r="AV14" s="90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50" t="str">
        <f>IF($D$7&gt;0, "사용", "커브개수"&amp;"="&amp;$D$7&amp;"이므로 사용안함")</f>
        <v>사용</v>
      </c>
      <c r="C15" s="182" t="str">
        <f>IF($D$7&gt;=1,"기초금리 Range상한", "")</f>
        <v>기초금리 Range상한</v>
      </c>
      <c r="D15" s="182"/>
      <c r="E15" s="185">
        <v>10</v>
      </c>
      <c r="F15" s="189"/>
      <c r="G15" s="138"/>
      <c r="H15" s="138"/>
      <c r="I15" s="138" t="str">
        <f>IF(E14&gt;0,"만기2","")</f>
        <v/>
      </c>
      <c r="J15" s="138"/>
      <c r="K15" s="139">
        <v>5</v>
      </c>
      <c r="L15" s="140"/>
      <c r="M15" s="34"/>
      <c r="N15" s="38">
        <f t="shared" ref="N15:N36" si="2">O14</f>
        <v>44093</v>
      </c>
      <c r="O15" s="38">
        <f t="shared" ref="O15:O36" si="3">EDATE(N15,12)</f>
        <v>44458</v>
      </c>
      <c r="P15" s="38">
        <v>44093</v>
      </c>
      <c r="Q15" s="38">
        <v>44458</v>
      </c>
      <c r="R15" s="38">
        <f t="shared" ref="R15:R36" si="4">Q15+1</f>
        <v>44459</v>
      </c>
      <c r="S15" s="85">
        <v>2.5700000000000001E-2</v>
      </c>
      <c r="T15" s="90">
        <v>0</v>
      </c>
      <c r="W15" s="41">
        <v>41188</v>
      </c>
      <c r="X15" s="41">
        <v>41188</v>
      </c>
      <c r="Y15" s="41">
        <v>41188</v>
      </c>
      <c r="AD15" s="193" t="str">
        <f>IF($AF$7&gt;0, "사용", "커브개수"&amp;"="&amp;$AF$7&amp;"이므로 사용안함")</f>
        <v>사용</v>
      </c>
      <c r="AE15" s="176" t="str">
        <f>IF($AF$7&gt;=1,"기초금리 Range상한", "")</f>
        <v>기초금리 Range상한</v>
      </c>
      <c r="AF15" s="176"/>
      <c r="AG15" s="185">
        <v>10</v>
      </c>
      <c r="AH15" s="185"/>
      <c r="AI15" s="177"/>
      <c r="AJ15" s="177"/>
      <c r="AK15" s="177" t="str">
        <f>IF(AG14&gt;0,"만기2","")</f>
        <v/>
      </c>
      <c r="AL15" s="177"/>
      <c r="AM15" s="139">
        <v>5</v>
      </c>
      <c r="AN15" s="140"/>
      <c r="AP15" s="38">
        <v>43727</v>
      </c>
      <c r="AQ15" s="38">
        <v>43909</v>
      </c>
      <c r="AR15" s="38">
        <v>43727</v>
      </c>
      <c r="AS15" s="38">
        <v>43909</v>
      </c>
      <c r="AT15" s="38">
        <f t="shared" ref="AT15:AT78" si="5">AS15+1</f>
        <v>43910</v>
      </c>
      <c r="AU15" s="85">
        <v>2.2890000000000001E-2</v>
      </c>
      <c r="AV15" s="90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50"/>
      <c r="C16" s="182" t="str">
        <f>IF($D$7&gt;=1,"기초금리 Range하한", "")</f>
        <v>기초금리 Range하한</v>
      </c>
      <c r="D16" s="147"/>
      <c r="E16" s="184">
        <v>-1</v>
      </c>
      <c r="F16" s="190"/>
      <c r="G16" s="186"/>
      <c r="H16" s="186"/>
      <c r="I16" s="156" t="str">
        <f>IF(E14&gt;0,"Spread1","")</f>
        <v/>
      </c>
      <c r="J16" s="156"/>
      <c r="K16" s="157" t="str">
        <f>IF(E14&gt;0, I14&amp;"-"&amp;I15, "")</f>
        <v/>
      </c>
      <c r="L16" s="158"/>
      <c r="M16" s="34"/>
      <c r="N16" s="38">
        <f t="shared" si="2"/>
        <v>44458</v>
      </c>
      <c r="O16" s="38">
        <f t="shared" si="3"/>
        <v>44823</v>
      </c>
      <c r="P16" s="38">
        <v>44458</v>
      </c>
      <c r="Q16" s="38">
        <v>44823</v>
      </c>
      <c r="R16" s="38">
        <f t="shared" si="4"/>
        <v>44824</v>
      </c>
      <c r="S16" s="85">
        <v>2.5700000000000001E-2</v>
      </c>
      <c r="T16" s="90">
        <v>0</v>
      </c>
      <c r="W16" s="41">
        <v>41189</v>
      </c>
      <c r="X16" s="41">
        <v>41189</v>
      </c>
      <c r="Y16" s="41">
        <v>41189</v>
      </c>
      <c r="AD16" s="193"/>
      <c r="AE16" s="176" t="str">
        <f>IF($AF$7&gt;=1,"기초금리 Range하한", "")</f>
        <v>기초금리 Range하한</v>
      </c>
      <c r="AF16" s="178"/>
      <c r="AG16" s="184">
        <v>-1</v>
      </c>
      <c r="AH16" s="184"/>
      <c r="AI16" s="197"/>
      <c r="AJ16" s="197"/>
      <c r="AK16" s="194" t="str">
        <f>IF(AG14&gt;0,"Spread1","")</f>
        <v/>
      </c>
      <c r="AL16" s="194"/>
      <c r="AM16" s="195" t="str">
        <f>IF(AG14&gt;0, AK14&amp;"-"&amp;AK15, "")</f>
        <v/>
      </c>
      <c r="AN16" s="196"/>
      <c r="AO16" s="34"/>
      <c r="AP16" s="38">
        <v>43909</v>
      </c>
      <c r="AQ16" s="38">
        <v>44093</v>
      </c>
      <c r="AR16" s="38">
        <v>43909</v>
      </c>
      <c r="AS16" s="38">
        <v>44093</v>
      </c>
      <c r="AT16" s="38">
        <f t="shared" si="5"/>
        <v>44094</v>
      </c>
      <c r="AU16" s="85">
        <v>2.2890000000000001E-2</v>
      </c>
      <c r="AV16" s="90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3" t="str">
        <f>IF($D$7&gt;=1,"Payoff조건Multiple", "")</f>
        <v>Payoff조건Multiple</v>
      </c>
      <c r="D17" s="183"/>
      <c r="E17" s="199">
        <v>0</v>
      </c>
      <c r="F17" s="200"/>
      <c r="G17" s="202" t="str">
        <f>IF(E14&gt;0,"예시) 10년-5년 스왑: 연 지급횟수=4, 만기1=10, 만기2=5","")</f>
        <v/>
      </c>
      <c r="H17" s="202"/>
      <c r="I17" s="202"/>
      <c r="J17" s="202"/>
      <c r="K17" s="202"/>
      <c r="L17" s="203"/>
      <c r="M17" s="34"/>
      <c r="N17" s="38">
        <f t="shared" si="2"/>
        <v>44823</v>
      </c>
      <c r="O17" s="38">
        <f t="shared" si="3"/>
        <v>45188</v>
      </c>
      <c r="P17" s="38">
        <v>44823</v>
      </c>
      <c r="Q17" s="38">
        <v>45188</v>
      </c>
      <c r="R17" s="38">
        <f t="shared" si="4"/>
        <v>45189</v>
      </c>
      <c r="S17" s="85">
        <v>2.5700000000000001E-2</v>
      </c>
      <c r="T17" s="90">
        <v>0</v>
      </c>
      <c r="W17" s="41">
        <v>41195</v>
      </c>
      <c r="X17" s="41">
        <v>41195</v>
      </c>
      <c r="Y17" s="41">
        <v>41195</v>
      </c>
      <c r="AD17" s="32"/>
      <c r="AE17" s="128" t="str">
        <f>IF($AF$7&gt;=1,"Payoff조건Multiple", "")</f>
        <v>Payoff조건Multiple</v>
      </c>
      <c r="AF17" s="128"/>
      <c r="AG17" s="199">
        <v>1</v>
      </c>
      <c r="AH17" s="199"/>
      <c r="AI17" s="202" t="str">
        <f>IF(AG14&gt;0,"예시) 10년-5년 스왑: 연 지급횟수=4, 만기1=10, 만기2=5","")</f>
        <v/>
      </c>
      <c r="AJ17" s="202"/>
      <c r="AK17" s="202"/>
      <c r="AL17" s="202"/>
      <c r="AM17" s="202"/>
      <c r="AN17" s="203"/>
      <c r="AO17" s="34"/>
      <c r="AP17" s="38">
        <v>44093</v>
      </c>
      <c r="AQ17" s="38">
        <v>44274</v>
      </c>
      <c r="AR17" s="38">
        <v>44093</v>
      </c>
      <c r="AS17" s="38">
        <v>44274</v>
      </c>
      <c r="AT17" s="38">
        <f t="shared" si="5"/>
        <v>44275</v>
      </c>
      <c r="AU17" s="85">
        <v>2.2890000000000001E-2</v>
      </c>
      <c r="AV17" s="90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45188</v>
      </c>
      <c r="O18" s="38">
        <f t="shared" si="3"/>
        <v>45554</v>
      </c>
      <c r="P18" s="38">
        <v>45188</v>
      </c>
      <c r="Q18" s="38">
        <v>45554</v>
      </c>
      <c r="R18" s="38">
        <f t="shared" si="4"/>
        <v>45555</v>
      </c>
      <c r="S18" s="85">
        <v>2.5700000000000001E-2</v>
      </c>
      <c r="T18" s="90">
        <v>0</v>
      </c>
      <c r="W18" s="41">
        <v>41196</v>
      </c>
      <c r="X18" s="41">
        <v>41196</v>
      </c>
      <c r="Y18" s="41">
        <v>41196</v>
      </c>
      <c r="AP18" s="38">
        <v>44274</v>
      </c>
      <c r="AQ18" s="38">
        <v>44458</v>
      </c>
      <c r="AR18" s="38">
        <v>44274</v>
      </c>
      <c r="AS18" s="38">
        <v>44458</v>
      </c>
      <c r="AT18" s="38">
        <f t="shared" si="5"/>
        <v>44459</v>
      </c>
      <c r="AU18" s="85">
        <v>2.2890000000000001E-2</v>
      </c>
      <c r="AV18" s="90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9" t="str">
        <f>IF(D7&gt;=2,"기초금리2", "")</f>
        <v/>
      </c>
      <c r="C19" s="166" t="str">
        <f>IF($D$7&gt;=2,"커브번호", "")</f>
        <v/>
      </c>
      <c r="D19" s="166"/>
      <c r="E19" s="167">
        <v>2</v>
      </c>
      <c r="F19" s="167"/>
      <c r="G19" s="65"/>
      <c r="H19" s="36"/>
      <c r="I19" s="170" t="str">
        <f>IF(OR(E20 = 0, E20 = 2, E20 = 4), "RefType = "&amp;E20&amp;" 이므로 Ref Swap 금리정보 사용안함", "사용")</f>
        <v>RefType = 0 이므로 Ref Swap 금리정보 사용안함</v>
      </c>
      <c r="J19" s="170"/>
      <c r="K19" s="170"/>
      <c r="L19" s="198"/>
      <c r="M19" s="34"/>
      <c r="N19" s="38">
        <f t="shared" si="2"/>
        <v>45554</v>
      </c>
      <c r="O19" s="38">
        <f t="shared" si="3"/>
        <v>45919</v>
      </c>
      <c r="P19" s="38">
        <v>45554</v>
      </c>
      <c r="Q19" s="38">
        <v>45919</v>
      </c>
      <c r="R19" s="38">
        <f t="shared" si="4"/>
        <v>45920</v>
      </c>
      <c r="S19" s="85">
        <v>2.5700000000000001E-2</v>
      </c>
      <c r="T19" s="90">
        <v>0</v>
      </c>
      <c r="W19" s="41">
        <v>41202</v>
      </c>
      <c r="X19" s="41">
        <v>41202</v>
      </c>
      <c r="Y19" s="41">
        <v>41202</v>
      </c>
      <c r="AD19" s="121" t="str">
        <f>IF($AF$7&gt;=2,"기초금리2", "")</f>
        <v/>
      </c>
      <c r="AE19" s="127" t="str">
        <f>IF($AF$7&gt;=2,"커브번호", "")</f>
        <v/>
      </c>
      <c r="AF19" s="127"/>
      <c r="AG19" s="167">
        <v>2</v>
      </c>
      <c r="AH19" s="167"/>
      <c r="AI19" s="65"/>
      <c r="AJ19" s="36"/>
      <c r="AK19" s="191" t="str">
        <f>IF(OR(AG20 = 0, AG20 = 2, AG20 = 4), "RefType = "&amp;AG20&amp;" 이므로 Ref Swap 금리정보 사용안함", "사용")</f>
        <v>RefType = 0 이므로 Ref Swap 금리정보 사용안함</v>
      </c>
      <c r="AL19" s="191"/>
      <c r="AM19" s="191"/>
      <c r="AN19" s="192"/>
      <c r="AP19" s="38">
        <v>44458</v>
      </c>
      <c r="AQ19" s="38">
        <v>44639</v>
      </c>
      <c r="AR19" s="38">
        <v>44458</v>
      </c>
      <c r="AS19" s="38">
        <v>44639</v>
      </c>
      <c r="AT19" s="38">
        <f t="shared" si="5"/>
        <v>44640</v>
      </c>
      <c r="AU19" s="85">
        <v>2.2890000000000001E-2</v>
      </c>
      <c r="AV19" s="90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50"/>
      <c r="C20" s="147" t="str">
        <f>IF($D$7&gt;=2,"Reference Rate Type", "")</f>
        <v/>
      </c>
      <c r="D20" s="148"/>
      <c r="E20" s="159">
        <v>0</v>
      </c>
      <c r="F20" s="159"/>
      <c r="G20" s="141" t="str">
        <f>IF(OR(E20 = 0, E20 = 2, E20 = 4), "", "Zero/Swap 레퍼런스금리정보")</f>
        <v/>
      </c>
      <c r="H20" s="141"/>
      <c r="I20" s="141" t="str">
        <f>IF(OR(E20 = 0, E20 = 2, E20 = 4), "", "연 지급횟수")</f>
        <v/>
      </c>
      <c r="J20" s="142"/>
      <c r="K20" s="143">
        <v>4</v>
      </c>
      <c r="L20" s="144"/>
      <c r="M20" s="34"/>
      <c r="N20" s="38">
        <f t="shared" si="2"/>
        <v>45919</v>
      </c>
      <c r="O20" s="38">
        <f t="shared" si="3"/>
        <v>46284</v>
      </c>
      <c r="P20" s="38">
        <v>45919</v>
      </c>
      <c r="Q20" s="38">
        <v>46284</v>
      </c>
      <c r="R20" s="38">
        <f t="shared" si="4"/>
        <v>46285</v>
      </c>
      <c r="S20" s="85">
        <v>2.5700000000000001E-2</v>
      </c>
      <c r="T20" s="90">
        <v>0</v>
      </c>
      <c r="W20" s="41">
        <v>41203</v>
      </c>
      <c r="X20" s="41">
        <v>41203</v>
      </c>
      <c r="Y20" s="41">
        <v>41203</v>
      </c>
      <c r="AD20" s="193"/>
      <c r="AE20" s="178" t="str">
        <f>IF($AF$7&gt;=2,"Reference Rate Type", "")</f>
        <v/>
      </c>
      <c r="AF20" s="179"/>
      <c r="AG20" s="159">
        <v>0</v>
      </c>
      <c r="AH20" s="159"/>
      <c r="AI20" s="180" t="str">
        <f>IF(OR(AG20 = 0, AG20 = 2, AG20 = 4), "", "Zero/Swap 레퍼런스금리정보")</f>
        <v/>
      </c>
      <c r="AJ20" s="180"/>
      <c r="AK20" s="180" t="str">
        <f>IF(OR(AG20 = 0, AG20 = 2, AG20 = 4), "", "연 지급횟수")</f>
        <v/>
      </c>
      <c r="AL20" s="181"/>
      <c r="AM20" s="143">
        <v>4</v>
      </c>
      <c r="AN20" s="144"/>
      <c r="AP20" s="38">
        <v>44639</v>
      </c>
      <c r="AQ20" s="38">
        <v>44823</v>
      </c>
      <c r="AR20" s="38">
        <v>44639</v>
      </c>
      <c r="AS20" s="38">
        <v>44823</v>
      </c>
      <c r="AT20" s="38">
        <f t="shared" si="5"/>
        <v>44824</v>
      </c>
      <c r="AU20" s="85">
        <v>2.2890000000000001E-2</v>
      </c>
      <c r="AV20" s="90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50"/>
      <c r="C21" s="147" t="str">
        <f>IF($D$7&gt;=2,"DayCount", "")</f>
        <v/>
      </c>
      <c r="D21" s="147"/>
      <c r="E21" s="160">
        <v>0</v>
      </c>
      <c r="F21" s="160"/>
      <c r="G21" s="141"/>
      <c r="H21" s="141"/>
      <c r="I21" s="141" t="str">
        <f>IF(OR(E20 = 0, E20 = 2, E20 = 4,E23=1), "", "만기")</f>
        <v/>
      </c>
      <c r="J21" s="142"/>
      <c r="K21" s="145">
        <v>1</v>
      </c>
      <c r="L21" s="146"/>
      <c r="M21" s="34"/>
      <c r="N21" s="38">
        <f t="shared" si="2"/>
        <v>46284</v>
      </c>
      <c r="O21" s="38">
        <f t="shared" si="3"/>
        <v>46649</v>
      </c>
      <c r="P21" s="38">
        <v>46284</v>
      </c>
      <c r="Q21" s="38">
        <v>46649</v>
      </c>
      <c r="R21" s="38">
        <f t="shared" si="4"/>
        <v>46650</v>
      </c>
      <c r="S21" s="85">
        <v>2.5700000000000001E-2</v>
      </c>
      <c r="T21" s="90">
        <v>0</v>
      </c>
      <c r="W21" s="41">
        <v>41209</v>
      </c>
      <c r="X21" s="41">
        <v>41209</v>
      </c>
      <c r="Y21" s="41">
        <v>41209</v>
      </c>
      <c r="AD21" s="193"/>
      <c r="AE21" s="178" t="str">
        <f>IF($AF$7&gt;=2,"DayCount", "")</f>
        <v/>
      </c>
      <c r="AF21" s="178"/>
      <c r="AG21" s="160">
        <v>0</v>
      </c>
      <c r="AH21" s="160"/>
      <c r="AI21" s="180"/>
      <c r="AJ21" s="180"/>
      <c r="AK21" s="141" t="str">
        <f>IF(OR(AG20 = 0, AG20 = 2, AG20 = 4,AG23=1), "", "만기")</f>
        <v/>
      </c>
      <c r="AL21" s="142"/>
      <c r="AM21" s="145">
        <v>5</v>
      </c>
      <c r="AN21" s="146"/>
      <c r="AP21" s="38">
        <v>44823</v>
      </c>
      <c r="AQ21" s="38">
        <v>45004</v>
      </c>
      <c r="AR21" s="38">
        <v>44823</v>
      </c>
      <c r="AS21" s="38">
        <v>45004</v>
      </c>
      <c r="AT21" s="38">
        <f t="shared" si="5"/>
        <v>45005</v>
      </c>
      <c r="AU21" s="85">
        <v>2.2890000000000001E-2</v>
      </c>
      <c r="AV21" s="90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50"/>
      <c r="C22" s="147" t="str">
        <f>IF($D$7&gt;=2,"금리결정조건Multiple", "")</f>
        <v/>
      </c>
      <c r="D22" s="148"/>
      <c r="E22" s="137">
        <v>1</v>
      </c>
      <c r="F22" s="137"/>
      <c r="G22" s="162" t="str">
        <f>IF(OR(E20 = 0, E20 = 2, E20 = 4), "", "ex) Zero Rate 5년 -&gt; 연 지급횟수= 0, 만기= 5 // CD91일 -&gt; 연 지급횟수= 4, 만기= 0.25")</f>
        <v/>
      </c>
      <c r="H22" s="162"/>
      <c r="I22" s="162"/>
      <c r="J22" s="162"/>
      <c r="K22" s="162"/>
      <c r="L22" s="163"/>
      <c r="M22" s="34"/>
      <c r="N22" s="38">
        <f t="shared" si="2"/>
        <v>46649</v>
      </c>
      <c r="O22" s="38">
        <f t="shared" si="3"/>
        <v>47015</v>
      </c>
      <c r="P22" s="38">
        <v>46649</v>
      </c>
      <c r="Q22" s="38">
        <v>47015</v>
      </c>
      <c r="R22" s="38">
        <f t="shared" si="4"/>
        <v>47016</v>
      </c>
      <c r="S22" s="85">
        <v>2.5700000000000001E-2</v>
      </c>
      <c r="T22" s="90">
        <v>0</v>
      </c>
      <c r="W22" s="41">
        <v>41210</v>
      </c>
      <c r="X22" s="41">
        <v>41210</v>
      </c>
      <c r="Y22" s="41">
        <v>41210</v>
      </c>
      <c r="AD22" s="193"/>
      <c r="AE22" s="178" t="str">
        <f>IF($AF$7&gt;=2,"금리결정조건Multiple", "")</f>
        <v/>
      </c>
      <c r="AF22" s="179"/>
      <c r="AG22" s="137">
        <v>1</v>
      </c>
      <c r="AH22" s="137"/>
      <c r="AI22" s="162" t="str">
        <f>IF(OR(AG20 = 0, AG20 = 2, AG20 = 4), "", "ex) Zero Rate 5년 -&gt; 연 지급횟수= 0, 만기= 5 // CD91일 -&gt; 연 지급횟수= 4, 만기= 0.25")</f>
        <v/>
      </c>
      <c r="AJ22" s="162"/>
      <c r="AK22" s="162"/>
      <c r="AL22" s="162"/>
      <c r="AM22" s="162"/>
      <c r="AN22" s="163"/>
      <c r="AP22" s="38">
        <v>45004</v>
      </c>
      <c r="AQ22" s="38">
        <v>45188</v>
      </c>
      <c r="AR22" s="38">
        <v>45004</v>
      </c>
      <c r="AS22" s="38">
        <v>45188</v>
      </c>
      <c r="AT22" s="38">
        <f t="shared" si="5"/>
        <v>45189</v>
      </c>
      <c r="AU22" s="85">
        <v>2.2890000000000001E-2</v>
      </c>
      <c r="AV22" s="90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50"/>
      <c r="C23" s="182" t="str">
        <f>IF($D$7&gt;=2,"Power Spread Flag", "")</f>
        <v/>
      </c>
      <c r="D23" s="182"/>
      <c r="E23" s="160">
        <v>0</v>
      </c>
      <c r="F23" s="160"/>
      <c r="G23" s="138" t="str">
        <f>IF(E23&gt;0,"PowerSpreadFlag 1일때 입력","입력필요X")</f>
        <v>입력필요X</v>
      </c>
      <c r="H23" s="138"/>
      <c r="I23" s="138" t="str">
        <f>IF(E23&gt;0,"만기1","")</f>
        <v/>
      </c>
      <c r="J23" s="138"/>
      <c r="K23" s="139">
        <v>10</v>
      </c>
      <c r="L23" s="140"/>
      <c r="M23" s="34"/>
      <c r="N23" s="38">
        <f t="shared" si="2"/>
        <v>47015</v>
      </c>
      <c r="O23" s="38">
        <f t="shared" si="3"/>
        <v>47380</v>
      </c>
      <c r="P23" s="38">
        <v>47015</v>
      </c>
      <c r="Q23" s="38">
        <v>47380</v>
      </c>
      <c r="R23" s="38">
        <f t="shared" si="4"/>
        <v>47381</v>
      </c>
      <c r="S23" s="85">
        <v>2.5700000000000001E-2</v>
      </c>
      <c r="T23" s="90">
        <v>0</v>
      </c>
      <c r="W23" s="41">
        <v>41216</v>
      </c>
      <c r="X23" s="41">
        <v>41216</v>
      </c>
      <c r="Y23" s="41">
        <v>41216</v>
      </c>
      <c r="AD23" s="193"/>
      <c r="AE23" s="176" t="str">
        <f>IF($AF$7&gt;=2,"Power Spread Flag", "")</f>
        <v/>
      </c>
      <c r="AF23" s="176"/>
      <c r="AG23" s="160">
        <v>0</v>
      </c>
      <c r="AH23" s="160"/>
      <c r="AI23" s="177" t="str">
        <f>IF(AG23&gt;0,"PowerSpreadFlag 1일때 입력","입력필요X")</f>
        <v>입력필요X</v>
      </c>
      <c r="AJ23" s="177"/>
      <c r="AK23" s="177" t="str">
        <f>IF(AG23&gt;0,"만기1","")</f>
        <v/>
      </c>
      <c r="AL23" s="177"/>
      <c r="AM23" s="139">
        <v>10</v>
      </c>
      <c r="AN23" s="140"/>
      <c r="AP23" s="38">
        <v>45188</v>
      </c>
      <c r="AQ23" s="38">
        <v>45370</v>
      </c>
      <c r="AR23" s="38">
        <v>45188</v>
      </c>
      <c r="AS23" s="38">
        <v>45370</v>
      </c>
      <c r="AT23" s="38">
        <f t="shared" si="5"/>
        <v>45371</v>
      </c>
      <c r="AU23" s="85">
        <v>2.2890000000000001E-2</v>
      </c>
      <c r="AV23" s="90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50" t="str">
        <f>IF($D$7&gt;1, "사용", "커브개수"&amp;"="&amp;$D$7&amp;"이므로 사용안함")</f>
        <v>커브개수=1이므로 사용안함</v>
      </c>
      <c r="C24" s="182" t="str">
        <f>IF($D$7&gt;=2,"기초금리 Range상한", "")</f>
        <v/>
      </c>
      <c r="D24" s="182"/>
      <c r="E24" s="185">
        <v>10</v>
      </c>
      <c r="F24" s="185"/>
      <c r="G24" s="138"/>
      <c r="H24" s="138"/>
      <c r="I24" s="138" t="str">
        <f>IF(E23&gt;0,"만기2","")</f>
        <v/>
      </c>
      <c r="J24" s="138"/>
      <c r="K24" s="139">
        <v>5</v>
      </c>
      <c r="L24" s="140"/>
      <c r="M24" s="34"/>
      <c r="N24" s="38">
        <f t="shared" si="2"/>
        <v>47380</v>
      </c>
      <c r="O24" s="38">
        <f t="shared" si="3"/>
        <v>47745</v>
      </c>
      <c r="P24" s="38">
        <v>47380</v>
      </c>
      <c r="Q24" s="38">
        <v>47745</v>
      </c>
      <c r="R24" s="38">
        <f t="shared" si="4"/>
        <v>47746</v>
      </c>
      <c r="S24" s="85">
        <v>2.5700000000000001E-2</v>
      </c>
      <c r="T24" s="90">
        <v>0</v>
      </c>
      <c r="W24" s="41">
        <v>41217</v>
      </c>
      <c r="X24" s="41">
        <v>41217</v>
      </c>
      <c r="Y24" s="41">
        <v>41217</v>
      </c>
      <c r="AD24" s="193" t="str">
        <f>IF($AF$7&gt;1, "사용", "커브개수"&amp;"="&amp;$AF$7&amp;"이므로 사용안함")</f>
        <v>커브개수=1이므로 사용안함</v>
      </c>
      <c r="AE24" s="176" t="str">
        <f>IF($AF$7&gt;=2,"기초금리 Range상한", "")</f>
        <v/>
      </c>
      <c r="AF24" s="176"/>
      <c r="AG24" s="185">
        <v>0.5</v>
      </c>
      <c r="AH24" s="185"/>
      <c r="AI24" s="177"/>
      <c r="AJ24" s="177"/>
      <c r="AK24" s="177" t="str">
        <f>IF(AG23&gt;0,"만기2","")</f>
        <v/>
      </c>
      <c r="AL24" s="177"/>
      <c r="AM24" s="139">
        <v>5</v>
      </c>
      <c r="AN24" s="140"/>
      <c r="AP24" s="38">
        <v>45370</v>
      </c>
      <c r="AQ24" s="38">
        <v>45554</v>
      </c>
      <c r="AR24" s="38">
        <v>45370</v>
      </c>
      <c r="AS24" s="38">
        <v>45554</v>
      </c>
      <c r="AT24" s="38">
        <f t="shared" si="5"/>
        <v>45555</v>
      </c>
      <c r="AU24" s="85">
        <v>2.2890000000000001E-2</v>
      </c>
      <c r="AV24" s="90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50"/>
      <c r="C25" s="182" t="str">
        <f>IF($D$7&gt;=2,"기초금리 Range하한", "")</f>
        <v/>
      </c>
      <c r="D25" s="147"/>
      <c r="E25" s="184">
        <v>-1</v>
      </c>
      <c r="F25" s="184"/>
      <c r="G25" s="186"/>
      <c r="H25" s="186"/>
      <c r="I25" s="156" t="str">
        <f>IF(E23&gt;0,"Spread1","")</f>
        <v/>
      </c>
      <c r="J25" s="156"/>
      <c r="K25" s="157" t="str">
        <f>IF(E23&gt;0, I23&amp;"-"&amp;I24, "")</f>
        <v/>
      </c>
      <c r="L25" s="158"/>
      <c r="N25" s="38">
        <f t="shared" si="2"/>
        <v>47745</v>
      </c>
      <c r="O25" s="38">
        <f t="shared" si="3"/>
        <v>48110</v>
      </c>
      <c r="P25" s="38">
        <v>47745</v>
      </c>
      <c r="Q25" s="38">
        <v>48110</v>
      </c>
      <c r="R25" s="38">
        <f t="shared" si="4"/>
        <v>48111</v>
      </c>
      <c r="S25" s="85">
        <v>2.5700000000000001E-2</v>
      </c>
      <c r="T25" s="90">
        <v>0</v>
      </c>
      <c r="W25" s="41">
        <v>41223</v>
      </c>
      <c r="X25" s="41">
        <v>41223</v>
      </c>
      <c r="Y25" s="41">
        <v>41223</v>
      </c>
      <c r="AD25" s="193"/>
      <c r="AE25" s="176" t="str">
        <f>IF($AF$7&gt;=2,"기초금리 Range하한", "")</f>
        <v/>
      </c>
      <c r="AF25" s="178"/>
      <c r="AG25" s="184">
        <v>-0.1</v>
      </c>
      <c r="AH25" s="184"/>
      <c r="AI25" s="197"/>
      <c r="AJ25" s="197"/>
      <c r="AK25" s="194" t="str">
        <f>IF(AG23&gt;0,"Spread1","")</f>
        <v/>
      </c>
      <c r="AL25" s="194"/>
      <c r="AM25" s="195" t="str">
        <f>IF(AG23&gt;0, AK23&amp;"-"&amp;AK24, "")</f>
        <v/>
      </c>
      <c r="AN25" s="196"/>
      <c r="AP25" s="38">
        <v>45554</v>
      </c>
      <c r="AQ25" s="38">
        <v>45735</v>
      </c>
      <c r="AR25" s="38">
        <v>45554</v>
      </c>
      <c r="AS25" s="38">
        <v>45735</v>
      </c>
      <c r="AT25" s="38">
        <f t="shared" si="5"/>
        <v>45736</v>
      </c>
      <c r="AU25" s="85">
        <v>2.2890000000000001E-2</v>
      </c>
      <c r="AV25" s="90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3" t="str">
        <f>IF($D$7&gt;=2,"Payoff조건Multiple", "")</f>
        <v/>
      </c>
      <c r="D26" s="183"/>
      <c r="E26" s="199">
        <v>0</v>
      </c>
      <c r="F26" s="199"/>
      <c r="G26" s="202" t="str">
        <f>IF(E23&gt;0,"예시) 10년-5년 스왑: 연 지급횟수=4, 만기1=10, 만기2=5","")</f>
        <v/>
      </c>
      <c r="H26" s="202"/>
      <c r="I26" s="202"/>
      <c r="J26" s="202"/>
      <c r="K26" s="202"/>
      <c r="L26" s="203"/>
      <c r="N26" s="38">
        <f t="shared" si="2"/>
        <v>48110</v>
      </c>
      <c r="O26" s="38">
        <f t="shared" si="3"/>
        <v>48476</v>
      </c>
      <c r="P26" s="38">
        <v>48110</v>
      </c>
      <c r="Q26" s="38">
        <v>48476</v>
      </c>
      <c r="R26" s="38">
        <f t="shared" si="4"/>
        <v>48477</v>
      </c>
      <c r="S26" s="85">
        <v>2.5700000000000001E-2</v>
      </c>
      <c r="T26" s="90">
        <v>0</v>
      </c>
      <c r="W26" s="41">
        <v>41224</v>
      </c>
      <c r="X26" s="41">
        <v>41224</v>
      </c>
      <c r="Y26" s="41">
        <v>41224</v>
      </c>
      <c r="AD26" s="32"/>
      <c r="AE26" s="128" t="str">
        <f>IF($AF$7&gt;=2,"Payoff조건Multiple", "")</f>
        <v/>
      </c>
      <c r="AF26" s="128"/>
      <c r="AG26" s="199">
        <v>0</v>
      </c>
      <c r="AH26" s="199"/>
      <c r="AI26" s="202" t="str">
        <f>IF(AG23&gt;0,"예시) 10년-5년 스왑: 연 지급횟수=4, 만기1=10, 만기2=5","")</f>
        <v/>
      </c>
      <c r="AJ26" s="202"/>
      <c r="AK26" s="202"/>
      <c r="AL26" s="202"/>
      <c r="AM26" s="202"/>
      <c r="AN26" s="203"/>
      <c r="AP26" s="38">
        <v>45735</v>
      </c>
      <c r="AQ26" s="38">
        <v>45919</v>
      </c>
      <c r="AR26" s="38">
        <v>45735</v>
      </c>
      <c r="AS26" s="38">
        <v>45919</v>
      </c>
      <c r="AT26" s="38">
        <f t="shared" si="5"/>
        <v>45920</v>
      </c>
      <c r="AU26" s="85">
        <v>2.2890000000000001E-2</v>
      </c>
      <c r="AV26" s="90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48476</v>
      </c>
      <c r="O27" s="38">
        <f t="shared" si="3"/>
        <v>48841</v>
      </c>
      <c r="P27" s="38">
        <v>48476</v>
      </c>
      <c r="Q27" s="38">
        <v>48841</v>
      </c>
      <c r="R27" s="38">
        <f t="shared" si="4"/>
        <v>48842</v>
      </c>
      <c r="S27" s="85">
        <v>2.5700000000000001E-2</v>
      </c>
      <c r="T27" s="90">
        <v>0</v>
      </c>
      <c r="W27" s="41">
        <v>41230</v>
      </c>
      <c r="X27" s="41">
        <v>41230</v>
      </c>
      <c r="Y27" s="41">
        <v>41230</v>
      </c>
      <c r="AP27" s="38">
        <v>45919</v>
      </c>
      <c r="AQ27" s="38">
        <v>46100</v>
      </c>
      <c r="AR27" s="38">
        <v>45919</v>
      </c>
      <c r="AS27" s="38">
        <v>46100</v>
      </c>
      <c r="AT27" s="38">
        <f t="shared" si="5"/>
        <v>46101</v>
      </c>
      <c r="AU27" s="85">
        <v>2.2890000000000001E-2</v>
      </c>
      <c r="AV27" s="90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9" t="str">
        <f>IF($D$7&gt;=3,"기초금리3", "")</f>
        <v/>
      </c>
      <c r="C28" s="166" t="str">
        <f>IF($D$7&gt;=3,"커브번호", "")</f>
        <v/>
      </c>
      <c r="D28" s="166"/>
      <c r="E28" s="167">
        <v>3</v>
      </c>
      <c r="F28" s="167"/>
      <c r="G28" s="65"/>
      <c r="H28" s="36"/>
      <c r="I28" s="170" t="str">
        <f>IF(OR(E29 = 0, E29 = 2, E29 = 4), "RefType = "&amp;E29&amp;" 이므로 Ref Swap 금리정보 사용안함", "사용")</f>
        <v>RefType = 0 이므로 Ref Swap 금리정보 사용안함</v>
      </c>
      <c r="J28" s="170"/>
      <c r="K28" s="170"/>
      <c r="L28" s="198"/>
      <c r="N28" s="38">
        <f t="shared" si="2"/>
        <v>48841</v>
      </c>
      <c r="O28" s="38">
        <f t="shared" si="3"/>
        <v>49206</v>
      </c>
      <c r="P28" s="38">
        <v>48841</v>
      </c>
      <c r="Q28" s="38">
        <v>49206</v>
      </c>
      <c r="R28" s="38">
        <f t="shared" si="4"/>
        <v>49207</v>
      </c>
      <c r="S28" s="85">
        <v>2.5700000000000001E-2</v>
      </c>
      <c r="T28" s="90">
        <v>0</v>
      </c>
      <c r="W28" s="41">
        <v>41231</v>
      </c>
      <c r="X28" s="41">
        <v>41231</v>
      </c>
      <c r="Y28" s="41">
        <v>41231</v>
      </c>
      <c r="AD28" s="121" t="str">
        <f>IF($AF$7&gt;=3,"기초금리3", "")</f>
        <v/>
      </c>
      <c r="AE28" s="127" t="str">
        <f>IF($AF$7&gt;=3,"커브번호", "")</f>
        <v/>
      </c>
      <c r="AF28" s="127"/>
      <c r="AG28" s="167">
        <v>3</v>
      </c>
      <c r="AH28" s="167"/>
      <c r="AI28" s="65"/>
      <c r="AJ28" s="36"/>
      <c r="AK28" s="191" t="str">
        <f>IF(OR(AG29 = 0, AG29 = 2, AG29 = 4), "RefType = "&amp;AG29&amp;" 이므로 Ref Swap 금리정보 사용안함", "사용")</f>
        <v>RefType = 0 이므로 Ref Swap 금리정보 사용안함</v>
      </c>
      <c r="AL28" s="191"/>
      <c r="AM28" s="191"/>
      <c r="AN28" s="192"/>
      <c r="AP28" s="38">
        <v>46100</v>
      </c>
      <c r="AQ28" s="38">
        <v>46284</v>
      </c>
      <c r="AR28" s="38">
        <v>46100</v>
      </c>
      <c r="AS28" s="38">
        <v>46284</v>
      </c>
      <c r="AT28" s="38">
        <f t="shared" si="5"/>
        <v>46285</v>
      </c>
      <c r="AU28" s="85">
        <v>2.2890000000000001E-2</v>
      </c>
      <c r="AV28" s="90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50"/>
      <c r="C29" s="147" t="str">
        <f>IF($D$7&gt;=3,"Reference Rate Type", "")</f>
        <v/>
      </c>
      <c r="D29" s="148"/>
      <c r="E29" s="159">
        <v>0</v>
      </c>
      <c r="F29" s="159"/>
      <c r="G29" s="141" t="str">
        <f>IF(OR(E29 = 0, E29 = 2, E29 = 4), "", "Zero/Swap 레퍼런스금리정보")</f>
        <v/>
      </c>
      <c r="H29" s="141"/>
      <c r="I29" s="141" t="str">
        <f>IF(OR(E29 = 0, E29 = 2, E29 = 4), "", "연 지급횟수")</f>
        <v/>
      </c>
      <c r="J29" s="142"/>
      <c r="K29" s="143">
        <v>4</v>
      </c>
      <c r="L29" s="144"/>
      <c r="N29" s="38">
        <f t="shared" si="2"/>
        <v>49206</v>
      </c>
      <c r="O29" s="38">
        <f t="shared" si="3"/>
        <v>49571</v>
      </c>
      <c r="P29" s="38">
        <v>49206</v>
      </c>
      <c r="Q29" s="38">
        <v>49571</v>
      </c>
      <c r="R29" s="38">
        <f t="shared" si="4"/>
        <v>49572</v>
      </c>
      <c r="S29" s="85">
        <v>2.5700000000000001E-2</v>
      </c>
      <c r="T29" s="90">
        <v>0</v>
      </c>
      <c r="W29" s="41">
        <v>41237</v>
      </c>
      <c r="X29" s="41">
        <v>41237</v>
      </c>
      <c r="Y29" s="41">
        <v>41237</v>
      </c>
      <c r="AD29" s="193"/>
      <c r="AE29" s="178" t="str">
        <f>IF($AF$7&gt;=3,"Reference Rate Type", "")</f>
        <v/>
      </c>
      <c r="AF29" s="179"/>
      <c r="AG29" s="159">
        <v>0</v>
      </c>
      <c r="AH29" s="159"/>
      <c r="AI29" s="180" t="str">
        <f>IF(OR(AG29 = 0, AG29 = 2, AG29 = 4), "", "Zero/Swap 레퍼런스금리정보")</f>
        <v/>
      </c>
      <c r="AJ29" s="180"/>
      <c r="AK29" s="180" t="str">
        <f>IF(OR(AG29 = 0, AG29 = 2, AG29 = 4), "", "연 지급횟수")</f>
        <v/>
      </c>
      <c r="AL29" s="181"/>
      <c r="AM29" s="143">
        <v>4</v>
      </c>
      <c r="AN29" s="144"/>
      <c r="AP29" s="38">
        <v>46284</v>
      </c>
      <c r="AQ29" s="38">
        <v>46465</v>
      </c>
      <c r="AR29" s="38">
        <v>46284</v>
      </c>
      <c r="AS29" s="38">
        <v>46465</v>
      </c>
      <c r="AT29" s="38">
        <f t="shared" si="5"/>
        <v>46466</v>
      </c>
      <c r="AU29" s="85">
        <v>2.2890000000000001E-2</v>
      </c>
      <c r="AV29" s="90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50"/>
      <c r="C30" s="147" t="str">
        <f>IF($D$7&gt;=3,"DayCount", "")</f>
        <v/>
      </c>
      <c r="D30" s="147"/>
      <c r="E30" s="160">
        <v>0</v>
      </c>
      <c r="F30" s="160"/>
      <c r="G30" s="141"/>
      <c r="H30" s="141"/>
      <c r="I30" s="141" t="str">
        <f>IF(OR(E29 = 0, E29 = 2, E29 = 4,E32=1), "", "만기")</f>
        <v/>
      </c>
      <c r="J30" s="142"/>
      <c r="K30" s="145">
        <v>5</v>
      </c>
      <c r="L30" s="146"/>
      <c r="N30" s="38">
        <f t="shared" si="2"/>
        <v>49571</v>
      </c>
      <c r="O30" s="38">
        <f t="shared" si="3"/>
        <v>49937</v>
      </c>
      <c r="P30" s="38">
        <v>49571</v>
      </c>
      <c r="Q30" s="38">
        <v>49937</v>
      </c>
      <c r="R30" s="38">
        <f t="shared" si="4"/>
        <v>49938</v>
      </c>
      <c r="S30" s="85">
        <v>2.5700000000000001E-2</v>
      </c>
      <c r="T30" s="90">
        <v>0</v>
      </c>
      <c r="W30" s="41">
        <v>41238</v>
      </c>
      <c r="X30" s="41">
        <v>41238</v>
      </c>
      <c r="Y30" s="41">
        <v>41238</v>
      </c>
      <c r="AD30" s="193"/>
      <c r="AE30" s="178" t="str">
        <f>IF($AF$7&gt;=3,"DayCount", "")</f>
        <v/>
      </c>
      <c r="AF30" s="178"/>
      <c r="AG30" s="160">
        <v>0</v>
      </c>
      <c r="AH30" s="160"/>
      <c r="AI30" s="180"/>
      <c r="AJ30" s="180"/>
      <c r="AK30" s="141" t="str">
        <f>IF(OR(AG29 = 0, AG29 = 2, AG29 = 4,AG32=1), "", "만기")</f>
        <v/>
      </c>
      <c r="AL30" s="142"/>
      <c r="AM30" s="145">
        <v>5</v>
      </c>
      <c r="AN30" s="146"/>
      <c r="AP30" s="38">
        <v>46465</v>
      </c>
      <c r="AQ30" s="38">
        <v>46649</v>
      </c>
      <c r="AR30" s="38">
        <v>46465</v>
      </c>
      <c r="AS30" s="38">
        <v>46649</v>
      </c>
      <c r="AT30" s="38">
        <f t="shared" si="5"/>
        <v>46650</v>
      </c>
      <c r="AU30" s="85">
        <v>2.2890000000000001E-2</v>
      </c>
      <c r="AV30" s="90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50"/>
      <c r="C31" s="147" t="str">
        <f>IF($D$7&gt;=3,"금리결정조건Multiple", "")</f>
        <v/>
      </c>
      <c r="D31" s="148"/>
      <c r="E31" s="137">
        <v>1</v>
      </c>
      <c r="F31" s="137"/>
      <c r="G31" s="162" t="str">
        <f>IF(OR(E29 = 0, E29 = 2, E29 = 4), "", "ex) Zero Rate 5년 -&gt; 연 지급횟수= 0, 만기= 5 // CD91일 -&gt; 연 지급횟수= 4, 만기= 0.25")</f>
        <v/>
      </c>
      <c r="H31" s="162"/>
      <c r="I31" s="162"/>
      <c r="J31" s="162"/>
      <c r="K31" s="162"/>
      <c r="L31" s="163"/>
      <c r="N31" s="38">
        <f t="shared" si="2"/>
        <v>49937</v>
      </c>
      <c r="O31" s="38">
        <f t="shared" si="3"/>
        <v>50302</v>
      </c>
      <c r="P31" s="38">
        <v>49937</v>
      </c>
      <c r="Q31" s="38">
        <v>50302</v>
      </c>
      <c r="R31" s="38">
        <f t="shared" si="4"/>
        <v>50303</v>
      </c>
      <c r="S31" s="85">
        <v>2.5700000000000001E-2</v>
      </c>
      <c r="T31" s="90">
        <v>0</v>
      </c>
      <c r="W31" s="41">
        <v>41244</v>
      </c>
      <c r="X31" s="41">
        <v>41244</v>
      </c>
      <c r="Y31" s="41">
        <v>41244</v>
      </c>
      <c r="AD31" s="193"/>
      <c r="AE31" s="178" t="str">
        <f>IF($AF$7&gt;=3,"금리결정조건Multiple", "")</f>
        <v/>
      </c>
      <c r="AF31" s="179"/>
      <c r="AG31" s="137">
        <v>1</v>
      </c>
      <c r="AH31" s="137"/>
      <c r="AI31" s="162" t="str">
        <f>IF(OR(AG29 = 0, AG29 = 2, AG29 = 4), "", "ex) Zero Rate 5년 -&gt; 연 지급횟수= 0, 만기= 5 // CD91일 -&gt; 연 지급횟수= 4, 만기= 0.25")</f>
        <v/>
      </c>
      <c r="AJ31" s="162"/>
      <c r="AK31" s="162"/>
      <c r="AL31" s="162"/>
      <c r="AM31" s="162"/>
      <c r="AN31" s="163"/>
      <c r="AP31" s="38">
        <v>46649</v>
      </c>
      <c r="AQ31" s="38">
        <v>46831</v>
      </c>
      <c r="AR31" s="38">
        <v>46649</v>
      </c>
      <c r="AS31" s="38">
        <v>46831</v>
      </c>
      <c r="AT31" s="38">
        <f t="shared" si="5"/>
        <v>46832</v>
      </c>
      <c r="AU31" s="85">
        <v>2.2890000000000001E-2</v>
      </c>
      <c r="AV31" s="90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50"/>
      <c r="C32" s="182" t="str">
        <f>IF($D$7&gt;=3,"Power Spread Flag", "")</f>
        <v/>
      </c>
      <c r="D32" s="182"/>
      <c r="E32" s="160">
        <v>0</v>
      </c>
      <c r="F32" s="160"/>
      <c r="G32" s="138" t="str">
        <f>IF(E32&gt;0,"PowerSpreadFlag 1일때 입력","입력필요X")</f>
        <v>입력필요X</v>
      </c>
      <c r="H32" s="138"/>
      <c r="I32" s="138" t="str">
        <f>IF(E32&gt;0,"만기1","")</f>
        <v/>
      </c>
      <c r="J32" s="138"/>
      <c r="K32" s="139">
        <v>10</v>
      </c>
      <c r="L32" s="140"/>
      <c r="N32" s="38">
        <f t="shared" si="2"/>
        <v>50302</v>
      </c>
      <c r="O32" s="38">
        <f t="shared" si="3"/>
        <v>50667</v>
      </c>
      <c r="P32" s="38">
        <v>50302</v>
      </c>
      <c r="Q32" s="38">
        <v>50667</v>
      </c>
      <c r="R32" s="38">
        <f t="shared" si="4"/>
        <v>50668</v>
      </c>
      <c r="S32" s="85">
        <v>2.5700000000000001E-2</v>
      </c>
      <c r="T32" s="90">
        <v>0</v>
      </c>
      <c r="W32" s="41">
        <v>41245</v>
      </c>
      <c r="X32" s="41">
        <v>41245</v>
      </c>
      <c r="Y32" s="41">
        <v>41245</v>
      </c>
      <c r="AD32" s="193"/>
      <c r="AE32" s="176" t="str">
        <f>IF($AF$7&gt;=3,"Power Spread Flag", "")</f>
        <v/>
      </c>
      <c r="AF32" s="176"/>
      <c r="AG32" s="160">
        <v>0</v>
      </c>
      <c r="AH32" s="160"/>
      <c r="AI32" s="177" t="str">
        <f>IF(AG32&gt;0,"PowerSpreadFlag 1일때 입력","입력필요X")</f>
        <v>입력필요X</v>
      </c>
      <c r="AJ32" s="177"/>
      <c r="AK32" s="177" t="str">
        <f>IF(AG32&gt;0,"만기1","")</f>
        <v/>
      </c>
      <c r="AL32" s="177"/>
      <c r="AM32" s="139">
        <v>10</v>
      </c>
      <c r="AN32" s="140"/>
      <c r="AP32" s="38">
        <v>46831</v>
      </c>
      <c r="AQ32" s="38">
        <v>47015</v>
      </c>
      <c r="AR32" s="38">
        <v>46831</v>
      </c>
      <c r="AS32" s="38">
        <v>47015</v>
      </c>
      <c r="AT32" s="38">
        <f t="shared" si="5"/>
        <v>47016</v>
      </c>
      <c r="AU32" s="85">
        <v>2.2890000000000001E-2</v>
      </c>
      <c r="AV32" s="90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50" t="str">
        <f>IF($D$7&gt;2, "사용", "커브개수"&amp;"="&amp;$D$7&amp;"이므로 사용안함")</f>
        <v>커브개수=1이므로 사용안함</v>
      </c>
      <c r="C33" s="182" t="str">
        <f>IF($D$7&gt;=3,"기초금리 Range상한", "")</f>
        <v/>
      </c>
      <c r="D33" s="182"/>
      <c r="E33" s="185">
        <v>0.5</v>
      </c>
      <c r="F33" s="185"/>
      <c r="G33" s="138"/>
      <c r="H33" s="138"/>
      <c r="I33" s="138" t="str">
        <f>IF(E32&gt;0,"만기2","")</f>
        <v/>
      </c>
      <c r="J33" s="138"/>
      <c r="K33" s="139">
        <v>5</v>
      </c>
      <c r="L33" s="140"/>
      <c r="N33" s="38">
        <f t="shared" si="2"/>
        <v>50667</v>
      </c>
      <c r="O33" s="38">
        <f t="shared" si="3"/>
        <v>51032</v>
      </c>
      <c r="P33" s="38">
        <v>50667</v>
      </c>
      <c r="Q33" s="38">
        <v>51032</v>
      </c>
      <c r="R33" s="38">
        <f t="shared" si="4"/>
        <v>51033</v>
      </c>
      <c r="S33" s="85">
        <v>2.5700000000000001E-2</v>
      </c>
      <c r="T33" s="90">
        <v>0</v>
      </c>
      <c r="W33" s="41">
        <v>41251</v>
      </c>
      <c r="X33" s="41">
        <v>41251</v>
      </c>
      <c r="Y33" s="41">
        <v>41251</v>
      </c>
      <c r="AD33" s="193" t="str">
        <f>IF($AF$7&gt;2, "사용", "커브개수"&amp;"="&amp;$AF$7&amp;"이므로 사용안함")</f>
        <v>커브개수=1이므로 사용안함</v>
      </c>
      <c r="AE33" s="176" t="str">
        <f>IF($AF$7&gt;=3,"기초금리 Range상한", "")</f>
        <v/>
      </c>
      <c r="AF33" s="176"/>
      <c r="AG33" s="185">
        <v>0.5</v>
      </c>
      <c r="AH33" s="185"/>
      <c r="AI33" s="177"/>
      <c r="AJ33" s="177"/>
      <c r="AK33" s="177" t="str">
        <f>IF(AG32&gt;0,"만기2","")</f>
        <v/>
      </c>
      <c r="AL33" s="177"/>
      <c r="AM33" s="139">
        <v>5</v>
      </c>
      <c r="AN33" s="140"/>
      <c r="AP33" s="38">
        <v>47015</v>
      </c>
      <c r="AQ33" s="38">
        <v>47106</v>
      </c>
      <c r="AR33" s="38">
        <v>47015</v>
      </c>
      <c r="AS33" s="38">
        <v>47106</v>
      </c>
      <c r="AT33" s="38">
        <f t="shared" si="5"/>
        <v>47107</v>
      </c>
      <c r="AU33" s="85">
        <v>1E-3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50"/>
      <c r="C34" s="182" t="str">
        <f>IF($D$7&gt;=3,"기초금리 Range하한", "")</f>
        <v/>
      </c>
      <c r="D34" s="147"/>
      <c r="E34" s="184">
        <v>-0.1</v>
      </c>
      <c r="F34" s="184"/>
      <c r="G34" s="186"/>
      <c r="H34" s="186"/>
      <c r="I34" s="156" t="str">
        <f>IF(E32&gt;0,"Spread1","")</f>
        <v/>
      </c>
      <c r="J34" s="156"/>
      <c r="K34" s="157" t="str">
        <f>IF(E32&gt;0, I32&amp;"-"&amp;I33, "")</f>
        <v/>
      </c>
      <c r="L34" s="158"/>
      <c r="N34" s="38">
        <f t="shared" si="2"/>
        <v>51032</v>
      </c>
      <c r="O34" s="38">
        <f t="shared" si="3"/>
        <v>51398</v>
      </c>
      <c r="P34" s="38">
        <v>51032</v>
      </c>
      <c r="Q34" s="38">
        <v>51398</v>
      </c>
      <c r="R34" s="38">
        <f t="shared" si="4"/>
        <v>51399</v>
      </c>
      <c r="S34" s="85">
        <v>2.5700000000000001E-2</v>
      </c>
      <c r="T34" s="90">
        <v>0</v>
      </c>
      <c r="W34" s="41">
        <v>41252</v>
      </c>
      <c r="X34" s="41">
        <v>41252</v>
      </c>
      <c r="Y34" s="41">
        <v>41252</v>
      </c>
      <c r="AD34" s="193"/>
      <c r="AE34" s="176" t="str">
        <f>IF($AF$7&gt;=3,"기초금리 Range하한", "")</f>
        <v/>
      </c>
      <c r="AF34" s="178"/>
      <c r="AG34" s="184">
        <v>-0.1</v>
      </c>
      <c r="AH34" s="184"/>
      <c r="AI34" s="197"/>
      <c r="AJ34" s="197"/>
      <c r="AK34" s="194" t="str">
        <f>IF(AG32&gt;0,"Spread1","")</f>
        <v/>
      </c>
      <c r="AL34" s="194"/>
      <c r="AM34" s="195" t="str">
        <f>IF(AG32&gt;0, AK32&amp;"-"&amp;AK33, "")</f>
        <v/>
      </c>
      <c r="AN34" s="196"/>
      <c r="AP34" s="38">
        <v>47106</v>
      </c>
      <c r="AQ34" s="38">
        <v>47196</v>
      </c>
      <c r="AR34" s="38">
        <v>47106</v>
      </c>
      <c r="AS34" s="38">
        <v>47196</v>
      </c>
      <c r="AT34" s="38">
        <f t="shared" si="5"/>
        <v>47197</v>
      </c>
      <c r="AU34" s="85">
        <v>1E-3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3" t="str">
        <f>IF($D$7&gt;=3,"Payoff조건Multiple", "")</f>
        <v/>
      </c>
      <c r="D35" s="183"/>
      <c r="E35" s="199">
        <v>0</v>
      </c>
      <c r="F35" s="199"/>
      <c r="G35" s="202" t="str">
        <f>IF(E32&gt;0,"예시) 10년-5년 스왑: 연 지급횟수=4, 만기1=10, 만기2=5","")</f>
        <v/>
      </c>
      <c r="H35" s="202"/>
      <c r="I35" s="202"/>
      <c r="J35" s="202"/>
      <c r="K35" s="202"/>
      <c r="L35" s="203"/>
      <c r="N35" s="38">
        <f t="shared" si="2"/>
        <v>51398</v>
      </c>
      <c r="O35" s="38">
        <f t="shared" si="3"/>
        <v>51763</v>
      </c>
      <c r="P35" s="38">
        <v>51398</v>
      </c>
      <c r="Q35" s="38">
        <v>51763</v>
      </c>
      <c r="R35" s="38">
        <f t="shared" si="4"/>
        <v>51764</v>
      </c>
      <c r="S35" s="85">
        <v>2.5700000000000001E-2</v>
      </c>
      <c r="T35" s="90">
        <v>0</v>
      </c>
      <c r="W35" s="41">
        <v>41258</v>
      </c>
      <c r="X35" s="41">
        <v>41258</v>
      </c>
      <c r="Y35" s="41">
        <v>41258</v>
      </c>
      <c r="AD35" s="32"/>
      <c r="AE35" s="128" t="str">
        <f>IF($AF$7&gt;=3,"Payoff조건Multiple", "")</f>
        <v/>
      </c>
      <c r="AF35" s="128"/>
      <c r="AG35" s="199">
        <v>0</v>
      </c>
      <c r="AH35" s="199"/>
      <c r="AI35" s="202" t="str">
        <f>IF(AG32&gt;0,"예시) 10년-5년 스왑: 연 지급횟수=4, 만기1=10, 만기2=5","")</f>
        <v/>
      </c>
      <c r="AJ35" s="202"/>
      <c r="AK35" s="202"/>
      <c r="AL35" s="202"/>
      <c r="AM35" s="202"/>
      <c r="AN35" s="203"/>
      <c r="AP35" s="38">
        <v>47196</v>
      </c>
      <c r="AQ35" s="38">
        <v>47288</v>
      </c>
      <c r="AR35" s="38">
        <v>47196</v>
      </c>
      <c r="AS35" s="38">
        <v>47288</v>
      </c>
      <c r="AT35" s="38">
        <f t="shared" si="5"/>
        <v>47289</v>
      </c>
      <c r="AU35" s="85">
        <v>1E-3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51763</v>
      </c>
      <c r="O36" s="38">
        <f t="shared" si="3"/>
        <v>52128</v>
      </c>
      <c r="P36" s="38">
        <v>51763</v>
      </c>
      <c r="Q36" s="38">
        <v>52128</v>
      </c>
      <c r="R36" s="38">
        <f t="shared" si="4"/>
        <v>52129</v>
      </c>
      <c r="S36" s="85">
        <v>2.5700000000000001E-2</v>
      </c>
      <c r="T36" s="90">
        <v>0</v>
      </c>
      <c r="W36" s="41">
        <v>41259</v>
      </c>
      <c r="X36" s="41">
        <v>41259</v>
      </c>
      <c r="Y36" s="41">
        <v>41259</v>
      </c>
      <c r="AP36" s="38">
        <v>47288</v>
      </c>
      <c r="AQ36" s="38">
        <v>47380</v>
      </c>
      <c r="AR36" s="38">
        <v>47288</v>
      </c>
      <c r="AS36" s="38">
        <v>47380</v>
      </c>
      <c r="AT36" s="38">
        <f t="shared" si="5"/>
        <v>47381</v>
      </c>
      <c r="AU36" s="85">
        <v>1E-3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2" t="s">
        <v>93</v>
      </c>
      <c r="C37" s="127" t="s">
        <v>33</v>
      </c>
      <c r="D37" s="127"/>
      <c r="E37" s="129">
        <v>1</v>
      </c>
      <c r="F37" s="130"/>
      <c r="G37" s="35"/>
      <c r="H37" s="121" t="s">
        <v>48</v>
      </c>
      <c r="I37" s="122"/>
      <c r="J37" s="123">
        <v>0</v>
      </c>
      <c r="K37" s="123"/>
      <c r="L37" s="124"/>
      <c r="W37" s="41">
        <v>41262</v>
      </c>
      <c r="X37" s="41">
        <v>41262</v>
      </c>
      <c r="Y37" s="41">
        <v>41262</v>
      </c>
      <c r="AD37" s="122" t="s">
        <v>93</v>
      </c>
      <c r="AE37" s="127" t="s">
        <v>33</v>
      </c>
      <c r="AF37" s="127"/>
      <c r="AG37" s="129">
        <v>1</v>
      </c>
      <c r="AH37" s="130"/>
      <c r="AJ37" s="121" t="s">
        <v>48</v>
      </c>
      <c r="AK37" s="122"/>
      <c r="AL37" s="123">
        <v>0</v>
      </c>
      <c r="AM37" s="123"/>
      <c r="AN37" s="124"/>
      <c r="AP37" s="38">
        <v>47380</v>
      </c>
      <c r="AQ37" s="38">
        <v>47471</v>
      </c>
      <c r="AR37" s="38">
        <v>47380</v>
      </c>
      <c r="AS37" s="38">
        <v>47471</v>
      </c>
      <c r="AT37" s="38">
        <f t="shared" si="5"/>
        <v>47472</v>
      </c>
      <c r="AU37" s="85">
        <v>1E-3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5"/>
      <c r="C38" s="128"/>
      <c r="D38" s="128"/>
      <c r="E38" s="131"/>
      <c r="F38" s="132"/>
      <c r="G38" s="35"/>
      <c r="H38" s="112" t="s">
        <v>49</v>
      </c>
      <c r="I38" s="113"/>
      <c r="J38" s="113"/>
      <c r="K38" s="113"/>
      <c r="L38" s="114"/>
      <c r="W38" s="41">
        <v>41265</v>
      </c>
      <c r="X38" s="41">
        <v>41265</v>
      </c>
      <c r="Y38" s="41">
        <v>41265</v>
      </c>
      <c r="AD38" s="125"/>
      <c r="AE38" s="128"/>
      <c r="AF38" s="128"/>
      <c r="AG38" s="131"/>
      <c r="AH38" s="132"/>
      <c r="AJ38" s="112" t="s">
        <v>49</v>
      </c>
      <c r="AK38" s="113"/>
      <c r="AL38" s="113"/>
      <c r="AM38" s="113"/>
      <c r="AN38" s="114"/>
      <c r="AP38" s="38">
        <v>47471</v>
      </c>
      <c r="AQ38" s="38">
        <v>47561</v>
      </c>
      <c r="AR38" s="38">
        <v>47471</v>
      </c>
      <c r="AS38" s="38">
        <v>47561</v>
      </c>
      <c r="AT38" s="38">
        <f t="shared" si="5"/>
        <v>47562</v>
      </c>
      <c r="AU38" s="85">
        <v>1E-3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5"/>
      <c r="C39" s="126"/>
      <c r="D39" s="126"/>
      <c r="E39" s="126"/>
      <c r="F39" s="126"/>
      <c r="G39" s="35"/>
      <c r="H39" s="11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9"/>
      <c r="J39" s="119"/>
      <c r="K39" s="119"/>
      <c r="L39" s="120"/>
      <c r="W39" s="41">
        <v>41266</v>
      </c>
      <c r="X39" s="41">
        <v>41266</v>
      </c>
      <c r="Y39" s="41">
        <v>41266</v>
      </c>
      <c r="AD39" s="125"/>
      <c r="AE39" s="126"/>
      <c r="AF39" s="126"/>
      <c r="AG39" s="126"/>
      <c r="AH39" s="126"/>
      <c r="AJ39" s="11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6"/>
      <c r="AL39" s="116"/>
      <c r="AM39" s="116"/>
      <c r="AN39" s="117"/>
      <c r="AP39" s="38">
        <v>47561</v>
      </c>
      <c r="AQ39" s="38">
        <v>47653</v>
      </c>
      <c r="AR39" s="38">
        <v>47561</v>
      </c>
      <c r="AS39" s="38">
        <v>47653</v>
      </c>
      <c r="AT39" s="38">
        <f t="shared" si="5"/>
        <v>47654</v>
      </c>
      <c r="AU39" s="85">
        <v>1E-3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W40" s="41">
        <v>41268</v>
      </c>
      <c r="X40" s="41">
        <v>41268</v>
      </c>
      <c r="Y40" s="41">
        <v>41268</v>
      </c>
      <c r="AP40" s="38">
        <v>47653</v>
      </c>
      <c r="AQ40" s="38">
        <v>47745</v>
      </c>
      <c r="AR40" s="38">
        <v>47653</v>
      </c>
      <c r="AS40" s="38">
        <v>47745</v>
      </c>
      <c r="AT40" s="38">
        <f t="shared" si="5"/>
        <v>47746</v>
      </c>
      <c r="AU40" s="85">
        <v>1E-3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W41" s="41">
        <v>41272</v>
      </c>
      <c r="X41" s="41">
        <v>41272</v>
      </c>
      <c r="Y41" s="41">
        <v>41272</v>
      </c>
      <c r="AP41" s="38">
        <v>47745</v>
      </c>
      <c r="AQ41" s="38">
        <v>47836</v>
      </c>
      <c r="AR41" s="38">
        <v>47745</v>
      </c>
      <c r="AS41" s="38">
        <v>47836</v>
      </c>
      <c r="AT41" s="38">
        <f t="shared" si="5"/>
        <v>47837</v>
      </c>
      <c r="AU41" s="85">
        <v>1E-3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1" t="s">
        <v>89</v>
      </c>
      <c r="C42" s="201"/>
      <c r="D42" s="201"/>
      <c r="E42" s="201"/>
      <c r="F42" s="201"/>
      <c r="G42" s="201"/>
      <c r="H42" s="201"/>
      <c r="I42" s="201"/>
      <c r="J42" s="201"/>
      <c r="K42" s="201"/>
      <c r="L42" s="201"/>
      <c r="W42" s="41">
        <v>41273</v>
      </c>
      <c r="X42" s="41">
        <v>41273</v>
      </c>
      <c r="Y42" s="41">
        <v>41273</v>
      </c>
      <c r="AP42" s="38">
        <v>47836</v>
      </c>
      <c r="AQ42" s="38">
        <v>47926</v>
      </c>
      <c r="AR42" s="38">
        <v>47836</v>
      </c>
      <c r="AS42" s="38">
        <v>47926</v>
      </c>
      <c r="AT42" s="38">
        <f t="shared" si="5"/>
        <v>47927</v>
      </c>
      <c r="AU42" s="85">
        <v>1E-3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W43" s="41">
        <v>41275</v>
      </c>
      <c r="X43" s="41">
        <v>41275</v>
      </c>
      <c r="Y43" s="41">
        <v>41275</v>
      </c>
      <c r="AP43" s="38">
        <v>47926</v>
      </c>
      <c r="AQ43" s="38">
        <v>48018</v>
      </c>
      <c r="AR43" s="38">
        <v>47926</v>
      </c>
      <c r="AS43" s="38">
        <v>48018</v>
      </c>
      <c r="AT43" s="38">
        <f t="shared" si="5"/>
        <v>48019</v>
      </c>
      <c r="AU43" s="85">
        <v>1E-3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46994</v>
      </c>
      <c r="C44" s="55">
        <v>1</v>
      </c>
      <c r="D44" s="39">
        <v>1</v>
      </c>
      <c r="E44" s="39">
        <v>-1</v>
      </c>
      <c r="F44" s="39">
        <v>1</v>
      </c>
      <c r="G44" s="39">
        <v>-1</v>
      </c>
      <c r="H44" s="39">
        <v>1</v>
      </c>
      <c r="I44" s="39">
        <v>-1</v>
      </c>
      <c r="J44" s="56">
        <v>2</v>
      </c>
      <c r="K44" s="42">
        <v>0</v>
      </c>
      <c r="L44" s="42">
        <f>COUNT(B44:B1048576)</f>
        <v>3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48018</v>
      </c>
      <c r="AQ44" s="38">
        <v>48110</v>
      </c>
      <c r="AR44" s="38">
        <v>48018</v>
      </c>
      <c r="AS44" s="38">
        <v>48110</v>
      </c>
      <c r="AT44" s="38">
        <f t="shared" si="5"/>
        <v>48111</v>
      </c>
      <c r="AU44" s="85">
        <v>1E-3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48815</v>
      </c>
      <c r="C45" s="55">
        <v>1</v>
      </c>
      <c r="D45" s="39">
        <v>1</v>
      </c>
      <c r="E45" s="39">
        <v>-1</v>
      </c>
      <c r="F45" s="39">
        <v>1</v>
      </c>
      <c r="G45" s="39">
        <v>-1</v>
      </c>
      <c r="H45" s="39">
        <v>1</v>
      </c>
      <c r="I45" s="39">
        <v>-1</v>
      </c>
      <c r="W45" s="41">
        <v>41280</v>
      </c>
      <c r="X45" s="41">
        <v>41280</v>
      </c>
      <c r="Y45" s="41">
        <v>41280</v>
      </c>
      <c r="AP45" s="38">
        <v>48110</v>
      </c>
      <c r="AQ45" s="38">
        <v>48201</v>
      </c>
      <c r="AR45" s="38">
        <v>48110</v>
      </c>
      <c r="AS45" s="38">
        <v>48201</v>
      </c>
      <c r="AT45" s="38">
        <f t="shared" si="5"/>
        <v>48202</v>
      </c>
      <c r="AU45" s="85">
        <v>1E-3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50647</v>
      </c>
      <c r="C46" s="55">
        <v>1</v>
      </c>
      <c r="D46" s="39">
        <v>1</v>
      </c>
      <c r="E46" s="39">
        <v>-1</v>
      </c>
      <c r="F46" s="39">
        <v>1</v>
      </c>
      <c r="G46" s="39">
        <v>-1</v>
      </c>
      <c r="H46" s="39">
        <v>1</v>
      </c>
      <c r="I46" s="39">
        <v>-1</v>
      </c>
      <c r="L46" s="54" t="s">
        <v>117</v>
      </c>
      <c r="W46" s="41">
        <v>41286</v>
      </c>
      <c r="X46" s="41">
        <v>41286</v>
      </c>
      <c r="Y46" s="41">
        <v>41286</v>
      </c>
      <c r="AP46" s="38">
        <v>48201</v>
      </c>
      <c r="AQ46" s="38">
        <v>48292</v>
      </c>
      <c r="AR46" s="38">
        <v>48201</v>
      </c>
      <c r="AS46" s="38">
        <v>48292</v>
      </c>
      <c r="AT46" s="38">
        <f t="shared" si="5"/>
        <v>48293</v>
      </c>
      <c r="AU46" s="85">
        <v>1E-3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/>
      <c r="L47" s="42">
        <v>30</v>
      </c>
      <c r="W47" s="41">
        <v>41287</v>
      </c>
      <c r="X47" s="41">
        <v>41287</v>
      </c>
      <c r="Y47" s="41">
        <v>41287</v>
      </c>
      <c r="AP47" s="38">
        <v>48292</v>
      </c>
      <c r="AQ47" s="38">
        <v>48384</v>
      </c>
      <c r="AR47" s="38">
        <v>48292</v>
      </c>
      <c r="AS47" s="38">
        <v>48384</v>
      </c>
      <c r="AT47" s="38">
        <f t="shared" si="5"/>
        <v>48385</v>
      </c>
      <c r="AU47" s="85">
        <v>1E-3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W48" s="41">
        <v>41293</v>
      </c>
      <c r="X48" s="41">
        <v>41293</v>
      </c>
      <c r="Y48" s="41">
        <v>41293</v>
      </c>
      <c r="AP48" s="38">
        <v>48384</v>
      </c>
      <c r="AQ48" s="38">
        <v>48476</v>
      </c>
      <c r="AR48" s="38">
        <v>48384</v>
      </c>
      <c r="AS48" s="38">
        <v>48476</v>
      </c>
      <c r="AT48" s="38">
        <f t="shared" si="5"/>
        <v>48477</v>
      </c>
      <c r="AU48" s="85">
        <v>1E-3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W49" s="41">
        <v>41294</v>
      </c>
      <c r="X49" s="41">
        <v>41294</v>
      </c>
      <c r="Y49" s="41">
        <v>41294</v>
      </c>
      <c r="AP49" s="38">
        <v>48476</v>
      </c>
      <c r="AQ49" s="38">
        <v>48567</v>
      </c>
      <c r="AR49" s="38">
        <v>48476</v>
      </c>
      <c r="AS49" s="38">
        <v>48567</v>
      </c>
      <c r="AT49" s="38">
        <f t="shared" si="5"/>
        <v>48568</v>
      </c>
      <c r="AU49" s="85">
        <v>1E-3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W50" s="41">
        <v>41300</v>
      </c>
      <c r="X50" s="41">
        <v>41300</v>
      </c>
      <c r="Y50" s="41">
        <v>41300</v>
      </c>
      <c r="AP50" s="38">
        <v>48567</v>
      </c>
      <c r="AQ50" s="38">
        <v>48657</v>
      </c>
      <c r="AR50" s="38">
        <v>48567</v>
      </c>
      <c r="AS50" s="38">
        <v>48657</v>
      </c>
      <c r="AT50" s="38">
        <f t="shared" si="5"/>
        <v>48658</v>
      </c>
      <c r="AU50" s="85">
        <v>1E-3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W51" s="41">
        <v>41301</v>
      </c>
      <c r="X51" s="41">
        <v>41301</v>
      </c>
      <c r="Y51" s="41">
        <v>41301</v>
      </c>
      <c r="AP51" s="38">
        <v>48657</v>
      </c>
      <c r="AQ51" s="38">
        <v>48749</v>
      </c>
      <c r="AR51" s="38">
        <v>48657</v>
      </c>
      <c r="AS51" s="38">
        <v>48749</v>
      </c>
      <c r="AT51" s="38">
        <f t="shared" si="5"/>
        <v>48750</v>
      </c>
      <c r="AU51" s="85">
        <v>1E-3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W52" s="41">
        <v>41307</v>
      </c>
      <c r="X52" s="41">
        <v>41307</v>
      </c>
      <c r="Y52" s="41">
        <v>41307</v>
      </c>
      <c r="AP52" s="38">
        <v>48749</v>
      </c>
      <c r="AQ52" s="38">
        <v>48841</v>
      </c>
      <c r="AR52" s="38">
        <v>48749</v>
      </c>
      <c r="AS52" s="38">
        <v>48841</v>
      </c>
      <c r="AT52" s="38">
        <f t="shared" si="5"/>
        <v>48842</v>
      </c>
      <c r="AU52" s="85">
        <v>1E-3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W53" s="41">
        <v>41308</v>
      </c>
      <c r="X53" s="41">
        <v>41308</v>
      </c>
      <c r="Y53" s="41">
        <v>41308</v>
      </c>
      <c r="AP53" s="38">
        <v>48841</v>
      </c>
      <c r="AQ53" s="38">
        <v>48932</v>
      </c>
      <c r="AR53" s="38">
        <v>48841</v>
      </c>
      <c r="AS53" s="38">
        <v>48932</v>
      </c>
      <c r="AT53" s="38">
        <f t="shared" si="5"/>
        <v>48933</v>
      </c>
      <c r="AU53" s="85">
        <v>1E-3</v>
      </c>
      <c r="AV53" s="90">
        <v>1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P54" s="38">
        <v>48932</v>
      </c>
      <c r="AQ54" s="38">
        <v>49022</v>
      </c>
      <c r="AR54" s="38">
        <v>48932</v>
      </c>
      <c r="AS54" s="38">
        <v>49022</v>
      </c>
      <c r="AT54" s="38">
        <f t="shared" si="5"/>
        <v>49023</v>
      </c>
      <c r="AU54" s="85">
        <v>1E-3</v>
      </c>
      <c r="AV54" s="90">
        <v>1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P55" s="38">
        <v>49022</v>
      </c>
      <c r="AQ55" s="38">
        <v>49114</v>
      </c>
      <c r="AR55" s="38">
        <v>49022</v>
      </c>
      <c r="AS55" s="38">
        <v>49114</v>
      </c>
      <c r="AT55" s="38">
        <f t="shared" si="5"/>
        <v>49115</v>
      </c>
      <c r="AU55" s="85">
        <v>1E-3</v>
      </c>
      <c r="AV55" s="90">
        <v>1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P56" s="38">
        <v>49114</v>
      </c>
      <c r="AQ56" s="38">
        <v>49206</v>
      </c>
      <c r="AR56" s="38">
        <v>49114</v>
      </c>
      <c r="AS56" s="38">
        <v>49206</v>
      </c>
      <c r="AT56" s="38">
        <f t="shared" si="5"/>
        <v>49207</v>
      </c>
      <c r="AU56" s="85">
        <v>1E-3</v>
      </c>
      <c r="AV56" s="90">
        <v>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P57" s="38">
        <v>49206</v>
      </c>
      <c r="AQ57" s="38">
        <v>49297</v>
      </c>
      <c r="AR57" s="38">
        <v>49206</v>
      </c>
      <c r="AS57" s="38">
        <v>49297</v>
      </c>
      <c r="AT57" s="38">
        <f t="shared" si="5"/>
        <v>49298</v>
      </c>
      <c r="AU57" s="85">
        <v>1E-3</v>
      </c>
      <c r="AV57" s="90">
        <v>1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P58" s="38">
        <v>49297</v>
      </c>
      <c r="AQ58" s="38">
        <v>49387</v>
      </c>
      <c r="AR58" s="38">
        <v>49297</v>
      </c>
      <c r="AS58" s="38">
        <v>49387</v>
      </c>
      <c r="AT58" s="38">
        <f t="shared" si="5"/>
        <v>49388</v>
      </c>
      <c r="AU58" s="85">
        <v>1E-3</v>
      </c>
      <c r="AV58" s="90">
        <v>1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P59" s="38">
        <v>49387</v>
      </c>
      <c r="AQ59" s="38">
        <v>49479</v>
      </c>
      <c r="AR59" s="38">
        <v>49387</v>
      </c>
      <c r="AS59" s="38">
        <v>49479</v>
      </c>
      <c r="AT59" s="38">
        <f t="shared" si="5"/>
        <v>49480</v>
      </c>
      <c r="AU59" s="85">
        <v>1E-3</v>
      </c>
      <c r="AV59" s="90">
        <v>1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P60" s="38">
        <v>49479</v>
      </c>
      <c r="AQ60" s="38">
        <v>49571</v>
      </c>
      <c r="AR60" s="38">
        <v>49479</v>
      </c>
      <c r="AS60" s="38">
        <v>49571</v>
      </c>
      <c r="AT60" s="38">
        <f t="shared" si="5"/>
        <v>49572</v>
      </c>
      <c r="AU60" s="85">
        <v>1E-3</v>
      </c>
      <c r="AV60" s="90">
        <v>1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P61" s="38">
        <v>49571</v>
      </c>
      <c r="AQ61" s="38">
        <v>49662</v>
      </c>
      <c r="AR61" s="38">
        <v>49571</v>
      </c>
      <c r="AS61" s="38">
        <v>49662</v>
      </c>
      <c r="AT61" s="38">
        <f t="shared" si="5"/>
        <v>49663</v>
      </c>
      <c r="AU61" s="85">
        <v>1E-3</v>
      </c>
      <c r="AV61" s="90">
        <v>1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P62" s="38">
        <v>49662</v>
      </c>
      <c r="AQ62" s="38">
        <v>49753</v>
      </c>
      <c r="AR62" s="38">
        <v>49662</v>
      </c>
      <c r="AS62" s="38">
        <v>49753</v>
      </c>
      <c r="AT62" s="38">
        <f t="shared" si="5"/>
        <v>49754</v>
      </c>
      <c r="AU62" s="85">
        <v>1E-3</v>
      </c>
      <c r="AV62" s="90">
        <v>1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P63" s="38">
        <v>49753</v>
      </c>
      <c r="AQ63" s="38">
        <v>49845</v>
      </c>
      <c r="AR63" s="38">
        <v>49753</v>
      </c>
      <c r="AS63" s="38">
        <v>49845</v>
      </c>
      <c r="AT63" s="38">
        <f t="shared" si="5"/>
        <v>49846</v>
      </c>
      <c r="AU63" s="85">
        <v>1E-3</v>
      </c>
      <c r="AV63" s="90">
        <v>1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P64" s="38">
        <v>49845</v>
      </c>
      <c r="AQ64" s="38">
        <v>49937</v>
      </c>
      <c r="AR64" s="38">
        <v>49845</v>
      </c>
      <c r="AS64" s="38">
        <v>49937</v>
      </c>
      <c r="AT64" s="38">
        <f t="shared" si="5"/>
        <v>49938</v>
      </c>
      <c r="AU64" s="85">
        <v>1E-3</v>
      </c>
      <c r="AV64" s="90">
        <v>1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P65" s="38">
        <v>49937</v>
      </c>
      <c r="AQ65" s="38">
        <v>50028</v>
      </c>
      <c r="AR65" s="38">
        <v>49937</v>
      </c>
      <c r="AS65" s="38">
        <v>50028</v>
      </c>
      <c r="AT65" s="38">
        <f t="shared" si="5"/>
        <v>50029</v>
      </c>
      <c r="AU65" s="85">
        <v>1E-3</v>
      </c>
      <c r="AV65" s="90">
        <v>1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P66" s="38">
        <v>50028</v>
      </c>
      <c r="AQ66" s="38">
        <v>50118</v>
      </c>
      <c r="AR66" s="38">
        <v>50028</v>
      </c>
      <c r="AS66" s="38">
        <v>50118</v>
      </c>
      <c r="AT66" s="38">
        <f t="shared" si="5"/>
        <v>50119</v>
      </c>
      <c r="AU66" s="85">
        <v>1E-3</v>
      </c>
      <c r="AV66" s="90">
        <v>1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P67" s="38">
        <v>50118</v>
      </c>
      <c r="AQ67" s="38">
        <v>50210</v>
      </c>
      <c r="AR67" s="38">
        <v>50118</v>
      </c>
      <c r="AS67" s="38">
        <v>50210</v>
      </c>
      <c r="AT67" s="38">
        <f t="shared" si="5"/>
        <v>50211</v>
      </c>
      <c r="AU67" s="85">
        <v>1E-3</v>
      </c>
      <c r="AV67" s="90">
        <v>1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P68" s="38">
        <v>50210</v>
      </c>
      <c r="AQ68" s="38">
        <v>50302</v>
      </c>
      <c r="AR68" s="38">
        <v>50210</v>
      </c>
      <c r="AS68" s="38">
        <v>50302</v>
      </c>
      <c r="AT68" s="38">
        <f t="shared" si="5"/>
        <v>50303</v>
      </c>
      <c r="AU68" s="85">
        <v>1E-3</v>
      </c>
      <c r="AV68" s="90">
        <v>1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P69" s="38">
        <v>50302</v>
      </c>
      <c r="AQ69" s="38">
        <v>50393</v>
      </c>
      <c r="AR69" s="38">
        <v>50302</v>
      </c>
      <c r="AS69" s="38">
        <v>50393</v>
      </c>
      <c r="AT69" s="38">
        <f t="shared" si="5"/>
        <v>50394</v>
      </c>
      <c r="AU69" s="85">
        <v>1E-3</v>
      </c>
      <c r="AV69" s="90">
        <v>1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P70" s="38">
        <v>50393</v>
      </c>
      <c r="AQ70" s="38">
        <v>50483</v>
      </c>
      <c r="AR70" s="38">
        <v>50393</v>
      </c>
      <c r="AS70" s="38">
        <v>50483</v>
      </c>
      <c r="AT70" s="38">
        <f t="shared" si="5"/>
        <v>50484</v>
      </c>
      <c r="AU70" s="85">
        <v>1E-3</v>
      </c>
      <c r="AV70" s="90">
        <v>1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P71" s="38">
        <v>50483</v>
      </c>
      <c r="AQ71" s="38">
        <v>50575</v>
      </c>
      <c r="AR71" s="38">
        <v>50483</v>
      </c>
      <c r="AS71" s="38">
        <v>50575</v>
      </c>
      <c r="AT71" s="38">
        <f t="shared" si="5"/>
        <v>50576</v>
      </c>
      <c r="AU71" s="85">
        <v>1E-3</v>
      </c>
      <c r="AV71" s="90">
        <v>1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P72" s="38">
        <v>50575</v>
      </c>
      <c r="AQ72" s="38">
        <v>50667</v>
      </c>
      <c r="AR72" s="38">
        <v>50575</v>
      </c>
      <c r="AS72" s="38">
        <v>50667</v>
      </c>
      <c r="AT72" s="38">
        <f t="shared" si="5"/>
        <v>50668</v>
      </c>
      <c r="AU72" s="85">
        <v>1E-3</v>
      </c>
      <c r="AV72" s="90">
        <v>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P73" s="38">
        <v>50667</v>
      </c>
      <c r="AQ73" s="38">
        <v>50758</v>
      </c>
      <c r="AR73" s="38">
        <v>50667</v>
      </c>
      <c r="AS73" s="38">
        <v>50758</v>
      </c>
      <c r="AT73" s="38">
        <f t="shared" si="5"/>
        <v>50759</v>
      </c>
      <c r="AU73" s="85">
        <v>1E-3</v>
      </c>
      <c r="AV73" s="90">
        <v>1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P74" s="38">
        <v>50758</v>
      </c>
      <c r="AQ74" s="38">
        <v>50848</v>
      </c>
      <c r="AR74" s="38">
        <v>50758</v>
      </c>
      <c r="AS74" s="38">
        <v>50848</v>
      </c>
      <c r="AT74" s="38">
        <f t="shared" si="5"/>
        <v>50849</v>
      </c>
      <c r="AU74" s="85">
        <v>1E-3</v>
      </c>
      <c r="AV74" s="90">
        <v>1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P75" s="38">
        <v>50848</v>
      </c>
      <c r="AQ75" s="38">
        <v>50940</v>
      </c>
      <c r="AR75" s="38">
        <v>50848</v>
      </c>
      <c r="AS75" s="38">
        <v>50940</v>
      </c>
      <c r="AT75" s="38">
        <f t="shared" si="5"/>
        <v>50941</v>
      </c>
      <c r="AU75" s="85">
        <v>1E-3</v>
      </c>
      <c r="AV75" s="90">
        <v>1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P76" s="38">
        <v>50940</v>
      </c>
      <c r="AQ76" s="38">
        <v>51032</v>
      </c>
      <c r="AR76" s="38">
        <v>50940</v>
      </c>
      <c r="AS76" s="38">
        <v>51032</v>
      </c>
      <c r="AT76" s="38">
        <f t="shared" si="5"/>
        <v>51033</v>
      </c>
      <c r="AU76" s="85">
        <v>1E-3</v>
      </c>
      <c r="AV76" s="90">
        <v>1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P77" s="38">
        <v>51032</v>
      </c>
      <c r="AQ77" s="38">
        <v>51123</v>
      </c>
      <c r="AR77" s="38">
        <v>51032</v>
      </c>
      <c r="AS77" s="38">
        <v>51123</v>
      </c>
      <c r="AT77" s="38">
        <f t="shared" si="5"/>
        <v>51124</v>
      </c>
      <c r="AU77" s="85">
        <v>1E-3</v>
      </c>
      <c r="AV77" s="90">
        <v>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P78" s="38">
        <v>51123</v>
      </c>
      <c r="AQ78" s="38">
        <v>51214</v>
      </c>
      <c r="AR78" s="38">
        <v>51123</v>
      </c>
      <c r="AS78" s="38">
        <v>51214</v>
      </c>
      <c r="AT78" s="38">
        <f t="shared" si="5"/>
        <v>51215</v>
      </c>
      <c r="AU78" s="85">
        <v>1E-3</v>
      </c>
      <c r="AV78" s="90">
        <v>1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P79" s="38">
        <v>51214</v>
      </c>
      <c r="AQ79" s="38">
        <v>51306</v>
      </c>
      <c r="AR79" s="38">
        <v>51214</v>
      </c>
      <c r="AS79" s="38">
        <v>51306</v>
      </c>
      <c r="AT79" s="38">
        <f t="shared" ref="AT79:AT92" si="6">AS79+1</f>
        <v>51307</v>
      </c>
      <c r="AU79" s="85">
        <v>1E-3</v>
      </c>
      <c r="AV79" s="90">
        <v>1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P80" s="38">
        <v>51306</v>
      </c>
      <c r="AQ80" s="38">
        <v>51398</v>
      </c>
      <c r="AR80" s="38">
        <v>51306</v>
      </c>
      <c r="AS80" s="38">
        <v>51398</v>
      </c>
      <c r="AT80" s="38">
        <f t="shared" si="6"/>
        <v>51399</v>
      </c>
      <c r="AU80" s="85">
        <v>1E-3</v>
      </c>
      <c r="AV80" s="90">
        <v>1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P81" s="38">
        <v>51398</v>
      </c>
      <c r="AQ81" s="38">
        <v>51489</v>
      </c>
      <c r="AR81" s="38">
        <v>51398</v>
      </c>
      <c r="AS81" s="38">
        <v>51489</v>
      </c>
      <c r="AT81" s="38">
        <f t="shared" si="6"/>
        <v>51490</v>
      </c>
      <c r="AU81" s="85">
        <v>1E-3</v>
      </c>
      <c r="AV81" s="90">
        <v>1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P82" s="38">
        <v>51489</v>
      </c>
      <c r="AQ82" s="38">
        <v>51579</v>
      </c>
      <c r="AR82" s="38">
        <v>51489</v>
      </c>
      <c r="AS82" s="38">
        <v>51579</v>
      </c>
      <c r="AT82" s="38">
        <f t="shared" si="6"/>
        <v>51580</v>
      </c>
      <c r="AU82" s="85">
        <v>1E-3</v>
      </c>
      <c r="AV82" s="90">
        <v>1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P83" s="38">
        <v>51579</v>
      </c>
      <c r="AQ83" s="38">
        <v>51671</v>
      </c>
      <c r="AR83" s="38">
        <v>51579</v>
      </c>
      <c r="AS83" s="38">
        <v>51671</v>
      </c>
      <c r="AT83" s="38">
        <f t="shared" si="6"/>
        <v>51672</v>
      </c>
      <c r="AU83" s="85">
        <v>1E-3</v>
      </c>
      <c r="AV83" s="90">
        <v>1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P84" s="38">
        <v>51671</v>
      </c>
      <c r="AQ84" s="38">
        <v>51763</v>
      </c>
      <c r="AR84" s="38">
        <v>51671</v>
      </c>
      <c r="AS84" s="38">
        <v>51763</v>
      </c>
      <c r="AT84" s="38">
        <f t="shared" si="6"/>
        <v>51764</v>
      </c>
      <c r="AU84" s="85">
        <v>1E-3</v>
      </c>
      <c r="AV84" s="90">
        <v>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P85" s="38">
        <v>51763</v>
      </c>
      <c r="AQ85" s="38">
        <v>51854</v>
      </c>
      <c r="AR85" s="38">
        <v>51763</v>
      </c>
      <c r="AS85" s="38">
        <v>51854</v>
      </c>
      <c r="AT85" s="38">
        <f t="shared" si="6"/>
        <v>51855</v>
      </c>
      <c r="AU85" s="85">
        <v>1E-3</v>
      </c>
      <c r="AV85" s="90">
        <v>1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P86" s="38">
        <v>51854</v>
      </c>
      <c r="AQ86" s="38">
        <v>51944</v>
      </c>
      <c r="AR86" s="38">
        <v>51854</v>
      </c>
      <c r="AS86" s="38">
        <v>51944</v>
      </c>
      <c r="AT86" s="38">
        <f t="shared" si="6"/>
        <v>51945</v>
      </c>
      <c r="AU86" s="85">
        <v>1E-3</v>
      </c>
      <c r="AV86" s="90">
        <v>1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P87" s="38">
        <v>51944</v>
      </c>
      <c r="AQ87" s="38">
        <v>52036</v>
      </c>
      <c r="AR87" s="38">
        <v>51944</v>
      </c>
      <c r="AS87" s="38">
        <v>52036</v>
      </c>
      <c r="AT87" s="38">
        <f t="shared" si="6"/>
        <v>52037</v>
      </c>
      <c r="AU87" s="85">
        <v>1E-3</v>
      </c>
      <c r="AV87" s="90">
        <v>1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P88" s="38">
        <v>52036</v>
      </c>
      <c r="AQ88" s="38">
        <v>52128</v>
      </c>
      <c r="AR88" s="38">
        <v>52036</v>
      </c>
      <c r="AS88" s="38">
        <v>52128</v>
      </c>
      <c r="AT88" s="38">
        <f t="shared" si="6"/>
        <v>52129</v>
      </c>
      <c r="AU88" s="85">
        <v>1E-3</v>
      </c>
      <c r="AV88" s="90">
        <v>1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P89" s="38">
        <v>52128</v>
      </c>
      <c r="AQ89" s="38">
        <v>52219</v>
      </c>
      <c r="AR89" s="38">
        <v>52128</v>
      </c>
      <c r="AS89" s="38">
        <v>52219</v>
      </c>
      <c r="AT89" s="38">
        <f t="shared" si="6"/>
        <v>52220</v>
      </c>
      <c r="AU89" s="85">
        <v>1E-3</v>
      </c>
      <c r="AV89" s="90">
        <v>1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P90" s="38">
        <v>52219</v>
      </c>
      <c r="AQ90" s="38">
        <v>52309</v>
      </c>
      <c r="AR90" s="38">
        <v>52219</v>
      </c>
      <c r="AS90" s="38">
        <v>52309</v>
      </c>
      <c r="AT90" s="38">
        <f t="shared" si="6"/>
        <v>52310</v>
      </c>
      <c r="AU90" s="85">
        <v>1E-3</v>
      </c>
      <c r="AV90" s="90">
        <v>1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P91" s="38">
        <v>52309</v>
      </c>
      <c r="AQ91" s="38">
        <v>52401</v>
      </c>
      <c r="AR91" s="38">
        <v>52309</v>
      </c>
      <c r="AS91" s="38">
        <v>52401</v>
      </c>
      <c r="AT91" s="38">
        <f t="shared" si="6"/>
        <v>52402</v>
      </c>
      <c r="AU91" s="85">
        <v>1E-3</v>
      </c>
      <c r="AV91" s="90">
        <v>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P92" s="38">
        <v>52401</v>
      </c>
      <c r="AQ92" s="38">
        <v>52493</v>
      </c>
      <c r="AR92" s="38">
        <v>52401</v>
      </c>
      <c r="AS92" s="38">
        <v>52493</v>
      </c>
      <c r="AT92" s="38">
        <f t="shared" si="6"/>
        <v>52494</v>
      </c>
      <c r="AU92" s="85">
        <v>1E-3</v>
      </c>
      <c r="AV92" s="90">
        <v>1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4" t="s">
        <v>56</v>
      </c>
      <c r="B3" s="204"/>
      <c r="C3" s="204"/>
      <c r="D3" s="204"/>
      <c r="E3" s="204"/>
      <c r="G3" s="204" t="s">
        <v>76</v>
      </c>
      <c r="H3" s="204"/>
      <c r="I3" s="204"/>
      <c r="J3" s="204"/>
      <c r="K3" s="204"/>
      <c r="L3" s="13"/>
      <c r="M3" s="13"/>
      <c r="N3" s="13"/>
      <c r="P3" s="204" t="s">
        <v>77</v>
      </c>
      <c r="Q3" s="204"/>
      <c r="R3" s="204"/>
      <c r="S3" s="204"/>
      <c r="T3" s="204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91"/>
  <sheetViews>
    <sheetView tabSelected="1" zoomScale="70" zoomScaleNormal="70" workbookViewId="0">
      <selection activeCell="C9" sqref="C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7" width="16.3984375" style="89" bestFit="1" customWidth="1"/>
    <col min="8" max="8" width="13.8984375" style="89"/>
    <col min="9" max="9" width="13.8984375" style="88"/>
    <col min="10" max="10" width="13.8984375" style="49"/>
    <col min="11" max="11" width="20" style="49" bestFit="1" customWidth="1"/>
    <col min="12" max="12" width="13.8984375" style="49"/>
    <col min="13" max="13" width="13.8984375" style="61"/>
    <col min="14" max="14" width="16.3984375" style="89" bestFit="1" customWidth="1"/>
    <col min="15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5" t="s">
        <v>110</v>
      </c>
      <c r="C3" s="205"/>
      <c r="D3" s="206">
        <v>0</v>
      </c>
      <c r="E3" s="206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5" t="s">
        <v>55</v>
      </c>
      <c r="C4" s="205"/>
      <c r="D4" s="206">
        <v>10000</v>
      </c>
      <c r="E4" s="206"/>
      <c r="F4" s="13"/>
      <c r="G4" s="208" t="s">
        <v>73</v>
      </c>
      <c r="H4" s="209"/>
      <c r="I4" s="210">
        <v>11060170632.316141</v>
      </c>
      <c r="J4" s="211"/>
      <c r="K4" s="13"/>
      <c r="L4" s="63">
        <v>45194.984930555554</v>
      </c>
      <c r="M4" s="1" t="s">
        <v>5</v>
      </c>
      <c r="N4" s="98" t="s">
        <v>6</v>
      </c>
      <c r="O4" s="98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5" t="s">
        <v>30</v>
      </c>
      <c r="C5" s="205"/>
      <c r="D5" s="206">
        <v>0</v>
      </c>
      <c r="E5" s="206"/>
      <c r="F5" s="13"/>
      <c r="G5" s="208" t="s">
        <v>74</v>
      </c>
      <c r="H5" s="209"/>
      <c r="I5" s="210">
        <v>14142832716.015043</v>
      </c>
      <c r="J5" s="211"/>
      <c r="K5" s="94"/>
      <c r="L5" s="63">
        <v>45194.984942129631</v>
      </c>
      <c r="M5" s="13"/>
      <c r="N5" s="98"/>
      <c r="O5" s="98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5" t="s">
        <v>114</v>
      </c>
      <c r="C6" s="205"/>
      <c r="D6" s="206">
        <v>0</v>
      </c>
      <c r="E6" s="206"/>
      <c r="F6" s="13"/>
      <c r="G6" s="208" t="s">
        <v>105</v>
      </c>
      <c r="H6" s="209"/>
      <c r="I6" s="210">
        <v>-4929577272.5846615</v>
      </c>
      <c r="J6" s="211"/>
      <c r="K6" s="60"/>
      <c r="L6" s="23"/>
      <c r="M6" s="13"/>
      <c r="N6" s="98"/>
      <c r="O6" s="98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8" t="s">
        <v>88</v>
      </c>
      <c r="H7" s="209"/>
      <c r="I7" s="210">
        <v>1846915188.8857598</v>
      </c>
      <c r="J7" s="211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7" t="s">
        <v>61</v>
      </c>
      <c r="C10" s="207"/>
      <c r="D10" s="207"/>
      <c r="E10" s="207"/>
      <c r="F10" s="207"/>
      <c r="G10" s="207"/>
      <c r="H10" s="207"/>
      <c r="I10" s="207" t="s">
        <v>64</v>
      </c>
      <c r="J10" s="207"/>
      <c r="K10" s="207"/>
      <c r="L10" s="207"/>
      <c r="M10" s="207"/>
      <c r="N10" s="207"/>
      <c r="O10" s="207"/>
      <c r="P10" s="13"/>
      <c r="Q10" s="207" t="s">
        <v>97</v>
      </c>
      <c r="R10" s="207"/>
      <c r="S10" s="13"/>
      <c r="T10" s="13"/>
      <c r="U10" s="207" t="s">
        <v>98</v>
      </c>
      <c r="V10" s="207"/>
      <c r="W10" s="13"/>
      <c r="Y10" s="207" t="s">
        <v>99</v>
      </c>
      <c r="Z10" s="207"/>
      <c r="AA10" s="13"/>
      <c r="AB10" s="13"/>
      <c r="AC10" s="207" t="s">
        <v>100</v>
      </c>
      <c r="AD10" s="207"/>
      <c r="AE10" s="13"/>
      <c r="AF10" s="13"/>
      <c r="AG10" s="207" t="s">
        <v>101</v>
      </c>
      <c r="AH10" s="207"/>
      <c r="AI10" s="13"/>
      <c r="AJ10" s="13"/>
      <c r="AK10" s="207" t="s">
        <v>102</v>
      </c>
      <c r="AL10" s="207"/>
      <c r="AM10" s="13"/>
      <c r="AN10" s="13"/>
      <c r="AO10" s="207" t="s">
        <v>103</v>
      </c>
      <c r="AP10" s="207"/>
      <c r="AQ10" s="13"/>
      <c r="AR10" s="13"/>
      <c r="AS10" s="207" t="s">
        <v>104</v>
      </c>
      <c r="AT10" s="207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20190920</v>
      </c>
      <c r="C12" s="49">
        <v>0</v>
      </c>
      <c r="F12" s="50"/>
      <c r="G12" s="51">
        <v>0</v>
      </c>
      <c r="H12" s="51">
        <v>0.99999999999990619</v>
      </c>
      <c r="I12" s="86">
        <v>20190320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20200920</v>
      </c>
      <c r="C13" s="49">
        <v>0</v>
      </c>
      <c r="F13" s="50"/>
      <c r="G13" s="51">
        <v>0</v>
      </c>
      <c r="H13" s="51">
        <v>0.99999999999990619</v>
      </c>
      <c r="I13" s="86">
        <v>20190920</v>
      </c>
      <c r="J13" s="49">
        <v>0</v>
      </c>
      <c r="M13" s="50"/>
      <c r="N13" s="51">
        <v>0</v>
      </c>
      <c r="O13" s="51">
        <v>0.99999999999990619</v>
      </c>
      <c r="P13" s="13"/>
      <c r="Q13" s="207" t="s">
        <v>96</v>
      </c>
      <c r="R13" s="207"/>
      <c r="S13" s="66"/>
      <c r="T13" s="13"/>
      <c r="U13" s="207" t="s">
        <v>96</v>
      </c>
      <c r="V13" s="207"/>
      <c r="W13" s="66"/>
      <c r="Y13" s="207" t="s">
        <v>96</v>
      </c>
      <c r="Z13" s="207"/>
      <c r="AA13" s="66"/>
      <c r="AB13" s="13"/>
      <c r="AC13" s="207" t="s">
        <v>96</v>
      </c>
      <c r="AD13" s="207"/>
      <c r="AE13" s="66"/>
      <c r="AF13" s="13"/>
      <c r="AG13" s="207" t="s">
        <v>96</v>
      </c>
      <c r="AH13" s="207"/>
      <c r="AI13" s="66"/>
      <c r="AJ13" s="13"/>
      <c r="AK13" s="207" t="s">
        <v>96</v>
      </c>
      <c r="AL13" s="207"/>
      <c r="AM13" s="66"/>
      <c r="AN13" s="13"/>
      <c r="AO13" s="207" t="s">
        <v>96</v>
      </c>
      <c r="AP13" s="207"/>
      <c r="AQ13" s="66"/>
      <c r="AR13" s="13"/>
      <c r="AS13" s="207" t="s">
        <v>96</v>
      </c>
      <c r="AT13" s="207"/>
      <c r="AU13" s="66"/>
    </row>
    <row r="14" spans="1:47" x14ac:dyDescent="0.4">
      <c r="B14" s="86">
        <v>20210920</v>
      </c>
      <c r="C14" s="49">
        <v>0</v>
      </c>
      <c r="F14" s="50"/>
      <c r="G14" s="51">
        <v>0</v>
      </c>
      <c r="H14" s="51">
        <v>0.99999999999990619</v>
      </c>
      <c r="I14" s="86">
        <v>20200320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20220920</v>
      </c>
      <c r="C15" s="49">
        <v>0</v>
      </c>
      <c r="F15" s="50"/>
      <c r="G15" s="51">
        <v>0</v>
      </c>
      <c r="H15" s="51">
        <v>0.99999999999990619</v>
      </c>
      <c r="I15" s="86">
        <v>20200920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20230920</v>
      </c>
      <c r="C16" s="49">
        <v>3.0399999999995049E-2</v>
      </c>
      <c r="F16" s="50"/>
      <c r="G16" s="51">
        <v>771000000</v>
      </c>
      <c r="H16" s="51">
        <v>0.99881420306478785</v>
      </c>
      <c r="I16" s="86">
        <v>20210320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20240920</v>
      </c>
      <c r="C17" s="49">
        <v>3.9833458382984896E-2</v>
      </c>
      <c r="F17" s="50"/>
      <c r="G17" s="51">
        <v>771000000</v>
      </c>
      <c r="H17" s="51">
        <v>0.96044982930052714</v>
      </c>
      <c r="I17" s="86">
        <v>20210920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20250920</v>
      </c>
      <c r="C18" s="49">
        <v>3.8817005368937507E-2</v>
      </c>
      <c r="F18" s="50"/>
      <c r="G18" s="51">
        <v>771000000</v>
      </c>
      <c r="H18" s="51">
        <v>0.92466796626416614</v>
      </c>
      <c r="I18" s="86">
        <v>20220320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20260920</v>
      </c>
      <c r="C19" s="49">
        <v>3.7823618434692577E-2</v>
      </c>
      <c r="F19" s="50"/>
      <c r="G19" s="51">
        <v>771000000</v>
      </c>
      <c r="H19" s="51">
        <v>0.89118941322836942</v>
      </c>
      <c r="I19" s="86">
        <v>20220920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20270920</v>
      </c>
      <c r="C20" s="49">
        <v>3.8303446755880322E-2</v>
      </c>
      <c r="F20" s="50"/>
      <c r="G20" s="52">
        <v>771000000</v>
      </c>
      <c r="H20" s="51">
        <v>0.85875105525784812</v>
      </c>
      <c r="I20" s="86">
        <v>20230320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20280920</v>
      </c>
      <c r="C21" s="49">
        <v>3.7612791296581197E-2</v>
      </c>
      <c r="F21" s="50"/>
      <c r="G21" s="52">
        <v>771000000</v>
      </c>
      <c r="H21" s="51">
        <v>0.82797128729759073</v>
      </c>
      <c r="I21" s="86">
        <v>20230920</v>
      </c>
      <c r="J21" s="49">
        <v>3.9140000000005316E-2</v>
      </c>
      <c r="M21" s="50"/>
      <c r="N21" s="52">
        <v>346172054.79447496</v>
      </c>
      <c r="O21" s="51">
        <v>0.99881420306478785</v>
      </c>
      <c r="P21" s="13"/>
      <c r="T21" s="13"/>
    </row>
    <row r="22" spans="1:20" x14ac:dyDescent="0.4">
      <c r="B22" s="86">
        <v>20290920</v>
      </c>
      <c r="C22" s="49">
        <v>3.8175072955726377E-2</v>
      </c>
      <c r="F22" s="50"/>
      <c r="G22" s="52">
        <v>771000000</v>
      </c>
      <c r="H22" s="51">
        <v>0.79799564909760412</v>
      </c>
      <c r="I22" s="86">
        <v>20240320</v>
      </c>
      <c r="J22" s="49">
        <v>3.7530229507166404E-2</v>
      </c>
      <c r="M22" s="50"/>
      <c r="N22" s="52">
        <v>342409315.06850255</v>
      </c>
      <c r="O22" s="51">
        <v>0.97983013679152797</v>
      </c>
      <c r="P22" s="13"/>
      <c r="T22" s="13"/>
    </row>
    <row r="23" spans="1:20" x14ac:dyDescent="0.4">
      <c r="B23" s="86">
        <v>20300920</v>
      </c>
      <c r="C23" s="49">
        <v>3.8180719220285597E-2</v>
      </c>
      <c r="F23" s="50"/>
      <c r="G23" s="52">
        <v>771000000</v>
      </c>
      <c r="H23" s="51">
        <v>0.76918727988736035</v>
      </c>
      <c r="I23" s="86">
        <v>20240920</v>
      </c>
      <c r="J23" s="49">
        <v>4.0071810060412431E-2</v>
      </c>
      <c r="M23" s="50"/>
      <c r="N23" s="52">
        <v>346172054.79447496</v>
      </c>
      <c r="O23" s="51">
        <v>0.96039999087902506</v>
      </c>
      <c r="P23" s="13"/>
      <c r="T23" s="13"/>
    </row>
    <row r="24" spans="1:20" x14ac:dyDescent="0.4">
      <c r="B24" s="86">
        <v>20310920</v>
      </c>
      <c r="C24" s="49">
        <v>3.8719351295130967E-2</v>
      </c>
      <c r="F24" s="50"/>
      <c r="G24" s="52">
        <v>771000000</v>
      </c>
      <c r="H24" s="51">
        <v>0.74090195475409726</v>
      </c>
      <c r="I24" s="86">
        <v>20250320</v>
      </c>
      <c r="J24" s="49">
        <v>3.855761510683265E-2</v>
      </c>
      <c r="M24" s="50"/>
      <c r="N24" s="52">
        <v>340527945.20552433</v>
      </c>
      <c r="O24" s="51">
        <v>0.9424002852583151</v>
      </c>
      <c r="P24" s="13"/>
      <c r="T24" s="13"/>
    </row>
    <row r="25" spans="1:20" x14ac:dyDescent="0.4">
      <c r="B25" s="86">
        <v>20320920</v>
      </c>
      <c r="C25" s="49">
        <v>3.8852393334641064E-2</v>
      </c>
      <c r="F25" s="50"/>
      <c r="G25" s="52">
        <v>771000000</v>
      </c>
      <c r="H25" s="51">
        <v>0.71362208028857976</v>
      </c>
      <c r="I25" s="86">
        <v>20250920</v>
      </c>
      <c r="J25" s="49">
        <v>3.8246220468362825E-2</v>
      </c>
      <c r="M25" s="50"/>
      <c r="N25" s="52">
        <v>346172054.79447496</v>
      </c>
      <c r="O25" s="51">
        <v>0.92459344367517926</v>
      </c>
      <c r="P25" s="13"/>
      <c r="T25" s="13"/>
    </row>
    <row r="26" spans="1:20" x14ac:dyDescent="0.4">
      <c r="B26" s="86">
        <v>20330920</v>
      </c>
      <c r="C26" s="49">
        <v>3.8988666170296581E-2</v>
      </c>
      <c r="F26" s="50"/>
      <c r="G26" s="52">
        <v>771000000</v>
      </c>
      <c r="H26" s="51">
        <v>0.68743062053066006</v>
      </c>
      <c r="I26" s="86">
        <v>20260320</v>
      </c>
      <c r="J26" s="49">
        <v>3.7609878445799994E-2</v>
      </c>
      <c r="M26" s="50"/>
      <c r="N26" s="52">
        <v>340527945.20552433</v>
      </c>
      <c r="O26" s="51">
        <v>0.90775083934351863</v>
      </c>
      <c r="P26" s="13"/>
      <c r="T26" s="13"/>
    </row>
    <row r="27" spans="1:20" x14ac:dyDescent="0.4">
      <c r="B27" s="86">
        <v>20340920</v>
      </c>
      <c r="C27" s="49">
        <v>3.9267487079733293E-2</v>
      </c>
      <c r="F27" s="50"/>
      <c r="G27" s="52">
        <v>771000000</v>
      </c>
      <c r="H27" s="51">
        <v>0.66205858149682473</v>
      </c>
      <c r="I27" s="86">
        <v>20260920</v>
      </c>
      <c r="J27" s="49">
        <v>3.6886003531727857E-2</v>
      </c>
      <c r="M27" s="50"/>
      <c r="N27" s="52">
        <v>346172054.79447496</v>
      </c>
      <c r="O27" s="51">
        <v>0.89128235302489622</v>
      </c>
      <c r="P27" s="13"/>
      <c r="T27" s="13"/>
    </row>
    <row r="28" spans="1:20" x14ac:dyDescent="0.4">
      <c r="B28" s="86">
        <v>20350920</v>
      </c>
      <c r="C28" s="49">
        <v>3.9297784616872646E-2</v>
      </c>
      <c r="F28" s="50"/>
      <c r="G28" s="52">
        <v>771000000</v>
      </c>
      <c r="H28" s="51">
        <v>0.63758098883815995</v>
      </c>
      <c r="I28" s="86">
        <v>20270320</v>
      </c>
      <c r="J28" s="49">
        <v>3.776036712076776E-2</v>
      </c>
      <c r="M28" s="50"/>
      <c r="N28" s="52">
        <v>340527945.20552433</v>
      </c>
      <c r="O28" s="51">
        <v>0.87492115374516055</v>
      </c>
      <c r="P28" s="13"/>
      <c r="T28" s="13"/>
    </row>
    <row r="29" spans="1:20" x14ac:dyDescent="0.4">
      <c r="B29" s="86">
        <v>20360920</v>
      </c>
      <c r="C29" s="49">
        <v>3.8715452066246624E-2</v>
      </c>
      <c r="F29" s="50"/>
      <c r="G29" s="52">
        <v>771000000</v>
      </c>
      <c r="H29" s="51">
        <v>0.61428560792202314</v>
      </c>
      <c r="I29" s="86">
        <v>20270920</v>
      </c>
      <c r="J29" s="49">
        <v>3.7624110534635068E-2</v>
      </c>
      <c r="M29" s="50"/>
      <c r="N29" s="52">
        <v>346172054.79447496</v>
      </c>
      <c r="O29" s="51">
        <v>0.85870724462710057</v>
      </c>
      <c r="P29" s="13"/>
      <c r="T29" s="13"/>
    </row>
    <row r="30" spans="1:20" x14ac:dyDescent="0.4">
      <c r="A30" s="91"/>
      <c r="B30" s="86">
        <v>20370920</v>
      </c>
      <c r="C30" s="49">
        <v>3.8754574401329872E-2</v>
      </c>
      <c r="F30" s="50"/>
      <c r="G30" s="52">
        <v>771000000</v>
      </c>
      <c r="H30" s="51">
        <v>0.59189240776091034</v>
      </c>
      <c r="I30" s="86">
        <v>20280320</v>
      </c>
      <c r="J30" s="49">
        <v>3.7076048761448356E-2</v>
      </c>
      <c r="M30" s="50"/>
      <c r="N30" s="52">
        <v>342409315.06850255</v>
      </c>
      <c r="O30" s="51">
        <v>0.84320926491826576</v>
      </c>
      <c r="P30" s="92"/>
      <c r="T30" s="13"/>
    </row>
    <row r="31" spans="1:20" x14ac:dyDescent="0.4">
      <c r="A31" s="91"/>
      <c r="B31" s="86">
        <v>20380920</v>
      </c>
      <c r="C31" s="49">
        <v>3.8777984272021247E-2</v>
      </c>
      <c r="F31" s="50"/>
      <c r="G31" s="52">
        <v>771000000</v>
      </c>
      <c r="H31" s="51">
        <v>0.57034344058046682</v>
      </c>
      <c r="I31" s="86">
        <v>20280920</v>
      </c>
      <c r="J31" s="49">
        <v>3.677162285460385E-2</v>
      </c>
      <c r="M31" s="50"/>
      <c r="N31" s="52">
        <v>346172054.79447496</v>
      </c>
      <c r="O31" s="51">
        <v>0.82793233612755679</v>
      </c>
      <c r="P31" s="92"/>
      <c r="T31" s="13"/>
    </row>
    <row r="32" spans="1:20" x14ac:dyDescent="0.4">
      <c r="A32" s="91"/>
      <c r="B32" s="86">
        <v>20390920</v>
      </c>
      <c r="C32" s="49">
        <v>3.5924099887005095E-2</v>
      </c>
      <c r="F32" s="50"/>
      <c r="G32" s="52">
        <v>771000000</v>
      </c>
      <c r="H32" s="51">
        <v>0.55117740227192569</v>
      </c>
      <c r="I32" s="86">
        <v>20281220</v>
      </c>
      <c r="J32" s="49">
        <v>3.7472229674255772E-2</v>
      </c>
      <c r="M32" s="50"/>
      <c r="N32" s="52">
        <v>287751197.28964156</v>
      </c>
      <c r="O32" s="51">
        <v>0.82031425755159604</v>
      </c>
      <c r="P32" s="92"/>
      <c r="T32" s="13"/>
    </row>
    <row r="33" spans="1:20" x14ac:dyDescent="0.4">
      <c r="A33" s="91"/>
      <c r="B33" s="86">
        <v>20400920</v>
      </c>
      <c r="C33" s="49">
        <v>3.5552822044028459E-2</v>
      </c>
      <c r="F33" s="50"/>
      <c r="G33" s="52">
        <v>771000000</v>
      </c>
      <c r="H33" s="51">
        <v>0.53284620925106541</v>
      </c>
      <c r="I33" s="86">
        <v>20290320</v>
      </c>
      <c r="J33" s="49">
        <v>3.7506826897259024E-2</v>
      </c>
      <c r="M33" s="50"/>
      <c r="N33" s="52">
        <v>284845020.88383269</v>
      </c>
      <c r="O33" s="51">
        <v>0.81287048538652662</v>
      </c>
      <c r="P33" s="92"/>
      <c r="T33" s="13"/>
    </row>
    <row r="34" spans="1:20" x14ac:dyDescent="0.4">
      <c r="A34" s="91"/>
      <c r="B34" s="87">
        <v>20410920</v>
      </c>
      <c r="C34" s="49">
        <v>3.5144718965452328E-2</v>
      </c>
      <c r="G34" s="89">
        <v>771000000</v>
      </c>
      <c r="H34" s="89">
        <v>0.51539322280436528</v>
      </c>
      <c r="I34" s="88">
        <v>20290620</v>
      </c>
      <c r="J34" s="49">
        <v>3.7305792344322242E-2</v>
      </c>
      <c r="N34" s="89">
        <v>289654758.54884607</v>
      </c>
      <c r="O34" s="89">
        <v>0.80538942806331837</v>
      </c>
      <c r="P34" s="93"/>
    </row>
    <row r="35" spans="1:20" x14ac:dyDescent="0.4">
      <c r="A35" s="91"/>
      <c r="B35" s="87">
        <v>20420920</v>
      </c>
      <c r="C35" s="49">
        <v>3.4816275147353595E-2</v>
      </c>
      <c r="G35" s="89">
        <v>771000000</v>
      </c>
      <c r="H35" s="89">
        <v>0.49866859817816117</v>
      </c>
      <c r="I35" s="88">
        <v>20290920</v>
      </c>
      <c r="J35" s="49">
        <v>3.717539705815049E-2</v>
      </c>
      <c r="N35" s="89">
        <v>288668755.83697313</v>
      </c>
      <c r="O35" s="89">
        <v>0.79797259608905013</v>
      </c>
      <c r="P35" s="93"/>
    </row>
    <row r="36" spans="1:20" x14ac:dyDescent="0.4">
      <c r="A36" s="91"/>
      <c r="I36" s="88">
        <v>20291220</v>
      </c>
      <c r="J36" s="49">
        <v>3.739261334765203E-2</v>
      </c>
      <c r="N36" s="89">
        <v>287155710.79202598</v>
      </c>
      <c r="O36" s="89">
        <v>0.79063903965065718</v>
      </c>
      <c r="P36" s="93"/>
    </row>
    <row r="37" spans="1:20" x14ac:dyDescent="0.4">
      <c r="A37" s="91"/>
      <c r="I37" s="88">
        <v>20300320</v>
      </c>
      <c r="J37" s="49">
        <v>3.7398675411124328E-2</v>
      </c>
      <c r="N37" s="89">
        <v>284044996.1918776</v>
      </c>
      <c r="O37" s="89">
        <v>0.7834442847184524</v>
      </c>
      <c r="P37" s="93"/>
    </row>
    <row r="38" spans="1:20" x14ac:dyDescent="0.4">
      <c r="A38" s="91"/>
      <c r="I38" s="88">
        <v>20300620</v>
      </c>
      <c r="J38" s="49">
        <v>3.7351662091809006E-2</v>
      </c>
      <c r="N38" s="89">
        <v>290001609.24217123</v>
      </c>
      <c r="O38" s="89">
        <v>0.77617526553895777</v>
      </c>
      <c r="P38" s="93"/>
    </row>
    <row r="39" spans="1:20" x14ac:dyDescent="0.4">
      <c r="A39" s="91"/>
      <c r="I39" s="88">
        <v>20300920</v>
      </c>
      <c r="J39" s="49">
        <v>3.7453800923351689E-2</v>
      </c>
      <c r="N39" s="89">
        <v>290773946.70808262</v>
      </c>
      <c r="O39" s="89">
        <v>0.76894688358723262</v>
      </c>
      <c r="P39" s="93"/>
    </row>
    <row r="40" spans="1:20" x14ac:dyDescent="0.4">
      <c r="A40" s="91"/>
      <c r="I40" s="88">
        <v>20301220</v>
      </c>
      <c r="J40" s="49">
        <v>3.7852137483877377E-2</v>
      </c>
      <c r="N40" s="89">
        <v>290592699.53694654</v>
      </c>
      <c r="O40" s="89">
        <v>0.76180467229832316</v>
      </c>
      <c r="P40" s="93"/>
    </row>
    <row r="41" spans="1:20" x14ac:dyDescent="0.4">
      <c r="A41" s="91"/>
      <c r="I41" s="88">
        <v>20310320</v>
      </c>
      <c r="J41" s="49">
        <v>3.7971048849518046E-2</v>
      </c>
      <c r="N41" s="89">
        <v>288278991.48958433</v>
      </c>
      <c r="O41" s="89">
        <v>0.75479523542803728</v>
      </c>
      <c r="P41" s="93"/>
    </row>
    <row r="42" spans="1:20" x14ac:dyDescent="0.4">
      <c r="A42" s="91"/>
      <c r="I42" s="88">
        <v>20310620</v>
      </c>
      <c r="J42" s="49">
        <v>3.7959309146931026E-2</v>
      </c>
      <c r="N42" s="89">
        <v>294596419.85076809</v>
      </c>
      <c r="O42" s="89">
        <v>0.74772240408337221</v>
      </c>
      <c r="P42" s="93"/>
    </row>
    <row r="43" spans="1:20" x14ac:dyDescent="0.4">
      <c r="A43" s="91"/>
      <c r="I43" s="88">
        <v>20310920</v>
      </c>
      <c r="J43" s="49">
        <v>3.7950536467463672E-2</v>
      </c>
      <c r="N43" s="89">
        <v>294530083.97315168</v>
      </c>
      <c r="O43" s="89">
        <v>0.74071380510959839</v>
      </c>
      <c r="P43" s="93"/>
    </row>
    <row r="44" spans="1:20" x14ac:dyDescent="0.4">
      <c r="A44" s="91"/>
      <c r="I44" s="88">
        <v>20311220</v>
      </c>
      <c r="J44" s="49">
        <v>3.794888686224699E-2</v>
      </c>
      <c r="N44" s="89">
        <v>291316331.87379181</v>
      </c>
      <c r="O44" s="89">
        <v>0.7338447500290135</v>
      </c>
      <c r="P44" s="93"/>
    </row>
    <row r="45" spans="1:20" x14ac:dyDescent="0.4">
      <c r="A45" s="91"/>
      <c r="I45" s="88">
        <v>20320320</v>
      </c>
      <c r="J45" s="49">
        <v>3.7958190033218549E-2</v>
      </c>
      <c r="N45" s="89">
        <v>291385914.49503106</v>
      </c>
      <c r="O45" s="89">
        <v>0.72704448029578339</v>
      </c>
      <c r="P45" s="93"/>
    </row>
    <row r="46" spans="1:20" x14ac:dyDescent="0.4">
      <c r="A46" s="91"/>
      <c r="I46" s="88">
        <v>20320620</v>
      </c>
      <c r="J46" s="49">
        <v>3.7985610910531757E-2</v>
      </c>
      <c r="N46" s="89">
        <v>294795304.41936433</v>
      </c>
      <c r="O46" s="89">
        <v>0.72023217493461178</v>
      </c>
      <c r="P46" s="93"/>
    </row>
    <row r="47" spans="1:20" x14ac:dyDescent="0.4">
      <c r="A47" s="91"/>
      <c r="I47" s="88">
        <v>20320920</v>
      </c>
      <c r="J47" s="49">
        <v>3.8013753417140646E-2</v>
      </c>
      <c r="N47" s="89">
        <v>295008108.03098089</v>
      </c>
      <c r="O47" s="89">
        <v>0.71348116503478731</v>
      </c>
      <c r="P47" s="93"/>
    </row>
    <row r="48" spans="1:20" x14ac:dyDescent="0.4">
      <c r="A48" s="91"/>
      <c r="I48" s="88">
        <v>20321220</v>
      </c>
      <c r="J48" s="49">
        <v>3.804603057807987E-2</v>
      </c>
      <c r="N48" s="89">
        <v>292042913.63878947</v>
      </c>
      <c r="O48" s="89">
        <v>0.70686363350154391</v>
      </c>
      <c r="P48" s="93"/>
    </row>
    <row r="49" spans="1:16" x14ac:dyDescent="0.4">
      <c r="A49" s="91"/>
      <c r="I49" s="88">
        <v>20330320</v>
      </c>
      <c r="J49" s="49">
        <v>3.8118075823620513E-2</v>
      </c>
      <c r="N49" s="89">
        <v>289366588.28431678</v>
      </c>
      <c r="O49" s="89">
        <v>0.7003622261066319</v>
      </c>
      <c r="P49" s="93"/>
    </row>
    <row r="50" spans="1:16" x14ac:dyDescent="0.4">
      <c r="A50" s="91"/>
      <c r="I50" s="88">
        <v>20330620</v>
      </c>
      <c r="J50" s="49">
        <v>3.8075842917884004E-2</v>
      </c>
      <c r="N50" s="89">
        <v>295477606.72153354</v>
      </c>
      <c r="O50" s="89">
        <v>0.69379738052898932</v>
      </c>
      <c r="P50" s="93"/>
    </row>
    <row r="51" spans="1:16" x14ac:dyDescent="0.4">
      <c r="A51" s="91"/>
      <c r="I51" s="88">
        <v>20330920</v>
      </c>
      <c r="J51" s="49">
        <v>3.811314866654672E-2</v>
      </c>
      <c r="N51" s="89">
        <v>295759699.50594109</v>
      </c>
      <c r="O51" s="89">
        <v>0.68727887072985316</v>
      </c>
      <c r="P51" s="93"/>
    </row>
    <row r="52" spans="1:16" x14ac:dyDescent="0.4">
      <c r="I52" s="88">
        <v>20331220</v>
      </c>
      <c r="J52" s="49">
        <v>3.8270914663931219E-2</v>
      </c>
      <c r="N52" s="89">
        <v>293724923.37679952</v>
      </c>
      <c r="O52" s="89">
        <v>0.68086629115613007</v>
      </c>
    </row>
    <row r="53" spans="1:16" x14ac:dyDescent="0.4">
      <c r="I53" s="88">
        <v>20340320</v>
      </c>
      <c r="J53" s="49">
        <v>3.8296825181767108E-2</v>
      </c>
      <c r="N53" s="89">
        <v>290688843.81033313</v>
      </c>
      <c r="O53" s="89">
        <v>0.67456558723613791</v>
      </c>
    </row>
    <row r="54" spans="1:16" x14ac:dyDescent="0.4">
      <c r="I54" s="88">
        <v>20340620</v>
      </c>
      <c r="J54" s="49">
        <v>3.8391606004092825E-2</v>
      </c>
      <c r="N54" s="89">
        <v>297865294.71588105</v>
      </c>
      <c r="O54" s="89">
        <v>0.66817152473311325</v>
      </c>
    </row>
    <row r="55" spans="1:16" x14ac:dyDescent="0.4">
      <c r="I55" s="88">
        <v>20340920</v>
      </c>
      <c r="J55" s="49">
        <v>3.834983683107325E-2</v>
      </c>
      <c r="N55" s="89">
        <v>297549451.10619789</v>
      </c>
      <c r="O55" s="89">
        <v>0.66185789096344239</v>
      </c>
    </row>
    <row r="56" spans="1:16" x14ac:dyDescent="0.4">
      <c r="I56" s="88">
        <v>20341220</v>
      </c>
      <c r="J56" s="49">
        <v>3.8295113916426433E-2</v>
      </c>
      <c r="N56" s="89">
        <v>293905920.52559835</v>
      </c>
      <c r="O56" s="89">
        <v>0.65567021732622588</v>
      </c>
    </row>
    <row r="57" spans="1:16" x14ac:dyDescent="0.4">
      <c r="I57" s="88">
        <v>20350320</v>
      </c>
      <c r="J57" s="49">
        <v>3.8246854137817442E-2</v>
      </c>
      <c r="N57" s="89">
        <v>290319194.99207556</v>
      </c>
      <c r="O57" s="89">
        <v>0.64960351191599797</v>
      </c>
    </row>
    <row r="58" spans="1:16" x14ac:dyDescent="0.4">
      <c r="I58" s="88">
        <v>20350620</v>
      </c>
      <c r="J58" s="49">
        <v>3.8372990249065868E-2</v>
      </c>
      <c r="N58" s="89">
        <v>297724529.00663632</v>
      </c>
      <c r="O58" s="89">
        <v>0.64343140555991496</v>
      </c>
    </row>
    <row r="59" spans="1:16" x14ac:dyDescent="0.4">
      <c r="I59" s="88">
        <v>20350920</v>
      </c>
      <c r="J59" s="49">
        <v>3.831773909126121E-2</v>
      </c>
      <c r="N59" s="89">
        <v>297306739.42980969</v>
      </c>
      <c r="O59" s="89">
        <v>0.63734399978492662</v>
      </c>
    </row>
    <row r="60" spans="1:16" x14ac:dyDescent="0.4">
      <c r="I60" s="88">
        <v>20351220</v>
      </c>
      <c r="J60" s="49">
        <v>3.7722674297214882E-2</v>
      </c>
      <c r="N60" s="89">
        <v>289624385.83944333</v>
      </c>
      <c r="O60" s="89">
        <v>0.63147073082801564</v>
      </c>
    </row>
    <row r="61" spans="1:16" x14ac:dyDescent="0.4">
      <c r="I61" s="88">
        <v>20360320</v>
      </c>
      <c r="J61" s="49">
        <v>3.7785967655905299E-2</v>
      </c>
      <c r="N61" s="89">
        <v>290097785.48115432</v>
      </c>
      <c r="O61" s="89">
        <v>0.62563782777324128</v>
      </c>
    </row>
    <row r="62" spans="1:16" x14ac:dyDescent="0.4">
      <c r="I62" s="88">
        <v>20360620</v>
      </c>
      <c r="J62" s="49">
        <v>3.7883783773601507E-2</v>
      </c>
      <c r="N62" s="89">
        <v>294025323.87709689</v>
      </c>
      <c r="O62" s="89">
        <v>0.61979235084769135</v>
      </c>
    </row>
    <row r="63" spans="1:16" x14ac:dyDescent="0.4">
      <c r="I63" s="88">
        <v>20360920</v>
      </c>
      <c r="J63" s="49">
        <v>3.7757196233783472E-2</v>
      </c>
      <c r="N63" s="89">
        <v>293068113.9869653</v>
      </c>
      <c r="O63" s="89">
        <v>0.61403706948797587</v>
      </c>
    </row>
    <row r="64" spans="1:16" x14ac:dyDescent="0.4">
      <c r="I64" s="88">
        <v>20361220</v>
      </c>
      <c r="J64" s="49">
        <v>3.7743566494288693E-2</v>
      </c>
      <c r="N64" s="89">
        <v>289780648.02577502</v>
      </c>
      <c r="O64" s="89">
        <v>0.60838048140319589</v>
      </c>
    </row>
    <row r="65" spans="9:15" x14ac:dyDescent="0.4">
      <c r="I65" s="88">
        <v>20370320</v>
      </c>
      <c r="J65" s="49">
        <v>3.7802166025504479E-2</v>
      </c>
      <c r="N65" s="89">
        <v>287029721.28455275</v>
      </c>
      <c r="O65" s="89">
        <v>0.60282807205255773</v>
      </c>
    </row>
    <row r="66" spans="9:15" x14ac:dyDescent="0.4">
      <c r="I66" s="88">
        <v>20370620</v>
      </c>
      <c r="J66" s="49">
        <v>3.7830637068269883E-2</v>
      </c>
      <c r="N66" s="89">
        <v>293623447.42034566</v>
      </c>
      <c r="O66" s="89">
        <v>0.59721228127084425</v>
      </c>
    </row>
    <row r="67" spans="9:15" x14ac:dyDescent="0.4">
      <c r="I67" s="88">
        <v>20370920</v>
      </c>
      <c r="J67" s="49">
        <v>3.7886871262436665E-2</v>
      </c>
      <c r="N67" s="89">
        <v>294048670.3680141</v>
      </c>
      <c r="O67" s="89">
        <v>0.59164603874308863</v>
      </c>
    </row>
    <row r="68" spans="9:15" x14ac:dyDescent="0.4">
      <c r="I68" s="88">
        <v>20371220</v>
      </c>
      <c r="J68" s="49">
        <v>3.7845958967831814E-2</v>
      </c>
      <c r="N68" s="89">
        <v>290546487.6224125</v>
      </c>
      <c r="O68" s="89">
        <v>0.58620595665843078</v>
      </c>
    </row>
    <row r="69" spans="9:15" x14ac:dyDescent="0.4">
      <c r="I69" s="88">
        <v>20380320</v>
      </c>
      <c r="J69" s="49">
        <v>3.7788066025738795E-2</v>
      </c>
      <c r="N69" s="89">
        <v>286925419.91642386</v>
      </c>
      <c r="O69" s="89">
        <v>0.58087764585820478</v>
      </c>
    </row>
    <row r="70" spans="9:15" x14ac:dyDescent="0.4">
      <c r="I70" s="88">
        <v>20380620</v>
      </c>
      <c r="J70" s="49">
        <v>3.7920055600648962E-2</v>
      </c>
      <c r="N70" s="89">
        <v>294299598.51449579</v>
      </c>
      <c r="O70" s="89">
        <v>0.5754582649369856</v>
      </c>
    </row>
    <row r="71" spans="9:15" x14ac:dyDescent="0.4">
      <c r="I71" s="88">
        <v>20380920</v>
      </c>
      <c r="J71" s="49">
        <v>3.7629984192873854E-2</v>
      </c>
      <c r="N71" s="89">
        <v>292106181.84200472</v>
      </c>
      <c r="O71" s="89">
        <v>0.57014900119476797</v>
      </c>
    </row>
    <row r="72" spans="9:15" x14ac:dyDescent="0.4">
      <c r="I72" s="88">
        <v>20381220</v>
      </c>
      <c r="J72" s="49">
        <v>3.5098479847674467E-2</v>
      </c>
      <c r="N72" s="89">
        <v>269996849.27164841</v>
      </c>
      <c r="O72" s="89">
        <v>0.56531060529961941</v>
      </c>
    </row>
    <row r="73" spans="9:15" x14ac:dyDescent="0.4">
      <c r="I73" s="88">
        <v>20390320</v>
      </c>
      <c r="J73" s="49">
        <v>3.4952623737040618E-2</v>
      </c>
      <c r="N73" s="89">
        <v>265950915.31509599</v>
      </c>
      <c r="O73" s="89">
        <v>0.56057073615645714</v>
      </c>
    </row>
    <row r="74" spans="9:15" x14ac:dyDescent="0.4">
      <c r="I74" s="88">
        <v>20390620</v>
      </c>
      <c r="J74" s="49">
        <v>3.4758701504615838E-2</v>
      </c>
      <c r="N74" s="89">
        <v>270394564.80202645</v>
      </c>
      <c r="O74" s="89">
        <v>0.55578735470226603</v>
      </c>
    </row>
    <row r="75" spans="9:15" x14ac:dyDescent="0.4">
      <c r="I75" s="88">
        <v>20390920</v>
      </c>
      <c r="J75" s="49">
        <v>3.4773076979359087E-2</v>
      </c>
      <c r="N75" s="89">
        <v>270503267.02200371</v>
      </c>
      <c r="O75" s="89">
        <v>0.55102891325927039</v>
      </c>
    </row>
    <row r="76" spans="9:15" x14ac:dyDescent="0.4">
      <c r="I76" s="88">
        <v>20391220</v>
      </c>
      <c r="J76" s="49">
        <v>3.4711647577808015E-2</v>
      </c>
      <c r="N76" s="89">
        <v>267103555.85593447</v>
      </c>
      <c r="O76" s="89">
        <v>0.54638631776120528</v>
      </c>
    </row>
    <row r="77" spans="9:15" x14ac:dyDescent="0.4">
      <c r="I77" s="88">
        <v>20400320</v>
      </c>
      <c r="J77" s="49">
        <v>3.4586457597731872E-2</v>
      </c>
      <c r="N77" s="89">
        <v>266167203.40221453</v>
      </c>
      <c r="O77" s="89">
        <v>0.54180502887403392</v>
      </c>
    </row>
    <row r="78" spans="9:15" x14ac:dyDescent="0.4">
      <c r="I78" s="88">
        <v>20400620</v>
      </c>
      <c r="J78" s="49">
        <v>3.4477639341353492E-2</v>
      </c>
      <c r="N78" s="89">
        <v>268269272.82777053</v>
      </c>
      <c r="O78" s="89">
        <v>0.53722458485782032</v>
      </c>
    </row>
    <row r="79" spans="9:15" x14ac:dyDescent="0.4">
      <c r="I79" s="88">
        <v>20400920</v>
      </c>
      <c r="J79" s="49">
        <v>3.4392544658081524E-2</v>
      </c>
      <c r="N79" s="89">
        <v>267625817.14056146</v>
      </c>
      <c r="O79" s="89">
        <v>0.53269258207812753</v>
      </c>
    </row>
    <row r="80" spans="9:15" x14ac:dyDescent="0.4">
      <c r="I80" s="88">
        <v>20401220</v>
      </c>
      <c r="J80" s="49">
        <v>3.4295371332459031E-2</v>
      </c>
      <c r="N80" s="89">
        <v>263990037.63729531</v>
      </c>
      <c r="O80" s="89">
        <v>0.52826178179907324</v>
      </c>
    </row>
    <row r="81" spans="9:15" x14ac:dyDescent="0.4">
      <c r="I81" s="88">
        <v>20410320</v>
      </c>
      <c r="J81" s="49">
        <v>3.4199923665037484E-2</v>
      </c>
      <c r="N81" s="89">
        <v>260382996.97424936</v>
      </c>
      <c r="O81" s="89">
        <v>0.52392850578570693</v>
      </c>
    </row>
    <row r="82" spans="9:15" x14ac:dyDescent="0.4">
      <c r="I82" s="88">
        <v>20410620</v>
      </c>
      <c r="J82" s="49">
        <v>3.4072045908594667E-2</v>
      </c>
      <c r="N82" s="89">
        <v>265202319.74718198</v>
      </c>
      <c r="O82" s="89">
        <v>0.51955382922993865</v>
      </c>
    </row>
    <row r="83" spans="9:15" x14ac:dyDescent="0.4">
      <c r="I83" s="88">
        <v>20410920</v>
      </c>
      <c r="J83" s="49">
        <v>3.4042054358067224E-2</v>
      </c>
      <c r="N83" s="89">
        <v>264975534.32401317</v>
      </c>
      <c r="O83" s="89">
        <v>0.51521531388055031</v>
      </c>
    </row>
    <row r="84" spans="9:15" x14ac:dyDescent="0.4">
      <c r="I84" s="88">
        <v>20411220</v>
      </c>
      <c r="J84" s="49">
        <v>3.3959496626617597E-2</v>
      </c>
      <c r="N84" s="89">
        <v>261477878.87853563</v>
      </c>
      <c r="O84" s="89">
        <v>0.5109786805346388</v>
      </c>
    </row>
    <row r="85" spans="9:15" x14ac:dyDescent="0.4">
      <c r="I85" s="88">
        <v>20420320</v>
      </c>
      <c r="J85" s="49">
        <v>3.3788752655231923E-2</v>
      </c>
      <c r="N85" s="89">
        <v>257341457.99760681</v>
      </c>
      <c r="O85" s="89">
        <v>0.50684643179426714</v>
      </c>
    </row>
    <row r="86" spans="9:15" x14ac:dyDescent="0.4">
      <c r="I86" s="88">
        <v>20420620</v>
      </c>
      <c r="J86" s="49">
        <v>3.37537448843232E-2</v>
      </c>
      <c r="N86" s="89">
        <v>262795440.76912996</v>
      </c>
      <c r="O86" s="89">
        <v>0.50265282758200414</v>
      </c>
    </row>
    <row r="87" spans="9:15" x14ac:dyDescent="0.4">
      <c r="I87" s="88">
        <v>20420920</v>
      </c>
      <c r="J87" s="49">
        <v>3.3719692939589443E-2</v>
      </c>
      <c r="N87" s="89">
        <v>262537952.09114414</v>
      </c>
      <c r="O87" s="89">
        <v>0.49850587561926518</v>
      </c>
    </row>
    <row r="88" spans="9:15" x14ac:dyDescent="0.4">
      <c r="I88" s="88">
        <v>20421220</v>
      </c>
      <c r="J88" s="49">
        <v>3.3622292033866213E-2</v>
      </c>
      <c r="N88" s="89">
        <v>258955773.29439682</v>
      </c>
      <c r="O88" s="89">
        <v>0.49445730475913069</v>
      </c>
    </row>
    <row r="89" spans="9:15" x14ac:dyDescent="0.4">
      <c r="I89" s="88">
        <v>20430320</v>
      </c>
      <c r="J89" s="49">
        <v>3.3444838983611822E-2</v>
      </c>
      <c r="N89" s="89">
        <v>254797439.05685604</v>
      </c>
      <c r="O89" s="89">
        <v>0.49050762964075573</v>
      </c>
    </row>
    <row r="90" spans="9:15" x14ac:dyDescent="0.4">
      <c r="I90" s="88">
        <v>20430620</v>
      </c>
      <c r="J90" s="49">
        <v>3.3412630654676041E-2</v>
      </c>
      <c r="N90" s="89">
        <v>260216056.45727545</v>
      </c>
      <c r="O90" s="89">
        <v>0.48649778123950216</v>
      </c>
    </row>
    <row r="91" spans="9:15" x14ac:dyDescent="0.4">
      <c r="I91" s="88">
        <v>20430920</v>
      </c>
      <c r="J91" s="49">
        <v>3.3077615711712423E-2</v>
      </c>
      <c r="N91" s="89">
        <v>257682792.77897537</v>
      </c>
      <c r="O91" s="89">
        <v>0.48256676865964593</v>
      </c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2023-09-25T14:38:24Z</dcterms:modified>
</cp:coreProperties>
</file>