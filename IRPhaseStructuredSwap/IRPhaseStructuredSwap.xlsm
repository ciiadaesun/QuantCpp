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<sst xmlns="http://schemas.openxmlformats.org/spreadsheetml/2006/main" count="272" uniqueCount="117">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</sst>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58" zoomScale="90" zoomScaleNormal="90" workbookViewId="0">
      <selection activeCell="M61" sqref="M61:N82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104" t="s">
        <v>2</v>
      </c>
      <c r="C4" s="104"/>
      <c r="D4" s="105">
        <v>2</v>
      </c>
      <c r="E4" s="105"/>
    </row>
    <row r="5" spans="1:45" x14ac:dyDescent="0.4">
      <c r="A5" s="9">
        <f>A4+1</f>
        <v>5</v>
      </c>
      <c r="G5" s="91" t="s">
        <v>22</v>
      </c>
      <c r="H5" s="93" t="s">
        <v>21</v>
      </c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</row>
    <row r="6" spans="1:45" x14ac:dyDescent="0.4">
      <c r="A6" s="9">
        <f t="shared" ref="A6:A82" si="1">A5+1</f>
        <v>6</v>
      </c>
      <c r="B6" s="104" t="s">
        <v>3</v>
      </c>
      <c r="C6" s="104"/>
      <c r="D6" s="105">
        <v>1</v>
      </c>
      <c r="E6" s="105"/>
      <c r="G6" s="92"/>
      <c r="H6" s="94" t="s">
        <v>7</v>
      </c>
      <c r="I6" s="95"/>
      <c r="L6" s="98" t="s">
        <v>11</v>
      </c>
      <c r="M6" s="98"/>
      <c r="N6" s="98"/>
      <c r="Q6" s="98" t="s">
        <v>12</v>
      </c>
      <c r="R6" s="98"/>
      <c r="S6" s="98"/>
      <c r="V6" s="98" t="s">
        <v>13</v>
      </c>
      <c r="W6" s="98"/>
      <c r="X6" s="98"/>
    </row>
    <row r="7" spans="1:45" x14ac:dyDescent="0.4">
      <c r="A7" s="9">
        <f t="shared" si="1"/>
        <v>7</v>
      </c>
      <c r="B7" s="104" t="s">
        <v>4</v>
      </c>
      <c r="C7" s="104"/>
      <c r="D7" s="105">
        <v>1</v>
      </c>
      <c r="E7" s="105"/>
      <c r="G7" s="92"/>
      <c r="H7" s="96"/>
      <c r="I7" s="97"/>
      <c r="L7" s="98"/>
      <c r="M7" s="98"/>
      <c r="N7" s="98"/>
      <c r="Q7" s="98"/>
      <c r="R7" s="98"/>
      <c r="S7" s="98"/>
      <c r="V7" s="98"/>
      <c r="W7" s="98"/>
      <c r="X7" s="98"/>
    </row>
    <row r="8" spans="1:45" x14ac:dyDescent="0.4">
      <c r="A8" s="9">
        <f t="shared" si="1"/>
        <v>8</v>
      </c>
      <c r="B8" s="104" t="s">
        <v>1</v>
      </c>
      <c r="C8" s="104"/>
      <c r="D8" s="105">
        <v>0.01</v>
      </c>
      <c r="E8" s="105"/>
      <c r="G8" s="92"/>
      <c r="I8" s="2" t="s">
        <v>106</v>
      </c>
      <c r="J8" s="2" t="s">
        <v>107</v>
      </c>
      <c r="K8" s="2" t="s">
        <v>109</v>
      </c>
      <c r="V8" s="98" t="s">
        <v>14</v>
      </c>
      <c r="W8" s="98"/>
      <c r="X8" s="4">
        <v>3</v>
      </c>
    </row>
    <row r="9" spans="1:45" x14ac:dyDescent="0.4">
      <c r="A9" s="9">
        <f t="shared" si="1"/>
        <v>9</v>
      </c>
      <c r="G9" s="92"/>
      <c r="H9" s="2" t="s">
        <v>8</v>
      </c>
      <c r="I9" s="3">
        <v>0.01</v>
      </c>
      <c r="J9" s="72">
        <v>9.6050968278254614E-3</v>
      </c>
      <c r="K9" s="72">
        <v>0.5</v>
      </c>
      <c r="Q9" s="98" t="s">
        <v>15</v>
      </c>
      <c r="R9" s="98"/>
      <c r="S9" s="4">
        <v>3</v>
      </c>
      <c r="V9" s="101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2"/>
      <c r="H10" s="73" t="s">
        <v>9</v>
      </c>
      <c r="I10" s="99" t="s">
        <v>10</v>
      </c>
      <c r="J10" s="100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2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2"/>
      <c r="H11" s="74">
        <v>1</v>
      </c>
      <c r="I11" s="75">
        <v>1.3407782430569134E-2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2"/>
      <c r="H12" s="74">
        <v>2</v>
      </c>
      <c r="I12" s="75">
        <v>1.1750883187845543E-2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6" t="s">
        <v>6</v>
      </c>
      <c r="E13" s="106"/>
      <c r="G13" s="92"/>
      <c r="H13" s="74">
        <v>3</v>
      </c>
      <c r="I13" s="75">
        <v>1.2510628997502786E-2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6"/>
      <c r="E14" s="106"/>
      <c r="G14" s="92"/>
      <c r="H14" s="74">
        <v>4</v>
      </c>
      <c r="I14" s="75">
        <v>1.1353112416773869E-2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6"/>
      <c r="E15" s="106"/>
      <c r="G15" s="92"/>
      <c r="H15" s="74">
        <v>5</v>
      </c>
      <c r="I15" s="75">
        <v>1.2680173562477387E-2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2.8299999999999999E-2</v>
      </c>
      <c r="G16" s="92"/>
      <c r="H16" s="74">
        <v>7</v>
      </c>
      <c r="I16" s="75">
        <v>1.1655130280879143E-2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7">
        <v>45172.713368055556</v>
      </c>
      <c r="E17" s="107"/>
      <c r="G17" s="92"/>
      <c r="H17" s="74">
        <v>10</v>
      </c>
      <c r="I17" s="75">
        <v>1.0407980775704408E-2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7">
        <v>45172.713368055556</v>
      </c>
      <c r="E18" s="107"/>
      <c r="G18" s="92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2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2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2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2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4" t="s">
        <v>115</v>
      </c>
      <c r="C23" s="104"/>
      <c r="D23" s="105">
        <v>0</v>
      </c>
      <c r="E23" s="105"/>
      <c r="G23" s="92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4" t="s">
        <v>111</v>
      </c>
      <c r="C24" s="104"/>
      <c r="D24" s="105">
        <v>0</v>
      </c>
      <c r="E24" s="105"/>
      <c r="G24" s="92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4" t="s">
        <v>113</v>
      </c>
      <c r="C25" s="104"/>
      <c r="D25" s="105">
        <v>-0.1</v>
      </c>
      <c r="E25" s="105"/>
      <c r="G25" s="92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4" t="s">
        <v>112</v>
      </c>
      <c r="C26" s="104"/>
      <c r="D26" s="105">
        <v>0.15</v>
      </c>
      <c r="E26" s="105"/>
      <c r="G26" s="92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2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2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2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2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2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2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2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2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2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2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2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2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2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2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1" t="s">
        <v>24</v>
      </c>
      <c r="H55" s="93" t="s">
        <v>23</v>
      </c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</row>
    <row r="56" spans="1:40" x14ac:dyDescent="0.4">
      <c r="A56" s="9">
        <f t="shared" si="1"/>
        <v>56</v>
      </c>
      <c r="B56" s="104" t="s">
        <v>3</v>
      </c>
      <c r="C56" s="104"/>
      <c r="D56" s="105">
        <v>1</v>
      </c>
      <c r="E56" s="105"/>
      <c r="G56" s="92"/>
      <c r="H56" s="94" t="s">
        <v>7</v>
      </c>
      <c r="I56" s="95"/>
      <c r="L56" s="98" t="s">
        <v>11</v>
      </c>
      <c r="M56" s="98"/>
      <c r="N56" s="98"/>
      <c r="Q56" s="98" t="s">
        <v>12</v>
      </c>
      <c r="R56" s="98"/>
      <c r="S56" s="98"/>
      <c r="V56" s="98" t="s">
        <v>13</v>
      </c>
      <c r="W56" s="98"/>
      <c r="X56" s="98"/>
    </row>
    <row r="57" spans="1:40" x14ac:dyDescent="0.4">
      <c r="A57" s="9">
        <f t="shared" si="1"/>
        <v>57</v>
      </c>
      <c r="B57" s="104" t="s">
        <v>4</v>
      </c>
      <c r="C57" s="104"/>
      <c r="D57" s="105">
        <v>1</v>
      </c>
      <c r="E57" s="105"/>
      <c r="G57" s="92"/>
      <c r="H57" s="96"/>
      <c r="I57" s="97"/>
      <c r="L57" s="98"/>
      <c r="M57" s="98"/>
      <c r="N57" s="98"/>
      <c r="Q57" s="98"/>
      <c r="R57" s="98"/>
      <c r="S57" s="98"/>
      <c r="V57" s="98"/>
      <c r="W57" s="98"/>
      <c r="X57" s="98"/>
    </row>
    <row r="58" spans="1:40" x14ac:dyDescent="0.4">
      <c r="A58" s="9">
        <f t="shared" si="1"/>
        <v>58</v>
      </c>
      <c r="B58" s="104" t="s">
        <v>1</v>
      </c>
      <c r="C58" s="104"/>
      <c r="D58" s="105">
        <v>0.01</v>
      </c>
      <c r="E58" s="105"/>
      <c r="G58" s="92"/>
      <c r="I58" s="2" t="s">
        <v>106</v>
      </c>
      <c r="J58" s="2" t="s">
        <v>107</v>
      </c>
      <c r="K58" s="2" t="s">
        <v>109</v>
      </c>
      <c r="V58" s="98" t="s">
        <v>14</v>
      </c>
      <c r="W58" s="98"/>
      <c r="X58" s="4">
        <v>3</v>
      </c>
    </row>
    <row r="59" spans="1:40" x14ac:dyDescent="0.4">
      <c r="A59" s="9">
        <f t="shared" si="1"/>
        <v>59</v>
      </c>
      <c r="G59" s="92"/>
      <c r="H59" s="2" t="s">
        <v>8</v>
      </c>
      <c r="I59" s="3">
        <v>0.01</v>
      </c>
      <c r="J59" s="72">
        <v>0.01</v>
      </c>
      <c r="K59" s="72">
        <v>0.9</v>
      </c>
      <c r="Q59" s="98" t="s">
        <v>15</v>
      </c>
      <c r="R59" s="98"/>
      <c r="S59" s="4">
        <v>3</v>
      </c>
      <c r="V59" s="101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2"/>
      <c r="H60" s="73" t="s">
        <v>9</v>
      </c>
      <c r="I60" s="99" t="s">
        <v>10</v>
      </c>
      <c r="J60" s="100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2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2"/>
      <c r="H61" s="74">
        <v>1</v>
      </c>
      <c r="I61" s="75">
        <v>1.3179794086105524E-2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2"/>
      <c r="H62" s="74">
        <v>2</v>
      </c>
      <c r="I62" s="75">
        <v>1.2003347093781683E-2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6" t="s">
        <v>6</v>
      </c>
      <c r="E63" s="106"/>
      <c r="G63" s="92"/>
      <c r="H63" s="74">
        <v>3</v>
      </c>
      <c r="I63" s="75">
        <v>1.1763422778972925E-2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6"/>
      <c r="E64" s="106"/>
      <c r="G64" s="92"/>
      <c r="H64" s="74">
        <v>4</v>
      </c>
      <c r="I64" s="75">
        <v>1.2245700586856338E-2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6"/>
      <c r="E65" s="106"/>
      <c r="G65" s="92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2"/>
      <c r="H66" s="74">
        <v>7</v>
      </c>
      <c r="I66" s="75">
        <v>1.3388249104175196E-2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7">
        <v>45172.713368055556</v>
      </c>
      <c r="E67" s="107"/>
      <c r="G67" s="92"/>
      <c r="H67" s="74">
        <v>10</v>
      </c>
      <c r="I67" s="75">
        <v>1.5966173861409468E-2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7">
        <v>45172.713368055556</v>
      </c>
      <c r="E68" s="107"/>
      <c r="G68" s="92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2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2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2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2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4" t="s">
        <v>115</v>
      </c>
      <c r="C73" s="104"/>
      <c r="D73" s="105">
        <v>0</v>
      </c>
      <c r="E73" s="105"/>
      <c r="G73" s="92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4" t="s">
        <v>111</v>
      </c>
      <c r="C74" s="104"/>
      <c r="D74" s="105">
        <v>1</v>
      </c>
      <c r="E74" s="105"/>
      <c r="G74" s="92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4" t="s">
        <v>113</v>
      </c>
      <c r="C75" s="104"/>
      <c r="D75" s="105">
        <v>-0.12</v>
      </c>
      <c r="E75" s="105"/>
      <c r="G75" s="92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4" t="s">
        <v>112</v>
      </c>
      <c r="C76" s="104"/>
      <c r="D76" s="105">
        <v>0.24</v>
      </c>
      <c r="E76" s="105"/>
      <c r="G76" s="92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2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2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2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2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2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2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2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2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2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2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2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2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2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2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1" t="s">
        <v>26</v>
      </c>
      <c r="H105" s="93" t="s">
        <v>25</v>
      </c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</row>
    <row r="106" spans="1:40" x14ac:dyDescent="0.4">
      <c r="A106" s="9">
        <f t="shared" si="6"/>
        <v>106</v>
      </c>
      <c r="B106" s="104" t="s">
        <v>3</v>
      </c>
      <c r="C106" s="104"/>
      <c r="D106" s="105">
        <v>1</v>
      </c>
      <c r="E106" s="105"/>
      <c r="G106" s="92"/>
      <c r="H106" s="94" t="s">
        <v>7</v>
      </c>
      <c r="I106" s="95"/>
      <c r="L106" s="98" t="s">
        <v>11</v>
      </c>
      <c r="M106" s="98"/>
      <c r="N106" s="98"/>
      <c r="Q106" s="98" t="s">
        <v>12</v>
      </c>
      <c r="R106" s="98"/>
      <c r="S106" s="98"/>
      <c r="V106" s="98" t="s">
        <v>13</v>
      </c>
      <c r="W106" s="98"/>
      <c r="X106" s="98"/>
    </row>
    <row r="107" spans="1:40" x14ac:dyDescent="0.4">
      <c r="A107" s="9">
        <f t="shared" si="6"/>
        <v>107</v>
      </c>
      <c r="B107" s="104" t="s">
        <v>4</v>
      </c>
      <c r="C107" s="104"/>
      <c r="D107" s="105">
        <v>1</v>
      </c>
      <c r="E107" s="105"/>
      <c r="G107" s="92"/>
      <c r="H107" s="96"/>
      <c r="I107" s="97"/>
      <c r="L107" s="98"/>
      <c r="M107" s="98"/>
      <c r="N107" s="98"/>
      <c r="Q107" s="98"/>
      <c r="R107" s="98"/>
      <c r="S107" s="98"/>
      <c r="V107" s="98"/>
      <c r="W107" s="98"/>
      <c r="X107" s="98"/>
    </row>
    <row r="108" spans="1:40" x14ac:dyDescent="0.4">
      <c r="A108" s="9">
        <f t="shared" si="6"/>
        <v>108</v>
      </c>
      <c r="B108" s="104" t="s">
        <v>1</v>
      </c>
      <c r="C108" s="104"/>
      <c r="D108" s="105">
        <v>0.01</v>
      </c>
      <c r="E108" s="105"/>
      <c r="G108" s="92"/>
      <c r="I108" s="2" t="s">
        <v>106</v>
      </c>
      <c r="J108" s="2" t="s">
        <v>107</v>
      </c>
      <c r="K108" s="2" t="s">
        <v>109</v>
      </c>
      <c r="V108" s="98" t="s">
        <v>14</v>
      </c>
      <c r="W108" s="98"/>
      <c r="X108" s="4">
        <v>3</v>
      </c>
    </row>
    <row r="109" spans="1:40" x14ac:dyDescent="0.4">
      <c r="A109" s="9">
        <f t="shared" si="6"/>
        <v>109</v>
      </c>
      <c r="G109" s="92"/>
      <c r="H109" s="2" t="s">
        <v>8</v>
      </c>
      <c r="I109" s="3">
        <v>0.01</v>
      </c>
      <c r="J109" s="72">
        <v>0.01</v>
      </c>
      <c r="K109" s="72">
        <v>0.9</v>
      </c>
      <c r="Q109" s="98" t="s">
        <v>15</v>
      </c>
      <c r="R109" s="98"/>
      <c r="S109" s="4">
        <v>3</v>
      </c>
      <c r="V109" s="101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2"/>
      <c r="H110" s="73" t="s">
        <v>9</v>
      </c>
      <c r="I110" s="99" t="s">
        <v>10</v>
      </c>
      <c r="J110" s="100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2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2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2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6" t="s">
        <v>6</v>
      </c>
      <c r="E113" s="106"/>
      <c r="G113" s="92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6"/>
      <c r="E114" s="106"/>
      <c r="G114" s="92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6"/>
      <c r="E115" s="106"/>
      <c r="G115" s="92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2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7">
        <v>44931.461863425924</v>
      </c>
      <c r="E117" s="107"/>
      <c r="G117" s="92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7">
        <v>44931.461875000001</v>
      </c>
      <c r="E118" s="107"/>
      <c r="G118" s="92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2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2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2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2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4" t="s">
        <v>115</v>
      </c>
      <c r="C123" s="104"/>
      <c r="D123" s="105">
        <v>0</v>
      </c>
      <c r="E123" s="105"/>
      <c r="G123" s="92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4" t="s">
        <v>111</v>
      </c>
      <c r="C124" s="104"/>
      <c r="D124" s="105">
        <v>0</v>
      </c>
      <c r="E124" s="105"/>
      <c r="G124" s="92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4" t="s">
        <v>113</v>
      </c>
      <c r="C125" s="104"/>
      <c r="D125" s="105">
        <v>-0.1</v>
      </c>
      <c r="E125" s="105"/>
      <c r="G125" s="92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4" t="s">
        <v>112</v>
      </c>
      <c r="C126" s="104"/>
      <c r="D126" s="105">
        <v>0.15</v>
      </c>
      <c r="E126" s="105"/>
      <c r="G126" s="92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2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2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2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2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2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2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2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2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2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2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2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2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2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2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1" t="s">
        <v>28</v>
      </c>
      <c r="H155" s="93" t="s">
        <v>27</v>
      </c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</row>
    <row r="156" spans="1:40" x14ac:dyDescent="0.4">
      <c r="A156" s="9">
        <f t="shared" si="9"/>
        <v>156</v>
      </c>
      <c r="B156" s="104" t="s">
        <v>3</v>
      </c>
      <c r="C156" s="104"/>
      <c r="D156" s="105">
        <v>1</v>
      </c>
      <c r="E156" s="105"/>
      <c r="G156" s="92"/>
      <c r="H156" s="94" t="s">
        <v>7</v>
      </c>
      <c r="I156" s="95"/>
      <c r="L156" s="98" t="s">
        <v>11</v>
      </c>
      <c r="M156" s="98"/>
      <c r="N156" s="98"/>
      <c r="Q156" s="98" t="s">
        <v>12</v>
      </c>
      <c r="R156" s="98"/>
      <c r="S156" s="98"/>
      <c r="V156" s="98" t="s">
        <v>13</v>
      </c>
      <c r="W156" s="98"/>
      <c r="X156" s="98"/>
    </row>
    <row r="157" spans="1:40" x14ac:dyDescent="0.4">
      <c r="A157" s="9">
        <f t="shared" si="9"/>
        <v>157</v>
      </c>
      <c r="B157" s="104" t="s">
        <v>4</v>
      </c>
      <c r="C157" s="104"/>
      <c r="D157" s="105">
        <v>1</v>
      </c>
      <c r="E157" s="105"/>
      <c r="G157" s="92"/>
      <c r="H157" s="96"/>
      <c r="I157" s="97"/>
      <c r="L157" s="98"/>
      <c r="M157" s="98"/>
      <c r="N157" s="98"/>
      <c r="Q157" s="98"/>
      <c r="R157" s="98"/>
      <c r="S157" s="98"/>
      <c r="V157" s="98"/>
      <c r="W157" s="98"/>
      <c r="X157" s="98"/>
    </row>
    <row r="158" spans="1:40" x14ac:dyDescent="0.4">
      <c r="A158" s="9">
        <f t="shared" si="9"/>
        <v>158</v>
      </c>
      <c r="B158" s="104" t="s">
        <v>1</v>
      </c>
      <c r="C158" s="104"/>
      <c r="D158" s="105">
        <v>0.01</v>
      </c>
      <c r="E158" s="105"/>
      <c r="G158" s="92"/>
      <c r="I158" s="2" t="s">
        <v>106</v>
      </c>
      <c r="J158" s="2" t="s">
        <v>107</v>
      </c>
      <c r="K158" s="2" t="s">
        <v>109</v>
      </c>
      <c r="V158" s="98" t="s">
        <v>14</v>
      </c>
      <c r="W158" s="98"/>
      <c r="X158" s="4">
        <v>3</v>
      </c>
    </row>
    <row r="159" spans="1:40" x14ac:dyDescent="0.4">
      <c r="A159" s="9">
        <f t="shared" si="9"/>
        <v>159</v>
      </c>
      <c r="G159" s="92"/>
      <c r="H159" s="2" t="s">
        <v>8</v>
      </c>
      <c r="I159" s="3">
        <v>0.01</v>
      </c>
      <c r="J159" s="72">
        <v>0.01</v>
      </c>
      <c r="K159" s="72">
        <v>0.9</v>
      </c>
      <c r="Q159" s="98" t="s">
        <v>15</v>
      </c>
      <c r="R159" s="98"/>
      <c r="S159" s="4">
        <v>3</v>
      </c>
      <c r="V159" s="101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2"/>
      <c r="H160" s="73" t="s">
        <v>9</v>
      </c>
      <c r="I160" s="99" t="s">
        <v>10</v>
      </c>
      <c r="J160" s="100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2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2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2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6" t="s">
        <v>6</v>
      </c>
      <c r="E163" s="106"/>
      <c r="G163" s="92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6"/>
      <c r="E164" s="106"/>
      <c r="G164" s="92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6"/>
      <c r="E165" s="106"/>
      <c r="G165" s="92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2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7">
        <v>44931.461875000001</v>
      </c>
      <c r="E167" s="107"/>
      <c r="G167" s="92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7">
        <v>44931.461875000001</v>
      </c>
      <c r="E168" s="107"/>
      <c r="G168" s="92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2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2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2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2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4" t="s">
        <v>115</v>
      </c>
      <c r="C173" s="104"/>
      <c r="D173" s="105">
        <v>0</v>
      </c>
      <c r="E173" s="105"/>
      <c r="G173" s="92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4" t="s">
        <v>111</v>
      </c>
      <c r="C174" s="104"/>
      <c r="D174" s="105">
        <v>0</v>
      </c>
      <c r="E174" s="105"/>
      <c r="G174" s="92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4" t="s">
        <v>113</v>
      </c>
      <c r="C175" s="104"/>
      <c r="D175" s="105">
        <v>-0.1</v>
      </c>
      <c r="E175" s="105"/>
      <c r="G175" s="92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4" t="s">
        <v>112</v>
      </c>
      <c r="C176" s="104"/>
      <c r="D176" s="105">
        <v>0.15</v>
      </c>
      <c r="E176" s="105"/>
      <c r="G176" s="92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2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2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2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2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2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2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2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2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2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2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2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2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2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2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17" sqref="E17:F17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44848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91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91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65"/>
      <c r="H10" s="36"/>
      <c r="I10" s="148" t="str">
        <f>IF(OR(E11 = 0, E11 = 2, E11 = 4), "RefType = "&amp;E11&amp;" 이므로 Ref Swap 금리정보 사용안함", "사용")</f>
        <v>사용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65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1</v>
      </c>
      <c r="F11" s="184"/>
      <c r="G11" s="148" t="str">
        <f>IF(OR(E11 = 0, E11 = 2, E11 = 4), "", "Zero/Swap 레퍼런스금리정보")</f>
        <v>Zero/Swap 레퍼런스금리정보</v>
      </c>
      <c r="H11" s="149"/>
      <c r="I11" s="140" t="str">
        <f>IF(OR(E11 = 0, E11 = 2, E11 = 4), "", "연 지급횟수")</f>
        <v>연 지급횟수</v>
      </c>
      <c r="J11" s="141"/>
      <c r="K11" s="127">
        <v>4</v>
      </c>
      <c r="L11" s="128"/>
      <c r="M11" s="34"/>
      <c r="N11" s="186" t="str">
        <f>IF(OR(E11 = 0, E11 = 2, E11 = 4), "ForwardStart", "ResetStart")</f>
        <v>ResetStart</v>
      </c>
      <c r="O11" s="186" t="str">
        <f>IF(OR(E11 = 0, E11 = 2, E11 = 4), "ForwardEnd", "ResetEnd")</f>
        <v>ResetEnd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116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116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2</v>
      </c>
      <c r="F12" s="185"/>
      <c r="G12" s="181"/>
      <c r="H12" s="140"/>
      <c r="I12" s="140" t="str">
        <f>IF(OR(E11 = 0, E11 = 2, E11 = 4,E14=1), "", "만기")</f>
        <v>만기</v>
      </c>
      <c r="J12" s="141"/>
      <c r="K12" s="182">
        <v>10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09"/>
      <c r="I13" s="109"/>
      <c r="J13" s="109"/>
      <c r="K13" s="109"/>
      <c r="L13" s="110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65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65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65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65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93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58" t="s">
        <v>93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C1" workbookViewId="0">
      <selection activeCell="F27" sqref="F27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9.8984375" style="43"/>
    <col min="19" max="19" width="9.8984375" style="44"/>
    <col min="20" max="20" width="9.8984375" style="43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B36" sqref="B36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110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3000</v>
      </c>
      <c r="E4" s="205"/>
      <c r="F4" s="13"/>
      <c r="G4" s="206" t="s">
        <v>73</v>
      </c>
      <c r="H4" s="207"/>
      <c r="I4" s="202">
        <v>2158.1221935307908</v>
      </c>
      <c r="J4" s="203"/>
      <c r="K4" s="13"/>
      <c r="L4" s="63">
        <v>45174.959039351852</v>
      </c>
      <c r="M4" s="1" t="s">
        <v>5</v>
      </c>
      <c r="N4" s="106" t="s">
        <v>6</v>
      </c>
      <c r="O4" s="106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6" t="s">
        <v>74</v>
      </c>
      <c r="H5" s="207"/>
      <c r="I5" s="202">
        <v>2411.5213928320732</v>
      </c>
      <c r="J5" s="203"/>
      <c r="K5" s="13"/>
      <c r="L5" s="63">
        <v>45174.959039351852</v>
      </c>
      <c r="M5" s="13"/>
      <c r="N5" s="106"/>
      <c r="O5" s="106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114</v>
      </c>
      <c r="C6" s="204"/>
      <c r="D6" s="205">
        <v>0</v>
      </c>
      <c r="E6" s="205"/>
      <c r="F6" s="13"/>
      <c r="G6" s="206" t="s">
        <v>105</v>
      </c>
      <c r="H6" s="207"/>
      <c r="I6" s="202">
        <v>348.03432618372392</v>
      </c>
      <c r="J6" s="203"/>
      <c r="K6" s="60"/>
      <c r="L6" s="23"/>
      <c r="M6" s="13"/>
      <c r="N6" s="106"/>
      <c r="O6" s="106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601.43352548500627</v>
      </c>
      <c r="J7" s="203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97</v>
      </c>
      <c r="R10" s="201"/>
      <c r="S10" s="13"/>
      <c r="T10" s="13"/>
      <c r="U10" s="201" t="s">
        <v>98</v>
      </c>
      <c r="V10" s="201"/>
      <c r="W10" s="13"/>
      <c r="Y10" s="201" t="s">
        <v>99</v>
      </c>
      <c r="Z10" s="201"/>
      <c r="AA10" s="13"/>
      <c r="AB10" s="13"/>
      <c r="AC10" s="201" t="s">
        <v>100</v>
      </c>
      <c r="AD10" s="201"/>
      <c r="AE10" s="13"/>
      <c r="AF10" s="13"/>
      <c r="AG10" s="201" t="s">
        <v>101</v>
      </c>
      <c r="AH10" s="201"/>
      <c r="AI10" s="13"/>
      <c r="AJ10" s="13"/>
      <c r="AK10" s="201" t="s">
        <v>102</v>
      </c>
      <c r="AL10" s="201"/>
      <c r="AM10" s="13"/>
      <c r="AN10" s="13"/>
      <c r="AO10" s="201" t="s">
        <v>103</v>
      </c>
      <c r="AP10" s="201"/>
      <c r="AQ10" s="13"/>
      <c r="AR10" s="13"/>
      <c r="AS10" s="201" t="s">
        <v>104</v>
      </c>
      <c r="AT10" s="201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0.99999999999995637</v>
      </c>
      <c r="I12" s="86">
        <v>20180611</v>
      </c>
      <c r="J12" s="49">
        <v>0</v>
      </c>
      <c r="M12" s="50"/>
      <c r="N12" s="51">
        <v>0</v>
      </c>
      <c r="O12" s="51">
        <v>0.99999999999995637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0.99999999999995637</v>
      </c>
      <c r="I13" s="86">
        <v>20180911</v>
      </c>
      <c r="J13" s="49">
        <v>0</v>
      </c>
      <c r="M13" s="50"/>
      <c r="N13" s="51">
        <v>0</v>
      </c>
      <c r="O13" s="51">
        <v>0.99999999999995637</v>
      </c>
      <c r="P13" s="13"/>
      <c r="Q13" s="201" t="s">
        <v>96</v>
      </c>
      <c r="R13" s="201"/>
      <c r="S13" s="66"/>
      <c r="T13" s="13"/>
      <c r="U13" s="201" t="s">
        <v>96</v>
      </c>
      <c r="V13" s="201"/>
      <c r="W13" s="66"/>
      <c r="Y13" s="201" t="s">
        <v>96</v>
      </c>
      <c r="Z13" s="201"/>
      <c r="AA13" s="66"/>
      <c r="AB13" s="13"/>
      <c r="AC13" s="201" t="s">
        <v>96</v>
      </c>
      <c r="AD13" s="201"/>
      <c r="AE13" s="66"/>
      <c r="AF13" s="13"/>
      <c r="AG13" s="201" t="s">
        <v>96</v>
      </c>
      <c r="AH13" s="201"/>
      <c r="AI13" s="66"/>
      <c r="AJ13" s="13"/>
      <c r="AK13" s="201" t="s">
        <v>96</v>
      </c>
      <c r="AL13" s="201"/>
      <c r="AM13" s="66"/>
      <c r="AN13" s="13"/>
      <c r="AO13" s="201" t="s">
        <v>96</v>
      </c>
      <c r="AP13" s="201"/>
      <c r="AQ13" s="66"/>
      <c r="AR13" s="13"/>
      <c r="AS13" s="201" t="s">
        <v>96</v>
      </c>
      <c r="AT13" s="201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0.99999999999995637</v>
      </c>
      <c r="I14" s="86">
        <v>20181211</v>
      </c>
      <c r="J14" s="49">
        <v>0</v>
      </c>
      <c r="M14" s="50"/>
      <c r="N14" s="51">
        <v>0</v>
      </c>
      <c r="O14" s="51">
        <v>0.99999999999995637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0.99999999999995637</v>
      </c>
      <c r="I15" s="86">
        <v>20190311</v>
      </c>
      <c r="J15" s="49">
        <v>0</v>
      </c>
      <c r="M15" s="50"/>
      <c r="N15" s="51">
        <v>0</v>
      </c>
      <c r="O15" s="51">
        <v>0.99999999999995637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0.99999999999995637</v>
      </c>
      <c r="I16" s="86">
        <v>20190611</v>
      </c>
      <c r="J16" s="49">
        <v>0</v>
      </c>
      <c r="M16" s="50"/>
      <c r="N16" s="51">
        <v>0</v>
      </c>
      <c r="O16" s="51">
        <v>0.99999999999995637</v>
      </c>
      <c r="P16" s="13"/>
      <c r="T16" s="13"/>
    </row>
    <row r="17" spans="2:20" x14ac:dyDescent="0.4">
      <c r="B17" s="86">
        <v>20190911</v>
      </c>
      <c r="C17" s="49">
        <v>0</v>
      </c>
      <c r="F17" s="50"/>
      <c r="G17" s="51">
        <v>0</v>
      </c>
      <c r="H17" s="51">
        <v>0.99999999999995637</v>
      </c>
      <c r="I17" s="86">
        <v>20190911</v>
      </c>
      <c r="J17" s="49">
        <v>0</v>
      </c>
      <c r="M17" s="50"/>
      <c r="N17" s="51">
        <v>0</v>
      </c>
      <c r="O17" s="51">
        <v>0.99999999999995637</v>
      </c>
      <c r="P17" s="13"/>
      <c r="T17" s="13"/>
    </row>
    <row r="18" spans="2:20" x14ac:dyDescent="0.4">
      <c r="B18" s="86">
        <v>20191211</v>
      </c>
      <c r="C18" s="49">
        <v>0</v>
      </c>
      <c r="F18" s="50"/>
      <c r="G18" s="51">
        <v>0</v>
      </c>
      <c r="H18" s="51">
        <v>0.99999999999995637</v>
      </c>
      <c r="I18" s="86">
        <v>20191211</v>
      </c>
      <c r="J18" s="49">
        <v>0</v>
      </c>
      <c r="M18" s="50"/>
      <c r="N18" s="51">
        <v>0</v>
      </c>
      <c r="O18" s="51">
        <v>0.99999999999995637</v>
      </c>
      <c r="P18" s="13"/>
      <c r="T18" s="13"/>
    </row>
    <row r="19" spans="2:20" x14ac:dyDescent="0.4">
      <c r="B19" s="86">
        <v>20200311</v>
      </c>
      <c r="C19" s="49">
        <v>0</v>
      </c>
      <c r="F19" s="50"/>
      <c r="G19" s="51">
        <v>0</v>
      </c>
      <c r="H19" s="51">
        <v>0.99999999999995637</v>
      </c>
      <c r="I19" s="86">
        <v>20200311</v>
      </c>
      <c r="J19" s="49">
        <v>0</v>
      </c>
      <c r="M19" s="50"/>
      <c r="N19" s="51">
        <v>0</v>
      </c>
      <c r="O19" s="51">
        <v>0.99999999999995637</v>
      </c>
      <c r="P19" s="13"/>
      <c r="T19" s="13"/>
    </row>
    <row r="20" spans="2:20" x14ac:dyDescent="0.4">
      <c r="B20" s="86">
        <v>20200611</v>
      </c>
      <c r="C20" s="49">
        <v>0</v>
      </c>
      <c r="F20" s="50"/>
      <c r="G20" s="52">
        <v>0</v>
      </c>
      <c r="H20" s="51">
        <v>0.99999999999995637</v>
      </c>
      <c r="I20" s="86">
        <v>20200611</v>
      </c>
      <c r="J20" s="49">
        <v>0</v>
      </c>
      <c r="M20" s="50"/>
      <c r="N20" s="52">
        <v>0</v>
      </c>
      <c r="O20" s="51">
        <v>0.99999999999995637</v>
      </c>
      <c r="P20" s="13"/>
      <c r="T20" s="13"/>
    </row>
    <row r="21" spans="2:20" x14ac:dyDescent="0.4">
      <c r="B21" s="86">
        <v>20200911</v>
      </c>
      <c r="C21" s="49">
        <v>0</v>
      </c>
      <c r="F21" s="50"/>
      <c r="G21" s="52">
        <v>0</v>
      </c>
      <c r="H21" s="51">
        <v>0.99999999999995637</v>
      </c>
      <c r="I21" s="86">
        <v>20200911</v>
      </c>
      <c r="J21" s="49">
        <v>0</v>
      </c>
      <c r="M21" s="50"/>
      <c r="N21" s="52">
        <v>0</v>
      </c>
      <c r="O21" s="51">
        <v>0.99999999999995637</v>
      </c>
      <c r="P21" s="13"/>
      <c r="T21" s="13"/>
    </row>
    <row r="22" spans="2:20" x14ac:dyDescent="0.4">
      <c r="B22" s="86">
        <v>20201211</v>
      </c>
      <c r="C22" s="49">
        <v>0</v>
      </c>
      <c r="F22" s="50"/>
      <c r="G22" s="52">
        <v>0</v>
      </c>
      <c r="H22" s="51">
        <v>0.99999999999995637</v>
      </c>
      <c r="I22" s="86">
        <v>20201211</v>
      </c>
      <c r="J22" s="49">
        <v>0</v>
      </c>
      <c r="M22" s="50"/>
      <c r="N22" s="52">
        <v>0</v>
      </c>
      <c r="O22" s="51">
        <v>0.99999999999995637</v>
      </c>
      <c r="P22" s="13"/>
      <c r="T22" s="13"/>
    </row>
    <row r="23" spans="2:20" x14ac:dyDescent="0.4">
      <c r="B23" s="86">
        <v>20210311</v>
      </c>
      <c r="C23" s="49">
        <v>0</v>
      </c>
      <c r="F23" s="50"/>
      <c r="G23" s="52">
        <v>0</v>
      </c>
      <c r="H23" s="51">
        <v>0.99999999999995637</v>
      </c>
      <c r="I23" s="86">
        <v>20210311</v>
      </c>
      <c r="J23" s="49">
        <v>0</v>
      </c>
      <c r="M23" s="50"/>
      <c r="N23" s="52">
        <v>0</v>
      </c>
      <c r="O23" s="51">
        <v>0.99999999999995637</v>
      </c>
      <c r="P23" s="13"/>
      <c r="T23" s="13"/>
    </row>
    <row r="24" spans="2:20" x14ac:dyDescent="0.4">
      <c r="B24" s="86">
        <v>20210611</v>
      </c>
      <c r="C24" s="49">
        <v>0</v>
      </c>
      <c r="F24" s="50"/>
      <c r="G24" s="52">
        <v>0</v>
      </c>
      <c r="H24" s="51">
        <v>0.99999999999995637</v>
      </c>
      <c r="I24" s="86">
        <v>20210611</v>
      </c>
      <c r="J24" s="49">
        <v>0</v>
      </c>
      <c r="M24" s="50"/>
      <c r="N24" s="52">
        <v>0</v>
      </c>
      <c r="O24" s="51">
        <v>0.99999999999995637</v>
      </c>
      <c r="P24" s="13"/>
      <c r="T24" s="13"/>
    </row>
    <row r="25" spans="2:20" x14ac:dyDescent="0.4">
      <c r="B25" s="86">
        <v>20210911</v>
      </c>
      <c r="C25" s="49">
        <v>0</v>
      </c>
      <c r="F25" s="50"/>
      <c r="G25" s="52">
        <v>0</v>
      </c>
      <c r="H25" s="51">
        <v>0.99999999999995637</v>
      </c>
      <c r="I25" s="86">
        <v>20210911</v>
      </c>
      <c r="J25" s="49">
        <v>0</v>
      </c>
      <c r="M25" s="50"/>
      <c r="N25" s="52">
        <v>0</v>
      </c>
      <c r="O25" s="51">
        <v>0.99999999999995637</v>
      </c>
      <c r="P25" s="13"/>
      <c r="T25" s="13"/>
    </row>
    <row r="26" spans="2:20" x14ac:dyDescent="0.4">
      <c r="B26" s="86">
        <v>20211211</v>
      </c>
      <c r="C26" s="49">
        <v>0</v>
      </c>
      <c r="F26" s="50"/>
      <c r="G26" s="52">
        <v>0</v>
      </c>
      <c r="H26" s="51">
        <v>0.99999999999995637</v>
      </c>
      <c r="I26" s="86">
        <v>20211211</v>
      </c>
      <c r="J26" s="49">
        <v>0</v>
      </c>
      <c r="M26" s="50"/>
      <c r="N26" s="52">
        <v>0</v>
      </c>
      <c r="O26" s="51">
        <v>0.99999999999995637</v>
      </c>
      <c r="P26" s="13"/>
      <c r="T26" s="13"/>
    </row>
    <row r="27" spans="2:20" x14ac:dyDescent="0.4">
      <c r="B27" s="86">
        <v>20220311</v>
      </c>
      <c r="C27" s="49">
        <v>0</v>
      </c>
      <c r="F27" s="50"/>
      <c r="G27" s="52">
        <v>0</v>
      </c>
      <c r="H27" s="51">
        <v>0.99999999999995637</v>
      </c>
      <c r="I27" s="86">
        <v>20220311</v>
      </c>
      <c r="J27" s="49">
        <v>0</v>
      </c>
      <c r="M27" s="50"/>
      <c r="N27" s="52">
        <v>0</v>
      </c>
      <c r="O27" s="51">
        <v>0.99999999999995637</v>
      </c>
      <c r="P27" s="13"/>
      <c r="T27" s="13"/>
    </row>
    <row r="28" spans="2:20" x14ac:dyDescent="0.4">
      <c r="B28" s="86">
        <v>20220611</v>
      </c>
      <c r="C28" s="49">
        <v>0</v>
      </c>
      <c r="F28" s="50"/>
      <c r="G28" s="52">
        <v>0</v>
      </c>
      <c r="H28" s="51">
        <v>0.99999999999995637</v>
      </c>
      <c r="I28" s="86">
        <v>20220611</v>
      </c>
      <c r="J28" s="49">
        <v>0</v>
      </c>
      <c r="M28" s="50"/>
      <c r="N28" s="52">
        <v>0</v>
      </c>
      <c r="O28" s="51">
        <v>0.99999999999995637</v>
      </c>
      <c r="P28" s="13"/>
      <c r="T28" s="13"/>
    </row>
    <row r="29" spans="2:20" x14ac:dyDescent="0.4">
      <c r="B29" s="86">
        <v>20220911</v>
      </c>
      <c r="C29" s="49">
        <v>0</v>
      </c>
      <c r="F29" s="50"/>
      <c r="G29" s="52">
        <v>0</v>
      </c>
      <c r="H29" s="51">
        <v>0.99999999999995637</v>
      </c>
      <c r="I29" s="86">
        <v>20220911</v>
      </c>
      <c r="J29" s="49">
        <v>0</v>
      </c>
      <c r="M29" s="50"/>
      <c r="N29" s="52">
        <v>0</v>
      </c>
      <c r="O29" s="51">
        <v>0.99999999999995637</v>
      </c>
      <c r="P29" s="13"/>
      <c r="T29" s="13"/>
    </row>
    <row r="30" spans="2:20" x14ac:dyDescent="0.4">
      <c r="B30" s="86">
        <v>20221211</v>
      </c>
      <c r="C30" s="49">
        <v>3.0399999999998564E-2</v>
      </c>
      <c r="F30" s="50"/>
      <c r="G30" s="52">
        <v>75.791780821916404</v>
      </c>
      <c r="H30" s="51">
        <v>0.99489502443620248</v>
      </c>
      <c r="I30" s="86">
        <v>20221211</v>
      </c>
      <c r="J30" s="49">
        <v>3.91400000000003E-2</v>
      </c>
      <c r="M30" s="50"/>
      <c r="N30" s="52">
        <v>102.56821917808529</v>
      </c>
      <c r="O30" s="51">
        <v>0.99489502443620248</v>
      </c>
      <c r="P30" s="13"/>
      <c r="T30" s="13"/>
    </row>
    <row r="31" spans="2:20" x14ac:dyDescent="0.4">
      <c r="B31" s="86">
        <v>20230311</v>
      </c>
      <c r="C31" s="49">
        <v>4.3335200390884801E-2</v>
      </c>
      <c r="F31" s="50"/>
      <c r="G31" s="52">
        <v>106.85391877204454</v>
      </c>
      <c r="H31" s="51">
        <v>0.98662176748434882</v>
      </c>
      <c r="I31" s="86">
        <v>20230311</v>
      </c>
      <c r="J31" s="49">
        <v>4.5395950446805916E-2</v>
      </c>
      <c r="M31" s="50"/>
      <c r="N31" s="52">
        <v>116.86672712910989</v>
      </c>
      <c r="O31" s="51">
        <v>0.98662176748434882</v>
      </c>
      <c r="P31" s="13"/>
      <c r="T31" s="13"/>
    </row>
    <row r="32" spans="2:20" x14ac:dyDescent="0.4">
      <c r="B32" s="86">
        <v>20230611</v>
      </c>
      <c r="C32" s="49">
        <v>4.3726875599698116E-2</v>
      </c>
      <c r="F32" s="50"/>
      <c r="G32" s="52">
        <v>109.9145506877655</v>
      </c>
      <c r="H32" s="51">
        <v>0.978002026896168</v>
      </c>
      <c r="I32" s="86">
        <v>20230611</v>
      </c>
      <c r="J32" s="49">
        <v>4.9906088952824501E-2</v>
      </c>
      <c r="M32" s="50"/>
      <c r="N32" s="52">
        <v>130.83178585369464</v>
      </c>
      <c r="O32" s="51">
        <v>0.978002026896168</v>
      </c>
      <c r="P32" s="13"/>
      <c r="T32" s="13"/>
    </row>
    <row r="33" spans="2:20" x14ac:dyDescent="0.4">
      <c r="B33" s="86">
        <v>20230911</v>
      </c>
      <c r="C33" s="49">
        <v>4.419474429532242E-2</v>
      </c>
      <c r="F33" s="50"/>
      <c r="G33" s="52">
        <v>111.09061407567371</v>
      </c>
      <c r="H33" s="51">
        <v>0.96924079626025283</v>
      </c>
      <c r="I33" s="86">
        <v>20230911</v>
      </c>
      <c r="J33" s="49">
        <v>5.2484520048692938E-2</v>
      </c>
      <c r="M33" s="50"/>
      <c r="N33" s="52">
        <v>137.33084505423977</v>
      </c>
      <c r="O33" s="51">
        <v>0.96924079626025283</v>
      </c>
      <c r="P33" s="13"/>
      <c r="T33" s="13"/>
    </row>
    <row r="34" spans="2:20" x14ac:dyDescent="0.4">
      <c r="B34" s="87">
        <v>20231211</v>
      </c>
      <c r="C34" s="49">
        <v>4.459233804096626E-2</v>
      </c>
      <c r="G34" s="89">
        <v>110.87166015650092</v>
      </c>
      <c r="H34" s="89">
        <v>0.95883777284370331</v>
      </c>
      <c r="I34" s="88">
        <v>20231211</v>
      </c>
      <c r="J34" s="49">
        <v>5.0848037800781336E-2</v>
      </c>
      <c r="N34" s="89">
        <v>131.75812164030447</v>
      </c>
      <c r="O34" s="89">
        <v>0.95883777284370331</v>
      </c>
    </row>
    <row r="35" spans="2:20" x14ac:dyDescent="0.4">
      <c r="B35" s="87">
        <v>20240311</v>
      </c>
      <c r="C35" s="49">
        <v>4.4828323602649198E-2</v>
      </c>
      <c r="G35" s="89">
        <v>111.4584002142372</v>
      </c>
      <c r="H35" s="89">
        <v>0.94653357185634279</v>
      </c>
      <c r="I35" s="88">
        <v>20240311</v>
      </c>
      <c r="J35" s="49">
        <v>4.8216677908357881E-2</v>
      </c>
      <c r="N35" s="89">
        <v>125.1977449222076</v>
      </c>
      <c r="O35" s="89">
        <v>0.94653357185634279</v>
      </c>
    </row>
    <row r="36" spans="2:20" x14ac:dyDescent="0.4">
      <c r="B36" s="87">
        <v>20240611</v>
      </c>
      <c r="C36" s="49">
        <v>4.4858356037003826E-2</v>
      </c>
      <c r="G36" s="89">
        <v>113.06763713436574</v>
      </c>
      <c r="H36" s="89">
        <v>0.9345596939466847</v>
      </c>
      <c r="I36" s="88">
        <v>20240611</v>
      </c>
      <c r="J36" s="49">
        <v>4.8109042864503966E-2</v>
      </c>
      <c r="N36" s="89">
        <v>126.30224502833859</v>
      </c>
      <c r="O36" s="89">
        <v>0.9345596939466847</v>
      </c>
    </row>
    <row r="37" spans="2:20" x14ac:dyDescent="0.4">
      <c r="B37" s="87">
        <v>20240911</v>
      </c>
      <c r="C37" s="49">
        <v>4.46347547459316E-2</v>
      </c>
      <c r="G37" s="89">
        <v>112.50403935960846</v>
      </c>
      <c r="H37" s="89">
        <v>0.92305790333083837</v>
      </c>
      <c r="I37" s="88">
        <v>20240911</v>
      </c>
      <c r="J37" s="49">
        <v>4.7846430319532021E-2</v>
      </c>
      <c r="N37" s="89">
        <v>125.64031751772458</v>
      </c>
      <c r="O37" s="89">
        <v>0.92305790333083837</v>
      </c>
    </row>
    <row r="38" spans="2:20" x14ac:dyDescent="0.4">
      <c r="B38" s="87">
        <v>20241211</v>
      </c>
      <c r="C38" s="49">
        <v>4.4507060334520905E-2</v>
      </c>
      <c r="G38" s="89">
        <v>110.96280795729888</v>
      </c>
      <c r="H38" s="89">
        <v>0.9126304468920321</v>
      </c>
      <c r="I38" s="88">
        <v>20241211</v>
      </c>
      <c r="J38" s="49">
        <v>4.8587297378585775E-2</v>
      </c>
      <c r="N38" s="89">
        <v>126.1217551082553</v>
      </c>
      <c r="O38" s="89">
        <v>0.9126304468920321</v>
      </c>
    </row>
    <row r="39" spans="2:20" x14ac:dyDescent="0.4">
      <c r="B39" s="87">
        <v>20250311</v>
      </c>
      <c r="C39" s="49">
        <v>4.459697586355723E-2</v>
      </c>
      <c r="G39" s="89">
        <v>109.96514596493564</v>
      </c>
      <c r="H39" s="89">
        <v>0.90300640867140169</v>
      </c>
      <c r="I39" s="88">
        <v>20250311</v>
      </c>
      <c r="J39" s="49">
        <v>4.9033489640435357E-2</v>
      </c>
      <c r="N39" s="89">
        <v>125.83600185312866</v>
      </c>
      <c r="O39" s="89">
        <v>0.90300640867140169</v>
      </c>
    </row>
    <row r="40" spans="2:20" x14ac:dyDescent="0.4">
      <c r="B40" s="87">
        <v>20250611</v>
      </c>
      <c r="C40" s="49">
        <v>4.469791855859747E-2</v>
      </c>
      <c r="G40" s="89">
        <v>112.66324677783459</v>
      </c>
      <c r="H40" s="89">
        <v>0.8932588614282575</v>
      </c>
      <c r="I40" s="88">
        <v>20250611</v>
      </c>
      <c r="J40" s="49">
        <v>4.9123777838875143E-2</v>
      </c>
      <c r="N40" s="89">
        <v>128.85993318291855</v>
      </c>
      <c r="O40" s="89">
        <v>0.8932588614282575</v>
      </c>
    </row>
    <row r="41" spans="2:20" x14ac:dyDescent="0.4">
      <c r="B41" s="87">
        <v>20250911</v>
      </c>
      <c r="C41" s="49">
        <v>4.4819651842866418E-2</v>
      </c>
      <c r="G41" s="89">
        <v>112.97008135736169</v>
      </c>
      <c r="H41" s="89">
        <v>0.88358109699188558</v>
      </c>
      <c r="I41" s="88">
        <v>20250911</v>
      </c>
      <c r="J41" s="49">
        <v>4.912512121245962E-2</v>
      </c>
      <c r="N41" s="89">
        <v>128.8633192204463</v>
      </c>
      <c r="O41" s="89">
        <v>0.88358109699188558</v>
      </c>
    </row>
    <row r="42" spans="2:20" x14ac:dyDescent="0.4">
      <c r="B42" s="87">
        <v>20251211</v>
      </c>
      <c r="C42" s="49">
        <v>4.4972281562919686E-2</v>
      </c>
      <c r="G42" s="89">
        <v>112.12267458152596</v>
      </c>
      <c r="H42" s="89">
        <v>0.87377691201181562</v>
      </c>
      <c r="I42" s="88">
        <v>20251211</v>
      </c>
      <c r="J42" s="49">
        <v>4.7432114377740017E-2</v>
      </c>
      <c r="N42" s="89">
        <v>123.2417098184756</v>
      </c>
      <c r="O42" s="89">
        <v>0.87377691201181562</v>
      </c>
    </row>
    <row r="43" spans="2:20" x14ac:dyDescent="0.4">
      <c r="B43" s="87">
        <v>20260311</v>
      </c>
      <c r="C43" s="49">
        <v>4.5166900799943704E-2</v>
      </c>
      <c r="G43" s="89">
        <v>111.37044032862811</v>
      </c>
      <c r="H43" s="89">
        <v>0.86391268157461254</v>
      </c>
      <c r="I43" s="88">
        <v>20260311</v>
      </c>
      <c r="J43" s="49">
        <v>4.6274894780101751E-2</v>
      </c>
      <c r="N43" s="89">
        <v>119.03398712901836</v>
      </c>
      <c r="O43" s="89">
        <v>0.86391268157461254</v>
      </c>
    </row>
    <row r="44" spans="2:20" x14ac:dyDescent="0.4">
      <c r="B44" s="87">
        <v>20260611</v>
      </c>
      <c r="C44" s="49">
        <v>4.5058839226669742E-2</v>
      </c>
      <c r="G44" s="89">
        <v>113.57296462612622</v>
      </c>
      <c r="H44" s="89">
        <v>0.85389556865926464</v>
      </c>
      <c r="I44" s="88">
        <v>20260611</v>
      </c>
      <c r="J44" s="49">
        <v>4.6124630191562356E-2</v>
      </c>
      <c r="N44" s="89">
        <v>121.30043774311611</v>
      </c>
      <c r="O44" s="89">
        <v>0.85389556865926464</v>
      </c>
    </row>
    <row r="45" spans="2:20" x14ac:dyDescent="0.4">
      <c r="B45" s="87">
        <v>20260911</v>
      </c>
      <c r="C45" s="49">
        <v>4.5032250075325346E-2</v>
      </c>
      <c r="G45" s="89">
        <v>113.50594539534069</v>
      </c>
      <c r="H45" s="89">
        <v>0.84387076818172813</v>
      </c>
      <c r="I45" s="88">
        <v>20260911</v>
      </c>
      <c r="J45" s="49">
        <v>4.5765519273405331E-2</v>
      </c>
      <c r="N45" s="89">
        <v>120.39528145625479</v>
      </c>
      <c r="O45" s="89">
        <v>0.84387076818172813</v>
      </c>
    </row>
    <row r="46" spans="2:20" x14ac:dyDescent="0.4">
      <c r="B46" s="87">
        <v>20261211</v>
      </c>
      <c r="C46" s="49">
        <v>4.5137697571339029E-2</v>
      </c>
      <c r="G46" s="89">
        <v>112.53508161621491</v>
      </c>
      <c r="H46" s="89">
        <v>0.83478603905419579</v>
      </c>
      <c r="I46" s="88">
        <v>20261211</v>
      </c>
      <c r="J46" s="49">
        <v>4.550048944259049E-2</v>
      </c>
      <c r="N46" s="89">
        <v>118.42587778837654</v>
      </c>
      <c r="O46" s="89">
        <v>0.83478603905419579</v>
      </c>
    </row>
    <row r="47" spans="2:20" x14ac:dyDescent="0.4">
      <c r="B47" s="87">
        <v>20270311</v>
      </c>
      <c r="C47" s="49">
        <v>4.5336552106980475E-2</v>
      </c>
      <c r="G47" s="89">
        <v>111.78875861995164</v>
      </c>
      <c r="H47" s="89">
        <v>0.82638596725989555</v>
      </c>
      <c r="I47" s="88">
        <v>20270311</v>
      </c>
      <c r="J47" s="49">
        <v>4.5089709928422067E-2</v>
      </c>
      <c r="N47" s="89">
        <v>116.11161352213655</v>
      </c>
      <c r="O47" s="89">
        <v>0.82638596725989555</v>
      </c>
    </row>
    <row r="48" spans="2:20" x14ac:dyDescent="0.4">
      <c r="B48" s="87">
        <v>20270611</v>
      </c>
      <c r="C48" s="49">
        <v>4.5567978809725178E-2</v>
      </c>
      <c r="G48" s="89">
        <v>114.54246039603058</v>
      </c>
      <c r="H48" s="89">
        <v>0.81795228947774845</v>
      </c>
      <c r="I48" s="88">
        <v>20270611</v>
      </c>
      <c r="J48" s="49">
        <v>4.4876449747791182E-2</v>
      </c>
      <c r="N48" s="89">
        <v>118.15433909032313</v>
      </c>
      <c r="O48" s="89">
        <v>0.81795228947774845</v>
      </c>
    </row>
    <row r="49" spans="2:15" x14ac:dyDescent="0.4">
      <c r="B49" s="87">
        <v>20270911</v>
      </c>
      <c r="C49" s="49">
        <v>4.5916588327928214E-2</v>
      </c>
      <c r="G49" s="89">
        <v>115.41874661664967</v>
      </c>
      <c r="H49" s="89">
        <v>0.80964248415258322</v>
      </c>
      <c r="I49" s="88">
        <v>20270911</v>
      </c>
      <c r="J49" s="49">
        <v>4.4529083248778439E-2</v>
      </c>
      <c r="N49" s="89">
        <v>117.27878517500342</v>
      </c>
      <c r="O49" s="89">
        <v>0.80964248415258322</v>
      </c>
    </row>
    <row r="50" spans="2:15" x14ac:dyDescent="0.4">
      <c r="B50" s="87">
        <v>20271211</v>
      </c>
      <c r="C50" s="49">
        <v>4.6356057070870822E-2</v>
      </c>
      <c r="G50" s="89">
        <v>115.25686320899607</v>
      </c>
      <c r="H50" s="89">
        <v>0.80119270570894041</v>
      </c>
      <c r="I50" s="88">
        <v>20271211</v>
      </c>
      <c r="J50" s="49">
        <v>4.6300874346973435E-2</v>
      </c>
      <c r="N50" s="89">
        <v>120.42135796094782</v>
      </c>
      <c r="O50" s="89">
        <v>0.80119270570894041</v>
      </c>
    </row>
    <row r="51" spans="2:15" x14ac:dyDescent="0.4">
      <c r="B51" s="87">
        <v>20280311</v>
      </c>
      <c r="C51" s="49">
        <v>4.6596627279126238E-2</v>
      </c>
      <c r="G51" s="89">
        <v>115.85500225137949</v>
      </c>
      <c r="H51" s="89">
        <v>0.79267476554829197</v>
      </c>
      <c r="I51" s="88">
        <v>20280311</v>
      </c>
      <c r="J51" s="49">
        <v>4.756049710089965E-2</v>
      </c>
      <c r="N51" s="89">
        <v>123.56178729265403</v>
      </c>
      <c r="O51" s="89">
        <v>0.79267476554829197</v>
      </c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2023-09-05T14:01:02Z</dcterms:modified>
</cp:coreProperties>
</file>