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<sst xmlns="http://schemas.openxmlformats.org/spreadsheetml/2006/main" count="273" uniqueCount="118">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</sst>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F31" sqref="F31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107" t="s">
        <v>2</v>
      </c>
      <c r="C4" s="107"/>
      <c r="D4" s="108">
        <v>2</v>
      </c>
      <c r="E4" s="108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7" t="s">
        <v>3</v>
      </c>
      <c r="C6" s="107"/>
      <c r="D6" s="108">
        <v>1</v>
      </c>
      <c r="E6" s="108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7" t="s">
        <v>4</v>
      </c>
      <c r="C7" s="107"/>
      <c r="D7" s="108">
        <v>0</v>
      </c>
      <c r="E7" s="108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7" t="s">
        <v>1</v>
      </c>
      <c r="C8" s="107"/>
      <c r="D8" s="108">
        <v>0.01</v>
      </c>
      <c r="E8" s="108"/>
      <c r="G8" s="95"/>
      <c r="I8" s="2" t="s">
        <v>106</v>
      </c>
      <c r="J8" s="2" t="s">
        <v>107</v>
      </c>
      <c r="K8" s="2" t="s">
        <v>109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2.0067067133415922E-2</v>
      </c>
      <c r="J9" s="72">
        <v>9.6050968278254614E-3</v>
      </c>
      <c r="K9" s="72">
        <v>0.5</v>
      </c>
      <c r="Q9" s="101" t="s">
        <v>15</v>
      </c>
      <c r="R9" s="101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3" t="s">
        <v>9</v>
      </c>
      <c r="I10" s="102" t="s">
        <v>10</v>
      </c>
      <c r="J10" s="103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74">
        <v>1</v>
      </c>
      <c r="I11" s="75">
        <v>1.3931960353891909E-2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74">
        <v>2</v>
      </c>
      <c r="I12" s="75">
        <v>1.2316898559421533E-2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9" t="s">
        <v>6</v>
      </c>
      <c r="E13" s="109"/>
      <c r="G13" s="95"/>
      <c r="H13" s="74">
        <v>3</v>
      </c>
      <c r="I13" s="75">
        <v>1.3143116491132624E-2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9"/>
      <c r="E14" s="109"/>
      <c r="G14" s="95"/>
      <c r="H14" s="74">
        <v>4</v>
      </c>
      <c r="I14" s="75">
        <v>1.2104288341778719E-2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9"/>
      <c r="E15" s="109"/>
      <c r="G15" s="95"/>
      <c r="H15" s="74">
        <v>5</v>
      </c>
      <c r="I15" s="75">
        <v>1.342201341995688E-2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95"/>
      <c r="H16" s="74">
        <v>7</v>
      </c>
      <c r="I16" s="75">
        <v>1.2520732146148536E-2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10">
        <v>45181.005868055552</v>
      </c>
      <c r="E17" s="110"/>
      <c r="G17" s="95"/>
      <c r="H17" s="74">
        <v>10</v>
      </c>
      <c r="I17" s="75">
        <v>1.1581161567258256E-2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10">
        <v>45181.005868055552</v>
      </c>
      <c r="E18" s="110"/>
      <c r="G18" s="95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7" t="s">
        <v>115</v>
      </c>
      <c r="C23" s="107"/>
      <c r="D23" s="108">
        <v>0</v>
      </c>
      <c r="E23" s="108"/>
      <c r="G23" s="95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7" t="s">
        <v>111</v>
      </c>
      <c r="C24" s="107"/>
      <c r="D24" s="108">
        <v>1</v>
      </c>
      <c r="E24" s="108"/>
      <c r="G24" s="95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7" t="s">
        <v>113</v>
      </c>
      <c r="C25" s="107"/>
      <c r="D25" s="108">
        <v>0.1</v>
      </c>
      <c r="E25" s="108"/>
      <c r="G25" s="95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7" t="s">
        <v>112</v>
      </c>
      <c r="C26" s="107"/>
      <c r="D26" s="108">
        <v>0.15</v>
      </c>
      <c r="E26" s="108"/>
      <c r="G26" s="95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7" t="s">
        <v>3</v>
      </c>
      <c r="C56" s="107"/>
      <c r="D56" s="108">
        <v>1</v>
      </c>
      <c r="E56" s="108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7" t="s">
        <v>4</v>
      </c>
      <c r="C57" s="107"/>
      <c r="D57" s="108">
        <v>1</v>
      </c>
      <c r="E57" s="108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7" t="s">
        <v>1</v>
      </c>
      <c r="C58" s="107"/>
      <c r="D58" s="108">
        <v>0.01</v>
      </c>
      <c r="E58" s="108"/>
      <c r="G58" s="95"/>
      <c r="I58" s="2" t="s">
        <v>106</v>
      </c>
      <c r="J58" s="2" t="s">
        <v>107</v>
      </c>
      <c r="K58" s="2" t="s">
        <v>109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2">
        <v>0.01</v>
      </c>
      <c r="K59" s="72">
        <v>0.9</v>
      </c>
      <c r="Q59" s="101" t="s">
        <v>15</v>
      </c>
      <c r="R59" s="101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3" t="s">
        <v>9</v>
      </c>
      <c r="I60" s="102" t="s">
        <v>10</v>
      </c>
      <c r="J60" s="103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74">
        <v>1</v>
      </c>
      <c r="I61" s="75">
        <v>1.3179794086105324E-2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74">
        <v>2</v>
      </c>
      <c r="I62" s="75">
        <v>1.2003347093782295E-2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9" t="s">
        <v>6</v>
      </c>
      <c r="E63" s="109"/>
      <c r="G63" s="95"/>
      <c r="H63" s="74">
        <v>3</v>
      </c>
      <c r="I63" s="75">
        <v>1.1763422778972145E-2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9"/>
      <c r="E64" s="109"/>
      <c r="G64" s="95"/>
      <c r="H64" s="74">
        <v>4</v>
      </c>
      <c r="I64" s="75">
        <v>1.2245700586857295E-2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9"/>
      <c r="E65" s="109"/>
      <c r="G65" s="95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5"/>
      <c r="H66" s="74">
        <v>7</v>
      </c>
      <c r="I66" s="75">
        <v>1.3388249104174767E-2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10">
        <v>45181.005868055552</v>
      </c>
      <c r="E67" s="110"/>
      <c r="G67" s="95"/>
      <c r="H67" s="74">
        <v>10</v>
      </c>
      <c r="I67" s="75">
        <v>1.5966173861409756E-2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10">
        <v>45181.005868055552</v>
      </c>
      <c r="E68" s="110"/>
      <c r="G68" s="95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7" t="s">
        <v>115</v>
      </c>
      <c r="C73" s="107"/>
      <c r="D73" s="108">
        <v>0</v>
      </c>
      <c r="E73" s="108"/>
      <c r="G73" s="95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7" t="s">
        <v>111</v>
      </c>
      <c r="C74" s="107"/>
      <c r="D74" s="108">
        <v>1</v>
      </c>
      <c r="E74" s="108"/>
      <c r="G74" s="95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7" t="s">
        <v>113</v>
      </c>
      <c r="C75" s="107"/>
      <c r="D75" s="108">
        <v>-0.12</v>
      </c>
      <c r="E75" s="108"/>
      <c r="G75" s="95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7" t="s">
        <v>112</v>
      </c>
      <c r="C76" s="107"/>
      <c r="D76" s="108">
        <v>0.24</v>
      </c>
      <c r="E76" s="108"/>
      <c r="G76" s="95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7" t="s">
        <v>3</v>
      </c>
      <c r="C106" s="107"/>
      <c r="D106" s="108">
        <v>1</v>
      </c>
      <c r="E106" s="108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7" t="s">
        <v>4</v>
      </c>
      <c r="C107" s="107"/>
      <c r="D107" s="108">
        <v>1</v>
      </c>
      <c r="E107" s="108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7" t="s">
        <v>1</v>
      </c>
      <c r="C108" s="107"/>
      <c r="D108" s="108">
        <v>0.01</v>
      </c>
      <c r="E108" s="108"/>
      <c r="G108" s="95"/>
      <c r="I108" s="2" t="s">
        <v>106</v>
      </c>
      <c r="J108" s="2" t="s">
        <v>107</v>
      </c>
      <c r="K108" s="2" t="s">
        <v>109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2">
        <v>0.01</v>
      </c>
      <c r="K109" s="72">
        <v>0.9</v>
      </c>
      <c r="Q109" s="101" t="s">
        <v>15</v>
      </c>
      <c r="R109" s="101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3" t="s">
        <v>9</v>
      </c>
      <c r="I110" s="102" t="s">
        <v>10</v>
      </c>
      <c r="J110" s="103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9" t="s">
        <v>6</v>
      </c>
      <c r="E113" s="109"/>
      <c r="G113" s="95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9"/>
      <c r="E114" s="109"/>
      <c r="G114" s="95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9"/>
      <c r="E115" s="109"/>
      <c r="G115" s="95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5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10">
        <v>44931.461863425924</v>
      </c>
      <c r="E117" s="110"/>
      <c r="G117" s="95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10">
        <v>44931.461875000001</v>
      </c>
      <c r="E118" s="110"/>
      <c r="G118" s="95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7" t="s">
        <v>115</v>
      </c>
      <c r="C123" s="107"/>
      <c r="D123" s="108">
        <v>0</v>
      </c>
      <c r="E123" s="108"/>
      <c r="G123" s="95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7" t="s">
        <v>111</v>
      </c>
      <c r="C124" s="107"/>
      <c r="D124" s="108">
        <v>0</v>
      </c>
      <c r="E124" s="108"/>
      <c r="G124" s="95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7" t="s">
        <v>113</v>
      </c>
      <c r="C125" s="107"/>
      <c r="D125" s="108">
        <v>-0.1</v>
      </c>
      <c r="E125" s="108"/>
      <c r="G125" s="95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7" t="s">
        <v>112</v>
      </c>
      <c r="C126" s="107"/>
      <c r="D126" s="108">
        <v>0.15</v>
      </c>
      <c r="E126" s="108"/>
      <c r="G126" s="95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7" t="s">
        <v>3</v>
      </c>
      <c r="C156" s="107"/>
      <c r="D156" s="108">
        <v>1</v>
      </c>
      <c r="E156" s="108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7" t="s">
        <v>4</v>
      </c>
      <c r="C157" s="107"/>
      <c r="D157" s="108">
        <v>1</v>
      </c>
      <c r="E157" s="108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7" t="s">
        <v>1</v>
      </c>
      <c r="C158" s="107"/>
      <c r="D158" s="108">
        <v>0.01</v>
      </c>
      <c r="E158" s="108"/>
      <c r="G158" s="95"/>
      <c r="I158" s="2" t="s">
        <v>106</v>
      </c>
      <c r="J158" s="2" t="s">
        <v>107</v>
      </c>
      <c r="K158" s="2" t="s">
        <v>109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2">
        <v>0.01</v>
      </c>
      <c r="K159" s="72">
        <v>0.9</v>
      </c>
      <c r="Q159" s="101" t="s">
        <v>15</v>
      </c>
      <c r="R159" s="101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3" t="s">
        <v>9</v>
      </c>
      <c r="I160" s="102" t="s">
        <v>10</v>
      </c>
      <c r="J160" s="103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9" t="s">
        <v>6</v>
      </c>
      <c r="E163" s="109"/>
      <c r="G163" s="95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9"/>
      <c r="E164" s="109"/>
      <c r="G164" s="95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9"/>
      <c r="E165" s="109"/>
      <c r="G165" s="95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5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10">
        <v>44931.461875000001</v>
      </c>
      <c r="E167" s="110"/>
      <c r="G167" s="95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10">
        <v>44931.461875000001</v>
      </c>
      <c r="E168" s="110"/>
      <c r="G168" s="95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7" t="s">
        <v>115</v>
      </c>
      <c r="C173" s="107"/>
      <c r="D173" s="108">
        <v>0</v>
      </c>
      <c r="E173" s="108"/>
      <c r="G173" s="95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7" t="s">
        <v>111</v>
      </c>
      <c r="C174" s="107"/>
      <c r="D174" s="108">
        <v>0</v>
      </c>
      <c r="E174" s="108"/>
      <c r="G174" s="95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7" t="s">
        <v>113</v>
      </c>
      <c r="C175" s="107"/>
      <c r="D175" s="108">
        <v>-0.1</v>
      </c>
      <c r="E175" s="108"/>
      <c r="G175" s="95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7" t="s">
        <v>112</v>
      </c>
      <c r="C176" s="107"/>
      <c r="D176" s="108">
        <v>0.15</v>
      </c>
      <c r="E176" s="108"/>
      <c r="G176" s="95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0" zoomScale="85" zoomScaleNormal="85" workbookViewId="0">
      <selection activeCell="L47" sqref="L47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80" t="s">
        <v>29</v>
      </c>
      <c r="C3" s="180"/>
      <c r="D3" s="183">
        <v>44848</v>
      </c>
      <c r="E3" s="178"/>
      <c r="F3" s="175" t="s">
        <v>31</v>
      </c>
      <c r="G3" s="175"/>
      <c r="H3" s="178">
        <v>0</v>
      </c>
      <c r="I3" s="178"/>
      <c r="J3" s="175" t="s">
        <v>67</v>
      </c>
      <c r="K3" s="175"/>
      <c r="L3" s="178">
        <v>10000</v>
      </c>
      <c r="M3" s="178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9" t="s">
        <v>46</v>
      </c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  <c r="AD5" s="179" t="s">
        <v>47</v>
      </c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</row>
    <row r="6" spans="1:57" ht="16.2" customHeight="1" x14ac:dyDescent="0.4">
      <c r="A6" s="34">
        <f t="shared" si="1"/>
        <v>6</v>
      </c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</row>
    <row r="7" spans="1:57" ht="16.2" customHeight="1" x14ac:dyDescent="0.4">
      <c r="A7" s="34">
        <f t="shared" si="1"/>
        <v>7</v>
      </c>
      <c r="B7" s="180" t="str">
        <f>IF(D7&gt;0,"레퍼런스금리 개수","기초금리는 1개 - 3개 입력가능")</f>
        <v>레퍼런스금리 개수</v>
      </c>
      <c r="C7" s="180"/>
      <c r="D7" s="177">
        <v>1</v>
      </c>
      <c r="E7" s="177"/>
      <c r="F7" s="181" t="s">
        <v>32</v>
      </c>
      <c r="G7" s="182"/>
      <c r="H7" s="178">
        <v>1</v>
      </c>
      <c r="I7" s="178"/>
      <c r="J7" s="175" t="s">
        <v>91</v>
      </c>
      <c r="K7" s="175"/>
      <c r="L7" s="178">
        <v>0</v>
      </c>
      <c r="M7" s="178"/>
      <c r="N7" s="35"/>
      <c r="O7" s="35"/>
      <c r="P7" s="35"/>
      <c r="Q7" s="35"/>
      <c r="R7" s="35"/>
      <c r="S7" s="35"/>
      <c r="T7" s="35"/>
      <c r="U7" s="35"/>
      <c r="AD7" s="180" t="str">
        <f>IF(AF7&gt;0,"레퍼런스금리 개수","기초금리는 1개 - 3개 입력가능")</f>
        <v>레퍼런스금리 개수</v>
      </c>
      <c r="AE7" s="180"/>
      <c r="AF7" s="177">
        <v>1</v>
      </c>
      <c r="AG7" s="177"/>
      <c r="AH7" s="181" t="s">
        <v>32</v>
      </c>
      <c r="AI7" s="182"/>
      <c r="AJ7" s="178">
        <v>0</v>
      </c>
      <c r="AK7" s="178"/>
      <c r="AL7" s="175" t="s">
        <v>91</v>
      </c>
      <c r="AM7" s="175"/>
      <c r="AN7" s="178">
        <v>0</v>
      </c>
      <c r="AO7" s="178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5" t="s">
        <v>50</v>
      </c>
      <c r="C8" s="175"/>
      <c r="D8" s="176">
        <v>1</v>
      </c>
      <c r="E8" s="177"/>
      <c r="F8" s="175" t="s">
        <v>51</v>
      </c>
      <c r="G8" s="175"/>
      <c r="H8" s="176">
        <v>1</v>
      </c>
      <c r="I8" s="177"/>
      <c r="J8" s="175" t="s">
        <v>42</v>
      </c>
      <c r="K8" s="175"/>
      <c r="L8" s="178">
        <v>0</v>
      </c>
      <c r="M8" s="178"/>
      <c r="N8" s="35"/>
      <c r="O8" s="35"/>
      <c r="P8" s="35"/>
      <c r="Q8" s="35"/>
      <c r="R8" s="35"/>
      <c r="S8" s="35"/>
      <c r="T8" s="35"/>
      <c r="U8" s="35"/>
      <c r="AD8" s="175" t="s">
        <v>50</v>
      </c>
      <c r="AE8" s="175"/>
      <c r="AF8" s="176">
        <v>1</v>
      </c>
      <c r="AG8" s="177"/>
      <c r="AH8" s="175" t="s">
        <v>51</v>
      </c>
      <c r="AI8" s="175"/>
      <c r="AJ8" s="176">
        <v>1</v>
      </c>
      <c r="AK8" s="177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90" t="str">
        <f>IF(D7&gt;=1,"기초금리1", "")</f>
        <v>기초금리1</v>
      </c>
      <c r="C10" s="173" t="str">
        <f>IF($D$7&gt;=1,"커브번호", "")</f>
        <v>커브번호</v>
      </c>
      <c r="D10" s="173"/>
      <c r="E10" s="138">
        <v>1</v>
      </c>
      <c r="F10" s="138"/>
      <c r="G10" s="65"/>
      <c r="H10" s="3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53"/>
      <c r="N10" s="167" t="s">
        <v>34</v>
      </c>
      <c r="O10" s="167"/>
      <c r="P10" s="167"/>
      <c r="Q10" s="167"/>
      <c r="R10" s="34"/>
      <c r="S10" s="34"/>
      <c r="T10" s="34"/>
      <c r="U10" s="34"/>
      <c r="W10" s="167" t="s">
        <v>52</v>
      </c>
      <c r="X10" s="167"/>
      <c r="Y10" s="167"/>
      <c r="AD10" s="141" t="str">
        <f>IF($AF$7&gt;=1,"기초금리1", "")</f>
        <v>기초금리1</v>
      </c>
      <c r="AE10" s="137" t="str">
        <f>IF($AF$7&gt;=1,"커브번호", "")</f>
        <v>커브번호</v>
      </c>
      <c r="AF10" s="137"/>
      <c r="AG10" s="138">
        <v>2</v>
      </c>
      <c r="AH10" s="138"/>
      <c r="AI10" s="65"/>
      <c r="AJ10" s="36"/>
      <c r="AK10" s="135" t="str">
        <f>IF(OR(AG11 = 0, AG11 = 2, AG11 = 4), "RefType = "&amp;AG11&amp;" 이므로 Ref Swap 금리정보 사용안함", "사용")</f>
        <v>RefType = 0 이므로 Ref Swap 금리정보 사용안함</v>
      </c>
      <c r="AL10" s="135"/>
      <c r="AM10" s="135"/>
      <c r="AN10" s="136"/>
      <c r="AP10" s="167" t="s">
        <v>54</v>
      </c>
      <c r="AQ10" s="167"/>
      <c r="AR10" s="167"/>
      <c r="AS10" s="167"/>
      <c r="AT10" s="34"/>
      <c r="AU10" s="34"/>
      <c r="AV10" s="34"/>
      <c r="AW10" s="34"/>
      <c r="AY10" s="167" t="s">
        <v>53</v>
      </c>
      <c r="AZ10" s="167"/>
      <c r="BA10" s="167"/>
    </row>
    <row r="11" spans="1:57" ht="16.2" customHeight="1" x14ac:dyDescent="0.4">
      <c r="A11" s="34">
        <f t="shared" si="1"/>
        <v>11</v>
      </c>
      <c r="B11" s="170"/>
      <c r="C11" s="159" t="str">
        <f>IF($D$7&gt;=1,"Reference Rate Type", "")</f>
        <v>Reference Rate Type</v>
      </c>
      <c r="D11" s="160"/>
      <c r="E11" s="174">
        <v>0</v>
      </c>
      <c r="F11" s="187"/>
      <c r="G11" s="151" t="str">
        <f>IF(OR(E11 = 0, E11 = 2, E11 = 4), "", "Zero/Swap 레퍼런스금리정보")</f>
        <v/>
      </c>
      <c r="H11" s="152"/>
      <c r="I11" s="143" t="str">
        <f>IF(OR(E11 = 0, E11 = 2, E11 = 4), "", "연 지급횟수")</f>
        <v/>
      </c>
      <c r="J11" s="144"/>
      <c r="K11" s="130">
        <v>4</v>
      </c>
      <c r="L11" s="131"/>
      <c r="M11" s="34"/>
      <c r="N11" s="189" t="str">
        <f>IF(OR(E11 = 0, E11 = 2, E11 = 4), "ForwardStart", "ResetStart")</f>
        <v>ForwardStart</v>
      </c>
      <c r="O11" s="189" t="str">
        <f>IF(OR(E11 = 0, E11 = 2, E11 = 4), "ForwardEnd", "ResetEnd")</f>
        <v>ForwardEnd</v>
      </c>
      <c r="P11" s="132" t="s">
        <v>35</v>
      </c>
      <c r="Q11" s="132" t="s">
        <v>36</v>
      </c>
      <c r="R11" s="132" t="s">
        <v>37</v>
      </c>
      <c r="S11" s="132" t="s">
        <v>38</v>
      </c>
      <c r="T11" s="132" t="s">
        <v>116</v>
      </c>
      <c r="U11" s="132" t="s">
        <v>71</v>
      </c>
      <c r="W11" s="37" t="s">
        <v>43</v>
      </c>
      <c r="X11" s="155">
        <v>0</v>
      </c>
      <c r="Y11" s="155"/>
      <c r="AD11" s="142"/>
      <c r="AE11" s="126" t="str">
        <f>IF($AF$7&gt;=1,"Reference Rate Type", "")</f>
        <v>Reference Rate Type</v>
      </c>
      <c r="AF11" s="139"/>
      <c r="AG11" s="174">
        <v>0</v>
      </c>
      <c r="AH11" s="174"/>
      <c r="AI11" s="128" t="str">
        <f>IF(OR(AG11 = 0, AG11 = 2, AG11 = 4), "", "Zero/Swap 레퍼런스금리정보")</f>
        <v/>
      </c>
      <c r="AJ11" s="128"/>
      <c r="AK11" s="128" t="str">
        <f>IF(OR(AG11 = 0, AG11 = 2, AG11 = 4), "", "연 지급횟수")</f>
        <v/>
      </c>
      <c r="AL11" s="129"/>
      <c r="AM11" s="130">
        <v>4</v>
      </c>
      <c r="AN11" s="131"/>
      <c r="AO11" s="34"/>
      <c r="AP11" s="132" t="str">
        <f>IF(OR(AG11 = 0, AG11 = 2, AG11 = 4), "ForwardStart", "ResetEnd")</f>
        <v>ForwardStart</v>
      </c>
      <c r="AQ11" s="132" t="str">
        <f>IF(OR(AG11 = 0, AG11 = 2, AG11 = 4), "ForwardEnd", "ResetEnd")</f>
        <v>ForwardEnd</v>
      </c>
      <c r="AR11" s="132" t="s">
        <v>35</v>
      </c>
      <c r="AS11" s="132" t="s">
        <v>36</v>
      </c>
      <c r="AT11" s="132" t="s">
        <v>37</v>
      </c>
      <c r="AU11" s="132" t="s">
        <v>38</v>
      </c>
      <c r="AV11" s="132" t="s">
        <v>116</v>
      </c>
      <c r="AW11" s="132" t="s">
        <v>71</v>
      </c>
      <c r="AY11" s="37" t="s">
        <v>43</v>
      </c>
      <c r="AZ11" s="155">
        <v>0</v>
      </c>
      <c r="BA11" s="155"/>
    </row>
    <row r="12" spans="1:57" ht="16.2" customHeight="1" x14ac:dyDescent="0.4">
      <c r="A12" s="34">
        <f t="shared" si="1"/>
        <v>12</v>
      </c>
      <c r="B12" s="170"/>
      <c r="C12" s="159" t="str">
        <f>IF($D$7&gt;=1,"DayCount", "")</f>
        <v>DayCount</v>
      </c>
      <c r="D12" s="159"/>
      <c r="E12" s="117">
        <v>0</v>
      </c>
      <c r="F12" s="188"/>
      <c r="G12" s="184"/>
      <c r="H12" s="143"/>
      <c r="I12" s="143" t="str">
        <f>IF(OR(E11 = 0, E11 = 2, E11 = 4,E14=1), "", "만기")</f>
        <v/>
      </c>
      <c r="J12" s="144"/>
      <c r="K12" s="185">
        <v>10</v>
      </c>
      <c r="L12" s="186"/>
      <c r="N12" s="132"/>
      <c r="O12" s="132"/>
      <c r="P12" s="132"/>
      <c r="Q12" s="132"/>
      <c r="R12" s="132"/>
      <c r="S12" s="132"/>
      <c r="T12" s="132"/>
      <c r="U12" s="132"/>
      <c r="W12" s="37" t="s">
        <v>44</v>
      </c>
      <c r="X12" s="155">
        <v>0</v>
      </c>
      <c r="Y12" s="155"/>
      <c r="AD12" s="142"/>
      <c r="AE12" s="126" t="str">
        <f>IF($AF$7&gt;=1,"DayCount", "")</f>
        <v>DayCount</v>
      </c>
      <c r="AF12" s="126"/>
      <c r="AG12" s="117">
        <v>3</v>
      </c>
      <c r="AH12" s="117"/>
      <c r="AI12" s="128"/>
      <c r="AJ12" s="128"/>
      <c r="AK12" s="143" t="str">
        <f>IF(OR(AG11 = 0, AG11 = 2, AG11 = 4,AG14=1), "", "만기")</f>
        <v/>
      </c>
      <c r="AL12" s="144"/>
      <c r="AM12" s="145">
        <v>0.25</v>
      </c>
      <c r="AN12" s="146"/>
      <c r="AP12" s="132"/>
      <c r="AQ12" s="132"/>
      <c r="AR12" s="132"/>
      <c r="AS12" s="132"/>
      <c r="AT12" s="132"/>
      <c r="AU12" s="132"/>
      <c r="AV12" s="132"/>
      <c r="AW12" s="132"/>
      <c r="AY12" s="37" t="s">
        <v>44</v>
      </c>
      <c r="AZ12" s="155">
        <v>0</v>
      </c>
      <c r="BA12" s="155"/>
    </row>
    <row r="13" spans="1:57" ht="16.2" customHeight="1" x14ac:dyDescent="0.4">
      <c r="A13" s="34">
        <f t="shared" si="1"/>
        <v>13</v>
      </c>
      <c r="B13" s="170"/>
      <c r="C13" s="159" t="str">
        <f>IF($D$7&gt;=1,"금리결정조건Multiple", "")</f>
        <v>금리결정조건Multiple</v>
      </c>
      <c r="D13" s="160"/>
      <c r="E13" s="116">
        <v>1</v>
      </c>
      <c r="F13" s="172"/>
      <c r="G13" s="112" t="str">
        <f>IF(OR(E11 = 0, E11 = 2, E11 = 4), "", "ex) Zero Rate 5년 -&gt; 연 지급횟수= 0, 만기= 5 // CD91일 -&gt; 연 지급횟수= 4, 만기= 0.25")</f>
        <v/>
      </c>
      <c r="H13" s="112"/>
      <c r="I13" s="112"/>
      <c r="J13" s="112"/>
      <c r="K13" s="112"/>
      <c r="L13" s="113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55">
        <v>0</v>
      </c>
      <c r="Y13" s="155"/>
      <c r="AD13" s="142"/>
      <c r="AE13" s="126" t="str">
        <f>IF($AF$7&gt;=1,"금리결정조건Multiple", "")</f>
        <v>금리결정조건Multiple</v>
      </c>
      <c r="AF13" s="139"/>
      <c r="AG13" s="116">
        <v>1</v>
      </c>
      <c r="AH13" s="116"/>
      <c r="AI13" s="112" t="str">
        <f>IF(OR(AG11 = 0, AG11 = 2, AG11 = 4), "", "ex) Zero Rate 5년 -&gt; 연 지급횟수= 0, 만기= 5 // CD91일 -&gt; 연 지급횟수= 4, 만기= 0.25")</f>
        <v/>
      </c>
      <c r="AJ13" s="112"/>
      <c r="AK13" s="112"/>
      <c r="AL13" s="112"/>
      <c r="AM13" s="112"/>
      <c r="AN13" s="113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55">
        <v>0</v>
      </c>
      <c r="BA13" s="155"/>
    </row>
    <row r="14" spans="1:57" ht="16.2" customHeight="1" x14ac:dyDescent="0.4">
      <c r="A14" s="34">
        <f t="shared" si="1"/>
        <v>14</v>
      </c>
      <c r="B14" s="170"/>
      <c r="C14" s="158" t="str">
        <f>IF($D$7&gt;=1,"Power Spread Flag", "")</f>
        <v>Power Spread Flag</v>
      </c>
      <c r="D14" s="158"/>
      <c r="E14" s="117">
        <v>0</v>
      </c>
      <c r="F14" s="188"/>
      <c r="G14" s="165" t="str">
        <f>IF(E14&gt;0,"PowerSpreadFlag 1일때 입력","입력필요X")</f>
        <v>입력필요X</v>
      </c>
      <c r="H14" s="165"/>
      <c r="I14" s="165" t="str">
        <f>IF(E14&gt;0,"만기1","")</f>
        <v/>
      </c>
      <c r="J14" s="165"/>
      <c r="K14" s="119">
        <v>10</v>
      </c>
      <c r="L14" s="120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42"/>
      <c r="AE14" s="125" t="str">
        <f>IF($AF$7&gt;=1,"Power Spread Flag", "")</f>
        <v>Power Spread Flag</v>
      </c>
      <c r="AF14" s="125"/>
      <c r="AG14" s="117">
        <v>0</v>
      </c>
      <c r="AH14" s="117"/>
      <c r="AI14" s="118" t="str">
        <f>IF(AG14&gt;0,"PowerSpreadFlag 1일때 입력","입력필요X")</f>
        <v>입력필요X</v>
      </c>
      <c r="AJ14" s="118"/>
      <c r="AK14" s="118" t="str">
        <f>IF(AG14&gt;0,"만기1","")</f>
        <v/>
      </c>
      <c r="AL14" s="118"/>
      <c r="AM14" s="119">
        <v>10</v>
      </c>
      <c r="AN14" s="120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70" t="str">
        <f>IF($D$7&gt;0, "사용", "커브개수"&amp;"="&amp;$D$7&amp;"이므로 사용안함")</f>
        <v>사용</v>
      </c>
      <c r="C15" s="158" t="str">
        <f>IF($D$7&gt;=1,"기초금리 Range상한", "")</f>
        <v>기초금리 Range상한</v>
      </c>
      <c r="D15" s="158"/>
      <c r="E15" s="147">
        <v>10</v>
      </c>
      <c r="F15" s="168"/>
      <c r="G15" s="165"/>
      <c r="H15" s="165"/>
      <c r="I15" s="165" t="str">
        <f>IF(E14&gt;0,"만기2","")</f>
        <v/>
      </c>
      <c r="J15" s="165"/>
      <c r="K15" s="119">
        <v>5</v>
      </c>
      <c r="L15" s="120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42" t="str">
        <f>IF($AF$7&gt;0, "사용", "커브개수"&amp;"="&amp;$AF$7&amp;"이므로 사용안함")</f>
        <v>사용</v>
      </c>
      <c r="AE15" s="125" t="str">
        <f>IF($AF$7&gt;=1,"기초금리 Range상한", "")</f>
        <v>기초금리 Range상한</v>
      </c>
      <c r="AF15" s="125"/>
      <c r="AG15" s="147">
        <v>10</v>
      </c>
      <c r="AH15" s="147"/>
      <c r="AI15" s="118"/>
      <c r="AJ15" s="118"/>
      <c r="AK15" s="118" t="str">
        <f>IF(AG14&gt;0,"만기2","")</f>
        <v/>
      </c>
      <c r="AL15" s="118"/>
      <c r="AM15" s="119">
        <v>5</v>
      </c>
      <c r="AN15" s="120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70"/>
      <c r="C16" s="158" t="str">
        <f>IF($D$7&gt;=1,"기초금리 Range하한", "")</f>
        <v>기초금리 Range하한</v>
      </c>
      <c r="D16" s="159"/>
      <c r="E16" s="127">
        <v>-1</v>
      </c>
      <c r="F16" s="169"/>
      <c r="G16" s="171"/>
      <c r="H16" s="171"/>
      <c r="I16" s="166" t="str">
        <f>IF(E14&gt;0,"Spread1","")</f>
        <v/>
      </c>
      <c r="J16" s="166"/>
      <c r="K16" s="156" t="str">
        <f>IF(E14&gt;0, I14&amp;"-"&amp;I15, "")</f>
        <v/>
      </c>
      <c r="L16" s="157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42"/>
      <c r="AE16" s="125" t="str">
        <f>IF($AF$7&gt;=1,"기초금리 Range하한", "")</f>
        <v>기초금리 Range하한</v>
      </c>
      <c r="AF16" s="126"/>
      <c r="AG16" s="127">
        <v>-1</v>
      </c>
      <c r="AH16" s="127"/>
      <c r="AI16" s="124"/>
      <c r="AJ16" s="124"/>
      <c r="AK16" s="121" t="str">
        <f>IF(AG14&gt;0,"Spread1","")</f>
        <v/>
      </c>
      <c r="AL16" s="121"/>
      <c r="AM16" s="122" t="str">
        <f>IF(AG14&gt;0, AK14&amp;"-"&amp;AK15, "")</f>
        <v/>
      </c>
      <c r="AN16" s="123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8" t="str">
        <f>IF($D$7&gt;=1,"Payoff조건Multiple", "")</f>
        <v>Payoff조건Multiple</v>
      </c>
      <c r="D17" s="148"/>
      <c r="E17" s="133">
        <v>1</v>
      </c>
      <c r="F17" s="154"/>
      <c r="G17" s="114" t="str">
        <f>IF(E14&gt;0,"예시) 10년-5년 스왑: 연 지급횟수=4, 만기1=10, 만기2=5","")</f>
        <v/>
      </c>
      <c r="H17" s="114"/>
      <c r="I17" s="114"/>
      <c r="J17" s="114"/>
      <c r="K17" s="114"/>
      <c r="L17" s="115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34" t="str">
        <f>IF($AF$7&gt;=1,"Payoff조건Multiple", "")</f>
        <v>Payoff조건Multiple</v>
      </c>
      <c r="AF17" s="134"/>
      <c r="AG17" s="133">
        <v>1</v>
      </c>
      <c r="AH17" s="133"/>
      <c r="AI17" s="114" t="str">
        <f>IF(AG14&gt;0,"예시) 10년-5년 스왑: 연 지급횟수=4, 만기1=10, 만기2=5","")</f>
        <v/>
      </c>
      <c r="AJ17" s="114"/>
      <c r="AK17" s="114"/>
      <c r="AL17" s="114"/>
      <c r="AM17" s="114"/>
      <c r="AN17" s="115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90" t="str">
        <f>IF(D7&gt;=2,"기초금리2", "")</f>
        <v/>
      </c>
      <c r="C19" s="173" t="str">
        <f>IF($D$7&gt;=2,"커브번호", "")</f>
        <v/>
      </c>
      <c r="D19" s="173"/>
      <c r="E19" s="138">
        <v>2</v>
      </c>
      <c r="F19" s="138"/>
      <c r="G19" s="65"/>
      <c r="H19" s="3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53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41" t="str">
        <f>IF($AF$7&gt;=2,"기초금리2", "")</f>
        <v/>
      </c>
      <c r="AE19" s="137" t="str">
        <f>IF($AF$7&gt;=2,"커브번호", "")</f>
        <v/>
      </c>
      <c r="AF19" s="137"/>
      <c r="AG19" s="138">
        <v>2</v>
      </c>
      <c r="AH19" s="138"/>
      <c r="AI19" s="65"/>
      <c r="AJ19" s="36"/>
      <c r="AK19" s="135" t="str">
        <f>IF(OR(AG20 = 0, AG20 = 2, AG20 = 4), "RefType = "&amp;AG20&amp;" 이므로 Ref Swap 금리정보 사용안함", "사용")</f>
        <v>RefType = 0 이므로 Ref Swap 금리정보 사용안함</v>
      </c>
      <c r="AL19" s="135"/>
      <c r="AM19" s="135"/>
      <c r="AN19" s="136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70"/>
      <c r="C20" s="159" t="str">
        <f>IF($D$7&gt;=2,"Reference Rate Type", "")</f>
        <v/>
      </c>
      <c r="D20" s="160"/>
      <c r="E20" s="140">
        <v>0</v>
      </c>
      <c r="F20" s="140"/>
      <c r="G20" s="143" t="str">
        <f>IF(OR(E20 = 0, E20 = 2, E20 = 4), "", "Zero/Swap 레퍼런스금리정보")</f>
        <v/>
      </c>
      <c r="H20" s="143"/>
      <c r="I20" s="143" t="str">
        <f>IF(OR(E20 = 0, E20 = 2, E20 = 4), "", "연 지급횟수")</f>
        <v/>
      </c>
      <c r="J20" s="144"/>
      <c r="K20" s="130">
        <v>4</v>
      </c>
      <c r="L20" s="131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42"/>
      <c r="AE20" s="126" t="str">
        <f>IF($AF$7&gt;=2,"Reference Rate Type", "")</f>
        <v/>
      </c>
      <c r="AF20" s="139"/>
      <c r="AG20" s="140">
        <v>0</v>
      </c>
      <c r="AH20" s="140"/>
      <c r="AI20" s="128" t="str">
        <f>IF(OR(AG20 = 0, AG20 = 2, AG20 = 4), "", "Zero/Swap 레퍼런스금리정보")</f>
        <v/>
      </c>
      <c r="AJ20" s="128"/>
      <c r="AK20" s="128" t="str">
        <f>IF(OR(AG20 = 0, AG20 = 2, AG20 = 4), "", "연 지급횟수")</f>
        <v/>
      </c>
      <c r="AL20" s="129"/>
      <c r="AM20" s="130">
        <v>4</v>
      </c>
      <c r="AN20" s="131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70"/>
      <c r="C21" s="159" t="str">
        <f>IF($D$7&gt;=2,"DayCount", "")</f>
        <v/>
      </c>
      <c r="D21" s="159"/>
      <c r="E21" s="117">
        <v>0</v>
      </c>
      <c r="F21" s="117"/>
      <c r="G21" s="143"/>
      <c r="H21" s="143"/>
      <c r="I21" s="143" t="str">
        <f>IF(OR(E20 = 0, E20 = 2, E20 = 4,E23=1), "", "만기")</f>
        <v/>
      </c>
      <c r="J21" s="144"/>
      <c r="K21" s="145">
        <v>1</v>
      </c>
      <c r="L21" s="146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42"/>
      <c r="AE21" s="126" t="str">
        <f>IF($AF$7&gt;=2,"DayCount", "")</f>
        <v/>
      </c>
      <c r="AF21" s="126"/>
      <c r="AG21" s="117">
        <v>0</v>
      </c>
      <c r="AH21" s="117"/>
      <c r="AI21" s="128"/>
      <c r="AJ21" s="128"/>
      <c r="AK21" s="143" t="str">
        <f>IF(OR(AG20 = 0, AG20 = 2, AG20 = 4,AG23=1), "", "만기")</f>
        <v/>
      </c>
      <c r="AL21" s="144"/>
      <c r="AM21" s="145">
        <v>5</v>
      </c>
      <c r="AN21" s="146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70"/>
      <c r="C22" s="159" t="str">
        <f>IF($D$7&gt;=2,"금리결정조건Multiple", "")</f>
        <v/>
      </c>
      <c r="D22" s="160"/>
      <c r="E22" s="116">
        <v>1</v>
      </c>
      <c r="F22" s="116"/>
      <c r="G22" s="112" t="str">
        <f>IF(OR(E20 = 0, E20 = 2, E20 = 4), "", "ex) Zero Rate 5년 -&gt; 연 지급횟수= 0, 만기= 5 // CD91일 -&gt; 연 지급횟수= 4, 만기= 0.25")</f>
        <v/>
      </c>
      <c r="H22" s="112"/>
      <c r="I22" s="112"/>
      <c r="J22" s="112"/>
      <c r="K22" s="112"/>
      <c r="L22" s="113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42"/>
      <c r="AE22" s="126" t="str">
        <f>IF($AF$7&gt;=2,"금리결정조건Multiple", "")</f>
        <v/>
      </c>
      <c r="AF22" s="139"/>
      <c r="AG22" s="116">
        <v>1</v>
      </c>
      <c r="AH22" s="116"/>
      <c r="AI22" s="112" t="str">
        <f>IF(OR(AG20 = 0, AG20 = 2, AG20 = 4), "", "ex) Zero Rate 5년 -&gt; 연 지급횟수= 0, 만기= 5 // CD91일 -&gt; 연 지급횟수= 4, 만기= 0.25")</f>
        <v/>
      </c>
      <c r="AJ22" s="112"/>
      <c r="AK22" s="112"/>
      <c r="AL22" s="112"/>
      <c r="AM22" s="112"/>
      <c r="AN22" s="113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70"/>
      <c r="C23" s="158" t="str">
        <f>IF($D$7&gt;=2,"Power Spread Flag", "")</f>
        <v/>
      </c>
      <c r="D23" s="158"/>
      <c r="E23" s="117">
        <v>0</v>
      </c>
      <c r="F23" s="117"/>
      <c r="G23" s="165" t="str">
        <f>IF(E23&gt;0,"PowerSpreadFlag 1일때 입력","입력필요X")</f>
        <v>입력필요X</v>
      </c>
      <c r="H23" s="165"/>
      <c r="I23" s="165" t="str">
        <f>IF(E23&gt;0,"만기1","")</f>
        <v/>
      </c>
      <c r="J23" s="165"/>
      <c r="K23" s="119">
        <v>10</v>
      </c>
      <c r="L23" s="120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42"/>
      <c r="AE23" s="125" t="str">
        <f>IF($AF$7&gt;=2,"Power Spread Flag", "")</f>
        <v/>
      </c>
      <c r="AF23" s="125"/>
      <c r="AG23" s="117">
        <v>0</v>
      </c>
      <c r="AH23" s="117"/>
      <c r="AI23" s="118" t="str">
        <f>IF(AG23&gt;0,"PowerSpreadFlag 1일때 입력","입력필요X")</f>
        <v>입력필요X</v>
      </c>
      <c r="AJ23" s="118"/>
      <c r="AK23" s="118" t="str">
        <f>IF(AG23&gt;0,"만기1","")</f>
        <v/>
      </c>
      <c r="AL23" s="118"/>
      <c r="AM23" s="119">
        <v>10</v>
      </c>
      <c r="AN23" s="120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70" t="str">
        <f>IF($D$7&gt;1, "사용", "커브개수"&amp;"="&amp;$D$7&amp;"이므로 사용안함")</f>
        <v>커브개수=1이므로 사용안함</v>
      </c>
      <c r="C24" s="158" t="str">
        <f>IF($D$7&gt;=2,"기초금리 Range상한", "")</f>
        <v/>
      </c>
      <c r="D24" s="158"/>
      <c r="E24" s="147">
        <v>10</v>
      </c>
      <c r="F24" s="147"/>
      <c r="G24" s="165"/>
      <c r="H24" s="165"/>
      <c r="I24" s="165" t="str">
        <f>IF(E23&gt;0,"만기2","")</f>
        <v/>
      </c>
      <c r="J24" s="165"/>
      <c r="K24" s="119">
        <v>5</v>
      </c>
      <c r="L24" s="120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42" t="str">
        <f>IF($AF$7&gt;1, "사용", "커브개수"&amp;"="&amp;$AF$7&amp;"이므로 사용안함")</f>
        <v>커브개수=1이므로 사용안함</v>
      </c>
      <c r="AE24" s="125" t="str">
        <f>IF($AF$7&gt;=2,"기초금리 Range상한", "")</f>
        <v/>
      </c>
      <c r="AF24" s="125"/>
      <c r="AG24" s="147">
        <v>0.5</v>
      </c>
      <c r="AH24" s="147"/>
      <c r="AI24" s="118"/>
      <c r="AJ24" s="118"/>
      <c r="AK24" s="118" t="str">
        <f>IF(AG23&gt;0,"만기2","")</f>
        <v/>
      </c>
      <c r="AL24" s="118"/>
      <c r="AM24" s="119">
        <v>5</v>
      </c>
      <c r="AN24" s="120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70"/>
      <c r="C25" s="158" t="str">
        <f>IF($D$7&gt;=2,"기초금리 Range하한", "")</f>
        <v/>
      </c>
      <c r="D25" s="159"/>
      <c r="E25" s="127">
        <v>-1</v>
      </c>
      <c r="F25" s="127"/>
      <c r="G25" s="171"/>
      <c r="H25" s="171"/>
      <c r="I25" s="166" t="str">
        <f>IF(E23&gt;0,"Spread1","")</f>
        <v/>
      </c>
      <c r="J25" s="166"/>
      <c r="K25" s="156" t="str">
        <f>IF(E23&gt;0, I23&amp;"-"&amp;I24, "")</f>
        <v/>
      </c>
      <c r="L25" s="157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42"/>
      <c r="AE25" s="125" t="str">
        <f>IF($AF$7&gt;=2,"기초금리 Range하한", "")</f>
        <v/>
      </c>
      <c r="AF25" s="126"/>
      <c r="AG25" s="127">
        <v>-0.1</v>
      </c>
      <c r="AH25" s="127"/>
      <c r="AI25" s="124"/>
      <c r="AJ25" s="124"/>
      <c r="AK25" s="121" t="str">
        <f>IF(AG23&gt;0,"Spread1","")</f>
        <v/>
      </c>
      <c r="AL25" s="121"/>
      <c r="AM25" s="122" t="str">
        <f>IF(AG23&gt;0, AK23&amp;"-"&amp;AK24, "")</f>
        <v/>
      </c>
      <c r="AN25" s="123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8" t="str">
        <f>IF($D$7&gt;=2,"Payoff조건Multiple", "")</f>
        <v/>
      </c>
      <c r="D26" s="148"/>
      <c r="E26" s="133">
        <v>0</v>
      </c>
      <c r="F26" s="133"/>
      <c r="G26" s="114" t="str">
        <f>IF(E23&gt;0,"예시) 10년-5년 스왑: 연 지급횟수=4, 만기1=10, 만기2=5","")</f>
        <v/>
      </c>
      <c r="H26" s="114"/>
      <c r="I26" s="114"/>
      <c r="J26" s="114"/>
      <c r="K26" s="114"/>
      <c r="L26" s="115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34" t="str">
        <f>IF($AF$7&gt;=2,"Payoff조건Multiple", "")</f>
        <v/>
      </c>
      <c r="AF26" s="134"/>
      <c r="AG26" s="133">
        <v>0</v>
      </c>
      <c r="AH26" s="133"/>
      <c r="AI26" s="114" t="str">
        <f>IF(AG23&gt;0,"예시) 10년-5년 스왑: 연 지급횟수=4, 만기1=10, 만기2=5","")</f>
        <v/>
      </c>
      <c r="AJ26" s="114"/>
      <c r="AK26" s="114"/>
      <c r="AL26" s="114"/>
      <c r="AM26" s="114"/>
      <c r="AN26" s="115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90" t="str">
        <f>IF($D$7&gt;=3,"기초금리3", "")</f>
        <v/>
      </c>
      <c r="C28" s="173" t="str">
        <f>IF($D$7&gt;=3,"커브번호", "")</f>
        <v/>
      </c>
      <c r="D28" s="173"/>
      <c r="E28" s="138">
        <v>3</v>
      </c>
      <c r="F28" s="138"/>
      <c r="G28" s="65"/>
      <c r="H28" s="3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53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41" t="str">
        <f>IF($AF$7&gt;=3,"기초금리3", "")</f>
        <v/>
      </c>
      <c r="AE28" s="137" t="str">
        <f>IF($AF$7&gt;=3,"커브번호", "")</f>
        <v/>
      </c>
      <c r="AF28" s="137"/>
      <c r="AG28" s="138">
        <v>3</v>
      </c>
      <c r="AH28" s="138"/>
      <c r="AI28" s="65"/>
      <c r="AJ28" s="36"/>
      <c r="AK28" s="135" t="str">
        <f>IF(OR(AG29 = 0, AG29 = 2, AG29 = 4), "RefType = "&amp;AG29&amp;" 이므로 Ref Swap 금리정보 사용안함", "사용")</f>
        <v>RefType = 0 이므로 Ref Swap 금리정보 사용안함</v>
      </c>
      <c r="AL28" s="135"/>
      <c r="AM28" s="135"/>
      <c r="AN28" s="136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70"/>
      <c r="C29" s="159" t="str">
        <f>IF($D$7&gt;=3,"Reference Rate Type", "")</f>
        <v/>
      </c>
      <c r="D29" s="160"/>
      <c r="E29" s="140">
        <v>0</v>
      </c>
      <c r="F29" s="140"/>
      <c r="G29" s="143" t="str">
        <f>IF(OR(E29 = 0, E29 = 2, E29 = 4), "", "Zero/Swap 레퍼런스금리정보")</f>
        <v/>
      </c>
      <c r="H29" s="143"/>
      <c r="I29" s="143" t="str">
        <f>IF(OR(E29 = 0, E29 = 2, E29 = 4), "", "연 지급횟수")</f>
        <v/>
      </c>
      <c r="J29" s="144"/>
      <c r="K29" s="130">
        <v>4</v>
      </c>
      <c r="L29" s="131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42"/>
      <c r="AE29" s="126" t="str">
        <f>IF($AF$7&gt;=3,"Reference Rate Type", "")</f>
        <v/>
      </c>
      <c r="AF29" s="139"/>
      <c r="AG29" s="140">
        <v>0</v>
      </c>
      <c r="AH29" s="140"/>
      <c r="AI29" s="128" t="str">
        <f>IF(OR(AG29 = 0, AG29 = 2, AG29 = 4), "", "Zero/Swap 레퍼런스금리정보")</f>
        <v/>
      </c>
      <c r="AJ29" s="128"/>
      <c r="AK29" s="128" t="str">
        <f>IF(OR(AG29 = 0, AG29 = 2, AG29 = 4), "", "연 지급횟수")</f>
        <v/>
      </c>
      <c r="AL29" s="129"/>
      <c r="AM29" s="130">
        <v>4</v>
      </c>
      <c r="AN29" s="131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70"/>
      <c r="C30" s="159" t="str">
        <f>IF($D$7&gt;=3,"DayCount", "")</f>
        <v/>
      </c>
      <c r="D30" s="159"/>
      <c r="E30" s="117">
        <v>0</v>
      </c>
      <c r="F30" s="117"/>
      <c r="G30" s="143"/>
      <c r="H30" s="143"/>
      <c r="I30" s="143" t="str">
        <f>IF(OR(E29 = 0, E29 = 2, E29 = 4,E32=1), "", "만기")</f>
        <v/>
      </c>
      <c r="J30" s="144"/>
      <c r="K30" s="145">
        <v>5</v>
      </c>
      <c r="L30" s="146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42"/>
      <c r="AE30" s="126" t="str">
        <f>IF($AF$7&gt;=3,"DayCount", "")</f>
        <v/>
      </c>
      <c r="AF30" s="126"/>
      <c r="AG30" s="117">
        <v>0</v>
      </c>
      <c r="AH30" s="117"/>
      <c r="AI30" s="128"/>
      <c r="AJ30" s="128"/>
      <c r="AK30" s="143" t="str">
        <f>IF(OR(AG29 = 0, AG29 = 2, AG29 = 4,AG32=1), "", "만기")</f>
        <v/>
      </c>
      <c r="AL30" s="144"/>
      <c r="AM30" s="145">
        <v>5</v>
      </c>
      <c r="AN30" s="146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70"/>
      <c r="C31" s="159" t="str">
        <f>IF($D$7&gt;=3,"금리결정조건Multiple", "")</f>
        <v/>
      </c>
      <c r="D31" s="160"/>
      <c r="E31" s="116">
        <v>1</v>
      </c>
      <c r="F31" s="116"/>
      <c r="G31" s="112" t="str">
        <f>IF(OR(E29 = 0, E29 = 2, E29 = 4), "", "ex) Zero Rate 5년 -&gt; 연 지급횟수= 0, 만기= 5 // CD91일 -&gt; 연 지급횟수= 4, 만기= 0.25")</f>
        <v/>
      </c>
      <c r="H31" s="112"/>
      <c r="I31" s="112"/>
      <c r="J31" s="112"/>
      <c r="K31" s="112"/>
      <c r="L31" s="113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42"/>
      <c r="AE31" s="126" t="str">
        <f>IF($AF$7&gt;=3,"금리결정조건Multiple", "")</f>
        <v/>
      </c>
      <c r="AF31" s="139"/>
      <c r="AG31" s="116">
        <v>1</v>
      </c>
      <c r="AH31" s="116"/>
      <c r="AI31" s="112" t="str">
        <f>IF(OR(AG29 = 0, AG29 = 2, AG29 = 4), "", "ex) Zero Rate 5년 -&gt; 연 지급횟수= 0, 만기= 5 // CD91일 -&gt; 연 지급횟수= 4, 만기= 0.25")</f>
        <v/>
      </c>
      <c r="AJ31" s="112"/>
      <c r="AK31" s="112"/>
      <c r="AL31" s="112"/>
      <c r="AM31" s="112"/>
      <c r="AN31" s="113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70"/>
      <c r="C32" s="158" t="str">
        <f>IF($D$7&gt;=3,"Power Spread Flag", "")</f>
        <v/>
      </c>
      <c r="D32" s="158"/>
      <c r="E32" s="117">
        <v>0</v>
      </c>
      <c r="F32" s="117"/>
      <c r="G32" s="165" t="str">
        <f>IF(E32&gt;0,"PowerSpreadFlag 1일때 입력","입력필요X")</f>
        <v>입력필요X</v>
      </c>
      <c r="H32" s="165"/>
      <c r="I32" s="165" t="str">
        <f>IF(E32&gt;0,"만기1","")</f>
        <v/>
      </c>
      <c r="J32" s="165"/>
      <c r="K32" s="119">
        <v>10</v>
      </c>
      <c r="L32" s="120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42"/>
      <c r="AE32" s="125" t="str">
        <f>IF($AF$7&gt;=3,"Power Spread Flag", "")</f>
        <v/>
      </c>
      <c r="AF32" s="125"/>
      <c r="AG32" s="117">
        <v>0</v>
      </c>
      <c r="AH32" s="117"/>
      <c r="AI32" s="118" t="str">
        <f>IF(AG32&gt;0,"PowerSpreadFlag 1일때 입력","입력필요X")</f>
        <v>입력필요X</v>
      </c>
      <c r="AJ32" s="118"/>
      <c r="AK32" s="118" t="str">
        <f>IF(AG32&gt;0,"만기1","")</f>
        <v/>
      </c>
      <c r="AL32" s="118"/>
      <c r="AM32" s="119">
        <v>10</v>
      </c>
      <c r="AN32" s="120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70" t="str">
        <f>IF($D$7&gt;2, "사용", "커브개수"&amp;"="&amp;$D$7&amp;"이므로 사용안함")</f>
        <v>커브개수=1이므로 사용안함</v>
      </c>
      <c r="C33" s="158" t="str">
        <f>IF($D$7&gt;=3,"기초금리 Range상한", "")</f>
        <v/>
      </c>
      <c r="D33" s="158"/>
      <c r="E33" s="147">
        <v>0.5</v>
      </c>
      <c r="F33" s="147"/>
      <c r="G33" s="165"/>
      <c r="H33" s="165"/>
      <c r="I33" s="165" t="str">
        <f>IF(E32&gt;0,"만기2","")</f>
        <v/>
      </c>
      <c r="J33" s="165"/>
      <c r="K33" s="119">
        <v>5</v>
      </c>
      <c r="L33" s="120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42" t="str">
        <f>IF($AF$7&gt;2, "사용", "커브개수"&amp;"="&amp;$AF$7&amp;"이므로 사용안함")</f>
        <v>커브개수=1이므로 사용안함</v>
      </c>
      <c r="AE33" s="125" t="str">
        <f>IF($AF$7&gt;=3,"기초금리 Range상한", "")</f>
        <v/>
      </c>
      <c r="AF33" s="125"/>
      <c r="AG33" s="147">
        <v>0.5</v>
      </c>
      <c r="AH33" s="147"/>
      <c r="AI33" s="118"/>
      <c r="AJ33" s="118"/>
      <c r="AK33" s="118" t="str">
        <f>IF(AG32&gt;0,"만기2","")</f>
        <v/>
      </c>
      <c r="AL33" s="118"/>
      <c r="AM33" s="119">
        <v>5</v>
      </c>
      <c r="AN33" s="120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70"/>
      <c r="C34" s="158" t="str">
        <f>IF($D$7&gt;=3,"기초금리 Range하한", "")</f>
        <v/>
      </c>
      <c r="D34" s="159"/>
      <c r="E34" s="127">
        <v>-0.1</v>
      </c>
      <c r="F34" s="127"/>
      <c r="G34" s="171"/>
      <c r="H34" s="171"/>
      <c r="I34" s="166" t="str">
        <f>IF(E32&gt;0,"Spread1","")</f>
        <v/>
      </c>
      <c r="J34" s="166"/>
      <c r="K34" s="156" t="str">
        <f>IF(E32&gt;0, I32&amp;"-"&amp;I33, "")</f>
        <v/>
      </c>
      <c r="L34" s="157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42"/>
      <c r="AE34" s="125" t="str">
        <f>IF($AF$7&gt;=3,"기초금리 Range하한", "")</f>
        <v/>
      </c>
      <c r="AF34" s="126"/>
      <c r="AG34" s="127">
        <v>-0.1</v>
      </c>
      <c r="AH34" s="127"/>
      <c r="AI34" s="124"/>
      <c r="AJ34" s="124"/>
      <c r="AK34" s="121" t="str">
        <f>IF(AG32&gt;0,"Spread1","")</f>
        <v/>
      </c>
      <c r="AL34" s="121"/>
      <c r="AM34" s="122" t="str">
        <f>IF(AG32&gt;0, AK32&amp;"-"&amp;AK33, "")</f>
        <v/>
      </c>
      <c r="AN34" s="123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8" t="str">
        <f>IF($D$7&gt;=3,"Payoff조건Multiple", "")</f>
        <v/>
      </c>
      <c r="D35" s="148"/>
      <c r="E35" s="133">
        <v>0</v>
      </c>
      <c r="F35" s="133"/>
      <c r="G35" s="114" t="str">
        <f>IF(E32&gt;0,"예시) 10년-5년 스왑: 연 지급횟수=4, 만기1=10, 만기2=5","")</f>
        <v/>
      </c>
      <c r="H35" s="114"/>
      <c r="I35" s="114"/>
      <c r="J35" s="114"/>
      <c r="K35" s="114"/>
      <c r="L35" s="115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34" t="str">
        <f>IF($AF$7&gt;=3,"Payoff조건Multiple", "")</f>
        <v/>
      </c>
      <c r="AF35" s="134"/>
      <c r="AG35" s="133">
        <v>0</v>
      </c>
      <c r="AH35" s="133"/>
      <c r="AI35" s="114" t="str">
        <f>IF(AG32&gt;0,"예시) 10년-5년 스왑: 연 지급횟수=4, 만기1=10, 만기2=5","")</f>
        <v/>
      </c>
      <c r="AJ35" s="114"/>
      <c r="AK35" s="114"/>
      <c r="AL35" s="114"/>
      <c r="AM35" s="114"/>
      <c r="AN35" s="115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61" t="s">
        <v>93</v>
      </c>
      <c r="C37" s="137" t="s">
        <v>33</v>
      </c>
      <c r="D37" s="137"/>
      <c r="E37" s="199">
        <v>1</v>
      </c>
      <c r="F37" s="200"/>
      <c r="G37" s="35"/>
      <c r="H37" s="141" t="s">
        <v>48</v>
      </c>
      <c r="I37" s="161"/>
      <c r="J37" s="149">
        <v>0</v>
      </c>
      <c r="K37" s="149"/>
      <c r="L37" s="150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61" t="s">
        <v>93</v>
      </c>
      <c r="AE37" s="137" t="s">
        <v>33</v>
      </c>
      <c r="AF37" s="137"/>
      <c r="AG37" s="199">
        <v>1</v>
      </c>
      <c r="AH37" s="200"/>
      <c r="AJ37" s="141" t="s">
        <v>48</v>
      </c>
      <c r="AK37" s="161"/>
      <c r="AL37" s="149">
        <v>0</v>
      </c>
      <c r="AM37" s="149"/>
      <c r="AN37" s="150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7"/>
      <c r="C38" s="134"/>
      <c r="D38" s="134"/>
      <c r="E38" s="201"/>
      <c r="F38" s="202"/>
      <c r="G38" s="35"/>
      <c r="H38" s="162" t="s">
        <v>49</v>
      </c>
      <c r="I38" s="163"/>
      <c r="J38" s="163"/>
      <c r="K38" s="163"/>
      <c r="L38" s="164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97"/>
      <c r="AE38" s="134"/>
      <c r="AF38" s="134"/>
      <c r="AG38" s="201"/>
      <c r="AH38" s="202"/>
      <c r="AJ38" s="162" t="s">
        <v>49</v>
      </c>
      <c r="AK38" s="163"/>
      <c r="AL38" s="163"/>
      <c r="AM38" s="163"/>
      <c r="AN38" s="164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7"/>
      <c r="C39" s="198"/>
      <c r="D39" s="198"/>
      <c r="E39" s="198"/>
      <c r="F39" s="198"/>
      <c r="G39" s="35"/>
      <c r="H39" s="19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5"/>
      <c r="J39" s="195"/>
      <c r="K39" s="195"/>
      <c r="L39" s="196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97"/>
      <c r="AE39" s="198"/>
      <c r="AF39" s="198"/>
      <c r="AG39" s="198"/>
      <c r="AH39" s="198"/>
      <c r="AJ39" s="19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2"/>
      <c r="AL39" s="192"/>
      <c r="AM39" s="192"/>
      <c r="AN39" s="193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11" t="s">
        <v>89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L46" s="54" t="s">
        <v>117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L47" s="42">
        <v>30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D28" sqref="D28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7" t="s">
        <v>110</v>
      </c>
      <c r="C3" s="207"/>
      <c r="D3" s="208">
        <v>0</v>
      </c>
      <c r="E3" s="208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7" t="s">
        <v>55</v>
      </c>
      <c r="C4" s="207"/>
      <c r="D4" s="208">
        <v>10000</v>
      </c>
      <c r="E4" s="208"/>
      <c r="F4" s="13"/>
      <c r="G4" s="209" t="s">
        <v>73</v>
      </c>
      <c r="H4" s="210"/>
      <c r="I4" s="205">
        <v>2069.5874840000374</v>
      </c>
      <c r="J4" s="206"/>
      <c r="K4" s="13"/>
      <c r="L4" s="63">
        <v>45194.9843287037</v>
      </c>
      <c r="M4" s="1" t="s">
        <v>5</v>
      </c>
      <c r="N4" s="109" t="s">
        <v>6</v>
      </c>
      <c r="O4" s="109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7" t="s">
        <v>30</v>
      </c>
      <c r="C5" s="207"/>
      <c r="D5" s="208">
        <v>0</v>
      </c>
      <c r="E5" s="208"/>
      <c r="F5" s="13"/>
      <c r="G5" s="209" t="s">
        <v>74</v>
      </c>
      <c r="H5" s="210"/>
      <c r="I5" s="205">
        <v>2371.2481983626521</v>
      </c>
      <c r="J5" s="206"/>
      <c r="K5" s="13"/>
      <c r="L5" s="63">
        <v>45194.984340277777</v>
      </c>
      <c r="M5" s="13"/>
      <c r="N5" s="109"/>
      <c r="O5" s="109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7" t="s">
        <v>114</v>
      </c>
      <c r="C6" s="207"/>
      <c r="D6" s="208">
        <v>0</v>
      </c>
      <c r="E6" s="208"/>
      <c r="F6" s="13"/>
      <c r="G6" s="209" t="s">
        <v>105</v>
      </c>
      <c r="H6" s="210"/>
      <c r="I6" s="205">
        <v>255.21346978064832</v>
      </c>
      <c r="J6" s="206"/>
      <c r="K6" s="60"/>
      <c r="L6" s="23"/>
      <c r="M6" s="13"/>
      <c r="N6" s="109"/>
      <c r="O6" s="109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9" t="s">
        <v>88</v>
      </c>
      <c r="H7" s="210"/>
      <c r="I7" s="205">
        <v>556.87418414326305</v>
      </c>
      <c r="J7" s="206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4" t="s">
        <v>61</v>
      </c>
      <c r="C10" s="204"/>
      <c r="D10" s="204"/>
      <c r="E10" s="204"/>
      <c r="F10" s="204"/>
      <c r="G10" s="204"/>
      <c r="H10" s="204"/>
      <c r="I10" s="204" t="s">
        <v>64</v>
      </c>
      <c r="J10" s="204"/>
      <c r="K10" s="204"/>
      <c r="L10" s="204"/>
      <c r="M10" s="204"/>
      <c r="N10" s="204"/>
      <c r="O10" s="204"/>
      <c r="P10" s="13"/>
      <c r="Q10" s="204" t="s">
        <v>97</v>
      </c>
      <c r="R10" s="204"/>
      <c r="S10" s="13"/>
      <c r="T10" s="13"/>
      <c r="U10" s="204" t="s">
        <v>98</v>
      </c>
      <c r="V10" s="204"/>
      <c r="W10" s="13"/>
      <c r="Y10" s="204" t="s">
        <v>99</v>
      </c>
      <c r="Z10" s="204"/>
      <c r="AA10" s="13"/>
      <c r="AB10" s="13"/>
      <c r="AC10" s="204" t="s">
        <v>100</v>
      </c>
      <c r="AD10" s="204"/>
      <c r="AE10" s="13"/>
      <c r="AF10" s="13"/>
      <c r="AG10" s="204" t="s">
        <v>101</v>
      </c>
      <c r="AH10" s="204"/>
      <c r="AI10" s="13"/>
      <c r="AJ10" s="13"/>
      <c r="AK10" s="204" t="s">
        <v>102</v>
      </c>
      <c r="AL10" s="204"/>
      <c r="AM10" s="13"/>
      <c r="AN10" s="13"/>
      <c r="AO10" s="204" t="s">
        <v>103</v>
      </c>
      <c r="AP10" s="204"/>
      <c r="AQ10" s="13"/>
      <c r="AR10" s="13"/>
      <c r="AS10" s="204" t="s">
        <v>104</v>
      </c>
      <c r="AT10" s="204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0.99999999999990619</v>
      </c>
      <c r="I12" s="86">
        <v>20180611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0.99999999999990619</v>
      </c>
      <c r="I13" s="86">
        <v>20180911</v>
      </c>
      <c r="J13" s="49">
        <v>0</v>
      </c>
      <c r="M13" s="50"/>
      <c r="N13" s="51">
        <v>0</v>
      </c>
      <c r="O13" s="51">
        <v>0.99999999999990619</v>
      </c>
      <c r="P13" s="13"/>
      <c r="Q13" s="204" t="s">
        <v>96</v>
      </c>
      <c r="R13" s="204"/>
      <c r="S13" s="66"/>
      <c r="T13" s="13"/>
      <c r="U13" s="204" t="s">
        <v>96</v>
      </c>
      <c r="V13" s="204"/>
      <c r="W13" s="66"/>
      <c r="Y13" s="204" t="s">
        <v>96</v>
      </c>
      <c r="Z13" s="204"/>
      <c r="AA13" s="66"/>
      <c r="AB13" s="13"/>
      <c r="AC13" s="204" t="s">
        <v>96</v>
      </c>
      <c r="AD13" s="204"/>
      <c r="AE13" s="66"/>
      <c r="AF13" s="13"/>
      <c r="AG13" s="204" t="s">
        <v>96</v>
      </c>
      <c r="AH13" s="204"/>
      <c r="AI13" s="66"/>
      <c r="AJ13" s="13"/>
      <c r="AK13" s="204" t="s">
        <v>96</v>
      </c>
      <c r="AL13" s="204"/>
      <c r="AM13" s="66"/>
      <c r="AN13" s="13"/>
      <c r="AO13" s="204" t="s">
        <v>96</v>
      </c>
      <c r="AP13" s="204"/>
      <c r="AQ13" s="66"/>
      <c r="AR13" s="13"/>
      <c r="AS13" s="204" t="s">
        <v>96</v>
      </c>
      <c r="AT13" s="204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0.99999999999990619</v>
      </c>
      <c r="I14" s="86">
        <v>20181211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0.99999999999990619</v>
      </c>
      <c r="I15" s="86">
        <v>20190311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0.99999999999990619</v>
      </c>
      <c r="I16" s="86">
        <v>20190611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20190911</v>
      </c>
      <c r="C17" s="49">
        <v>0</v>
      </c>
      <c r="F17" s="50"/>
      <c r="G17" s="51">
        <v>0</v>
      </c>
      <c r="H17" s="51">
        <v>0.99999999999990619</v>
      </c>
      <c r="I17" s="86">
        <v>20190911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20191211</v>
      </c>
      <c r="C18" s="49">
        <v>0</v>
      </c>
      <c r="F18" s="50"/>
      <c r="G18" s="51">
        <v>0</v>
      </c>
      <c r="H18" s="51">
        <v>0.99999999999990619</v>
      </c>
      <c r="I18" s="86">
        <v>20191211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20200311</v>
      </c>
      <c r="C19" s="49">
        <v>0</v>
      </c>
      <c r="F19" s="50"/>
      <c r="G19" s="51">
        <v>0</v>
      </c>
      <c r="H19" s="51">
        <v>0.99999999999990619</v>
      </c>
      <c r="I19" s="86">
        <v>20200311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20200611</v>
      </c>
      <c r="C20" s="49">
        <v>0</v>
      </c>
      <c r="F20" s="50"/>
      <c r="G20" s="52">
        <v>0</v>
      </c>
      <c r="H20" s="51">
        <v>0.99999999999990619</v>
      </c>
      <c r="I20" s="86">
        <v>20200611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20200911</v>
      </c>
      <c r="C21" s="49">
        <v>0</v>
      </c>
      <c r="F21" s="50"/>
      <c r="G21" s="52">
        <v>0</v>
      </c>
      <c r="H21" s="51">
        <v>0.99999999999990619</v>
      </c>
      <c r="I21" s="86">
        <v>20200911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20201211</v>
      </c>
      <c r="C22" s="49">
        <v>0</v>
      </c>
      <c r="F22" s="50"/>
      <c r="G22" s="52">
        <v>0</v>
      </c>
      <c r="H22" s="51">
        <v>0.99999999999990619</v>
      </c>
      <c r="I22" s="86">
        <v>20201211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20210311</v>
      </c>
      <c r="C23" s="49">
        <v>0</v>
      </c>
      <c r="F23" s="50"/>
      <c r="G23" s="52">
        <v>0</v>
      </c>
      <c r="H23" s="51">
        <v>0.99999999999990619</v>
      </c>
      <c r="I23" s="86">
        <v>20210311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20210611</v>
      </c>
      <c r="C24" s="49">
        <v>0</v>
      </c>
      <c r="F24" s="50"/>
      <c r="G24" s="52">
        <v>0</v>
      </c>
      <c r="H24" s="51">
        <v>0.99999999999990619</v>
      </c>
      <c r="I24" s="86">
        <v>20210611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20210911</v>
      </c>
      <c r="C25" s="49">
        <v>0</v>
      </c>
      <c r="F25" s="50"/>
      <c r="G25" s="52">
        <v>0</v>
      </c>
      <c r="H25" s="51">
        <v>0.99999999999990619</v>
      </c>
      <c r="I25" s="86">
        <v>20210911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20211211</v>
      </c>
      <c r="C26" s="49">
        <v>0</v>
      </c>
      <c r="F26" s="50"/>
      <c r="G26" s="52">
        <v>0</v>
      </c>
      <c r="H26" s="51">
        <v>0.99999999999990619</v>
      </c>
      <c r="I26" s="86">
        <v>20211211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20220311</v>
      </c>
      <c r="C27" s="49">
        <v>0</v>
      </c>
      <c r="F27" s="50"/>
      <c r="G27" s="52">
        <v>0</v>
      </c>
      <c r="H27" s="51">
        <v>0.99999999999990619</v>
      </c>
      <c r="I27" s="86">
        <v>20220311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20220611</v>
      </c>
      <c r="C28" s="49">
        <v>0</v>
      </c>
      <c r="F28" s="50"/>
      <c r="G28" s="52">
        <v>0</v>
      </c>
      <c r="H28" s="51">
        <v>0.99999999999990619</v>
      </c>
      <c r="I28" s="86">
        <v>20220611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20220911</v>
      </c>
      <c r="C29" s="49">
        <v>0</v>
      </c>
      <c r="F29" s="50"/>
      <c r="G29" s="52">
        <v>0</v>
      </c>
      <c r="H29" s="51">
        <v>0.99999999999990619</v>
      </c>
      <c r="I29" s="86">
        <v>20220911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20221211</v>
      </c>
      <c r="C30" s="49">
        <v>3.0399999999995049E-2</v>
      </c>
      <c r="F30" s="50"/>
      <c r="G30" s="52">
        <v>75.791780821913093</v>
      </c>
      <c r="H30" s="51">
        <v>0.99489502443628153</v>
      </c>
      <c r="I30" s="86">
        <v>20221211</v>
      </c>
      <c r="J30" s="49">
        <v>3.9140000000005316E-2</v>
      </c>
      <c r="M30" s="50"/>
      <c r="N30" s="52">
        <v>102.84999999999435</v>
      </c>
      <c r="O30" s="51">
        <v>0.99489502443628153</v>
      </c>
      <c r="P30" s="92"/>
      <c r="T30" s="13"/>
    </row>
    <row r="31" spans="1:20" x14ac:dyDescent="0.4">
      <c r="A31" s="91"/>
      <c r="B31" s="86">
        <v>20230311</v>
      </c>
      <c r="C31" s="49">
        <v>3.3879122087527309E-2</v>
      </c>
      <c r="F31" s="50"/>
      <c r="G31" s="52">
        <v>83.537561311711215</v>
      </c>
      <c r="H31" s="51">
        <v>0.98665004178785942</v>
      </c>
      <c r="I31" s="86">
        <v>20230311</v>
      </c>
      <c r="J31" s="49">
        <v>4.5426386645982551E-2</v>
      </c>
      <c r="M31" s="50"/>
      <c r="N31" s="52">
        <v>118.56596661495627</v>
      </c>
      <c r="O31" s="51">
        <v>0.98665004178785942</v>
      </c>
      <c r="P31" s="92"/>
      <c r="T31" s="13"/>
    </row>
    <row r="32" spans="1:20" x14ac:dyDescent="0.4">
      <c r="A32" s="91"/>
      <c r="B32" s="86">
        <v>20230611</v>
      </c>
      <c r="C32" s="49">
        <v>3.497296854161825E-2</v>
      </c>
      <c r="F32" s="50"/>
      <c r="G32" s="52">
        <v>88.151043995311525</v>
      </c>
      <c r="H32" s="51">
        <v>0.97802503984366773</v>
      </c>
      <c r="I32" s="86">
        <v>20230611</v>
      </c>
      <c r="J32" s="49">
        <v>4.9968001837883295E-2</v>
      </c>
      <c r="M32" s="50"/>
      <c r="N32" s="52">
        <v>129.92000459470731</v>
      </c>
      <c r="O32" s="51">
        <v>0.97802503984366773</v>
      </c>
      <c r="P32" s="92"/>
      <c r="T32" s="13"/>
    </row>
    <row r="33" spans="1:20" x14ac:dyDescent="0.4">
      <c r="A33" s="91"/>
      <c r="B33" s="86">
        <v>20230911</v>
      </c>
      <c r="C33" s="49">
        <v>3.5722396988349545E-2</v>
      </c>
      <c r="F33" s="50"/>
      <c r="G33" s="52">
        <v>90.040014326799152</v>
      </c>
      <c r="H33" s="51">
        <v>0.96928672384401715</v>
      </c>
      <c r="I33" s="86">
        <v>20230911</v>
      </c>
      <c r="J33" s="49">
        <v>5.2417821292232852E-2</v>
      </c>
      <c r="M33" s="50"/>
      <c r="N33" s="52">
        <v>136.04455323058215</v>
      </c>
      <c r="O33" s="51">
        <v>0.96928672384401715</v>
      </c>
      <c r="P33" s="92"/>
      <c r="T33" s="13"/>
    </row>
    <row r="34" spans="1:20" x14ac:dyDescent="0.4">
      <c r="A34" s="91"/>
      <c r="B34" s="87">
        <v>20231211</v>
      </c>
      <c r="C34" s="49">
        <v>4.3204210948752597E-2</v>
      </c>
      <c r="G34" s="89">
        <v>107.71460811880851</v>
      </c>
      <c r="H34" s="89">
        <v>0.95890678525145712</v>
      </c>
      <c r="I34" s="88">
        <v>20231211</v>
      </c>
      <c r="J34" s="49">
        <v>5.0499572402894488E-2</v>
      </c>
      <c r="N34" s="89">
        <v>131.24893100723619</v>
      </c>
      <c r="O34" s="89">
        <v>0.95890678525145712</v>
      </c>
      <c r="P34" s="93"/>
    </row>
    <row r="35" spans="1:20" x14ac:dyDescent="0.4">
      <c r="A35" s="91"/>
      <c r="B35" s="87">
        <v>20240311</v>
      </c>
      <c r="C35" s="49">
        <v>5.1808640172304868E-2</v>
      </c>
      <c r="G35" s="89">
        <v>129.16674673095201</v>
      </c>
      <c r="H35" s="89">
        <v>0.9466266157576545</v>
      </c>
      <c r="I35" s="88">
        <v>20240311</v>
      </c>
      <c r="J35" s="49">
        <v>4.7783223469040445E-2</v>
      </c>
      <c r="N35" s="89">
        <v>124.45805867260083</v>
      </c>
      <c r="O35" s="89">
        <v>0.9466266157576545</v>
      </c>
      <c r="P35" s="93"/>
    </row>
    <row r="36" spans="1:20" x14ac:dyDescent="0.4">
      <c r="A36" s="91"/>
      <c r="B36" s="87">
        <v>20240611</v>
      </c>
      <c r="C36" s="49">
        <v>5.0542034235484347E-2</v>
      </c>
      <c r="G36" s="89">
        <v>127.3936205387554</v>
      </c>
      <c r="H36" s="89">
        <v>0.93469619494225908</v>
      </c>
      <c r="I36" s="88">
        <v>20240611</v>
      </c>
      <c r="J36" s="49">
        <v>4.750748075642415E-2</v>
      </c>
      <c r="N36" s="89">
        <v>123.76870189106012</v>
      </c>
      <c r="O36" s="89">
        <v>0.93469619494225908</v>
      </c>
      <c r="P36" s="93"/>
    </row>
    <row r="37" spans="1:20" x14ac:dyDescent="0.4">
      <c r="A37" s="91"/>
      <c r="B37" s="87">
        <v>20240911</v>
      </c>
      <c r="C37" s="49">
        <v>4.9264247104892814E-2</v>
      </c>
      <c r="G37" s="89">
        <v>124.17289681233291</v>
      </c>
      <c r="H37" s="89">
        <v>0.92318600893210334</v>
      </c>
      <c r="I37" s="88">
        <v>20240911</v>
      </c>
      <c r="J37" s="49">
        <v>4.7232947385569032E-2</v>
      </c>
      <c r="N37" s="89">
        <v>123.08236846392259</v>
      </c>
      <c r="O37" s="89">
        <v>0.92318600893210334</v>
      </c>
      <c r="P37" s="93"/>
    </row>
    <row r="38" spans="1:20" x14ac:dyDescent="0.4">
      <c r="A38" s="91"/>
      <c r="B38" s="87">
        <v>20241211</v>
      </c>
      <c r="C38" s="49">
        <v>4.5570962885305086E-2</v>
      </c>
      <c r="G38" s="89">
        <v>113.61527733048692</v>
      </c>
      <c r="H38" s="89">
        <v>0.91277638321472054</v>
      </c>
      <c r="I38" s="88">
        <v>20241211</v>
      </c>
      <c r="J38" s="49">
        <v>4.7979830414815676E-2</v>
      </c>
      <c r="N38" s="89">
        <v>124.94957603703887</v>
      </c>
      <c r="O38" s="89">
        <v>0.91277638321472054</v>
      </c>
      <c r="P38" s="93"/>
    </row>
    <row r="39" spans="1:20" x14ac:dyDescent="0.4">
      <c r="A39" s="91"/>
      <c r="B39" s="87">
        <v>20250311</v>
      </c>
      <c r="C39" s="49">
        <v>4.275975101877745E-2</v>
      </c>
      <c r="G39" s="89">
        <v>105.43500251205403</v>
      </c>
      <c r="H39" s="89">
        <v>0.90316935861230585</v>
      </c>
      <c r="I39" s="88">
        <v>20250311</v>
      </c>
      <c r="J39" s="49">
        <v>4.8504941847610276E-2</v>
      </c>
      <c r="N39" s="89">
        <v>126.26235461902527</v>
      </c>
      <c r="O39" s="89">
        <v>0.90316935861230585</v>
      </c>
      <c r="P39" s="93"/>
    </row>
    <row r="40" spans="1:20" x14ac:dyDescent="0.4">
      <c r="A40" s="91"/>
      <c r="B40" s="87">
        <v>20250611</v>
      </c>
      <c r="C40" s="49">
        <v>4.2719244932956438E-2</v>
      </c>
      <c r="G40" s="89">
        <v>107.6759050364933</v>
      </c>
      <c r="H40" s="89">
        <v>0.89346577255607473</v>
      </c>
      <c r="I40" s="88">
        <v>20250611</v>
      </c>
      <c r="J40" s="49">
        <v>4.8668715313479514E-2</v>
      </c>
      <c r="N40" s="89">
        <v>126.67178828369795</v>
      </c>
      <c r="O40" s="89">
        <v>0.89346577255607473</v>
      </c>
      <c r="P40" s="93"/>
    </row>
    <row r="41" spans="1:20" x14ac:dyDescent="0.4">
      <c r="A41" s="91"/>
      <c r="B41" s="87">
        <v>20250911</v>
      </c>
      <c r="C41" s="49">
        <v>4.2772981951160159E-2</v>
      </c>
      <c r="G41" s="89">
        <v>107.81135176730811</v>
      </c>
      <c r="H41" s="89">
        <v>0.88381148815284849</v>
      </c>
      <c r="I41" s="88">
        <v>20250911</v>
      </c>
      <c r="J41" s="49">
        <v>4.8733513359954933E-2</v>
      </c>
      <c r="N41" s="89">
        <v>126.83378339988778</v>
      </c>
      <c r="O41" s="89">
        <v>0.88381148815284849</v>
      </c>
      <c r="P41" s="93"/>
    </row>
    <row r="42" spans="1:20" x14ac:dyDescent="0.4">
      <c r="A42" s="91"/>
      <c r="B42" s="87">
        <v>20251211</v>
      </c>
      <c r="C42" s="49">
        <v>4.4299648643561999E-2</v>
      </c>
      <c r="G42" s="89">
        <v>110.44569935792184</v>
      </c>
      <c r="H42" s="89">
        <v>0.87400934020806387</v>
      </c>
      <c r="I42" s="88">
        <v>20251211</v>
      </c>
      <c r="J42" s="49">
        <v>4.6861929469635903E-2</v>
      </c>
      <c r="N42" s="89">
        <v>122.15482367409007</v>
      </c>
      <c r="O42" s="89">
        <v>0.87400934020806387</v>
      </c>
      <c r="P42" s="93"/>
    </row>
    <row r="43" spans="1:20" x14ac:dyDescent="0.4">
      <c r="A43" s="91"/>
      <c r="B43" s="87">
        <v>20260311</v>
      </c>
      <c r="C43" s="49">
        <v>4.5519966150829046E-2</v>
      </c>
      <c r="G43" s="89">
        <v>112.24101242670183</v>
      </c>
      <c r="H43" s="89">
        <v>0.86417037844742395</v>
      </c>
      <c r="I43" s="88">
        <v>20260311</v>
      </c>
      <c r="J43" s="49">
        <v>4.5411154998806831E-2</v>
      </c>
      <c r="N43" s="89">
        <v>118.52788749701702</v>
      </c>
      <c r="O43" s="89">
        <v>0.86417037844742395</v>
      </c>
      <c r="P43" s="93"/>
    </row>
    <row r="44" spans="1:20" x14ac:dyDescent="0.4">
      <c r="A44" s="91"/>
      <c r="B44" s="87">
        <v>20260611</v>
      </c>
      <c r="C44" s="49">
        <v>4.6050744381101127E-2</v>
      </c>
      <c r="G44" s="89">
        <v>116.07310912496752</v>
      </c>
      <c r="H44" s="89">
        <v>0.85412597595118878</v>
      </c>
      <c r="I44" s="88">
        <v>20260611</v>
      </c>
      <c r="J44" s="49">
        <v>4.5005591320086497E-2</v>
      </c>
      <c r="N44" s="89">
        <v>117.51397830021594</v>
      </c>
      <c r="O44" s="89">
        <v>0.85412597595118878</v>
      </c>
      <c r="P44" s="93"/>
    </row>
    <row r="45" spans="1:20" x14ac:dyDescent="0.4">
      <c r="A45" s="91"/>
      <c r="B45" s="87">
        <v>20260911</v>
      </c>
      <c r="C45" s="49">
        <v>4.6526276337677017E-2</v>
      </c>
      <c r="G45" s="89">
        <v>117.27171022099471</v>
      </c>
      <c r="H45" s="89">
        <v>0.84410413225303826</v>
      </c>
      <c r="I45" s="88">
        <v>20260911</v>
      </c>
      <c r="J45" s="49">
        <v>4.441217072769759E-2</v>
      </c>
      <c r="N45" s="89">
        <v>116.03042681924386</v>
      </c>
      <c r="O45" s="89">
        <v>0.84410413225303826</v>
      </c>
      <c r="P45" s="93"/>
    </row>
    <row r="46" spans="1:20" x14ac:dyDescent="0.4">
      <c r="A46" s="91"/>
      <c r="B46" s="87">
        <v>20261211</v>
      </c>
      <c r="C46" s="49">
        <v>4.2949210278660922E-2</v>
      </c>
      <c r="G46" s="89">
        <v>107.07885302351104</v>
      </c>
      <c r="H46" s="89">
        <v>0.83505324428996175</v>
      </c>
      <c r="I46" s="88">
        <v>20261211</v>
      </c>
      <c r="J46" s="49">
        <v>4.394635227916472E-2</v>
      </c>
      <c r="N46" s="89">
        <v>114.86588069791188</v>
      </c>
      <c r="O46" s="89">
        <v>0.83505324428996175</v>
      </c>
      <c r="P46" s="93"/>
    </row>
    <row r="47" spans="1:20" x14ac:dyDescent="0.4">
      <c r="A47" s="91"/>
      <c r="B47" s="87">
        <v>20270311</v>
      </c>
      <c r="C47" s="49">
        <v>4.0513309195255559E-2</v>
      </c>
      <c r="G47" s="89">
        <v>99.895830892410871</v>
      </c>
      <c r="H47" s="89">
        <v>0.82667333951557453</v>
      </c>
      <c r="I47" s="88">
        <v>20270311</v>
      </c>
      <c r="J47" s="49">
        <v>4.3598529788079265E-2</v>
      </c>
      <c r="N47" s="89">
        <v>113.99632447019759</v>
      </c>
      <c r="O47" s="89">
        <v>0.82667333951557453</v>
      </c>
      <c r="P47" s="93"/>
    </row>
    <row r="48" spans="1:20" x14ac:dyDescent="0.4">
      <c r="A48" s="91"/>
      <c r="B48" s="87">
        <v>20270611</v>
      </c>
      <c r="C48" s="49">
        <v>4.0164724316088113E-2</v>
      </c>
      <c r="G48" s="89">
        <v>101.23711334466014</v>
      </c>
      <c r="H48" s="89">
        <v>0.81827471870383883</v>
      </c>
      <c r="I48" s="88">
        <v>20270611</v>
      </c>
      <c r="J48" s="49">
        <v>4.3132503440323738E-2</v>
      </c>
      <c r="N48" s="89">
        <v>112.83125860080924</v>
      </c>
      <c r="O48" s="89">
        <v>0.81827471870383883</v>
      </c>
      <c r="P48" s="93"/>
    </row>
    <row r="49" spans="1:16" x14ac:dyDescent="0.4">
      <c r="A49" s="91"/>
      <c r="B49" s="87">
        <v>20270911</v>
      </c>
      <c r="C49" s="49">
        <v>3.9804719427659077E-2</v>
      </c>
      <c r="G49" s="89">
        <v>100.32970376286723</v>
      </c>
      <c r="H49" s="89">
        <v>0.81001592016439872</v>
      </c>
      <c r="I49" s="88">
        <v>20270911</v>
      </c>
      <c r="J49" s="49">
        <v>4.2699869417091467E-2</v>
      </c>
      <c r="N49" s="89">
        <v>111.74967354272916</v>
      </c>
      <c r="O49" s="89">
        <v>0.81001592016439872</v>
      </c>
      <c r="P49" s="93"/>
    </row>
    <row r="50" spans="1:16" x14ac:dyDescent="0.4">
      <c r="A50" s="91"/>
      <c r="B50" s="87">
        <v>20271211</v>
      </c>
      <c r="C50" s="49">
        <v>4.1271481192081738E-2</v>
      </c>
      <c r="G50" s="89">
        <v>102.89602160217554</v>
      </c>
      <c r="H50" s="89">
        <v>0.80161416527591467</v>
      </c>
      <c r="I50" s="88">
        <v>20271211</v>
      </c>
      <c r="J50" s="49">
        <v>4.4281248674920975E-2</v>
      </c>
      <c r="N50" s="89">
        <v>115.70312168730197</v>
      </c>
      <c r="O50" s="89">
        <v>0.80161416527591467</v>
      </c>
      <c r="P50" s="93"/>
    </row>
    <row r="51" spans="1:16" x14ac:dyDescent="0.4">
      <c r="A51" s="91"/>
      <c r="B51" s="87">
        <v>20280311</v>
      </c>
      <c r="C51" s="49">
        <v>4.2064669240177072E-2</v>
      </c>
      <c r="G51" s="89">
        <v>104.87355892756462</v>
      </c>
      <c r="H51" s="89">
        <v>0.79315145997797587</v>
      </c>
      <c r="I51" s="88">
        <v>20280311</v>
      </c>
      <c r="J51" s="49">
        <v>4.5115002064536745E-2</v>
      </c>
      <c r="N51" s="89">
        <v>117.78750516134217</v>
      </c>
      <c r="O51" s="89">
        <v>0.79315145997797587</v>
      </c>
      <c r="P51" s="93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2023-09-25T14:37:28Z</dcterms:modified>
</cp:coreProperties>
</file>