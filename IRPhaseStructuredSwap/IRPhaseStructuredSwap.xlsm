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<sst xmlns="http://schemas.openxmlformats.org/spreadsheetml/2006/main" count="272" uniqueCount="117">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</sst>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D8" sqref="D8:E8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0" t="s">
        <v>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45" x14ac:dyDescent="0.4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</row>
    <row r="4" spans="1:45" x14ac:dyDescent="0.4">
      <c r="A4" s="9">
        <f>4</f>
        <v>4</v>
      </c>
      <c r="B4" s="94" t="s">
        <v>2</v>
      </c>
      <c r="C4" s="94"/>
      <c r="D4" s="95">
        <v>2</v>
      </c>
      <c r="E4" s="95"/>
    </row>
    <row r="5" spans="1:45" x14ac:dyDescent="0.4">
      <c r="A5" s="9">
        <f>A4+1</f>
        <v>5</v>
      </c>
      <c r="G5" s="99" t="s">
        <v>22</v>
      </c>
      <c r="H5" s="101" t="s">
        <v>21</v>
      </c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</row>
    <row r="6" spans="1:45" x14ac:dyDescent="0.4">
      <c r="A6" s="9">
        <f t="shared" ref="A6:A82" si="1">A5+1</f>
        <v>6</v>
      </c>
      <c r="B6" s="94" t="s">
        <v>3</v>
      </c>
      <c r="C6" s="94"/>
      <c r="D6" s="95">
        <v>1</v>
      </c>
      <c r="E6" s="95"/>
      <c r="G6" s="100"/>
      <c r="H6" s="102" t="s">
        <v>7</v>
      </c>
      <c r="I6" s="103"/>
      <c r="L6" s="98" t="s">
        <v>11</v>
      </c>
      <c r="M6" s="98"/>
      <c r="N6" s="98"/>
      <c r="Q6" s="98" t="s">
        <v>12</v>
      </c>
      <c r="R6" s="98"/>
      <c r="S6" s="98"/>
      <c r="V6" s="98" t="s">
        <v>13</v>
      </c>
      <c r="W6" s="98"/>
      <c r="X6" s="98"/>
    </row>
    <row r="7" spans="1:45" x14ac:dyDescent="0.4">
      <c r="A7" s="9">
        <f t="shared" si="1"/>
        <v>7</v>
      </c>
      <c r="B7" s="94" t="s">
        <v>4</v>
      </c>
      <c r="C7" s="94"/>
      <c r="D7" s="95">
        <v>0</v>
      </c>
      <c r="E7" s="95"/>
      <c r="G7" s="100"/>
      <c r="H7" s="104"/>
      <c r="I7" s="105"/>
      <c r="L7" s="98"/>
      <c r="M7" s="98"/>
      <c r="N7" s="98"/>
      <c r="Q7" s="98"/>
      <c r="R7" s="98"/>
      <c r="S7" s="98"/>
      <c r="V7" s="98"/>
      <c r="W7" s="98"/>
      <c r="X7" s="98"/>
    </row>
    <row r="8" spans="1:45" x14ac:dyDescent="0.4">
      <c r="A8" s="9">
        <f t="shared" si="1"/>
        <v>8</v>
      </c>
      <c r="B8" s="94" t="s">
        <v>1</v>
      </c>
      <c r="C8" s="94"/>
      <c r="D8" s="95">
        <v>0.01</v>
      </c>
      <c r="E8" s="95"/>
      <c r="G8" s="100"/>
      <c r="I8" s="2" t="s">
        <v>106</v>
      </c>
      <c r="J8" s="2" t="s">
        <v>107</v>
      </c>
      <c r="K8" s="2" t="s">
        <v>109</v>
      </c>
      <c r="V8" s="98" t="s">
        <v>14</v>
      </c>
      <c r="W8" s="98"/>
      <c r="X8" s="4">
        <v>3</v>
      </c>
    </row>
    <row r="9" spans="1:45" x14ac:dyDescent="0.4">
      <c r="A9" s="9">
        <f t="shared" si="1"/>
        <v>9</v>
      </c>
      <c r="G9" s="100"/>
      <c r="H9" s="2" t="s">
        <v>8</v>
      </c>
      <c r="I9" s="3">
        <v>2.0067067133415922E-2</v>
      </c>
      <c r="J9" s="72">
        <v>9.6050968278254614E-3</v>
      </c>
      <c r="K9" s="72">
        <v>0.5</v>
      </c>
      <c r="Q9" s="98" t="s">
        <v>15</v>
      </c>
      <c r="R9" s="98"/>
      <c r="S9" s="4">
        <v>3</v>
      </c>
      <c r="V9" s="106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0"/>
      <c r="H10" s="73" t="s">
        <v>9</v>
      </c>
      <c r="I10" s="108" t="s">
        <v>10</v>
      </c>
      <c r="J10" s="109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7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0"/>
      <c r="H11" s="74">
        <v>1</v>
      </c>
      <c r="I11" s="75">
        <v>1.3931960353891909E-2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0"/>
      <c r="H12" s="74">
        <v>2</v>
      </c>
      <c r="I12" s="75">
        <v>1.2316898559421533E-2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7" t="s">
        <v>6</v>
      </c>
      <c r="E13" s="97"/>
      <c r="G13" s="100"/>
      <c r="H13" s="74">
        <v>3</v>
      </c>
      <c r="I13" s="75">
        <v>1.3143116491132624E-2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7"/>
      <c r="E14" s="97"/>
      <c r="G14" s="100"/>
      <c r="H14" s="74">
        <v>4</v>
      </c>
      <c r="I14" s="75">
        <v>1.2104288341778719E-2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7"/>
      <c r="E15" s="97"/>
      <c r="G15" s="100"/>
      <c r="H15" s="74">
        <v>5</v>
      </c>
      <c r="I15" s="75">
        <v>1.342201341995688E-2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100"/>
      <c r="H16" s="74">
        <v>7</v>
      </c>
      <c r="I16" s="75">
        <v>1.2520732146148536E-2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6">
        <v>45181.005868055552</v>
      </c>
      <c r="E17" s="96"/>
      <c r="G17" s="100"/>
      <c r="H17" s="74">
        <v>10</v>
      </c>
      <c r="I17" s="75">
        <v>1.1581161567258256E-2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6">
        <v>45181.005868055552</v>
      </c>
      <c r="E18" s="96"/>
      <c r="G18" s="100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0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0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0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0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4" t="s">
        <v>115</v>
      </c>
      <c r="C23" s="94"/>
      <c r="D23" s="95">
        <v>0</v>
      </c>
      <c r="E23" s="95"/>
      <c r="G23" s="100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4" t="s">
        <v>111</v>
      </c>
      <c r="C24" s="94"/>
      <c r="D24" s="95">
        <v>1</v>
      </c>
      <c r="E24" s="95"/>
      <c r="G24" s="100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4" t="s">
        <v>113</v>
      </c>
      <c r="C25" s="94"/>
      <c r="D25" s="95">
        <v>0.1</v>
      </c>
      <c r="E25" s="95"/>
      <c r="G25" s="100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4" t="s">
        <v>112</v>
      </c>
      <c r="C26" s="94"/>
      <c r="D26" s="95">
        <v>0.15</v>
      </c>
      <c r="E26" s="95"/>
      <c r="G26" s="100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0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0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0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0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0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0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0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0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0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0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0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0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0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0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9" t="s">
        <v>24</v>
      </c>
      <c r="H55" s="101" t="s">
        <v>23</v>
      </c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</row>
    <row r="56" spans="1:40" x14ac:dyDescent="0.4">
      <c r="A56" s="9">
        <f t="shared" si="1"/>
        <v>56</v>
      </c>
      <c r="B56" s="94" t="s">
        <v>3</v>
      </c>
      <c r="C56" s="94"/>
      <c r="D56" s="95">
        <v>1</v>
      </c>
      <c r="E56" s="95"/>
      <c r="G56" s="100"/>
      <c r="H56" s="102" t="s">
        <v>7</v>
      </c>
      <c r="I56" s="103"/>
      <c r="L56" s="98" t="s">
        <v>11</v>
      </c>
      <c r="M56" s="98"/>
      <c r="N56" s="98"/>
      <c r="Q56" s="98" t="s">
        <v>12</v>
      </c>
      <c r="R56" s="98"/>
      <c r="S56" s="98"/>
      <c r="V56" s="98" t="s">
        <v>13</v>
      </c>
      <c r="W56" s="98"/>
      <c r="X56" s="98"/>
    </row>
    <row r="57" spans="1:40" x14ac:dyDescent="0.4">
      <c r="A57" s="9">
        <f t="shared" si="1"/>
        <v>57</v>
      </c>
      <c r="B57" s="94" t="s">
        <v>4</v>
      </c>
      <c r="C57" s="94"/>
      <c r="D57" s="95">
        <v>1</v>
      </c>
      <c r="E57" s="95"/>
      <c r="G57" s="100"/>
      <c r="H57" s="104"/>
      <c r="I57" s="105"/>
      <c r="L57" s="98"/>
      <c r="M57" s="98"/>
      <c r="N57" s="98"/>
      <c r="Q57" s="98"/>
      <c r="R57" s="98"/>
      <c r="S57" s="98"/>
      <c r="V57" s="98"/>
      <c r="W57" s="98"/>
      <c r="X57" s="98"/>
    </row>
    <row r="58" spans="1:40" x14ac:dyDescent="0.4">
      <c r="A58" s="9">
        <f t="shared" si="1"/>
        <v>58</v>
      </c>
      <c r="B58" s="94" t="s">
        <v>1</v>
      </c>
      <c r="C58" s="94"/>
      <c r="D58" s="95">
        <v>0.01</v>
      </c>
      <c r="E58" s="95"/>
      <c r="G58" s="100"/>
      <c r="I58" s="2" t="s">
        <v>106</v>
      </c>
      <c r="J58" s="2" t="s">
        <v>107</v>
      </c>
      <c r="K58" s="2" t="s">
        <v>109</v>
      </c>
      <c r="V58" s="98" t="s">
        <v>14</v>
      </c>
      <c r="W58" s="98"/>
      <c r="X58" s="4">
        <v>3</v>
      </c>
    </row>
    <row r="59" spans="1:40" x14ac:dyDescent="0.4">
      <c r="A59" s="9">
        <f t="shared" si="1"/>
        <v>59</v>
      </c>
      <c r="G59" s="100"/>
      <c r="H59" s="2" t="s">
        <v>8</v>
      </c>
      <c r="I59" s="3">
        <v>0.01</v>
      </c>
      <c r="J59" s="72">
        <v>0.01</v>
      </c>
      <c r="K59" s="72">
        <v>0.9</v>
      </c>
      <c r="Q59" s="98" t="s">
        <v>15</v>
      </c>
      <c r="R59" s="98"/>
      <c r="S59" s="4">
        <v>3</v>
      </c>
      <c r="V59" s="106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0"/>
      <c r="H60" s="73" t="s">
        <v>9</v>
      </c>
      <c r="I60" s="108" t="s">
        <v>10</v>
      </c>
      <c r="J60" s="109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7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0"/>
      <c r="H61" s="74">
        <v>1</v>
      </c>
      <c r="I61" s="75">
        <v>1.3179794086105324E-2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0"/>
      <c r="H62" s="74">
        <v>2</v>
      </c>
      <c r="I62" s="75">
        <v>1.2003347093782295E-2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7" t="s">
        <v>6</v>
      </c>
      <c r="E63" s="97"/>
      <c r="G63" s="100"/>
      <c r="H63" s="74">
        <v>3</v>
      </c>
      <c r="I63" s="75">
        <v>1.1763422778972145E-2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7"/>
      <c r="E64" s="97"/>
      <c r="G64" s="100"/>
      <c r="H64" s="74">
        <v>4</v>
      </c>
      <c r="I64" s="75">
        <v>1.2245700586857295E-2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7"/>
      <c r="E65" s="97"/>
      <c r="G65" s="100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0"/>
      <c r="H66" s="74">
        <v>7</v>
      </c>
      <c r="I66" s="75">
        <v>1.3388249104174767E-2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6">
        <v>45181.005868055552</v>
      </c>
      <c r="E67" s="96"/>
      <c r="G67" s="100"/>
      <c r="H67" s="74">
        <v>10</v>
      </c>
      <c r="I67" s="75">
        <v>1.5966173861409756E-2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6">
        <v>45181.005868055552</v>
      </c>
      <c r="E68" s="96"/>
      <c r="G68" s="100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0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0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0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0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4" t="s">
        <v>115</v>
      </c>
      <c r="C73" s="94"/>
      <c r="D73" s="95">
        <v>0</v>
      </c>
      <c r="E73" s="95"/>
      <c r="G73" s="100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4" t="s">
        <v>111</v>
      </c>
      <c r="C74" s="94"/>
      <c r="D74" s="95">
        <v>1</v>
      </c>
      <c r="E74" s="95"/>
      <c r="G74" s="100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4" t="s">
        <v>113</v>
      </c>
      <c r="C75" s="94"/>
      <c r="D75" s="95">
        <v>-0.12</v>
      </c>
      <c r="E75" s="95"/>
      <c r="G75" s="100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4" t="s">
        <v>112</v>
      </c>
      <c r="C76" s="94"/>
      <c r="D76" s="95">
        <v>0.24</v>
      </c>
      <c r="E76" s="95"/>
      <c r="G76" s="100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0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0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0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0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0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0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0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0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0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0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0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0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0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0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9" t="s">
        <v>26</v>
      </c>
      <c r="H105" s="101" t="s">
        <v>25</v>
      </c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</row>
    <row r="106" spans="1:40" x14ac:dyDescent="0.4">
      <c r="A106" s="9">
        <f t="shared" si="6"/>
        <v>106</v>
      </c>
      <c r="B106" s="94" t="s">
        <v>3</v>
      </c>
      <c r="C106" s="94"/>
      <c r="D106" s="95">
        <v>1</v>
      </c>
      <c r="E106" s="95"/>
      <c r="G106" s="100"/>
      <c r="H106" s="102" t="s">
        <v>7</v>
      </c>
      <c r="I106" s="103"/>
      <c r="L106" s="98" t="s">
        <v>11</v>
      </c>
      <c r="M106" s="98"/>
      <c r="N106" s="98"/>
      <c r="Q106" s="98" t="s">
        <v>12</v>
      </c>
      <c r="R106" s="98"/>
      <c r="S106" s="98"/>
      <c r="V106" s="98" t="s">
        <v>13</v>
      </c>
      <c r="W106" s="98"/>
      <c r="X106" s="98"/>
    </row>
    <row r="107" spans="1:40" x14ac:dyDescent="0.4">
      <c r="A107" s="9">
        <f t="shared" si="6"/>
        <v>107</v>
      </c>
      <c r="B107" s="94" t="s">
        <v>4</v>
      </c>
      <c r="C107" s="94"/>
      <c r="D107" s="95">
        <v>1</v>
      </c>
      <c r="E107" s="95"/>
      <c r="G107" s="100"/>
      <c r="H107" s="104"/>
      <c r="I107" s="105"/>
      <c r="L107" s="98"/>
      <c r="M107" s="98"/>
      <c r="N107" s="98"/>
      <c r="Q107" s="98"/>
      <c r="R107" s="98"/>
      <c r="S107" s="98"/>
      <c r="V107" s="98"/>
      <c r="W107" s="98"/>
      <c r="X107" s="98"/>
    </row>
    <row r="108" spans="1:40" x14ac:dyDescent="0.4">
      <c r="A108" s="9">
        <f t="shared" si="6"/>
        <v>108</v>
      </c>
      <c r="B108" s="94" t="s">
        <v>1</v>
      </c>
      <c r="C108" s="94"/>
      <c r="D108" s="95">
        <v>0.01</v>
      </c>
      <c r="E108" s="95"/>
      <c r="G108" s="100"/>
      <c r="I108" s="2" t="s">
        <v>106</v>
      </c>
      <c r="J108" s="2" t="s">
        <v>107</v>
      </c>
      <c r="K108" s="2" t="s">
        <v>109</v>
      </c>
      <c r="V108" s="98" t="s">
        <v>14</v>
      </c>
      <c r="W108" s="98"/>
      <c r="X108" s="4">
        <v>3</v>
      </c>
    </row>
    <row r="109" spans="1:40" x14ac:dyDescent="0.4">
      <c r="A109" s="9">
        <f t="shared" si="6"/>
        <v>109</v>
      </c>
      <c r="G109" s="100"/>
      <c r="H109" s="2" t="s">
        <v>8</v>
      </c>
      <c r="I109" s="3">
        <v>0.01</v>
      </c>
      <c r="J109" s="72">
        <v>0.01</v>
      </c>
      <c r="K109" s="72">
        <v>0.9</v>
      </c>
      <c r="Q109" s="98" t="s">
        <v>15</v>
      </c>
      <c r="R109" s="98"/>
      <c r="S109" s="4">
        <v>3</v>
      </c>
      <c r="V109" s="106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0"/>
      <c r="H110" s="73" t="s">
        <v>9</v>
      </c>
      <c r="I110" s="108" t="s">
        <v>10</v>
      </c>
      <c r="J110" s="109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7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0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0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7" t="s">
        <v>6</v>
      </c>
      <c r="E113" s="97"/>
      <c r="G113" s="100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7"/>
      <c r="E114" s="97"/>
      <c r="G114" s="100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7"/>
      <c r="E115" s="97"/>
      <c r="G115" s="100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0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6">
        <v>44931.461863425924</v>
      </c>
      <c r="E117" s="96"/>
      <c r="G117" s="100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6">
        <v>44931.461875000001</v>
      </c>
      <c r="E118" s="96"/>
      <c r="G118" s="100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0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0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0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0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4" t="s">
        <v>115</v>
      </c>
      <c r="C123" s="94"/>
      <c r="D123" s="95">
        <v>0</v>
      </c>
      <c r="E123" s="95"/>
      <c r="G123" s="100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4" t="s">
        <v>111</v>
      </c>
      <c r="C124" s="94"/>
      <c r="D124" s="95">
        <v>0</v>
      </c>
      <c r="E124" s="95"/>
      <c r="G124" s="100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4" t="s">
        <v>113</v>
      </c>
      <c r="C125" s="94"/>
      <c r="D125" s="95">
        <v>-0.1</v>
      </c>
      <c r="E125" s="95"/>
      <c r="G125" s="100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4" t="s">
        <v>112</v>
      </c>
      <c r="C126" s="94"/>
      <c r="D126" s="95">
        <v>0.15</v>
      </c>
      <c r="E126" s="95"/>
      <c r="G126" s="100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0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0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0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0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0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0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0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0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0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0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0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0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0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0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9" t="s">
        <v>28</v>
      </c>
      <c r="H155" s="101" t="s">
        <v>27</v>
      </c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</row>
    <row r="156" spans="1:40" x14ac:dyDescent="0.4">
      <c r="A156" s="9">
        <f t="shared" si="9"/>
        <v>156</v>
      </c>
      <c r="B156" s="94" t="s">
        <v>3</v>
      </c>
      <c r="C156" s="94"/>
      <c r="D156" s="95">
        <v>1</v>
      </c>
      <c r="E156" s="95"/>
      <c r="G156" s="100"/>
      <c r="H156" s="102" t="s">
        <v>7</v>
      </c>
      <c r="I156" s="103"/>
      <c r="L156" s="98" t="s">
        <v>11</v>
      </c>
      <c r="M156" s="98"/>
      <c r="N156" s="98"/>
      <c r="Q156" s="98" t="s">
        <v>12</v>
      </c>
      <c r="R156" s="98"/>
      <c r="S156" s="98"/>
      <c r="V156" s="98" t="s">
        <v>13</v>
      </c>
      <c r="W156" s="98"/>
      <c r="X156" s="98"/>
    </row>
    <row r="157" spans="1:40" x14ac:dyDescent="0.4">
      <c r="A157" s="9">
        <f t="shared" si="9"/>
        <v>157</v>
      </c>
      <c r="B157" s="94" t="s">
        <v>4</v>
      </c>
      <c r="C157" s="94"/>
      <c r="D157" s="95">
        <v>1</v>
      </c>
      <c r="E157" s="95"/>
      <c r="G157" s="100"/>
      <c r="H157" s="104"/>
      <c r="I157" s="105"/>
      <c r="L157" s="98"/>
      <c r="M157" s="98"/>
      <c r="N157" s="98"/>
      <c r="Q157" s="98"/>
      <c r="R157" s="98"/>
      <c r="S157" s="98"/>
      <c r="V157" s="98"/>
      <c r="W157" s="98"/>
      <c r="X157" s="98"/>
    </row>
    <row r="158" spans="1:40" x14ac:dyDescent="0.4">
      <c r="A158" s="9">
        <f t="shared" si="9"/>
        <v>158</v>
      </c>
      <c r="B158" s="94" t="s">
        <v>1</v>
      </c>
      <c r="C158" s="94"/>
      <c r="D158" s="95">
        <v>0.01</v>
      </c>
      <c r="E158" s="95"/>
      <c r="G158" s="100"/>
      <c r="I158" s="2" t="s">
        <v>106</v>
      </c>
      <c r="J158" s="2" t="s">
        <v>107</v>
      </c>
      <c r="K158" s="2" t="s">
        <v>109</v>
      </c>
      <c r="V158" s="98" t="s">
        <v>14</v>
      </c>
      <c r="W158" s="98"/>
      <c r="X158" s="4">
        <v>3</v>
      </c>
    </row>
    <row r="159" spans="1:40" x14ac:dyDescent="0.4">
      <c r="A159" s="9">
        <f t="shared" si="9"/>
        <v>159</v>
      </c>
      <c r="G159" s="100"/>
      <c r="H159" s="2" t="s">
        <v>8</v>
      </c>
      <c r="I159" s="3">
        <v>0.01</v>
      </c>
      <c r="J159" s="72">
        <v>0.01</v>
      </c>
      <c r="K159" s="72">
        <v>0.9</v>
      </c>
      <c r="Q159" s="98" t="s">
        <v>15</v>
      </c>
      <c r="R159" s="98"/>
      <c r="S159" s="4">
        <v>3</v>
      </c>
      <c r="V159" s="106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0"/>
      <c r="H160" s="73" t="s">
        <v>9</v>
      </c>
      <c r="I160" s="108" t="s">
        <v>10</v>
      </c>
      <c r="J160" s="109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7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0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0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7" t="s">
        <v>6</v>
      </c>
      <c r="E163" s="97"/>
      <c r="G163" s="100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7"/>
      <c r="E164" s="97"/>
      <c r="G164" s="100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7"/>
      <c r="E165" s="97"/>
      <c r="G165" s="100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0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6">
        <v>44931.461875000001</v>
      </c>
      <c r="E167" s="96"/>
      <c r="G167" s="100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6">
        <v>44931.461875000001</v>
      </c>
      <c r="E168" s="96"/>
      <c r="G168" s="100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0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0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0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0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4" t="s">
        <v>115</v>
      </c>
      <c r="C173" s="94"/>
      <c r="D173" s="95">
        <v>0</v>
      </c>
      <c r="E173" s="95"/>
      <c r="G173" s="100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4" t="s">
        <v>111</v>
      </c>
      <c r="C174" s="94"/>
      <c r="D174" s="95">
        <v>0</v>
      </c>
      <c r="E174" s="95"/>
      <c r="G174" s="100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4" t="s">
        <v>113</v>
      </c>
      <c r="C175" s="94"/>
      <c r="D175" s="95">
        <v>-0.1</v>
      </c>
      <c r="E175" s="95"/>
      <c r="G175" s="100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4" t="s">
        <v>112</v>
      </c>
      <c r="C176" s="94"/>
      <c r="D176" s="95">
        <v>0.15</v>
      </c>
      <c r="E176" s="95"/>
      <c r="G176" s="100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0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0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0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0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0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0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0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0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0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0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0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0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0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0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H4" sqref="H4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3" t="s">
        <v>29</v>
      </c>
      <c r="C3" s="163"/>
      <c r="D3" s="164">
        <v>44848</v>
      </c>
      <c r="E3" s="135"/>
      <c r="F3" s="132" t="s">
        <v>31</v>
      </c>
      <c r="G3" s="132"/>
      <c r="H3" s="135">
        <v>0</v>
      </c>
      <c r="I3" s="135"/>
      <c r="J3" s="132" t="s">
        <v>67</v>
      </c>
      <c r="K3" s="132"/>
      <c r="L3" s="135">
        <v>10000</v>
      </c>
      <c r="M3" s="13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7" t="s">
        <v>46</v>
      </c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D5" s="167" t="s">
        <v>47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</row>
    <row r="6" spans="1:57" ht="16.2" customHeight="1" x14ac:dyDescent="0.4">
      <c r="A6" s="34">
        <f t="shared" si="1"/>
        <v>6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</row>
    <row r="7" spans="1:57" ht="16.2" customHeight="1" x14ac:dyDescent="0.4">
      <c r="A7" s="34">
        <f t="shared" si="1"/>
        <v>7</v>
      </c>
      <c r="B7" s="163" t="str">
        <f>IF(D7&gt;0,"레퍼런스금리 개수","기초금리는 1개 - 3개 입력가능")</f>
        <v>레퍼런스금리 개수</v>
      </c>
      <c r="C7" s="163"/>
      <c r="D7" s="134">
        <v>1</v>
      </c>
      <c r="E7" s="134"/>
      <c r="F7" s="150" t="s">
        <v>32</v>
      </c>
      <c r="G7" s="151"/>
      <c r="H7" s="135">
        <v>1</v>
      </c>
      <c r="I7" s="135"/>
      <c r="J7" s="132" t="s">
        <v>91</v>
      </c>
      <c r="K7" s="132"/>
      <c r="L7" s="135">
        <v>0</v>
      </c>
      <c r="M7" s="135"/>
      <c r="N7" s="35"/>
      <c r="O7" s="35"/>
      <c r="P7" s="35"/>
      <c r="Q7" s="35"/>
      <c r="R7" s="35"/>
      <c r="S7" s="35"/>
      <c r="T7" s="35"/>
      <c r="U7" s="35"/>
      <c r="AD7" s="163" t="str">
        <f>IF(AF7&gt;0,"레퍼런스금리 개수","기초금리는 1개 - 3개 입력가능")</f>
        <v>레퍼런스금리 개수</v>
      </c>
      <c r="AE7" s="163"/>
      <c r="AF7" s="134">
        <v>1</v>
      </c>
      <c r="AG7" s="134"/>
      <c r="AH7" s="150" t="s">
        <v>32</v>
      </c>
      <c r="AI7" s="151"/>
      <c r="AJ7" s="135">
        <v>0</v>
      </c>
      <c r="AK7" s="135"/>
      <c r="AL7" s="132" t="s">
        <v>91</v>
      </c>
      <c r="AM7" s="132"/>
      <c r="AN7" s="135">
        <v>0</v>
      </c>
      <c r="AO7" s="13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2" t="s">
        <v>50</v>
      </c>
      <c r="C8" s="132"/>
      <c r="D8" s="133">
        <v>1</v>
      </c>
      <c r="E8" s="134"/>
      <c r="F8" s="132" t="s">
        <v>51</v>
      </c>
      <c r="G8" s="132"/>
      <c r="H8" s="133">
        <v>1</v>
      </c>
      <c r="I8" s="134"/>
      <c r="J8" s="132" t="s">
        <v>42</v>
      </c>
      <c r="K8" s="132"/>
      <c r="L8" s="135">
        <v>0</v>
      </c>
      <c r="M8" s="135"/>
      <c r="N8" s="35"/>
      <c r="O8" s="35"/>
      <c r="P8" s="35"/>
      <c r="Q8" s="35"/>
      <c r="R8" s="35"/>
      <c r="S8" s="35"/>
      <c r="T8" s="35"/>
      <c r="U8" s="35"/>
      <c r="AD8" s="132" t="s">
        <v>50</v>
      </c>
      <c r="AE8" s="132"/>
      <c r="AF8" s="133">
        <v>1</v>
      </c>
      <c r="AG8" s="134"/>
      <c r="AH8" s="132" t="s">
        <v>51</v>
      </c>
      <c r="AI8" s="132"/>
      <c r="AJ8" s="133">
        <v>1</v>
      </c>
      <c r="AK8" s="13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8" t="str">
        <f>IF(D7&gt;=1,"기초금리1", "")</f>
        <v>기초금리1</v>
      </c>
      <c r="C10" s="165" t="str">
        <f>IF($D$7&gt;=1,"커브번호", "")</f>
        <v>커브번호</v>
      </c>
      <c r="D10" s="165"/>
      <c r="E10" s="166">
        <v>1</v>
      </c>
      <c r="F10" s="166"/>
      <c r="G10" s="65"/>
      <c r="H10" s="36"/>
      <c r="I10" s="168" t="str">
        <f>IF(OR(E11 = 0, E11 = 2, E11 = 4), "RefType = "&amp;E11&amp;" 이므로 Ref Swap 금리정보 사용안함", "사용")</f>
        <v>RefType = 0 이므로 Ref Swap 금리정보 사용안함</v>
      </c>
      <c r="J10" s="169"/>
      <c r="K10" s="169"/>
      <c r="L10" s="197"/>
      <c r="N10" s="152" t="s">
        <v>34</v>
      </c>
      <c r="O10" s="152"/>
      <c r="P10" s="152"/>
      <c r="Q10" s="152"/>
      <c r="R10" s="34"/>
      <c r="S10" s="34"/>
      <c r="T10" s="34"/>
      <c r="U10" s="34"/>
      <c r="W10" s="152" t="s">
        <v>52</v>
      </c>
      <c r="X10" s="152"/>
      <c r="Y10" s="152"/>
      <c r="AD10" s="120" t="str">
        <f>IF($AF$7&gt;=1,"기초금리1", "")</f>
        <v>기초금리1</v>
      </c>
      <c r="AE10" s="126" t="str">
        <f>IF($AF$7&gt;=1,"커브번호", "")</f>
        <v>커브번호</v>
      </c>
      <c r="AF10" s="126"/>
      <c r="AG10" s="166">
        <v>2</v>
      </c>
      <c r="AH10" s="166"/>
      <c r="AI10" s="65"/>
      <c r="AJ10" s="36"/>
      <c r="AK10" s="190" t="str">
        <f>IF(OR(AG11 = 0, AG11 = 2, AG11 = 4), "RefType = "&amp;AG11&amp;" 이므로 Ref Swap 금리정보 사용안함", "사용")</f>
        <v>RefType = 0 이므로 Ref Swap 금리정보 사용안함</v>
      </c>
      <c r="AL10" s="190"/>
      <c r="AM10" s="190"/>
      <c r="AN10" s="191"/>
      <c r="AP10" s="152" t="s">
        <v>54</v>
      </c>
      <c r="AQ10" s="152"/>
      <c r="AR10" s="152"/>
      <c r="AS10" s="152"/>
      <c r="AT10" s="34"/>
      <c r="AU10" s="34"/>
      <c r="AV10" s="34"/>
      <c r="AW10" s="34"/>
      <c r="AY10" s="152" t="s">
        <v>53</v>
      </c>
      <c r="AZ10" s="152"/>
      <c r="BA10" s="152"/>
    </row>
    <row r="11" spans="1:57" ht="16.2" customHeight="1" x14ac:dyDescent="0.4">
      <c r="A11" s="34">
        <f t="shared" si="1"/>
        <v>11</v>
      </c>
      <c r="B11" s="149"/>
      <c r="C11" s="146" t="str">
        <f>IF($D$7&gt;=1,"Reference Rate Type", "")</f>
        <v>Reference Rate Type</v>
      </c>
      <c r="D11" s="147"/>
      <c r="E11" s="173">
        <v>0</v>
      </c>
      <c r="F11" s="174"/>
      <c r="G11" s="168" t="str">
        <f>IF(OR(E11 = 0, E11 = 2, E11 = 4), "", "Zero/Swap 레퍼런스금리정보")</f>
        <v/>
      </c>
      <c r="H11" s="169"/>
      <c r="I11" s="140" t="str">
        <f>IF(OR(E11 = 0, E11 = 2, E11 = 4), "", "연 지급횟수")</f>
        <v/>
      </c>
      <c r="J11" s="141"/>
      <c r="K11" s="142">
        <v>4</v>
      </c>
      <c r="L11" s="143"/>
      <c r="M11" s="34"/>
      <c r="N11" s="153" t="str">
        <f>IF(OR(E11 = 0, E11 = 2, E11 = 4), "ForwardStart", "ResetStart")</f>
        <v>ForwardStart</v>
      </c>
      <c r="O11" s="153" t="str">
        <f>IF(OR(E11 = 0, E11 = 2, E11 = 4), "ForwardEnd", "ResetEnd")</f>
        <v>ForwardEnd</v>
      </c>
      <c r="P11" s="154" t="s">
        <v>35</v>
      </c>
      <c r="Q11" s="154" t="s">
        <v>36</v>
      </c>
      <c r="R11" s="154" t="s">
        <v>37</v>
      </c>
      <c r="S11" s="154" t="s">
        <v>38</v>
      </c>
      <c r="T11" s="154" t="s">
        <v>116</v>
      </c>
      <c r="U11" s="154" t="s">
        <v>71</v>
      </c>
      <c r="W11" s="37" t="s">
        <v>43</v>
      </c>
      <c r="X11" s="187">
        <v>0</v>
      </c>
      <c r="Y11" s="187"/>
      <c r="AD11" s="192"/>
      <c r="AE11" s="177" t="str">
        <f>IF($AF$7&gt;=1,"Reference Rate Type", "")</f>
        <v>Reference Rate Type</v>
      </c>
      <c r="AF11" s="178"/>
      <c r="AG11" s="173">
        <v>0</v>
      </c>
      <c r="AH11" s="173"/>
      <c r="AI11" s="179" t="str">
        <f>IF(OR(AG11 = 0, AG11 = 2, AG11 = 4), "", "Zero/Swap 레퍼런스금리정보")</f>
        <v/>
      </c>
      <c r="AJ11" s="179"/>
      <c r="AK11" s="179" t="str">
        <f>IF(OR(AG11 = 0, AG11 = 2, AG11 = 4), "", "연 지급횟수")</f>
        <v/>
      </c>
      <c r="AL11" s="180"/>
      <c r="AM11" s="142">
        <v>4</v>
      </c>
      <c r="AN11" s="143"/>
      <c r="AO11" s="34"/>
      <c r="AP11" s="154" t="str">
        <f>IF(OR(AG11 = 0, AG11 = 2, AG11 = 4), "ForwardStart", "ResetEnd")</f>
        <v>ForwardStart</v>
      </c>
      <c r="AQ11" s="154" t="str">
        <f>IF(OR(AG11 = 0, AG11 = 2, AG11 = 4), "ForwardEnd", "ResetEnd")</f>
        <v>ForwardEnd</v>
      </c>
      <c r="AR11" s="154" t="s">
        <v>35</v>
      </c>
      <c r="AS11" s="154" t="s">
        <v>36</v>
      </c>
      <c r="AT11" s="154" t="s">
        <v>37</v>
      </c>
      <c r="AU11" s="154" t="s">
        <v>38</v>
      </c>
      <c r="AV11" s="154" t="s">
        <v>116</v>
      </c>
      <c r="AW11" s="154" t="s">
        <v>71</v>
      </c>
      <c r="AY11" s="37" t="s">
        <v>43</v>
      </c>
      <c r="AZ11" s="187">
        <v>0</v>
      </c>
      <c r="BA11" s="187"/>
    </row>
    <row r="12" spans="1:57" ht="16.2" customHeight="1" x14ac:dyDescent="0.4">
      <c r="A12" s="34">
        <f t="shared" si="1"/>
        <v>12</v>
      </c>
      <c r="B12" s="149"/>
      <c r="C12" s="146" t="str">
        <f>IF($D$7&gt;=1,"DayCount", "")</f>
        <v>DayCount</v>
      </c>
      <c r="D12" s="146"/>
      <c r="E12" s="159">
        <v>0</v>
      </c>
      <c r="F12" s="160"/>
      <c r="G12" s="170"/>
      <c r="H12" s="140"/>
      <c r="I12" s="140" t="str">
        <f>IF(OR(E11 = 0, E11 = 2, E11 = 4,E14=1), "", "만기")</f>
        <v/>
      </c>
      <c r="J12" s="141"/>
      <c r="K12" s="171">
        <v>10</v>
      </c>
      <c r="L12" s="172"/>
      <c r="N12" s="154"/>
      <c r="O12" s="154"/>
      <c r="P12" s="154"/>
      <c r="Q12" s="154"/>
      <c r="R12" s="154"/>
      <c r="S12" s="154"/>
      <c r="T12" s="154"/>
      <c r="U12" s="154"/>
      <c r="W12" s="37" t="s">
        <v>44</v>
      </c>
      <c r="X12" s="187">
        <v>0</v>
      </c>
      <c r="Y12" s="187"/>
      <c r="AD12" s="192"/>
      <c r="AE12" s="177" t="str">
        <f>IF($AF$7&gt;=1,"DayCount", "")</f>
        <v>DayCount</v>
      </c>
      <c r="AF12" s="177"/>
      <c r="AG12" s="159">
        <v>3</v>
      </c>
      <c r="AH12" s="159"/>
      <c r="AI12" s="179"/>
      <c r="AJ12" s="179"/>
      <c r="AK12" s="140" t="str">
        <f>IF(OR(AG11 = 0, AG11 = 2, AG11 = 4,AG14=1), "", "만기")</f>
        <v/>
      </c>
      <c r="AL12" s="141"/>
      <c r="AM12" s="144">
        <v>0.25</v>
      </c>
      <c r="AN12" s="145"/>
      <c r="AP12" s="154"/>
      <c r="AQ12" s="154"/>
      <c r="AR12" s="154"/>
      <c r="AS12" s="154"/>
      <c r="AT12" s="154"/>
      <c r="AU12" s="154"/>
      <c r="AV12" s="154"/>
      <c r="AW12" s="154"/>
      <c r="AY12" s="37" t="s">
        <v>44</v>
      </c>
      <c r="AZ12" s="187">
        <v>0</v>
      </c>
      <c r="BA12" s="187"/>
    </row>
    <row r="13" spans="1:57" ht="16.2" customHeight="1" x14ac:dyDescent="0.4">
      <c r="A13" s="34">
        <f t="shared" si="1"/>
        <v>13</v>
      </c>
      <c r="B13" s="149"/>
      <c r="C13" s="146" t="str">
        <f>IF($D$7&gt;=1,"금리결정조건Multiple", "")</f>
        <v>금리결정조건Multiple</v>
      </c>
      <c r="D13" s="147"/>
      <c r="E13" s="136">
        <v>1</v>
      </c>
      <c r="F13" s="186"/>
      <c r="G13" s="161" t="str">
        <f>IF(OR(E11 = 0, E11 = 2, E11 = 4), "", "ex) Zero Rate 5년 -&gt; 연 지급횟수= 0, 만기= 5 // CD91일 -&gt; 연 지급횟수= 4, 만기= 0.25")</f>
        <v/>
      </c>
      <c r="H13" s="161"/>
      <c r="I13" s="161"/>
      <c r="J13" s="161"/>
      <c r="K13" s="161"/>
      <c r="L13" s="162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87">
        <v>0</v>
      </c>
      <c r="Y13" s="187"/>
      <c r="AD13" s="192"/>
      <c r="AE13" s="177" t="str">
        <f>IF($AF$7&gt;=1,"금리결정조건Multiple", "")</f>
        <v>금리결정조건Multiple</v>
      </c>
      <c r="AF13" s="178"/>
      <c r="AG13" s="136">
        <v>1</v>
      </c>
      <c r="AH13" s="136"/>
      <c r="AI13" s="161" t="str">
        <f>IF(OR(AG11 = 0, AG11 = 2, AG11 = 4), "", "ex) Zero Rate 5년 -&gt; 연 지급횟수= 0, 만기= 5 // CD91일 -&gt; 연 지급횟수= 4, 만기= 0.25")</f>
        <v/>
      </c>
      <c r="AJ13" s="161"/>
      <c r="AK13" s="161"/>
      <c r="AL13" s="161"/>
      <c r="AM13" s="161"/>
      <c r="AN13" s="162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87">
        <v>0</v>
      </c>
      <c r="BA13" s="187"/>
    </row>
    <row r="14" spans="1:57" ht="16.2" customHeight="1" x14ac:dyDescent="0.4">
      <c r="A14" s="34">
        <f t="shared" si="1"/>
        <v>14</v>
      </c>
      <c r="B14" s="149"/>
      <c r="C14" s="181" t="str">
        <f>IF($D$7&gt;=1,"Power Spread Flag", "")</f>
        <v>Power Spread Flag</v>
      </c>
      <c r="D14" s="181"/>
      <c r="E14" s="159">
        <v>0</v>
      </c>
      <c r="F14" s="160"/>
      <c r="G14" s="137" t="str">
        <f>IF(E14&gt;0,"PowerSpreadFlag 1일때 입력","입력필요X")</f>
        <v>입력필요X</v>
      </c>
      <c r="H14" s="137"/>
      <c r="I14" s="137" t="str">
        <f>IF(E14&gt;0,"만기1","")</f>
        <v/>
      </c>
      <c r="J14" s="137"/>
      <c r="K14" s="138">
        <v>10</v>
      </c>
      <c r="L14" s="139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92"/>
      <c r="AE14" s="175" t="str">
        <f>IF($AF$7&gt;=1,"Power Spread Flag", "")</f>
        <v>Power Spread Flag</v>
      </c>
      <c r="AF14" s="175"/>
      <c r="AG14" s="159">
        <v>0</v>
      </c>
      <c r="AH14" s="159"/>
      <c r="AI14" s="176" t="str">
        <f>IF(AG14&gt;0,"PowerSpreadFlag 1일때 입력","입력필요X")</f>
        <v>입력필요X</v>
      </c>
      <c r="AJ14" s="176"/>
      <c r="AK14" s="176" t="str">
        <f>IF(AG14&gt;0,"만기1","")</f>
        <v/>
      </c>
      <c r="AL14" s="176"/>
      <c r="AM14" s="138">
        <v>10</v>
      </c>
      <c r="AN14" s="139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9" t="str">
        <f>IF($D$7&gt;0, "사용", "커브개수"&amp;"="&amp;$D$7&amp;"이므로 사용안함")</f>
        <v>사용</v>
      </c>
      <c r="C15" s="181" t="str">
        <f>IF($D$7&gt;=1,"기초금리 Range상한", "")</f>
        <v>기초금리 Range상한</v>
      </c>
      <c r="D15" s="181"/>
      <c r="E15" s="184">
        <v>10</v>
      </c>
      <c r="F15" s="188"/>
      <c r="G15" s="137"/>
      <c r="H15" s="137"/>
      <c r="I15" s="137" t="str">
        <f>IF(E14&gt;0,"만기2","")</f>
        <v/>
      </c>
      <c r="J15" s="137"/>
      <c r="K15" s="138">
        <v>5</v>
      </c>
      <c r="L15" s="139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92" t="str">
        <f>IF($AF$7&gt;0, "사용", "커브개수"&amp;"="&amp;$AF$7&amp;"이므로 사용안함")</f>
        <v>사용</v>
      </c>
      <c r="AE15" s="175" t="str">
        <f>IF($AF$7&gt;=1,"기초금리 Range상한", "")</f>
        <v>기초금리 Range상한</v>
      </c>
      <c r="AF15" s="175"/>
      <c r="AG15" s="184">
        <v>10</v>
      </c>
      <c r="AH15" s="184"/>
      <c r="AI15" s="176"/>
      <c r="AJ15" s="176"/>
      <c r="AK15" s="176" t="str">
        <f>IF(AG14&gt;0,"만기2","")</f>
        <v/>
      </c>
      <c r="AL15" s="176"/>
      <c r="AM15" s="138">
        <v>5</v>
      </c>
      <c r="AN15" s="139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9"/>
      <c r="C16" s="181" t="str">
        <f>IF($D$7&gt;=1,"기초금리 Range하한", "")</f>
        <v>기초금리 Range하한</v>
      </c>
      <c r="D16" s="146"/>
      <c r="E16" s="183">
        <v>-1</v>
      </c>
      <c r="F16" s="189"/>
      <c r="G16" s="185"/>
      <c r="H16" s="185"/>
      <c r="I16" s="155" t="str">
        <f>IF(E14&gt;0,"Spread1","")</f>
        <v/>
      </c>
      <c r="J16" s="155"/>
      <c r="K16" s="156" t="str">
        <f>IF(E14&gt;0, I14&amp;"-"&amp;I15, "")</f>
        <v/>
      </c>
      <c r="L16" s="157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92"/>
      <c r="AE16" s="175" t="str">
        <f>IF($AF$7&gt;=1,"기초금리 Range하한", "")</f>
        <v>기초금리 Range하한</v>
      </c>
      <c r="AF16" s="177"/>
      <c r="AG16" s="183">
        <v>-1</v>
      </c>
      <c r="AH16" s="183"/>
      <c r="AI16" s="196"/>
      <c r="AJ16" s="196"/>
      <c r="AK16" s="193" t="str">
        <f>IF(AG14&gt;0,"Spread1","")</f>
        <v/>
      </c>
      <c r="AL16" s="193"/>
      <c r="AM16" s="194" t="str">
        <f>IF(AG14&gt;0, AK14&amp;"-"&amp;AK15, "")</f>
        <v/>
      </c>
      <c r="AN16" s="195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2" t="str">
        <f>IF($D$7&gt;=1,"Payoff조건Multiple", "")</f>
        <v>Payoff조건Multiple</v>
      </c>
      <c r="D17" s="182"/>
      <c r="E17" s="198">
        <v>1</v>
      </c>
      <c r="F17" s="199"/>
      <c r="G17" s="201" t="str">
        <f>IF(E14&gt;0,"예시) 10년-5년 스왑: 연 지급횟수=4, 만기1=10, 만기2=5","")</f>
        <v/>
      </c>
      <c r="H17" s="201"/>
      <c r="I17" s="201"/>
      <c r="J17" s="201"/>
      <c r="K17" s="201"/>
      <c r="L17" s="202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27" t="str">
        <f>IF($AF$7&gt;=1,"Payoff조건Multiple", "")</f>
        <v>Payoff조건Multiple</v>
      </c>
      <c r="AF17" s="127"/>
      <c r="AG17" s="198">
        <v>1</v>
      </c>
      <c r="AH17" s="198"/>
      <c r="AI17" s="201" t="str">
        <f>IF(AG14&gt;0,"예시) 10년-5년 스왑: 연 지급횟수=4, 만기1=10, 만기2=5","")</f>
        <v/>
      </c>
      <c r="AJ17" s="201"/>
      <c r="AK17" s="201"/>
      <c r="AL17" s="201"/>
      <c r="AM17" s="201"/>
      <c r="AN17" s="202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8" t="str">
        <f>IF(D7&gt;=2,"기초금리2", "")</f>
        <v/>
      </c>
      <c r="C19" s="165" t="str">
        <f>IF($D$7&gt;=2,"커브번호", "")</f>
        <v/>
      </c>
      <c r="D19" s="165"/>
      <c r="E19" s="166">
        <v>2</v>
      </c>
      <c r="F19" s="166"/>
      <c r="G19" s="65"/>
      <c r="H19" s="36"/>
      <c r="I19" s="169" t="str">
        <f>IF(OR(E20 = 0, E20 = 2, E20 = 4), "RefType = "&amp;E20&amp;" 이므로 Ref Swap 금리정보 사용안함", "사용")</f>
        <v>RefType = 0 이므로 Ref Swap 금리정보 사용안함</v>
      </c>
      <c r="J19" s="169"/>
      <c r="K19" s="169"/>
      <c r="L19" s="197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20" t="str">
        <f>IF($AF$7&gt;=2,"기초금리2", "")</f>
        <v/>
      </c>
      <c r="AE19" s="126" t="str">
        <f>IF($AF$7&gt;=2,"커브번호", "")</f>
        <v/>
      </c>
      <c r="AF19" s="126"/>
      <c r="AG19" s="166">
        <v>2</v>
      </c>
      <c r="AH19" s="166"/>
      <c r="AI19" s="65"/>
      <c r="AJ19" s="36"/>
      <c r="AK19" s="190" t="str">
        <f>IF(OR(AG20 = 0, AG20 = 2, AG20 = 4), "RefType = "&amp;AG20&amp;" 이므로 Ref Swap 금리정보 사용안함", "사용")</f>
        <v>RefType = 0 이므로 Ref Swap 금리정보 사용안함</v>
      </c>
      <c r="AL19" s="190"/>
      <c r="AM19" s="190"/>
      <c r="AN19" s="191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9"/>
      <c r="C20" s="146" t="str">
        <f>IF($D$7&gt;=2,"Reference Rate Type", "")</f>
        <v/>
      </c>
      <c r="D20" s="147"/>
      <c r="E20" s="158">
        <v>0</v>
      </c>
      <c r="F20" s="158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42">
        <v>4</v>
      </c>
      <c r="L20" s="143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92"/>
      <c r="AE20" s="177" t="str">
        <f>IF($AF$7&gt;=2,"Reference Rate Type", "")</f>
        <v/>
      </c>
      <c r="AF20" s="178"/>
      <c r="AG20" s="158">
        <v>0</v>
      </c>
      <c r="AH20" s="158"/>
      <c r="AI20" s="179" t="str">
        <f>IF(OR(AG20 = 0, AG20 = 2, AG20 = 4), "", "Zero/Swap 레퍼런스금리정보")</f>
        <v/>
      </c>
      <c r="AJ20" s="179"/>
      <c r="AK20" s="179" t="str">
        <f>IF(OR(AG20 = 0, AG20 = 2, AG20 = 4), "", "연 지급횟수")</f>
        <v/>
      </c>
      <c r="AL20" s="180"/>
      <c r="AM20" s="142">
        <v>4</v>
      </c>
      <c r="AN20" s="143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9"/>
      <c r="C21" s="146" t="str">
        <f>IF($D$7&gt;=2,"DayCount", "")</f>
        <v/>
      </c>
      <c r="D21" s="146"/>
      <c r="E21" s="159">
        <v>0</v>
      </c>
      <c r="F21" s="159"/>
      <c r="G21" s="140"/>
      <c r="H21" s="140"/>
      <c r="I21" s="140" t="str">
        <f>IF(OR(E20 = 0, E20 = 2, E20 = 4,E23=1), "", "만기")</f>
        <v/>
      </c>
      <c r="J21" s="141"/>
      <c r="K21" s="144">
        <v>1</v>
      </c>
      <c r="L21" s="145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92"/>
      <c r="AE21" s="177" t="str">
        <f>IF($AF$7&gt;=2,"DayCount", "")</f>
        <v/>
      </c>
      <c r="AF21" s="177"/>
      <c r="AG21" s="159">
        <v>0</v>
      </c>
      <c r="AH21" s="159"/>
      <c r="AI21" s="179"/>
      <c r="AJ21" s="179"/>
      <c r="AK21" s="140" t="str">
        <f>IF(OR(AG20 = 0, AG20 = 2, AG20 = 4,AG23=1), "", "만기")</f>
        <v/>
      </c>
      <c r="AL21" s="141"/>
      <c r="AM21" s="144">
        <v>5</v>
      </c>
      <c r="AN21" s="145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9"/>
      <c r="C22" s="146" t="str">
        <f>IF($D$7&gt;=2,"금리결정조건Multiple", "")</f>
        <v/>
      </c>
      <c r="D22" s="147"/>
      <c r="E22" s="136">
        <v>1</v>
      </c>
      <c r="F22" s="136"/>
      <c r="G22" s="161" t="str">
        <f>IF(OR(E20 = 0, E20 = 2, E20 = 4), "", "ex) Zero Rate 5년 -&gt; 연 지급횟수= 0, 만기= 5 // CD91일 -&gt; 연 지급횟수= 4, 만기= 0.25")</f>
        <v/>
      </c>
      <c r="H22" s="161"/>
      <c r="I22" s="161"/>
      <c r="J22" s="161"/>
      <c r="K22" s="161"/>
      <c r="L22" s="162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92"/>
      <c r="AE22" s="177" t="str">
        <f>IF($AF$7&gt;=2,"금리결정조건Multiple", "")</f>
        <v/>
      </c>
      <c r="AF22" s="178"/>
      <c r="AG22" s="136">
        <v>1</v>
      </c>
      <c r="AH22" s="136"/>
      <c r="AI22" s="161" t="str">
        <f>IF(OR(AG20 = 0, AG20 = 2, AG20 = 4), "", "ex) Zero Rate 5년 -&gt; 연 지급횟수= 0, 만기= 5 // CD91일 -&gt; 연 지급횟수= 4, 만기= 0.25")</f>
        <v/>
      </c>
      <c r="AJ22" s="161"/>
      <c r="AK22" s="161"/>
      <c r="AL22" s="161"/>
      <c r="AM22" s="161"/>
      <c r="AN22" s="162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9"/>
      <c r="C23" s="181" t="str">
        <f>IF($D$7&gt;=2,"Power Spread Flag", "")</f>
        <v/>
      </c>
      <c r="D23" s="181"/>
      <c r="E23" s="159">
        <v>0</v>
      </c>
      <c r="F23" s="159"/>
      <c r="G23" s="137" t="str">
        <f>IF(E23&gt;0,"PowerSpreadFlag 1일때 입력","입력필요X")</f>
        <v>입력필요X</v>
      </c>
      <c r="H23" s="137"/>
      <c r="I23" s="137" t="str">
        <f>IF(E23&gt;0,"만기1","")</f>
        <v/>
      </c>
      <c r="J23" s="137"/>
      <c r="K23" s="138">
        <v>10</v>
      </c>
      <c r="L23" s="139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92"/>
      <c r="AE23" s="175" t="str">
        <f>IF($AF$7&gt;=2,"Power Spread Flag", "")</f>
        <v/>
      </c>
      <c r="AF23" s="175"/>
      <c r="AG23" s="159">
        <v>0</v>
      </c>
      <c r="AH23" s="159"/>
      <c r="AI23" s="176" t="str">
        <f>IF(AG23&gt;0,"PowerSpreadFlag 1일때 입력","입력필요X")</f>
        <v>입력필요X</v>
      </c>
      <c r="AJ23" s="176"/>
      <c r="AK23" s="176" t="str">
        <f>IF(AG23&gt;0,"만기1","")</f>
        <v/>
      </c>
      <c r="AL23" s="176"/>
      <c r="AM23" s="138">
        <v>10</v>
      </c>
      <c r="AN23" s="139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9" t="str">
        <f>IF($D$7&gt;1, "사용", "커브개수"&amp;"="&amp;$D$7&amp;"이므로 사용안함")</f>
        <v>커브개수=1이므로 사용안함</v>
      </c>
      <c r="C24" s="181" t="str">
        <f>IF($D$7&gt;=2,"기초금리 Range상한", "")</f>
        <v/>
      </c>
      <c r="D24" s="181"/>
      <c r="E24" s="184">
        <v>10</v>
      </c>
      <c r="F24" s="184"/>
      <c r="G24" s="137"/>
      <c r="H24" s="137"/>
      <c r="I24" s="137" t="str">
        <f>IF(E23&gt;0,"만기2","")</f>
        <v/>
      </c>
      <c r="J24" s="137"/>
      <c r="K24" s="138">
        <v>5</v>
      </c>
      <c r="L24" s="139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92" t="str">
        <f>IF($AF$7&gt;1, "사용", "커브개수"&amp;"="&amp;$AF$7&amp;"이므로 사용안함")</f>
        <v>커브개수=1이므로 사용안함</v>
      </c>
      <c r="AE24" s="175" t="str">
        <f>IF($AF$7&gt;=2,"기초금리 Range상한", "")</f>
        <v/>
      </c>
      <c r="AF24" s="175"/>
      <c r="AG24" s="184">
        <v>0.5</v>
      </c>
      <c r="AH24" s="184"/>
      <c r="AI24" s="176"/>
      <c r="AJ24" s="176"/>
      <c r="AK24" s="176" t="str">
        <f>IF(AG23&gt;0,"만기2","")</f>
        <v/>
      </c>
      <c r="AL24" s="176"/>
      <c r="AM24" s="138">
        <v>5</v>
      </c>
      <c r="AN24" s="139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9"/>
      <c r="C25" s="181" t="str">
        <f>IF($D$7&gt;=2,"기초금리 Range하한", "")</f>
        <v/>
      </c>
      <c r="D25" s="146"/>
      <c r="E25" s="183">
        <v>-1</v>
      </c>
      <c r="F25" s="183"/>
      <c r="G25" s="185"/>
      <c r="H25" s="185"/>
      <c r="I25" s="155" t="str">
        <f>IF(E23&gt;0,"Spread1","")</f>
        <v/>
      </c>
      <c r="J25" s="155"/>
      <c r="K25" s="156" t="str">
        <f>IF(E23&gt;0, I23&amp;"-"&amp;I24, "")</f>
        <v/>
      </c>
      <c r="L25" s="157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92"/>
      <c r="AE25" s="175" t="str">
        <f>IF($AF$7&gt;=2,"기초금리 Range하한", "")</f>
        <v/>
      </c>
      <c r="AF25" s="177"/>
      <c r="AG25" s="183">
        <v>-0.1</v>
      </c>
      <c r="AH25" s="183"/>
      <c r="AI25" s="196"/>
      <c r="AJ25" s="196"/>
      <c r="AK25" s="193" t="str">
        <f>IF(AG23&gt;0,"Spread1","")</f>
        <v/>
      </c>
      <c r="AL25" s="193"/>
      <c r="AM25" s="194" t="str">
        <f>IF(AG23&gt;0, AK23&amp;"-"&amp;AK24, "")</f>
        <v/>
      </c>
      <c r="AN25" s="195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2" t="str">
        <f>IF($D$7&gt;=2,"Payoff조건Multiple", "")</f>
        <v/>
      </c>
      <c r="D26" s="182"/>
      <c r="E26" s="198">
        <v>0</v>
      </c>
      <c r="F26" s="198"/>
      <c r="G26" s="201" t="str">
        <f>IF(E23&gt;0,"예시) 10년-5년 스왑: 연 지급횟수=4, 만기1=10, 만기2=5","")</f>
        <v/>
      </c>
      <c r="H26" s="201"/>
      <c r="I26" s="201"/>
      <c r="J26" s="201"/>
      <c r="K26" s="201"/>
      <c r="L26" s="202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27" t="str">
        <f>IF($AF$7&gt;=2,"Payoff조건Multiple", "")</f>
        <v/>
      </c>
      <c r="AF26" s="127"/>
      <c r="AG26" s="198">
        <v>0</v>
      </c>
      <c r="AH26" s="198"/>
      <c r="AI26" s="201" t="str">
        <f>IF(AG23&gt;0,"예시) 10년-5년 스왑: 연 지급횟수=4, 만기1=10, 만기2=5","")</f>
        <v/>
      </c>
      <c r="AJ26" s="201"/>
      <c r="AK26" s="201"/>
      <c r="AL26" s="201"/>
      <c r="AM26" s="201"/>
      <c r="AN26" s="202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8" t="str">
        <f>IF($D$7&gt;=3,"기초금리3", "")</f>
        <v/>
      </c>
      <c r="C28" s="165" t="str">
        <f>IF($D$7&gt;=3,"커브번호", "")</f>
        <v/>
      </c>
      <c r="D28" s="165"/>
      <c r="E28" s="166">
        <v>3</v>
      </c>
      <c r="F28" s="166"/>
      <c r="G28" s="65"/>
      <c r="H28" s="36"/>
      <c r="I28" s="169" t="str">
        <f>IF(OR(E29 = 0, E29 = 2, E29 = 4), "RefType = "&amp;E29&amp;" 이므로 Ref Swap 금리정보 사용안함", "사용")</f>
        <v>RefType = 0 이므로 Ref Swap 금리정보 사용안함</v>
      </c>
      <c r="J28" s="169"/>
      <c r="K28" s="169"/>
      <c r="L28" s="197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20" t="str">
        <f>IF($AF$7&gt;=3,"기초금리3", "")</f>
        <v/>
      </c>
      <c r="AE28" s="126" t="str">
        <f>IF($AF$7&gt;=3,"커브번호", "")</f>
        <v/>
      </c>
      <c r="AF28" s="126"/>
      <c r="AG28" s="166">
        <v>3</v>
      </c>
      <c r="AH28" s="166"/>
      <c r="AI28" s="65"/>
      <c r="AJ28" s="36"/>
      <c r="AK28" s="190" t="str">
        <f>IF(OR(AG29 = 0, AG29 = 2, AG29 = 4), "RefType = "&amp;AG29&amp;" 이므로 Ref Swap 금리정보 사용안함", "사용")</f>
        <v>RefType = 0 이므로 Ref Swap 금리정보 사용안함</v>
      </c>
      <c r="AL28" s="190"/>
      <c r="AM28" s="190"/>
      <c r="AN28" s="191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9"/>
      <c r="C29" s="146" t="str">
        <f>IF($D$7&gt;=3,"Reference Rate Type", "")</f>
        <v/>
      </c>
      <c r="D29" s="147"/>
      <c r="E29" s="158">
        <v>0</v>
      </c>
      <c r="F29" s="158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42">
        <v>4</v>
      </c>
      <c r="L29" s="143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92"/>
      <c r="AE29" s="177" t="str">
        <f>IF($AF$7&gt;=3,"Reference Rate Type", "")</f>
        <v/>
      </c>
      <c r="AF29" s="178"/>
      <c r="AG29" s="158">
        <v>0</v>
      </c>
      <c r="AH29" s="158"/>
      <c r="AI29" s="179" t="str">
        <f>IF(OR(AG29 = 0, AG29 = 2, AG29 = 4), "", "Zero/Swap 레퍼런스금리정보")</f>
        <v/>
      </c>
      <c r="AJ29" s="179"/>
      <c r="AK29" s="179" t="str">
        <f>IF(OR(AG29 = 0, AG29 = 2, AG29 = 4), "", "연 지급횟수")</f>
        <v/>
      </c>
      <c r="AL29" s="180"/>
      <c r="AM29" s="142">
        <v>4</v>
      </c>
      <c r="AN29" s="143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9"/>
      <c r="C30" s="146" t="str">
        <f>IF($D$7&gt;=3,"DayCount", "")</f>
        <v/>
      </c>
      <c r="D30" s="146"/>
      <c r="E30" s="159">
        <v>0</v>
      </c>
      <c r="F30" s="159"/>
      <c r="G30" s="140"/>
      <c r="H30" s="140"/>
      <c r="I30" s="140" t="str">
        <f>IF(OR(E29 = 0, E29 = 2, E29 = 4,E32=1), "", "만기")</f>
        <v/>
      </c>
      <c r="J30" s="141"/>
      <c r="K30" s="144">
        <v>5</v>
      </c>
      <c r="L30" s="145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92"/>
      <c r="AE30" s="177" t="str">
        <f>IF($AF$7&gt;=3,"DayCount", "")</f>
        <v/>
      </c>
      <c r="AF30" s="177"/>
      <c r="AG30" s="159">
        <v>0</v>
      </c>
      <c r="AH30" s="159"/>
      <c r="AI30" s="179"/>
      <c r="AJ30" s="179"/>
      <c r="AK30" s="140" t="str">
        <f>IF(OR(AG29 = 0, AG29 = 2, AG29 = 4,AG32=1), "", "만기")</f>
        <v/>
      </c>
      <c r="AL30" s="141"/>
      <c r="AM30" s="144">
        <v>5</v>
      </c>
      <c r="AN30" s="145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9"/>
      <c r="C31" s="146" t="str">
        <f>IF($D$7&gt;=3,"금리결정조건Multiple", "")</f>
        <v/>
      </c>
      <c r="D31" s="147"/>
      <c r="E31" s="136">
        <v>1</v>
      </c>
      <c r="F31" s="136"/>
      <c r="G31" s="161" t="str">
        <f>IF(OR(E29 = 0, E29 = 2, E29 = 4), "", "ex) Zero Rate 5년 -&gt; 연 지급횟수= 0, 만기= 5 // CD91일 -&gt; 연 지급횟수= 4, 만기= 0.25")</f>
        <v/>
      </c>
      <c r="H31" s="161"/>
      <c r="I31" s="161"/>
      <c r="J31" s="161"/>
      <c r="K31" s="161"/>
      <c r="L31" s="162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92"/>
      <c r="AE31" s="177" t="str">
        <f>IF($AF$7&gt;=3,"금리결정조건Multiple", "")</f>
        <v/>
      </c>
      <c r="AF31" s="178"/>
      <c r="AG31" s="136">
        <v>1</v>
      </c>
      <c r="AH31" s="136"/>
      <c r="AI31" s="161" t="str">
        <f>IF(OR(AG29 = 0, AG29 = 2, AG29 = 4), "", "ex) Zero Rate 5년 -&gt; 연 지급횟수= 0, 만기= 5 // CD91일 -&gt; 연 지급횟수= 4, 만기= 0.25")</f>
        <v/>
      </c>
      <c r="AJ31" s="161"/>
      <c r="AK31" s="161"/>
      <c r="AL31" s="161"/>
      <c r="AM31" s="161"/>
      <c r="AN31" s="162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9"/>
      <c r="C32" s="181" t="str">
        <f>IF($D$7&gt;=3,"Power Spread Flag", "")</f>
        <v/>
      </c>
      <c r="D32" s="181"/>
      <c r="E32" s="159">
        <v>0</v>
      </c>
      <c r="F32" s="159"/>
      <c r="G32" s="137" t="str">
        <f>IF(E32&gt;0,"PowerSpreadFlag 1일때 입력","입력필요X")</f>
        <v>입력필요X</v>
      </c>
      <c r="H32" s="137"/>
      <c r="I32" s="137" t="str">
        <f>IF(E32&gt;0,"만기1","")</f>
        <v/>
      </c>
      <c r="J32" s="137"/>
      <c r="K32" s="138">
        <v>10</v>
      </c>
      <c r="L32" s="139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92"/>
      <c r="AE32" s="175" t="str">
        <f>IF($AF$7&gt;=3,"Power Spread Flag", "")</f>
        <v/>
      </c>
      <c r="AF32" s="175"/>
      <c r="AG32" s="159">
        <v>0</v>
      </c>
      <c r="AH32" s="159"/>
      <c r="AI32" s="176" t="str">
        <f>IF(AG32&gt;0,"PowerSpreadFlag 1일때 입력","입력필요X")</f>
        <v>입력필요X</v>
      </c>
      <c r="AJ32" s="176"/>
      <c r="AK32" s="176" t="str">
        <f>IF(AG32&gt;0,"만기1","")</f>
        <v/>
      </c>
      <c r="AL32" s="176"/>
      <c r="AM32" s="138">
        <v>10</v>
      </c>
      <c r="AN32" s="139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9" t="str">
        <f>IF($D$7&gt;2, "사용", "커브개수"&amp;"="&amp;$D$7&amp;"이므로 사용안함")</f>
        <v>커브개수=1이므로 사용안함</v>
      </c>
      <c r="C33" s="181" t="str">
        <f>IF($D$7&gt;=3,"기초금리 Range상한", "")</f>
        <v/>
      </c>
      <c r="D33" s="181"/>
      <c r="E33" s="184">
        <v>0.5</v>
      </c>
      <c r="F33" s="184"/>
      <c r="G33" s="137"/>
      <c r="H33" s="137"/>
      <c r="I33" s="137" t="str">
        <f>IF(E32&gt;0,"만기2","")</f>
        <v/>
      </c>
      <c r="J33" s="137"/>
      <c r="K33" s="138">
        <v>5</v>
      </c>
      <c r="L33" s="139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92" t="str">
        <f>IF($AF$7&gt;2, "사용", "커브개수"&amp;"="&amp;$AF$7&amp;"이므로 사용안함")</f>
        <v>커브개수=1이므로 사용안함</v>
      </c>
      <c r="AE33" s="175" t="str">
        <f>IF($AF$7&gt;=3,"기초금리 Range상한", "")</f>
        <v/>
      </c>
      <c r="AF33" s="175"/>
      <c r="AG33" s="184">
        <v>0.5</v>
      </c>
      <c r="AH33" s="184"/>
      <c r="AI33" s="176"/>
      <c r="AJ33" s="176"/>
      <c r="AK33" s="176" t="str">
        <f>IF(AG32&gt;0,"만기2","")</f>
        <v/>
      </c>
      <c r="AL33" s="176"/>
      <c r="AM33" s="138">
        <v>5</v>
      </c>
      <c r="AN33" s="139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9"/>
      <c r="C34" s="181" t="str">
        <f>IF($D$7&gt;=3,"기초금리 Range하한", "")</f>
        <v/>
      </c>
      <c r="D34" s="146"/>
      <c r="E34" s="183">
        <v>-0.1</v>
      </c>
      <c r="F34" s="183"/>
      <c r="G34" s="185"/>
      <c r="H34" s="185"/>
      <c r="I34" s="155" t="str">
        <f>IF(E32&gt;0,"Spread1","")</f>
        <v/>
      </c>
      <c r="J34" s="155"/>
      <c r="K34" s="156" t="str">
        <f>IF(E32&gt;0, I32&amp;"-"&amp;I33, "")</f>
        <v/>
      </c>
      <c r="L34" s="157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92"/>
      <c r="AE34" s="175" t="str">
        <f>IF($AF$7&gt;=3,"기초금리 Range하한", "")</f>
        <v/>
      </c>
      <c r="AF34" s="177"/>
      <c r="AG34" s="183">
        <v>-0.1</v>
      </c>
      <c r="AH34" s="183"/>
      <c r="AI34" s="196"/>
      <c r="AJ34" s="196"/>
      <c r="AK34" s="193" t="str">
        <f>IF(AG32&gt;0,"Spread1","")</f>
        <v/>
      </c>
      <c r="AL34" s="193"/>
      <c r="AM34" s="194" t="str">
        <f>IF(AG32&gt;0, AK32&amp;"-"&amp;AK33, "")</f>
        <v/>
      </c>
      <c r="AN34" s="195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2" t="str">
        <f>IF($D$7&gt;=3,"Payoff조건Multiple", "")</f>
        <v/>
      </c>
      <c r="D35" s="182"/>
      <c r="E35" s="198">
        <v>0</v>
      </c>
      <c r="F35" s="198"/>
      <c r="G35" s="201" t="str">
        <f>IF(E32&gt;0,"예시) 10년-5년 스왑: 연 지급횟수=4, 만기1=10, 만기2=5","")</f>
        <v/>
      </c>
      <c r="H35" s="201"/>
      <c r="I35" s="201"/>
      <c r="J35" s="201"/>
      <c r="K35" s="201"/>
      <c r="L35" s="202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27" t="str">
        <f>IF($AF$7&gt;=3,"Payoff조건Multiple", "")</f>
        <v/>
      </c>
      <c r="AF35" s="127"/>
      <c r="AG35" s="198">
        <v>0</v>
      </c>
      <c r="AH35" s="198"/>
      <c r="AI35" s="201" t="str">
        <f>IF(AG32&gt;0,"예시) 10년-5년 스왑: 연 지급횟수=4, 만기1=10, 만기2=5","")</f>
        <v/>
      </c>
      <c r="AJ35" s="201"/>
      <c r="AK35" s="201"/>
      <c r="AL35" s="201"/>
      <c r="AM35" s="201"/>
      <c r="AN35" s="202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1" t="s">
        <v>93</v>
      </c>
      <c r="C37" s="126" t="s">
        <v>33</v>
      </c>
      <c r="D37" s="126"/>
      <c r="E37" s="128">
        <v>1</v>
      </c>
      <c r="F37" s="129"/>
      <c r="G37" s="35"/>
      <c r="H37" s="120" t="s">
        <v>48</v>
      </c>
      <c r="I37" s="121"/>
      <c r="J37" s="122">
        <v>0</v>
      </c>
      <c r="K37" s="122"/>
      <c r="L37" s="123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21" t="s">
        <v>93</v>
      </c>
      <c r="AE37" s="126" t="s">
        <v>33</v>
      </c>
      <c r="AF37" s="126"/>
      <c r="AG37" s="128">
        <v>1</v>
      </c>
      <c r="AH37" s="129"/>
      <c r="AJ37" s="120" t="s">
        <v>48</v>
      </c>
      <c r="AK37" s="121"/>
      <c r="AL37" s="122">
        <v>0</v>
      </c>
      <c r="AM37" s="122"/>
      <c r="AN37" s="123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4"/>
      <c r="C38" s="127"/>
      <c r="D38" s="127"/>
      <c r="E38" s="130"/>
      <c r="F38" s="131"/>
      <c r="G38" s="35"/>
      <c r="H38" s="111" t="s">
        <v>49</v>
      </c>
      <c r="I38" s="112"/>
      <c r="J38" s="112"/>
      <c r="K38" s="112"/>
      <c r="L38" s="113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24"/>
      <c r="AE38" s="127"/>
      <c r="AF38" s="127"/>
      <c r="AG38" s="130"/>
      <c r="AH38" s="131"/>
      <c r="AJ38" s="111" t="s">
        <v>49</v>
      </c>
      <c r="AK38" s="112"/>
      <c r="AL38" s="112"/>
      <c r="AM38" s="112"/>
      <c r="AN38" s="113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4"/>
      <c r="C39" s="125"/>
      <c r="D39" s="125"/>
      <c r="E39" s="125"/>
      <c r="F39" s="125"/>
      <c r="G39" s="35"/>
      <c r="H39" s="11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8"/>
      <c r="J39" s="118"/>
      <c r="K39" s="118"/>
      <c r="L39" s="119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24"/>
      <c r="AE39" s="125"/>
      <c r="AF39" s="125"/>
      <c r="AG39" s="125"/>
      <c r="AH39" s="125"/>
      <c r="AJ39" s="11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5"/>
      <c r="AL39" s="115"/>
      <c r="AM39" s="115"/>
      <c r="AN39" s="116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0" t="s">
        <v>89</v>
      </c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topLeftCell="A4" zoomScale="70" zoomScaleNormal="70" workbookViewId="0">
      <selection activeCell="K16" sqref="K16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110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7" t="s">
        <v>73</v>
      </c>
      <c r="H4" s="208"/>
      <c r="I4" s="209">
        <v>2086.2444923792077</v>
      </c>
      <c r="J4" s="210"/>
      <c r="K4" s="13"/>
      <c r="L4" s="63">
        <v>45182.004224537035</v>
      </c>
      <c r="M4" s="1" t="s">
        <v>5</v>
      </c>
      <c r="N4" s="97" t="s">
        <v>6</v>
      </c>
      <c r="O4" s="9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7" t="s">
        <v>74</v>
      </c>
      <c r="H5" s="208"/>
      <c r="I5" s="209">
        <v>2399.3274220660282</v>
      </c>
      <c r="J5" s="210"/>
      <c r="K5" s="13"/>
      <c r="L5" s="63">
        <v>45182.004236111112</v>
      </c>
      <c r="M5" s="13"/>
      <c r="N5" s="97"/>
      <c r="O5" s="9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114</v>
      </c>
      <c r="C6" s="204"/>
      <c r="D6" s="205">
        <v>0</v>
      </c>
      <c r="E6" s="205"/>
      <c r="F6" s="13"/>
      <c r="G6" s="207" t="s">
        <v>105</v>
      </c>
      <c r="H6" s="208"/>
      <c r="I6" s="209">
        <v>279.34805446441669</v>
      </c>
      <c r="J6" s="210"/>
      <c r="K6" s="60"/>
      <c r="L6" s="23"/>
      <c r="M6" s="13"/>
      <c r="N6" s="97"/>
      <c r="O6" s="9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7" t="s">
        <v>88</v>
      </c>
      <c r="H7" s="208"/>
      <c r="I7" s="209">
        <v>592.43098415123723</v>
      </c>
      <c r="J7" s="210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6" t="s">
        <v>61</v>
      </c>
      <c r="C10" s="206"/>
      <c r="D10" s="206"/>
      <c r="E10" s="206"/>
      <c r="F10" s="206"/>
      <c r="G10" s="206"/>
      <c r="H10" s="206"/>
      <c r="I10" s="206" t="s">
        <v>64</v>
      </c>
      <c r="J10" s="206"/>
      <c r="K10" s="206"/>
      <c r="L10" s="206"/>
      <c r="M10" s="206"/>
      <c r="N10" s="206"/>
      <c r="O10" s="206"/>
      <c r="P10" s="13"/>
      <c r="Q10" s="206" t="s">
        <v>97</v>
      </c>
      <c r="R10" s="206"/>
      <c r="S10" s="13"/>
      <c r="T10" s="13"/>
      <c r="U10" s="206" t="s">
        <v>98</v>
      </c>
      <c r="V10" s="206"/>
      <c r="W10" s="13"/>
      <c r="Y10" s="206" t="s">
        <v>99</v>
      </c>
      <c r="Z10" s="206"/>
      <c r="AA10" s="13"/>
      <c r="AB10" s="13"/>
      <c r="AC10" s="206" t="s">
        <v>100</v>
      </c>
      <c r="AD10" s="206"/>
      <c r="AE10" s="13"/>
      <c r="AF10" s="13"/>
      <c r="AG10" s="206" t="s">
        <v>101</v>
      </c>
      <c r="AH10" s="206"/>
      <c r="AI10" s="13"/>
      <c r="AJ10" s="13"/>
      <c r="AK10" s="206" t="s">
        <v>102</v>
      </c>
      <c r="AL10" s="206"/>
      <c r="AM10" s="13"/>
      <c r="AN10" s="13"/>
      <c r="AO10" s="206" t="s">
        <v>103</v>
      </c>
      <c r="AP10" s="206"/>
      <c r="AQ10" s="13"/>
      <c r="AR10" s="13"/>
      <c r="AS10" s="206" t="s">
        <v>104</v>
      </c>
      <c r="AT10" s="206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0.99999999999990619</v>
      </c>
      <c r="I12" s="86">
        <v>20180611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0.99999999999990619</v>
      </c>
      <c r="I13" s="86">
        <v>20180911</v>
      </c>
      <c r="J13" s="49">
        <v>0</v>
      </c>
      <c r="M13" s="50"/>
      <c r="N13" s="51">
        <v>0</v>
      </c>
      <c r="O13" s="51">
        <v>0.99999999999990619</v>
      </c>
      <c r="P13" s="13"/>
      <c r="Q13" s="206" t="s">
        <v>96</v>
      </c>
      <c r="R13" s="206"/>
      <c r="S13" s="66"/>
      <c r="T13" s="13"/>
      <c r="U13" s="206" t="s">
        <v>96</v>
      </c>
      <c r="V13" s="206"/>
      <c r="W13" s="66"/>
      <c r="Y13" s="206" t="s">
        <v>96</v>
      </c>
      <c r="Z13" s="206"/>
      <c r="AA13" s="66"/>
      <c r="AB13" s="13"/>
      <c r="AC13" s="206" t="s">
        <v>96</v>
      </c>
      <c r="AD13" s="206"/>
      <c r="AE13" s="66"/>
      <c r="AF13" s="13"/>
      <c r="AG13" s="206" t="s">
        <v>96</v>
      </c>
      <c r="AH13" s="206"/>
      <c r="AI13" s="66"/>
      <c r="AJ13" s="13"/>
      <c r="AK13" s="206" t="s">
        <v>96</v>
      </c>
      <c r="AL13" s="206"/>
      <c r="AM13" s="66"/>
      <c r="AN13" s="13"/>
      <c r="AO13" s="206" t="s">
        <v>96</v>
      </c>
      <c r="AP13" s="206"/>
      <c r="AQ13" s="66"/>
      <c r="AR13" s="13"/>
      <c r="AS13" s="206" t="s">
        <v>96</v>
      </c>
      <c r="AT13" s="206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0.99999999999990619</v>
      </c>
      <c r="I14" s="86">
        <v>20181211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0.99999999999990619</v>
      </c>
      <c r="I15" s="86">
        <v>20190311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0.99999999999990619</v>
      </c>
      <c r="I16" s="86">
        <v>20190611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20190911</v>
      </c>
      <c r="C17" s="49">
        <v>0</v>
      </c>
      <c r="F17" s="50"/>
      <c r="G17" s="51">
        <v>0</v>
      </c>
      <c r="H17" s="51">
        <v>0.99999999999990619</v>
      </c>
      <c r="I17" s="86">
        <v>20190911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20191211</v>
      </c>
      <c r="C18" s="49">
        <v>0</v>
      </c>
      <c r="F18" s="50"/>
      <c r="G18" s="51">
        <v>0</v>
      </c>
      <c r="H18" s="51">
        <v>0.99999999999990619</v>
      </c>
      <c r="I18" s="86">
        <v>20191211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20200311</v>
      </c>
      <c r="C19" s="49">
        <v>0</v>
      </c>
      <c r="F19" s="50"/>
      <c r="G19" s="51">
        <v>0</v>
      </c>
      <c r="H19" s="51">
        <v>0.99999999999990619</v>
      </c>
      <c r="I19" s="86">
        <v>20200311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20200611</v>
      </c>
      <c r="C20" s="49">
        <v>0</v>
      </c>
      <c r="F20" s="50"/>
      <c r="G20" s="52">
        <v>0</v>
      </c>
      <c r="H20" s="51">
        <v>0.99999999999990619</v>
      </c>
      <c r="I20" s="86">
        <v>20200611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20200911</v>
      </c>
      <c r="C21" s="49">
        <v>0</v>
      </c>
      <c r="F21" s="50"/>
      <c r="G21" s="52">
        <v>0</v>
      </c>
      <c r="H21" s="51">
        <v>0.99999999999990619</v>
      </c>
      <c r="I21" s="86">
        <v>20200911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20201211</v>
      </c>
      <c r="C22" s="49">
        <v>0</v>
      </c>
      <c r="F22" s="50"/>
      <c r="G22" s="52">
        <v>0</v>
      </c>
      <c r="H22" s="51">
        <v>0.99999999999990619</v>
      </c>
      <c r="I22" s="86">
        <v>20201211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20210311</v>
      </c>
      <c r="C23" s="49">
        <v>0</v>
      </c>
      <c r="F23" s="50"/>
      <c r="G23" s="52">
        <v>0</v>
      </c>
      <c r="H23" s="51">
        <v>0.99999999999990619</v>
      </c>
      <c r="I23" s="86">
        <v>20210311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20210611</v>
      </c>
      <c r="C24" s="49">
        <v>0</v>
      </c>
      <c r="F24" s="50"/>
      <c r="G24" s="52">
        <v>0</v>
      </c>
      <c r="H24" s="51">
        <v>0.99999999999990619</v>
      </c>
      <c r="I24" s="86">
        <v>20210611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20210911</v>
      </c>
      <c r="C25" s="49">
        <v>0</v>
      </c>
      <c r="F25" s="50"/>
      <c r="G25" s="52">
        <v>0</v>
      </c>
      <c r="H25" s="51">
        <v>0.99999999999990619</v>
      </c>
      <c r="I25" s="86">
        <v>20210911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20211211</v>
      </c>
      <c r="C26" s="49">
        <v>0</v>
      </c>
      <c r="F26" s="50"/>
      <c r="G26" s="52">
        <v>0</v>
      </c>
      <c r="H26" s="51">
        <v>0.99999999999990619</v>
      </c>
      <c r="I26" s="86">
        <v>20211211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20220311</v>
      </c>
      <c r="C27" s="49">
        <v>0</v>
      </c>
      <c r="F27" s="50"/>
      <c r="G27" s="52">
        <v>0</v>
      </c>
      <c r="H27" s="51">
        <v>0.99999999999990619</v>
      </c>
      <c r="I27" s="86">
        <v>20220311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20220611</v>
      </c>
      <c r="C28" s="49">
        <v>0</v>
      </c>
      <c r="F28" s="50"/>
      <c r="G28" s="52">
        <v>0</v>
      </c>
      <c r="H28" s="51">
        <v>0.99999999999990619</v>
      </c>
      <c r="I28" s="86">
        <v>20220611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20220911</v>
      </c>
      <c r="C29" s="49">
        <v>0</v>
      </c>
      <c r="F29" s="50"/>
      <c r="G29" s="52">
        <v>0</v>
      </c>
      <c r="H29" s="51">
        <v>0.99999999999990619</v>
      </c>
      <c r="I29" s="86">
        <v>20220911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20221211</v>
      </c>
      <c r="C30" s="49">
        <v>3.0399999999995049E-2</v>
      </c>
      <c r="F30" s="50"/>
      <c r="G30" s="52">
        <v>75.791780821913093</v>
      </c>
      <c r="H30" s="51">
        <v>0.99489502443628153</v>
      </c>
      <c r="I30" s="86">
        <v>20221211</v>
      </c>
      <c r="J30" s="49">
        <v>3.9140000000005316E-2</v>
      </c>
      <c r="M30" s="50"/>
      <c r="N30" s="52">
        <v>102.84999999999435</v>
      </c>
      <c r="O30" s="51">
        <v>0.99489502443628153</v>
      </c>
      <c r="P30" s="92"/>
      <c r="T30" s="13"/>
    </row>
    <row r="31" spans="1:20" x14ac:dyDescent="0.4">
      <c r="A31" s="91"/>
      <c r="B31" s="86">
        <v>20230311</v>
      </c>
      <c r="C31" s="49">
        <v>3.3889002530675144E-2</v>
      </c>
      <c r="F31" s="50"/>
      <c r="G31" s="52">
        <v>83.561924048239874</v>
      </c>
      <c r="H31" s="51">
        <v>0.98664762994459909</v>
      </c>
      <c r="I31" s="86">
        <v>20230311</v>
      </c>
      <c r="J31" s="49">
        <v>4.5450851826881092E-2</v>
      </c>
      <c r="M31" s="50"/>
      <c r="N31" s="52">
        <v>118.62712956720272</v>
      </c>
      <c r="O31" s="51">
        <v>0.98664762994459909</v>
      </c>
      <c r="P31" s="92"/>
      <c r="T31" s="13"/>
    </row>
    <row r="32" spans="1:20" x14ac:dyDescent="0.4">
      <c r="A32" s="91"/>
      <c r="B32" s="86">
        <v>20230611</v>
      </c>
      <c r="C32" s="49">
        <v>3.4972551697589796E-2</v>
      </c>
      <c r="F32" s="50"/>
      <c r="G32" s="52">
        <v>88.14999331995233</v>
      </c>
      <c r="H32" s="51">
        <v>0.97802522899531474</v>
      </c>
      <c r="I32" s="86">
        <v>20230611</v>
      </c>
      <c r="J32" s="49">
        <v>5.002371890138612E-2</v>
      </c>
      <c r="M32" s="50"/>
      <c r="N32" s="52">
        <v>130.0592972534655</v>
      </c>
      <c r="O32" s="51">
        <v>0.97802522899531474</v>
      </c>
      <c r="P32" s="92"/>
      <c r="T32" s="13"/>
    </row>
    <row r="33" spans="1:20" x14ac:dyDescent="0.4">
      <c r="A33" s="91"/>
      <c r="B33" s="86">
        <v>20230911</v>
      </c>
      <c r="C33" s="49">
        <v>3.5767342035853557E-2</v>
      </c>
      <c r="F33" s="50"/>
      <c r="G33" s="52">
        <v>90.153300473931964</v>
      </c>
      <c r="H33" s="51">
        <v>0.96927576157755158</v>
      </c>
      <c r="I33" s="86">
        <v>20230911</v>
      </c>
      <c r="J33" s="49">
        <v>5.2585853985860694E-2</v>
      </c>
      <c r="M33" s="50"/>
      <c r="N33" s="52">
        <v>136.46463496465205</v>
      </c>
      <c r="O33" s="51">
        <v>0.96927576157755158</v>
      </c>
      <c r="P33" s="92"/>
      <c r="T33" s="13"/>
    </row>
    <row r="34" spans="1:20" x14ac:dyDescent="0.4">
      <c r="A34" s="91"/>
      <c r="B34" s="87">
        <v>20231211</v>
      </c>
      <c r="C34" s="49">
        <v>4.3295977961641086E-2</v>
      </c>
      <c r="G34" s="89">
        <v>107.94339710984538</v>
      </c>
      <c r="H34" s="89">
        <v>0.95888476526703526</v>
      </c>
      <c r="I34" s="88">
        <v>20231211</v>
      </c>
      <c r="J34" s="49">
        <v>5.0897687560877508E-2</v>
      </c>
      <c r="N34" s="89">
        <v>132.24421890219318</v>
      </c>
      <c r="O34" s="89">
        <v>0.95888476526703526</v>
      </c>
      <c r="P34" s="93"/>
    </row>
    <row r="35" spans="1:20" x14ac:dyDescent="0.4">
      <c r="A35" s="91"/>
      <c r="B35" s="87">
        <v>20240311</v>
      </c>
      <c r="C35" s="49">
        <v>5.1819223634212964E-2</v>
      </c>
      <c r="G35" s="89">
        <v>129.19313289625794</v>
      </c>
      <c r="H35" s="89">
        <v>0.94662408779680907</v>
      </c>
      <c r="I35" s="88">
        <v>20240311</v>
      </c>
      <c r="J35" s="49">
        <v>4.8175981769645382E-2</v>
      </c>
      <c r="N35" s="89">
        <v>125.43995442411342</v>
      </c>
      <c r="O35" s="89">
        <v>0.94662408779680907</v>
      </c>
      <c r="P35" s="93"/>
    </row>
    <row r="36" spans="1:20" x14ac:dyDescent="0.4">
      <c r="A36" s="91"/>
      <c r="B36" s="87">
        <v>20240611</v>
      </c>
      <c r="C36" s="49">
        <v>5.056015206022494E-2</v>
      </c>
      <c r="G36" s="89">
        <v>127.43928738467696</v>
      </c>
      <c r="H36" s="89">
        <v>0.93469173129237215</v>
      </c>
      <c r="I36" s="88">
        <v>20240611</v>
      </c>
      <c r="J36" s="49">
        <v>4.7964735341291975E-2</v>
      </c>
      <c r="N36" s="89">
        <v>124.91183835322927</v>
      </c>
      <c r="O36" s="89">
        <v>0.93469173129237215</v>
      </c>
      <c r="P36" s="93"/>
    </row>
    <row r="37" spans="1:20" x14ac:dyDescent="0.4">
      <c r="A37" s="91"/>
      <c r="B37" s="87">
        <v>20240911</v>
      </c>
      <c r="C37" s="49">
        <v>4.9397763761595326E-2</v>
      </c>
      <c r="G37" s="89">
        <v>124.50943194703572</v>
      </c>
      <c r="H37" s="89">
        <v>0.92315502621891654</v>
      </c>
      <c r="I37" s="88">
        <v>20240911</v>
      </c>
      <c r="J37" s="49">
        <v>4.7715731028657421E-2</v>
      </c>
      <c r="N37" s="89">
        <v>124.28932757164328</v>
      </c>
      <c r="O37" s="89">
        <v>0.92315502621891654</v>
      </c>
      <c r="P37" s="93"/>
    </row>
    <row r="38" spans="1:20" x14ac:dyDescent="0.4">
      <c r="A38" s="91"/>
      <c r="B38" s="87">
        <v>20241211</v>
      </c>
      <c r="C38" s="49">
        <v>4.5763063802760004E-2</v>
      </c>
      <c r="G38" s="89">
        <v>114.09421386441566</v>
      </c>
      <c r="H38" s="89">
        <v>0.91273305606146171</v>
      </c>
      <c r="I38" s="88">
        <v>20241211</v>
      </c>
      <c r="J38" s="49">
        <v>4.8424007855476583E-2</v>
      </c>
      <c r="N38" s="89">
        <v>126.060019638692</v>
      </c>
      <c r="O38" s="89">
        <v>0.91273305606146171</v>
      </c>
      <c r="P38" s="93"/>
    </row>
    <row r="39" spans="1:20" x14ac:dyDescent="0.4">
      <c r="A39" s="91"/>
      <c r="B39" s="87">
        <v>20250311</v>
      </c>
      <c r="C39" s="49">
        <v>4.2977621828497695E-2</v>
      </c>
      <c r="G39" s="89">
        <v>105.97221820725412</v>
      </c>
      <c r="H39" s="89">
        <v>0.90312177023337303</v>
      </c>
      <c r="I39" s="88">
        <v>20250311</v>
      </c>
      <c r="J39" s="49">
        <v>4.9051106307017305E-2</v>
      </c>
      <c r="N39" s="89">
        <v>127.62776576754291</v>
      </c>
      <c r="O39" s="89">
        <v>0.90312177023337303</v>
      </c>
      <c r="P39" s="93"/>
    </row>
    <row r="40" spans="1:20" x14ac:dyDescent="0.4">
      <c r="A40" s="91"/>
      <c r="B40" s="87">
        <v>20250611</v>
      </c>
      <c r="C40" s="49">
        <v>4.3003897319803093E-2</v>
      </c>
      <c r="G40" s="89">
        <v>108.39338502525626</v>
      </c>
      <c r="H40" s="89">
        <v>0.89340297524919876</v>
      </c>
      <c r="I40" s="88">
        <v>20250611</v>
      </c>
      <c r="J40" s="49">
        <v>4.8989653108797097E-2</v>
      </c>
      <c r="N40" s="89">
        <v>127.47413277199193</v>
      </c>
      <c r="O40" s="89">
        <v>0.89340297524919876</v>
      </c>
      <c r="P40" s="93"/>
    </row>
    <row r="41" spans="1:20" x14ac:dyDescent="0.4">
      <c r="A41" s="91"/>
      <c r="B41" s="87">
        <v>20250911</v>
      </c>
      <c r="C41" s="49">
        <v>4.3091669375936816E-2</v>
      </c>
      <c r="G41" s="89">
        <v>108.61461870099122</v>
      </c>
      <c r="H41" s="89">
        <v>0.88374245067375234</v>
      </c>
      <c r="I41" s="88">
        <v>20250911</v>
      </c>
      <c r="J41" s="49">
        <v>4.906748132558314E-2</v>
      </c>
      <c r="N41" s="89">
        <v>127.66870331395853</v>
      </c>
      <c r="O41" s="89">
        <v>0.88374245067375234</v>
      </c>
      <c r="P41" s="93"/>
    </row>
    <row r="42" spans="1:20" x14ac:dyDescent="0.4">
      <c r="A42" s="91"/>
      <c r="B42" s="87">
        <v>20251211</v>
      </c>
      <c r="C42" s="49">
        <v>4.4671456120440614E-2</v>
      </c>
      <c r="G42" s="89">
        <v>111.37267142356433</v>
      </c>
      <c r="H42" s="89">
        <v>0.87393068784480121</v>
      </c>
      <c r="I42" s="88">
        <v>20251211</v>
      </c>
      <c r="J42" s="49">
        <v>4.7301287061090352E-2</v>
      </c>
      <c r="N42" s="89">
        <v>123.25321765272706</v>
      </c>
      <c r="O42" s="89">
        <v>0.87393068784480121</v>
      </c>
      <c r="P42" s="93"/>
    </row>
    <row r="43" spans="1:20" x14ac:dyDescent="0.4">
      <c r="A43" s="91"/>
      <c r="B43" s="87">
        <v>20260311</v>
      </c>
      <c r="C43" s="49">
        <v>4.5910238629515723E-2</v>
      </c>
      <c r="G43" s="89">
        <v>113.20332812757388</v>
      </c>
      <c r="H43" s="89">
        <v>0.86408948088326532</v>
      </c>
      <c r="I43" s="88">
        <v>20260311</v>
      </c>
      <c r="J43" s="49">
        <v>4.6016318546769186E-2</v>
      </c>
      <c r="N43" s="89">
        <v>120.04079636692271</v>
      </c>
      <c r="O43" s="89">
        <v>0.86408948088326532</v>
      </c>
      <c r="P43" s="93"/>
    </row>
    <row r="44" spans="1:20" x14ac:dyDescent="0.4">
      <c r="A44" s="91"/>
      <c r="B44" s="87">
        <v>20260611</v>
      </c>
      <c r="C44" s="49">
        <v>4.6359446670350281E-2</v>
      </c>
      <c r="G44" s="89">
        <v>116.851208045815</v>
      </c>
      <c r="H44" s="89">
        <v>0.85406235379496231</v>
      </c>
      <c r="I44" s="88">
        <v>20260611</v>
      </c>
      <c r="J44" s="49">
        <v>4.561621838712724E-2</v>
      </c>
      <c r="N44" s="89">
        <v>119.0405459678186</v>
      </c>
      <c r="O44" s="89">
        <v>0.85406235379496231</v>
      </c>
      <c r="P44" s="93"/>
    </row>
    <row r="45" spans="1:20" x14ac:dyDescent="0.4">
      <c r="A45" s="91"/>
      <c r="B45" s="87">
        <v>20260911</v>
      </c>
      <c r="C45" s="49">
        <v>4.6898645066129459E-2</v>
      </c>
      <c r="G45" s="89">
        <v>118.21028345435401</v>
      </c>
      <c r="H45" s="89">
        <v>0.84402796444813988</v>
      </c>
      <c r="I45" s="88">
        <v>20260911</v>
      </c>
      <c r="J45" s="49">
        <v>4.5203172850579322E-2</v>
      </c>
      <c r="N45" s="89">
        <v>118.00793212644761</v>
      </c>
      <c r="O45" s="89">
        <v>0.84402796444813988</v>
      </c>
      <c r="P45" s="93"/>
    </row>
    <row r="46" spans="1:20" x14ac:dyDescent="0.4">
      <c r="A46" s="91"/>
      <c r="B46" s="87">
        <v>20261211</v>
      </c>
      <c r="C46" s="49">
        <v>4.3442194456118091E-2</v>
      </c>
      <c r="G46" s="89">
        <v>108.30793686319872</v>
      </c>
      <c r="H46" s="89">
        <v>0.83495369364253569</v>
      </c>
      <c r="I46" s="88">
        <v>20261211</v>
      </c>
      <c r="J46" s="49">
        <v>4.4910006286226982E-2</v>
      </c>
      <c r="N46" s="89">
        <v>117.27501571556785</v>
      </c>
      <c r="O46" s="89">
        <v>0.83495369364253569</v>
      </c>
      <c r="P46" s="93"/>
    </row>
    <row r="47" spans="1:20" x14ac:dyDescent="0.4">
      <c r="A47" s="91"/>
      <c r="B47" s="87">
        <v>20270311</v>
      </c>
      <c r="C47" s="49">
        <v>4.1176930929934116E-2</v>
      </c>
      <c r="G47" s="89">
        <v>101.53215845737206</v>
      </c>
      <c r="H47" s="89">
        <v>0.82654100473612735</v>
      </c>
      <c r="I47" s="88">
        <v>20270311</v>
      </c>
      <c r="J47" s="49">
        <v>4.4536718467865867E-2</v>
      </c>
      <c r="N47" s="89">
        <v>116.34179616966509</v>
      </c>
      <c r="O47" s="89">
        <v>0.82654100473612735</v>
      </c>
      <c r="P47" s="93"/>
    </row>
    <row r="48" spans="1:20" x14ac:dyDescent="0.4">
      <c r="A48" s="91"/>
      <c r="B48" s="87">
        <v>20270611</v>
      </c>
      <c r="C48" s="49">
        <v>4.1036152619451732E-2</v>
      </c>
      <c r="G48" s="89">
        <v>103.43359016409673</v>
      </c>
      <c r="H48" s="89">
        <v>0.81809778239266295</v>
      </c>
      <c r="I48" s="88">
        <v>20270611</v>
      </c>
      <c r="J48" s="49">
        <v>4.4253002092205548E-2</v>
      </c>
      <c r="N48" s="89">
        <v>115.6325052305137</v>
      </c>
      <c r="O48" s="89">
        <v>0.81809778239266295</v>
      </c>
      <c r="P48" s="93"/>
    </row>
    <row r="49" spans="1:16" x14ac:dyDescent="0.4">
      <c r="A49" s="91"/>
      <c r="B49" s="87">
        <v>20270911</v>
      </c>
      <c r="C49" s="49">
        <v>4.0799241077816781E-2</v>
      </c>
      <c r="G49" s="89">
        <v>102.83644326463468</v>
      </c>
      <c r="H49" s="89">
        <v>0.80981563108735255</v>
      </c>
      <c r="I49" s="88">
        <v>20270911</v>
      </c>
      <c r="J49" s="49">
        <v>4.39073959522139E-2</v>
      </c>
      <c r="N49" s="89">
        <v>114.76848988053459</v>
      </c>
      <c r="O49" s="89">
        <v>0.80981563108735255</v>
      </c>
      <c r="P49" s="93"/>
    </row>
    <row r="50" spans="1:16" x14ac:dyDescent="0.4">
      <c r="A50" s="91"/>
      <c r="B50" s="87">
        <v>20271211</v>
      </c>
      <c r="C50" s="49">
        <v>4.2388769512470899E-2</v>
      </c>
      <c r="G50" s="89">
        <v>105.68158974342079</v>
      </c>
      <c r="H50" s="89">
        <v>0.80139411933140958</v>
      </c>
      <c r="I50" s="88">
        <v>20271211</v>
      </c>
      <c r="J50" s="49">
        <v>4.5651996729244151E-2</v>
      </c>
      <c r="N50" s="89">
        <v>119.12999182311009</v>
      </c>
      <c r="O50" s="89">
        <v>0.80139411933140958</v>
      </c>
      <c r="P50" s="93"/>
    </row>
    <row r="51" spans="1:16" x14ac:dyDescent="0.4">
      <c r="A51" s="91"/>
      <c r="B51" s="87">
        <v>20280311</v>
      </c>
      <c r="C51" s="49">
        <v>4.3408423365582288E-2</v>
      </c>
      <c r="G51" s="89">
        <v>108.2237404456984</v>
      </c>
      <c r="H51" s="89">
        <v>0.79288892789439402</v>
      </c>
      <c r="I51" s="88">
        <v>20280311</v>
      </c>
      <c r="J51" s="49">
        <v>4.6739191725376342E-2</v>
      </c>
      <c r="N51" s="89">
        <v>121.8479793134411</v>
      </c>
      <c r="O51" s="89">
        <v>0.79288892789439402</v>
      </c>
      <c r="P51" s="93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2023-09-12T15:06:07Z</dcterms:modified>
</cp:coreProperties>
</file>