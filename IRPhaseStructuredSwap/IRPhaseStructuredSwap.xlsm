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Q13" i="2"/>
  <c r="AP14" i="2" s="1"/>
  <c r="O13" i="2"/>
  <c r="AR14" i="2" l="1"/>
  <c r="AQ14" i="2"/>
  <c r="AS13" i="2"/>
  <c r="AT13" i="2" s="1"/>
  <c r="N14" i="2"/>
  <c r="Q13" i="2"/>
  <c r="R13" i="2" s="1"/>
  <c r="P13" i="2"/>
  <c r="P14" i="2" l="1"/>
  <c r="O14" i="2"/>
  <c r="AP15" i="2"/>
  <c r="AS14" i="2"/>
  <c r="AT14" i="2" s="1"/>
  <c r="B44" i="2"/>
  <c r="N70" i="1"/>
  <c r="N15" i="2" l="1"/>
  <c r="Q14" i="2"/>
  <c r="R14" i="2" s="1"/>
  <c r="B45" i="2" s="1"/>
  <c r="AR15" i="2"/>
  <c r="AQ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O15" i="2" l="1"/>
  <c r="P15" i="2"/>
  <c r="AS15" i="2"/>
  <c r="AT15" i="2" s="1"/>
  <c r="AP16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6" i="2" l="1"/>
  <c r="Q15" i="2"/>
  <c r="R15" i="2" s="1"/>
  <c r="B46" i="2" s="1"/>
  <c r="AR16" i="2"/>
  <c r="AQ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O16" i="2" l="1"/>
  <c r="P16" i="2"/>
  <c r="AS16" i="2"/>
  <c r="AT16" i="2" s="1"/>
  <c r="AP17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N17" i="2"/>
  <c r="AR17" i="2"/>
  <c r="AQ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O17" i="2"/>
  <c r="AS17" i="2"/>
  <c r="AT17" i="2" s="1"/>
  <c r="AP18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N18" i="2" l="1"/>
  <c r="Q17" i="2"/>
  <c r="R17" i="2" s="1"/>
  <c r="B48" i="2" s="1"/>
  <c r="AQ18" i="2"/>
  <c r="AR18" i="2"/>
  <c r="AI29" i="2"/>
  <c r="AI20" i="2"/>
  <c r="AI11" i="2"/>
  <c r="G29" i="2"/>
  <c r="G20" i="2"/>
  <c r="G11" i="2"/>
  <c r="P18" i="2" l="1"/>
  <c r="O18" i="2"/>
  <c r="AP19" i="2"/>
  <c r="AS18" i="2"/>
  <c r="AT18" i="2" s="1"/>
  <c r="Q18" i="2" l="1"/>
  <c r="R18" i="2" s="1"/>
  <c r="B49" i="2" s="1"/>
  <c r="N19" i="2"/>
  <c r="AQ19" i="2"/>
  <c r="AR19" i="2"/>
  <c r="AE31" i="2"/>
  <c r="AE22" i="2"/>
  <c r="AE13" i="2"/>
  <c r="C31" i="2"/>
  <c r="C22" i="2"/>
  <c r="C13" i="2"/>
  <c r="O19" i="2" l="1"/>
  <c r="P19" i="2"/>
  <c r="AS19" i="2"/>
  <c r="AT19" i="2" s="1"/>
  <c r="AP20" i="2"/>
  <c r="O11" i="2"/>
  <c r="AQ11" i="2"/>
  <c r="N11" i="2"/>
  <c r="AP11" i="2"/>
  <c r="N20" i="2" l="1"/>
  <c r="Q19" i="2"/>
  <c r="R19" i="2" s="1"/>
  <c r="B50" i="2" s="1"/>
  <c r="AR20" i="2"/>
  <c r="AQ20" i="2"/>
  <c r="AJ39" i="2"/>
  <c r="H39" i="2"/>
  <c r="O20" i="2" l="1"/>
  <c r="P20" i="2"/>
  <c r="AS20" i="2"/>
  <c r="AT20" i="2" s="1"/>
  <c r="AP21" i="2"/>
  <c r="L11" i="3"/>
  <c r="K11" i="3"/>
  <c r="J11" i="3"/>
  <c r="E11" i="3"/>
  <c r="D11" i="3"/>
  <c r="C11" i="3"/>
  <c r="Q20" i="2" l="1"/>
  <c r="R20" i="2" s="1"/>
  <c r="B51" i="2" s="1"/>
  <c r="N21" i="2"/>
  <c r="AQ21" i="2"/>
  <c r="AR21" i="2"/>
  <c r="Q1" i="4"/>
  <c r="R1" i="4" s="1"/>
  <c r="S1" i="4" s="1"/>
  <c r="T1" i="4" s="1"/>
  <c r="U1" i="4" s="1"/>
  <c r="V1" i="4" s="1"/>
  <c r="W1" i="4" s="1"/>
  <c r="O21" i="2" l="1"/>
  <c r="P21" i="2"/>
  <c r="AP22" i="2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N22" i="2"/>
  <c r="AQ22" i="2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O22" i="2" l="1"/>
  <c r="P22" i="2"/>
  <c r="AP23" i="2"/>
  <c r="AS22" i="2"/>
  <c r="AT22" i="2" s="1"/>
  <c r="K25" i="2"/>
  <c r="K16" i="2"/>
  <c r="K34" i="2"/>
  <c r="N23" i="2" l="1"/>
  <c r="Q22" i="2"/>
  <c r="R22" i="2" s="1"/>
  <c r="B53" i="2" s="1"/>
  <c r="AR23" i="2"/>
  <c r="AQ23" i="2"/>
  <c r="P23" i="2" l="1"/>
  <c r="O23" i="2"/>
  <c r="AP24" i="2"/>
  <c r="AS23" i="2"/>
  <c r="AT23" i="2" s="1"/>
  <c r="N24" i="2" l="1"/>
  <c r="Q23" i="2"/>
  <c r="R23" i="2" s="1"/>
  <c r="B54" i="2" s="1"/>
  <c r="AQ24" i="2"/>
  <c r="AR24" i="2"/>
  <c r="P24" i="2" l="1"/>
  <c r="O24" i="2"/>
  <c r="AS24" i="2"/>
  <c r="AT24" i="2" s="1"/>
  <c r="AP25" i="2"/>
  <c r="N25" i="2" l="1"/>
  <c r="Q24" i="2"/>
  <c r="R24" i="2" s="1"/>
  <c r="B55" i="2" s="1"/>
  <c r="AQ25" i="2"/>
  <c r="AR25" i="2"/>
  <c r="P25" i="2" l="1"/>
  <c r="O25" i="2"/>
  <c r="AP26" i="2"/>
  <c r="AS25" i="2"/>
  <c r="AT25" i="2" s="1"/>
  <c r="N26" i="2" l="1"/>
  <c r="Q25" i="2"/>
  <c r="R25" i="2" s="1"/>
  <c r="B56" i="2" s="1"/>
  <c r="AR26" i="2"/>
  <c r="AQ26" i="2"/>
  <c r="P26" i="2" l="1"/>
  <c r="O26" i="2"/>
  <c r="AP27" i="2"/>
  <c r="AS26" i="2"/>
  <c r="AT26" i="2" s="1"/>
  <c r="N27" i="2" l="1"/>
  <c r="Q26" i="2"/>
  <c r="R26" i="2" s="1"/>
  <c r="B57" i="2" s="1"/>
  <c r="AQ27" i="2"/>
  <c r="AR27" i="2"/>
  <c r="O27" i="2" l="1"/>
  <c r="P27" i="2"/>
  <c r="AS27" i="2"/>
  <c r="AT27" i="2" s="1"/>
  <c r="AP28" i="2"/>
  <c r="N28" i="2" l="1"/>
  <c r="Q27" i="2"/>
  <c r="R27" i="2" s="1"/>
  <c r="B58" i="2" s="1"/>
  <c r="AQ28" i="2"/>
  <c r="AR28" i="2"/>
  <c r="P28" i="2" l="1"/>
  <c r="O28" i="2"/>
  <c r="AP29" i="2"/>
  <c r="AS28" i="2"/>
  <c r="AT28" i="2" s="1"/>
  <c r="N29" i="2" l="1"/>
  <c r="Q28" i="2"/>
  <c r="R28" i="2" s="1"/>
  <c r="B59" i="2" s="1"/>
  <c r="AQ29" i="2"/>
  <c r="AR29" i="2"/>
  <c r="P29" i="2" l="1"/>
  <c r="O29" i="2"/>
  <c r="AP30" i="2"/>
  <c r="AS29" i="2"/>
  <c r="AT29" i="2" s="1"/>
  <c r="N30" i="2" l="1"/>
  <c r="Q29" i="2"/>
  <c r="R29" i="2" s="1"/>
  <c r="B60" i="2" s="1"/>
  <c r="AR30" i="2"/>
  <c r="AQ30" i="2"/>
  <c r="P30" i="2" l="1"/>
  <c r="O30" i="2"/>
  <c r="AS30" i="2"/>
  <c r="AT30" i="2" s="1"/>
  <c r="AP31" i="2"/>
  <c r="N31" i="2" l="1"/>
  <c r="Q30" i="2"/>
  <c r="R30" i="2" s="1"/>
  <c r="B61" i="2" s="1"/>
  <c r="AR31" i="2"/>
  <c r="AQ31" i="2"/>
  <c r="P31" i="2" l="1"/>
  <c r="O31" i="2"/>
  <c r="AS31" i="2"/>
  <c r="AT31" i="2" s="1"/>
  <c r="AP32" i="2"/>
  <c r="Q31" i="2" l="1"/>
  <c r="R31" i="2" s="1"/>
  <c r="B62" i="2" s="1"/>
  <c r="N32" i="2"/>
  <c r="AR32" i="2"/>
  <c r="AQ32" i="2"/>
  <c r="O32" i="2" l="1"/>
  <c r="P32" i="2"/>
  <c r="AP33" i="2"/>
  <c r="AS32" i="2"/>
  <c r="AT32" i="2" s="1"/>
  <c r="N33" i="2" l="1"/>
  <c r="Q32" i="2"/>
  <c r="R32" i="2" s="1"/>
  <c r="B63" i="2" s="1"/>
  <c r="AR33" i="2"/>
  <c r="AQ33" i="2"/>
  <c r="P33" i="2" l="1"/>
  <c r="O33" i="2"/>
  <c r="AS33" i="2"/>
  <c r="AT33" i="2" s="1"/>
  <c r="AP34" i="2"/>
  <c r="Q33" i="2" l="1"/>
  <c r="R33" i="2" s="1"/>
  <c r="B64" i="2" s="1"/>
  <c r="N34" i="2"/>
  <c r="AQ34" i="2"/>
  <c r="AR34" i="2"/>
  <c r="P34" i="2" l="1"/>
  <c r="O34" i="2"/>
  <c r="AS34" i="2"/>
  <c r="AT34" i="2" s="1"/>
  <c r="AP35" i="2"/>
  <c r="N35" i="2" l="1"/>
  <c r="Q34" i="2"/>
  <c r="R34" i="2" s="1"/>
  <c r="B65" i="2" s="1"/>
  <c r="AR35" i="2"/>
  <c r="AQ35" i="2"/>
  <c r="P35" i="2" l="1"/>
  <c r="O35" i="2"/>
  <c r="AS35" i="2"/>
  <c r="AT35" i="2" s="1"/>
  <c r="AP36" i="2"/>
  <c r="N36" i="2" l="1"/>
  <c r="Q35" i="2"/>
  <c r="R35" i="2" s="1"/>
  <c r="B66" i="2" s="1"/>
  <c r="AR36" i="2"/>
  <c r="AQ36" i="2"/>
  <c r="O36" i="2" l="1"/>
  <c r="P36" i="2"/>
  <c r="AS36" i="2"/>
  <c r="AT36" i="2" s="1"/>
  <c r="AP37" i="2"/>
  <c r="N37" i="2" l="1"/>
  <c r="Q36" i="2"/>
  <c r="R36" i="2" s="1"/>
  <c r="B67" i="2" s="1"/>
  <c r="AR37" i="2"/>
  <c r="AQ37" i="2"/>
  <c r="P37" i="2" l="1"/>
  <c r="O37" i="2"/>
  <c r="AS37" i="2"/>
  <c r="AT37" i="2" s="1"/>
  <c r="AP38" i="2"/>
  <c r="Q37" i="2" l="1"/>
  <c r="R37" i="2" s="1"/>
  <c r="B68" i="2" s="1"/>
  <c r="N38" i="2"/>
  <c r="AQ38" i="2"/>
  <c r="AR38" i="2"/>
  <c r="O38" i="2" l="1"/>
  <c r="P38" i="2"/>
  <c r="AP39" i="2"/>
  <c r="AS38" i="2"/>
  <c r="AT38" i="2" s="1"/>
  <c r="N39" i="2" l="1"/>
  <c r="Q38" i="2"/>
  <c r="R38" i="2" s="1"/>
  <c r="B69" i="2" s="1"/>
  <c r="AR39" i="2"/>
  <c r="AQ39" i="2"/>
  <c r="P39" i="2" l="1"/>
  <c r="O39" i="2"/>
  <c r="AP40" i="2"/>
  <c r="AS39" i="2"/>
  <c r="AT39" i="2" s="1"/>
  <c r="N40" i="2" l="1"/>
  <c r="Q39" i="2"/>
  <c r="R39" i="2" s="1"/>
  <c r="B70" i="2" s="1"/>
  <c r="AR40" i="2"/>
  <c r="AQ40" i="2"/>
  <c r="P40" i="2" l="1"/>
  <c r="O40" i="2"/>
  <c r="AP41" i="2"/>
  <c r="AS40" i="2"/>
  <c r="AT40" i="2" s="1"/>
  <c r="Q40" i="2" l="1"/>
  <c r="R40" i="2" s="1"/>
  <c r="B71" i="2" s="1"/>
  <c r="N41" i="2"/>
  <c r="AR41" i="2"/>
  <c r="AQ41" i="2"/>
  <c r="O41" i="2" l="1"/>
  <c r="P41" i="2"/>
  <c r="AP42" i="2"/>
  <c r="AS41" i="2"/>
  <c r="AT41" i="2" s="1"/>
  <c r="N42" i="2" l="1"/>
  <c r="Q41" i="2"/>
  <c r="R41" i="2" s="1"/>
  <c r="B72" i="2" s="1"/>
  <c r="AR42" i="2"/>
  <c r="AQ42" i="2"/>
  <c r="P42" i="2" l="1"/>
  <c r="O42" i="2"/>
  <c r="AP43" i="2"/>
  <c r="AS42" i="2"/>
  <c r="AT42" i="2" s="1"/>
  <c r="N43" i="2" l="1"/>
  <c r="Q42" i="2"/>
  <c r="R42" i="2" s="1"/>
  <c r="B73" i="2" s="1"/>
  <c r="AQ43" i="2"/>
  <c r="AR43" i="2"/>
  <c r="P43" i="2" l="1"/>
  <c r="O43" i="2"/>
  <c r="AP44" i="2"/>
  <c r="AS43" i="2"/>
  <c r="AT43" i="2" s="1"/>
  <c r="Q43" i="2" l="1"/>
  <c r="R43" i="2" s="1"/>
  <c r="B74" i="2" s="1"/>
  <c r="N44" i="2"/>
  <c r="AQ44" i="2"/>
  <c r="AR44" i="2"/>
  <c r="P44" i="2" l="1"/>
  <c r="O44" i="2"/>
  <c r="AS44" i="2"/>
  <c r="AT44" i="2" s="1"/>
  <c r="AP45" i="2"/>
  <c r="N45" i="2" l="1"/>
  <c r="Q44" i="2"/>
  <c r="R44" i="2" s="1"/>
  <c r="B75" i="2" s="1"/>
  <c r="AR45" i="2"/>
  <c r="AQ45" i="2"/>
  <c r="P45" i="2" l="1"/>
  <c r="O45" i="2"/>
  <c r="AP46" i="2"/>
  <c r="AS45" i="2"/>
  <c r="AT45" i="2" s="1"/>
  <c r="N46" i="2" l="1"/>
  <c r="Q45" i="2"/>
  <c r="R45" i="2" s="1"/>
  <c r="B76" i="2" s="1"/>
  <c r="AR46" i="2"/>
  <c r="AQ46" i="2"/>
  <c r="P46" i="2" l="1"/>
  <c r="O46" i="2"/>
  <c r="AP47" i="2"/>
  <c r="AS46" i="2"/>
  <c r="AT46" i="2" s="1"/>
  <c r="Q46" i="2" l="1"/>
  <c r="R46" i="2" s="1"/>
  <c r="B77" i="2" s="1"/>
  <c r="N47" i="2"/>
  <c r="AR47" i="2"/>
  <c r="AQ47" i="2"/>
  <c r="O47" i="2" l="1"/>
  <c r="P47" i="2"/>
  <c r="AP48" i="2"/>
  <c r="AS47" i="2"/>
  <c r="AT47" i="2" s="1"/>
  <c r="N48" i="2" l="1"/>
  <c r="Q47" i="2"/>
  <c r="R47" i="2" s="1"/>
  <c r="B78" i="2" s="1"/>
  <c r="AR48" i="2"/>
  <c r="AQ48" i="2"/>
  <c r="O48" i="2" l="1"/>
  <c r="P48" i="2"/>
  <c r="AP49" i="2"/>
  <c r="AS48" i="2"/>
  <c r="AT48" i="2" s="1"/>
  <c r="N49" i="2" l="1"/>
  <c r="Q48" i="2"/>
  <c r="R48" i="2" s="1"/>
  <c r="B79" i="2" s="1"/>
  <c r="AR49" i="2"/>
  <c r="AQ49" i="2"/>
  <c r="P49" i="2" l="1"/>
  <c r="O49" i="2"/>
  <c r="AS49" i="2"/>
  <c r="AT49" i="2" s="1"/>
  <c r="AP50" i="2"/>
  <c r="Q49" i="2" l="1"/>
  <c r="R49" i="2" s="1"/>
  <c r="B80" i="2" s="1"/>
  <c r="N50" i="2"/>
  <c r="AR50" i="2"/>
  <c r="AQ50" i="2"/>
  <c r="O50" i="2" l="1"/>
  <c r="P50" i="2"/>
  <c r="AP51" i="2"/>
  <c r="AS50" i="2"/>
  <c r="AT50" i="2" s="1"/>
  <c r="N51" i="2" l="1"/>
  <c r="Q50" i="2"/>
  <c r="R50" i="2" s="1"/>
  <c r="B81" i="2" s="1"/>
  <c r="AR51" i="2"/>
  <c r="AQ51" i="2"/>
  <c r="P51" i="2" l="1"/>
  <c r="O51" i="2"/>
  <c r="AP52" i="2"/>
  <c r="AS51" i="2"/>
  <c r="AT51" i="2" s="1"/>
  <c r="N52" i="2" l="1"/>
  <c r="Q51" i="2"/>
  <c r="R51" i="2" s="1"/>
  <c r="B82" i="2" s="1"/>
  <c r="AR52" i="2"/>
  <c r="AQ52" i="2"/>
  <c r="AS52" i="2" s="1"/>
  <c r="AT5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<sst xmlns="http://schemas.openxmlformats.org/spreadsheetml/2006/main" count="273" uniqueCount="118">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</sst>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D8" sqref="D8:E8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107" t="s">
        <v>2</v>
      </c>
      <c r="C4" s="107"/>
      <c r="D4" s="108">
        <v>2</v>
      </c>
      <c r="E4" s="108"/>
    </row>
    <row r="5" spans="1:45" x14ac:dyDescent="0.4">
      <c r="A5" s="9">
        <f>A4+1</f>
        <v>5</v>
      </c>
      <c r="G5" s="94" t="s">
        <v>22</v>
      </c>
      <c r="H5" s="96" t="s">
        <v>21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</row>
    <row r="6" spans="1:45" x14ac:dyDescent="0.4">
      <c r="A6" s="9">
        <f t="shared" ref="A6:A82" si="1">A5+1</f>
        <v>6</v>
      </c>
      <c r="B6" s="107" t="s">
        <v>3</v>
      </c>
      <c r="C6" s="107"/>
      <c r="D6" s="108">
        <v>1</v>
      </c>
      <c r="E6" s="108"/>
      <c r="G6" s="95"/>
      <c r="H6" s="97" t="s">
        <v>7</v>
      </c>
      <c r="I6" s="98"/>
      <c r="L6" s="101" t="s">
        <v>11</v>
      </c>
      <c r="M6" s="101"/>
      <c r="N6" s="101"/>
      <c r="Q6" s="101" t="s">
        <v>12</v>
      </c>
      <c r="R6" s="101"/>
      <c r="S6" s="101"/>
      <c r="V6" s="101" t="s">
        <v>13</v>
      </c>
      <c r="W6" s="101"/>
      <c r="X6" s="101"/>
    </row>
    <row r="7" spans="1:45" x14ac:dyDescent="0.4">
      <c r="A7" s="9">
        <f t="shared" si="1"/>
        <v>7</v>
      </c>
      <c r="B7" s="107" t="s">
        <v>4</v>
      </c>
      <c r="C7" s="107"/>
      <c r="D7" s="108">
        <v>0</v>
      </c>
      <c r="E7" s="108"/>
      <c r="G7" s="95"/>
      <c r="H7" s="99"/>
      <c r="I7" s="100"/>
      <c r="L7" s="101"/>
      <c r="M7" s="101"/>
      <c r="N7" s="101"/>
      <c r="Q7" s="101"/>
      <c r="R7" s="101"/>
      <c r="S7" s="101"/>
      <c r="V7" s="101"/>
      <c r="W7" s="101"/>
      <c r="X7" s="101"/>
    </row>
    <row r="8" spans="1:45" x14ac:dyDescent="0.4">
      <c r="A8" s="9">
        <f t="shared" si="1"/>
        <v>8</v>
      </c>
      <c r="B8" s="107" t="s">
        <v>1</v>
      </c>
      <c r="C8" s="107"/>
      <c r="D8" s="108">
        <v>0.01</v>
      </c>
      <c r="E8" s="108"/>
      <c r="G8" s="95"/>
      <c r="I8" s="2" t="s">
        <v>106</v>
      </c>
      <c r="J8" s="2" t="s">
        <v>107</v>
      </c>
      <c r="K8" s="2" t="s">
        <v>109</v>
      </c>
      <c r="V8" s="101" t="s">
        <v>14</v>
      </c>
      <c r="W8" s="101"/>
      <c r="X8" s="4">
        <v>3</v>
      </c>
    </row>
    <row r="9" spans="1:45" x14ac:dyDescent="0.4">
      <c r="A9" s="9">
        <f t="shared" si="1"/>
        <v>9</v>
      </c>
      <c r="G9" s="95"/>
      <c r="H9" s="2" t="s">
        <v>8</v>
      </c>
      <c r="I9" s="3">
        <v>2.0067067133415922E-2</v>
      </c>
      <c r="J9" s="72">
        <v>9.6050968278254614E-3</v>
      </c>
      <c r="K9" s="72">
        <v>0.5</v>
      </c>
      <c r="Q9" s="101" t="s">
        <v>15</v>
      </c>
      <c r="R9" s="101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5"/>
      <c r="H10" s="73" t="s">
        <v>9</v>
      </c>
      <c r="I10" s="102" t="s">
        <v>10</v>
      </c>
      <c r="J10" s="103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5"/>
      <c r="H11" s="74">
        <v>1</v>
      </c>
      <c r="I11" s="75">
        <v>1.3931960353891909E-2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5"/>
      <c r="H12" s="74">
        <v>2</v>
      </c>
      <c r="I12" s="75">
        <v>1.2316898559421533E-2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9" t="s">
        <v>6</v>
      </c>
      <c r="E13" s="109"/>
      <c r="G13" s="95"/>
      <c r="H13" s="74">
        <v>3</v>
      </c>
      <c r="I13" s="75">
        <v>1.3143116491132624E-2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9"/>
      <c r="E14" s="109"/>
      <c r="G14" s="95"/>
      <c r="H14" s="74">
        <v>4</v>
      </c>
      <c r="I14" s="75">
        <v>1.2104288341778719E-2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9"/>
      <c r="E15" s="109"/>
      <c r="G15" s="95"/>
      <c r="H15" s="74">
        <v>5</v>
      </c>
      <c r="I15" s="75">
        <v>1.342201341995688E-2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1.77E-2</v>
      </c>
      <c r="G16" s="95"/>
      <c r="H16" s="74">
        <v>7</v>
      </c>
      <c r="I16" s="75">
        <v>1.2520732146148536E-2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10">
        <v>45181.005868055552</v>
      </c>
      <c r="E17" s="110"/>
      <c r="G17" s="95"/>
      <c r="H17" s="74">
        <v>10</v>
      </c>
      <c r="I17" s="75">
        <v>1.1581161567258256E-2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10">
        <v>45181.005868055552</v>
      </c>
      <c r="E18" s="110"/>
      <c r="G18" s="95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5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5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5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5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7" t="s">
        <v>115</v>
      </c>
      <c r="C23" s="107"/>
      <c r="D23" s="108">
        <v>0</v>
      </c>
      <c r="E23" s="108"/>
      <c r="G23" s="95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7" t="s">
        <v>111</v>
      </c>
      <c r="C24" s="107"/>
      <c r="D24" s="108">
        <v>1</v>
      </c>
      <c r="E24" s="108"/>
      <c r="G24" s="95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7" t="s">
        <v>113</v>
      </c>
      <c r="C25" s="107"/>
      <c r="D25" s="108">
        <v>0.1</v>
      </c>
      <c r="E25" s="108"/>
      <c r="G25" s="95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7" t="s">
        <v>112</v>
      </c>
      <c r="C26" s="107"/>
      <c r="D26" s="108">
        <v>0.15</v>
      </c>
      <c r="E26" s="108"/>
      <c r="G26" s="95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5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5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5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5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5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5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5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5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5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5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5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5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5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5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4" t="s">
        <v>24</v>
      </c>
      <c r="H55" s="96" t="s">
        <v>23</v>
      </c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</row>
    <row r="56" spans="1:40" x14ac:dyDescent="0.4">
      <c r="A56" s="9">
        <f t="shared" si="1"/>
        <v>56</v>
      </c>
      <c r="B56" s="107" t="s">
        <v>3</v>
      </c>
      <c r="C56" s="107"/>
      <c r="D56" s="108">
        <v>1</v>
      </c>
      <c r="E56" s="108"/>
      <c r="G56" s="95"/>
      <c r="H56" s="97" t="s">
        <v>7</v>
      </c>
      <c r="I56" s="98"/>
      <c r="L56" s="101" t="s">
        <v>11</v>
      </c>
      <c r="M56" s="101"/>
      <c r="N56" s="101"/>
      <c r="Q56" s="101" t="s">
        <v>12</v>
      </c>
      <c r="R56" s="101"/>
      <c r="S56" s="101"/>
      <c r="V56" s="101" t="s">
        <v>13</v>
      </c>
      <c r="W56" s="101"/>
      <c r="X56" s="101"/>
    </row>
    <row r="57" spans="1:40" x14ac:dyDescent="0.4">
      <c r="A57" s="9">
        <f t="shared" si="1"/>
        <v>57</v>
      </c>
      <c r="B57" s="107" t="s">
        <v>4</v>
      </c>
      <c r="C57" s="107"/>
      <c r="D57" s="108">
        <v>1</v>
      </c>
      <c r="E57" s="108"/>
      <c r="G57" s="95"/>
      <c r="H57" s="99"/>
      <c r="I57" s="100"/>
      <c r="L57" s="101"/>
      <c r="M57" s="101"/>
      <c r="N57" s="101"/>
      <c r="Q57" s="101"/>
      <c r="R57" s="101"/>
      <c r="S57" s="101"/>
      <c r="V57" s="101"/>
      <c r="W57" s="101"/>
      <c r="X57" s="101"/>
    </row>
    <row r="58" spans="1:40" x14ac:dyDescent="0.4">
      <c r="A58" s="9">
        <f t="shared" si="1"/>
        <v>58</v>
      </c>
      <c r="B58" s="107" t="s">
        <v>1</v>
      </c>
      <c r="C58" s="107"/>
      <c r="D58" s="108">
        <v>0.01</v>
      </c>
      <c r="E58" s="108"/>
      <c r="G58" s="95"/>
      <c r="I58" s="2" t="s">
        <v>106</v>
      </c>
      <c r="J58" s="2" t="s">
        <v>107</v>
      </c>
      <c r="K58" s="2" t="s">
        <v>109</v>
      </c>
      <c r="V58" s="101" t="s">
        <v>14</v>
      </c>
      <c r="W58" s="101"/>
      <c r="X58" s="4">
        <v>3</v>
      </c>
    </row>
    <row r="59" spans="1:40" x14ac:dyDescent="0.4">
      <c r="A59" s="9">
        <f t="shared" si="1"/>
        <v>59</v>
      </c>
      <c r="G59" s="95"/>
      <c r="H59" s="2" t="s">
        <v>8</v>
      </c>
      <c r="I59" s="3">
        <v>0.01</v>
      </c>
      <c r="J59" s="72">
        <v>0.01</v>
      </c>
      <c r="K59" s="72">
        <v>0.9</v>
      </c>
      <c r="Q59" s="101" t="s">
        <v>15</v>
      </c>
      <c r="R59" s="101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5"/>
      <c r="H60" s="73" t="s">
        <v>9</v>
      </c>
      <c r="I60" s="102" t="s">
        <v>10</v>
      </c>
      <c r="J60" s="103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5"/>
      <c r="H61" s="74">
        <v>1</v>
      </c>
      <c r="I61" s="75">
        <v>1.3179794086105324E-2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5"/>
      <c r="H62" s="74">
        <v>2</v>
      </c>
      <c r="I62" s="75">
        <v>1.2003347093782295E-2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9" t="s">
        <v>6</v>
      </c>
      <c r="E63" s="109"/>
      <c r="G63" s="95"/>
      <c r="H63" s="74">
        <v>3</v>
      </c>
      <c r="I63" s="75">
        <v>1.1763422778972145E-2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9"/>
      <c r="E64" s="109"/>
      <c r="G64" s="95"/>
      <c r="H64" s="74">
        <v>4</v>
      </c>
      <c r="I64" s="75">
        <v>1.2245700586857295E-2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9"/>
      <c r="E65" s="109"/>
      <c r="G65" s="95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95"/>
      <c r="H66" s="74">
        <v>7</v>
      </c>
      <c r="I66" s="75">
        <v>1.3388249104174767E-2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10">
        <v>45181.005868055552</v>
      </c>
      <c r="E67" s="110"/>
      <c r="G67" s="95"/>
      <c r="H67" s="74">
        <v>10</v>
      </c>
      <c r="I67" s="75">
        <v>1.5966173861409756E-2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10">
        <v>45181.005868055552</v>
      </c>
      <c r="E68" s="110"/>
      <c r="G68" s="95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5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5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5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5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7" t="s">
        <v>115</v>
      </c>
      <c r="C73" s="107"/>
      <c r="D73" s="108">
        <v>0</v>
      </c>
      <c r="E73" s="108"/>
      <c r="G73" s="95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7" t="s">
        <v>111</v>
      </c>
      <c r="C74" s="107"/>
      <c r="D74" s="108">
        <v>1</v>
      </c>
      <c r="E74" s="108"/>
      <c r="G74" s="95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7" t="s">
        <v>113</v>
      </c>
      <c r="C75" s="107"/>
      <c r="D75" s="108">
        <v>-0.12</v>
      </c>
      <c r="E75" s="108"/>
      <c r="G75" s="95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7" t="s">
        <v>112</v>
      </c>
      <c r="C76" s="107"/>
      <c r="D76" s="108">
        <v>0.24</v>
      </c>
      <c r="E76" s="108"/>
      <c r="G76" s="95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5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5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5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5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5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5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5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5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5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5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5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5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5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5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4" t="s">
        <v>26</v>
      </c>
      <c r="H105" s="96" t="s">
        <v>25</v>
      </c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</row>
    <row r="106" spans="1:40" x14ac:dyDescent="0.4">
      <c r="A106" s="9">
        <f t="shared" si="6"/>
        <v>106</v>
      </c>
      <c r="B106" s="107" t="s">
        <v>3</v>
      </c>
      <c r="C106" s="107"/>
      <c r="D106" s="108">
        <v>1</v>
      </c>
      <c r="E106" s="108"/>
      <c r="G106" s="95"/>
      <c r="H106" s="97" t="s">
        <v>7</v>
      </c>
      <c r="I106" s="98"/>
      <c r="L106" s="101" t="s">
        <v>11</v>
      </c>
      <c r="M106" s="101"/>
      <c r="N106" s="101"/>
      <c r="Q106" s="101" t="s">
        <v>12</v>
      </c>
      <c r="R106" s="101"/>
      <c r="S106" s="101"/>
      <c r="V106" s="101" t="s">
        <v>13</v>
      </c>
      <c r="W106" s="101"/>
      <c r="X106" s="101"/>
    </row>
    <row r="107" spans="1:40" x14ac:dyDescent="0.4">
      <c r="A107" s="9">
        <f t="shared" si="6"/>
        <v>107</v>
      </c>
      <c r="B107" s="107" t="s">
        <v>4</v>
      </c>
      <c r="C107" s="107"/>
      <c r="D107" s="108">
        <v>1</v>
      </c>
      <c r="E107" s="108"/>
      <c r="G107" s="95"/>
      <c r="H107" s="99"/>
      <c r="I107" s="100"/>
      <c r="L107" s="101"/>
      <c r="M107" s="101"/>
      <c r="N107" s="101"/>
      <c r="Q107" s="101"/>
      <c r="R107" s="101"/>
      <c r="S107" s="101"/>
      <c r="V107" s="101"/>
      <c r="W107" s="101"/>
      <c r="X107" s="101"/>
    </row>
    <row r="108" spans="1:40" x14ac:dyDescent="0.4">
      <c r="A108" s="9">
        <f t="shared" si="6"/>
        <v>108</v>
      </c>
      <c r="B108" s="107" t="s">
        <v>1</v>
      </c>
      <c r="C108" s="107"/>
      <c r="D108" s="108">
        <v>0.01</v>
      </c>
      <c r="E108" s="108"/>
      <c r="G108" s="95"/>
      <c r="I108" s="2" t="s">
        <v>106</v>
      </c>
      <c r="J108" s="2" t="s">
        <v>107</v>
      </c>
      <c r="K108" s="2" t="s">
        <v>109</v>
      </c>
      <c r="V108" s="101" t="s">
        <v>14</v>
      </c>
      <c r="W108" s="101"/>
      <c r="X108" s="4">
        <v>3</v>
      </c>
    </row>
    <row r="109" spans="1:40" x14ac:dyDescent="0.4">
      <c r="A109" s="9">
        <f t="shared" si="6"/>
        <v>109</v>
      </c>
      <c r="G109" s="95"/>
      <c r="H109" s="2" t="s">
        <v>8</v>
      </c>
      <c r="I109" s="3">
        <v>0.01</v>
      </c>
      <c r="J109" s="72">
        <v>0.01</v>
      </c>
      <c r="K109" s="72">
        <v>0.9</v>
      </c>
      <c r="Q109" s="101" t="s">
        <v>15</v>
      </c>
      <c r="R109" s="101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5"/>
      <c r="H110" s="73" t="s">
        <v>9</v>
      </c>
      <c r="I110" s="102" t="s">
        <v>10</v>
      </c>
      <c r="J110" s="103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5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5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9" t="s">
        <v>6</v>
      </c>
      <c r="E113" s="109"/>
      <c r="G113" s="95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9"/>
      <c r="E114" s="109"/>
      <c r="G114" s="95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9"/>
      <c r="E115" s="109"/>
      <c r="G115" s="95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95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10">
        <v>44931.461863425924</v>
      </c>
      <c r="E117" s="110"/>
      <c r="G117" s="95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10">
        <v>44931.461875000001</v>
      </c>
      <c r="E118" s="110"/>
      <c r="G118" s="95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5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5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5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5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7" t="s">
        <v>115</v>
      </c>
      <c r="C123" s="107"/>
      <c r="D123" s="108">
        <v>0</v>
      </c>
      <c r="E123" s="108"/>
      <c r="G123" s="95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7" t="s">
        <v>111</v>
      </c>
      <c r="C124" s="107"/>
      <c r="D124" s="108">
        <v>0</v>
      </c>
      <c r="E124" s="108"/>
      <c r="G124" s="95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7" t="s">
        <v>113</v>
      </c>
      <c r="C125" s="107"/>
      <c r="D125" s="108">
        <v>-0.1</v>
      </c>
      <c r="E125" s="108"/>
      <c r="G125" s="95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7" t="s">
        <v>112</v>
      </c>
      <c r="C126" s="107"/>
      <c r="D126" s="108">
        <v>0.15</v>
      </c>
      <c r="E126" s="108"/>
      <c r="G126" s="95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5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5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5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5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5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5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5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5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5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5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5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5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5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5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4" t="s">
        <v>28</v>
      </c>
      <c r="H155" s="96" t="s">
        <v>27</v>
      </c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</row>
    <row r="156" spans="1:40" x14ac:dyDescent="0.4">
      <c r="A156" s="9">
        <f t="shared" si="9"/>
        <v>156</v>
      </c>
      <c r="B156" s="107" t="s">
        <v>3</v>
      </c>
      <c r="C156" s="107"/>
      <c r="D156" s="108">
        <v>1</v>
      </c>
      <c r="E156" s="108"/>
      <c r="G156" s="95"/>
      <c r="H156" s="97" t="s">
        <v>7</v>
      </c>
      <c r="I156" s="98"/>
      <c r="L156" s="101" t="s">
        <v>11</v>
      </c>
      <c r="M156" s="101"/>
      <c r="N156" s="101"/>
      <c r="Q156" s="101" t="s">
        <v>12</v>
      </c>
      <c r="R156" s="101"/>
      <c r="S156" s="101"/>
      <c r="V156" s="101" t="s">
        <v>13</v>
      </c>
      <c r="W156" s="101"/>
      <c r="X156" s="101"/>
    </row>
    <row r="157" spans="1:40" x14ac:dyDescent="0.4">
      <c r="A157" s="9">
        <f t="shared" si="9"/>
        <v>157</v>
      </c>
      <c r="B157" s="107" t="s">
        <v>4</v>
      </c>
      <c r="C157" s="107"/>
      <c r="D157" s="108">
        <v>1</v>
      </c>
      <c r="E157" s="108"/>
      <c r="G157" s="95"/>
      <c r="H157" s="99"/>
      <c r="I157" s="100"/>
      <c r="L157" s="101"/>
      <c r="M157" s="101"/>
      <c r="N157" s="101"/>
      <c r="Q157" s="101"/>
      <c r="R157" s="101"/>
      <c r="S157" s="101"/>
      <c r="V157" s="101"/>
      <c r="W157" s="101"/>
      <c r="X157" s="101"/>
    </row>
    <row r="158" spans="1:40" x14ac:dyDescent="0.4">
      <c r="A158" s="9">
        <f t="shared" si="9"/>
        <v>158</v>
      </c>
      <c r="B158" s="107" t="s">
        <v>1</v>
      </c>
      <c r="C158" s="107"/>
      <c r="D158" s="108">
        <v>0.01</v>
      </c>
      <c r="E158" s="108"/>
      <c r="G158" s="95"/>
      <c r="I158" s="2" t="s">
        <v>106</v>
      </c>
      <c r="J158" s="2" t="s">
        <v>107</v>
      </c>
      <c r="K158" s="2" t="s">
        <v>109</v>
      </c>
      <c r="V158" s="101" t="s">
        <v>14</v>
      </c>
      <c r="W158" s="101"/>
      <c r="X158" s="4">
        <v>3</v>
      </c>
    </row>
    <row r="159" spans="1:40" x14ac:dyDescent="0.4">
      <c r="A159" s="9">
        <f t="shared" si="9"/>
        <v>159</v>
      </c>
      <c r="G159" s="95"/>
      <c r="H159" s="2" t="s">
        <v>8</v>
      </c>
      <c r="I159" s="3">
        <v>0.01</v>
      </c>
      <c r="J159" s="72">
        <v>0.01</v>
      </c>
      <c r="K159" s="72">
        <v>0.9</v>
      </c>
      <c r="Q159" s="101" t="s">
        <v>15</v>
      </c>
      <c r="R159" s="101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5"/>
      <c r="H160" s="73" t="s">
        <v>9</v>
      </c>
      <c r="I160" s="102" t="s">
        <v>10</v>
      </c>
      <c r="J160" s="103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5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5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9" t="s">
        <v>6</v>
      </c>
      <c r="E163" s="109"/>
      <c r="G163" s="95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9"/>
      <c r="E164" s="109"/>
      <c r="G164" s="95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9"/>
      <c r="E165" s="109"/>
      <c r="G165" s="95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95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10">
        <v>44931.461875000001</v>
      </c>
      <c r="E167" s="110"/>
      <c r="G167" s="95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10">
        <v>44931.461875000001</v>
      </c>
      <c r="E168" s="110"/>
      <c r="G168" s="95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5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5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5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5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7" t="s">
        <v>115</v>
      </c>
      <c r="C173" s="107"/>
      <c r="D173" s="108">
        <v>0</v>
      </c>
      <c r="E173" s="108"/>
      <c r="G173" s="95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7" t="s">
        <v>111</v>
      </c>
      <c r="C174" s="107"/>
      <c r="D174" s="108">
        <v>0</v>
      </c>
      <c r="E174" s="108"/>
      <c r="G174" s="95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7" t="s">
        <v>113</v>
      </c>
      <c r="C175" s="107"/>
      <c r="D175" s="108">
        <v>-0.1</v>
      </c>
      <c r="E175" s="108"/>
      <c r="G175" s="95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7" t="s">
        <v>112</v>
      </c>
      <c r="C176" s="107"/>
      <c r="D176" s="108">
        <v>0.15</v>
      </c>
      <c r="E176" s="108"/>
      <c r="G176" s="95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5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5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5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5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5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5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5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5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5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5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5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5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5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5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F28" zoomScale="85" zoomScaleNormal="85" workbookViewId="0">
      <selection activeCell="L45" sqref="L45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80" t="s">
        <v>29</v>
      </c>
      <c r="C3" s="180"/>
      <c r="D3" s="183">
        <v>44848</v>
      </c>
      <c r="E3" s="178"/>
      <c r="F3" s="175" t="s">
        <v>31</v>
      </c>
      <c r="G3" s="175"/>
      <c r="H3" s="178">
        <v>0</v>
      </c>
      <c r="I3" s="178"/>
      <c r="J3" s="175" t="s">
        <v>67</v>
      </c>
      <c r="K3" s="175"/>
      <c r="L3" s="178">
        <v>10000</v>
      </c>
      <c r="M3" s="178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9" t="s">
        <v>46</v>
      </c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179"/>
      <c r="Z5" s="179"/>
      <c r="AD5" s="179" t="s">
        <v>47</v>
      </c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</row>
    <row r="6" spans="1:57" ht="16.2" customHeight="1" x14ac:dyDescent="0.4">
      <c r="A6" s="34">
        <f t="shared" si="1"/>
        <v>6</v>
      </c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</row>
    <row r="7" spans="1:57" ht="16.2" customHeight="1" x14ac:dyDescent="0.4">
      <c r="A7" s="34">
        <f t="shared" si="1"/>
        <v>7</v>
      </c>
      <c r="B7" s="180" t="str">
        <f>IF(D7&gt;0,"레퍼런스금리 개수","기초금리는 1개 - 3개 입력가능")</f>
        <v>레퍼런스금리 개수</v>
      </c>
      <c r="C7" s="180"/>
      <c r="D7" s="177">
        <v>1</v>
      </c>
      <c r="E7" s="177"/>
      <c r="F7" s="181" t="s">
        <v>32</v>
      </c>
      <c r="G7" s="182"/>
      <c r="H7" s="178">
        <v>1</v>
      </c>
      <c r="I7" s="178"/>
      <c r="J7" s="175" t="s">
        <v>91</v>
      </c>
      <c r="K7" s="175"/>
      <c r="L7" s="178">
        <v>0</v>
      </c>
      <c r="M7" s="178"/>
      <c r="N7" s="35"/>
      <c r="O7" s="35"/>
      <c r="P7" s="35"/>
      <c r="Q7" s="35"/>
      <c r="R7" s="35"/>
      <c r="S7" s="35"/>
      <c r="T7" s="35"/>
      <c r="U7" s="35"/>
      <c r="AD7" s="180" t="str">
        <f>IF(AF7&gt;0,"레퍼런스금리 개수","기초금리는 1개 - 3개 입력가능")</f>
        <v>레퍼런스금리 개수</v>
      </c>
      <c r="AE7" s="180"/>
      <c r="AF7" s="177">
        <v>1</v>
      </c>
      <c r="AG7" s="177"/>
      <c r="AH7" s="181" t="s">
        <v>32</v>
      </c>
      <c r="AI7" s="182"/>
      <c r="AJ7" s="178">
        <v>0</v>
      </c>
      <c r="AK7" s="178"/>
      <c r="AL7" s="175" t="s">
        <v>91</v>
      </c>
      <c r="AM7" s="175"/>
      <c r="AN7" s="178">
        <v>0</v>
      </c>
      <c r="AO7" s="178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5" t="s">
        <v>50</v>
      </c>
      <c r="C8" s="175"/>
      <c r="D8" s="176">
        <v>1</v>
      </c>
      <c r="E8" s="177"/>
      <c r="F8" s="175" t="s">
        <v>51</v>
      </c>
      <c r="G8" s="175"/>
      <c r="H8" s="176">
        <v>1</v>
      </c>
      <c r="I8" s="177"/>
      <c r="J8" s="175" t="s">
        <v>42</v>
      </c>
      <c r="K8" s="175"/>
      <c r="L8" s="178">
        <v>0</v>
      </c>
      <c r="M8" s="178"/>
      <c r="N8" s="35"/>
      <c r="O8" s="35"/>
      <c r="P8" s="35"/>
      <c r="Q8" s="35"/>
      <c r="R8" s="35"/>
      <c r="S8" s="35"/>
      <c r="T8" s="35"/>
      <c r="U8" s="35"/>
      <c r="AD8" s="175" t="s">
        <v>50</v>
      </c>
      <c r="AE8" s="175"/>
      <c r="AF8" s="176">
        <v>1</v>
      </c>
      <c r="AG8" s="177"/>
      <c r="AH8" s="175" t="s">
        <v>51</v>
      </c>
      <c r="AI8" s="175"/>
      <c r="AJ8" s="176">
        <v>1</v>
      </c>
      <c r="AK8" s="177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90" t="str">
        <f>IF(D7&gt;=1,"기초금리1", "")</f>
        <v>기초금리1</v>
      </c>
      <c r="C10" s="173" t="str">
        <f>IF($D$7&gt;=1,"커브번호", "")</f>
        <v>커브번호</v>
      </c>
      <c r="D10" s="173"/>
      <c r="E10" s="138">
        <v>1</v>
      </c>
      <c r="F10" s="138"/>
      <c r="G10" s="65"/>
      <c r="H10" s="36"/>
      <c r="I10" s="151" t="str">
        <f>IF(OR(E11 = 0, E11 = 2, E11 = 4), "RefType = "&amp;E11&amp;" 이므로 Ref Swap 금리정보 사용안함", "사용")</f>
        <v>RefType = 0 이므로 Ref Swap 금리정보 사용안함</v>
      </c>
      <c r="J10" s="152"/>
      <c r="K10" s="152"/>
      <c r="L10" s="153"/>
      <c r="N10" s="167" t="s">
        <v>34</v>
      </c>
      <c r="O10" s="167"/>
      <c r="P10" s="167"/>
      <c r="Q10" s="167"/>
      <c r="R10" s="34"/>
      <c r="S10" s="34"/>
      <c r="T10" s="34"/>
      <c r="U10" s="34"/>
      <c r="W10" s="167" t="s">
        <v>52</v>
      </c>
      <c r="X10" s="167"/>
      <c r="Y10" s="167"/>
      <c r="AD10" s="141" t="str">
        <f>IF($AF$7&gt;=1,"기초금리1", "")</f>
        <v>기초금리1</v>
      </c>
      <c r="AE10" s="137" t="str">
        <f>IF($AF$7&gt;=1,"커브번호", "")</f>
        <v>커브번호</v>
      </c>
      <c r="AF10" s="137"/>
      <c r="AG10" s="138">
        <v>2</v>
      </c>
      <c r="AH10" s="138"/>
      <c r="AI10" s="65"/>
      <c r="AJ10" s="36"/>
      <c r="AK10" s="135" t="str">
        <f>IF(OR(AG11 = 0, AG11 = 2, AG11 = 4), "RefType = "&amp;AG11&amp;" 이므로 Ref Swap 금리정보 사용안함", "사용")</f>
        <v>RefType = 0 이므로 Ref Swap 금리정보 사용안함</v>
      </c>
      <c r="AL10" s="135"/>
      <c r="AM10" s="135"/>
      <c r="AN10" s="136"/>
      <c r="AP10" s="167" t="s">
        <v>54</v>
      </c>
      <c r="AQ10" s="167"/>
      <c r="AR10" s="167"/>
      <c r="AS10" s="167"/>
      <c r="AT10" s="34"/>
      <c r="AU10" s="34"/>
      <c r="AV10" s="34"/>
      <c r="AW10" s="34"/>
      <c r="AY10" s="167" t="s">
        <v>53</v>
      </c>
      <c r="AZ10" s="167"/>
      <c r="BA10" s="167"/>
    </row>
    <row r="11" spans="1:57" ht="16.2" customHeight="1" x14ac:dyDescent="0.4">
      <c r="A11" s="34">
        <f t="shared" si="1"/>
        <v>11</v>
      </c>
      <c r="B11" s="170"/>
      <c r="C11" s="159" t="str">
        <f>IF($D$7&gt;=1,"Reference Rate Type", "")</f>
        <v>Reference Rate Type</v>
      </c>
      <c r="D11" s="160"/>
      <c r="E11" s="174">
        <v>0</v>
      </c>
      <c r="F11" s="187"/>
      <c r="G11" s="151" t="str">
        <f>IF(OR(E11 = 0, E11 = 2, E11 = 4), "", "Zero/Swap 레퍼런스금리정보")</f>
        <v/>
      </c>
      <c r="H11" s="152"/>
      <c r="I11" s="143" t="str">
        <f>IF(OR(E11 = 0, E11 = 2, E11 = 4), "", "연 지급횟수")</f>
        <v/>
      </c>
      <c r="J11" s="144"/>
      <c r="K11" s="130">
        <v>4</v>
      </c>
      <c r="L11" s="131"/>
      <c r="M11" s="34"/>
      <c r="N11" s="189" t="str">
        <f>IF(OR(E11 = 0, E11 = 2, E11 = 4), "ForwardStart", "ResetStart")</f>
        <v>ForwardStart</v>
      </c>
      <c r="O11" s="189" t="str">
        <f>IF(OR(E11 = 0, E11 = 2, E11 = 4), "ForwardEnd", "ResetEnd")</f>
        <v>ForwardEnd</v>
      </c>
      <c r="P11" s="132" t="s">
        <v>35</v>
      </c>
      <c r="Q11" s="132" t="s">
        <v>36</v>
      </c>
      <c r="R11" s="132" t="s">
        <v>37</v>
      </c>
      <c r="S11" s="132" t="s">
        <v>38</v>
      </c>
      <c r="T11" s="132" t="s">
        <v>116</v>
      </c>
      <c r="U11" s="132" t="s">
        <v>71</v>
      </c>
      <c r="W11" s="37" t="s">
        <v>43</v>
      </c>
      <c r="X11" s="155">
        <v>0</v>
      </c>
      <c r="Y11" s="155"/>
      <c r="AD11" s="142"/>
      <c r="AE11" s="126" t="str">
        <f>IF($AF$7&gt;=1,"Reference Rate Type", "")</f>
        <v>Reference Rate Type</v>
      </c>
      <c r="AF11" s="139"/>
      <c r="AG11" s="174">
        <v>0</v>
      </c>
      <c r="AH11" s="174"/>
      <c r="AI11" s="128" t="str">
        <f>IF(OR(AG11 = 0, AG11 = 2, AG11 = 4), "", "Zero/Swap 레퍼런스금리정보")</f>
        <v/>
      </c>
      <c r="AJ11" s="128"/>
      <c r="AK11" s="128" t="str">
        <f>IF(OR(AG11 = 0, AG11 = 2, AG11 = 4), "", "연 지급횟수")</f>
        <v/>
      </c>
      <c r="AL11" s="129"/>
      <c r="AM11" s="130">
        <v>4</v>
      </c>
      <c r="AN11" s="131"/>
      <c r="AO11" s="34"/>
      <c r="AP11" s="132" t="str">
        <f>IF(OR(AG11 = 0, AG11 = 2, AG11 = 4), "ForwardStart", "ResetEnd")</f>
        <v>ForwardStart</v>
      </c>
      <c r="AQ11" s="132" t="str">
        <f>IF(OR(AG11 = 0, AG11 = 2, AG11 = 4), "ForwardEnd", "ResetEnd")</f>
        <v>ForwardEnd</v>
      </c>
      <c r="AR11" s="132" t="s">
        <v>35</v>
      </c>
      <c r="AS11" s="132" t="s">
        <v>36</v>
      </c>
      <c r="AT11" s="132" t="s">
        <v>37</v>
      </c>
      <c r="AU11" s="132" t="s">
        <v>38</v>
      </c>
      <c r="AV11" s="132" t="s">
        <v>116</v>
      </c>
      <c r="AW11" s="132" t="s">
        <v>71</v>
      </c>
      <c r="AY11" s="37" t="s">
        <v>43</v>
      </c>
      <c r="AZ11" s="155">
        <v>0</v>
      </c>
      <c r="BA11" s="155"/>
    </row>
    <row r="12" spans="1:57" ht="16.2" customHeight="1" x14ac:dyDescent="0.4">
      <c r="A12" s="34">
        <f t="shared" si="1"/>
        <v>12</v>
      </c>
      <c r="B12" s="170"/>
      <c r="C12" s="159" t="str">
        <f>IF($D$7&gt;=1,"DayCount", "")</f>
        <v>DayCount</v>
      </c>
      <c r="D12" s="159"/>
      <c r="E12" s="117">
        <v>0</v>
      </c>
      <c r="F12" s="188"/>
      <c r="G12" s="184"/>
      <c r="H12" s="143"/>
      <c r="I12" s="143" t="str">
        <f>IF(OR(E11 = 0, E11 = 2, E11 = 4,E14=1), "", "만기")</f>
        <v/>
      </c>
      <c r="J12" s="144"/>
      <c r="K12" s="185">
        <v>10</v>
      </c>
      <c r="L12" s="186"/>
      <c r="N12" s="132"/>
      <c r="O12" s="132"/>
      <c r="P12" s="132"/>
      <c r="Q12" s="132"/>
      <c r="R12" s="132"/>
      <c r="S12" s="132"/>
      <c r="T12" s="132"/>
      <c r="U12" s="132"/>
      <c r="W12" s="37" t="s">
        <v>44</v>
      </c>
      <c r="X12" s="155">
        <v>0</v>
      </c>
      <c r="Y12" s="155"/>
      <c r="AD12" s="142"/>
      <c r="AE12" s="126" t="str">
        <f>IF($AF$7&gt;=1,"DayCount", "")</f>
        <v>DayCount</v>
      </c>
      <c r="AF12" s="126"/>
      <c r="AG12" s="117">
        <v>3</v>
      </c>
      <c r="AH12" s="117"/>
      <c r="AI12" s="128"/>
      <c r="AJ12" s="128"/>
      <c r="AK12" s="143" t="str">
        <f>IF(OR(AG11 = 0, AG11 = 2, AG11 = 4,AG14=1), "", "만기")</f>
        <v/>
      </c>
      <c r="AL12" s="144"/>
      <c r="AM12" s="145">
        <v>0.25</v>
      </c>
      <c r="AN12" s="146"/>
      <c r="AP12" s="132"/>
      <c r="AQ12" s="132"/>
      <c r="AR12" s="132"/>
      <c r="AS12" s="132"/>
      <c r="AT12" s="132"/>
      <c r="AU12" s="132"/>
      <c r="AV12" s="132"/>
      <c r="AW12" s="132"/>
      <c r="AY12" s="37" t="s">
        <v>44</v>
      </c>
      <c r="AZ12" s="155">
        <v>0</v>
      </c>
      <c r="BA12" s="155"/>
    </row>
    <row r="13" spans="1:57" ht="16.2" customHeight="1" x14ac:dyDescent="0.4">
      <c r="A13" s="34">
        <f t="shared" si="1"/>
        <v>13</v>
      </c>
      <c r="B13" s="170"/>
      <c r="C13" s="159" t="str">
        <f>IF($D$7&gt;=1,"금리결정조건Multiple", "")</f>
        <v>금리결정조건Multiple</v>
      </c>
      <c r="D13" s="160"/>
      <c r="E13" s="116">
        <v>1</v>
      </c>
      <c r="F13" s="172"/>
      <c r="G13" s="112" t="str">
        <f>IF(OR(E11 = 0, E11 = 2, E11 = 4), "", "ex) Zero Rate 5년 -&gt; 연 지급횟수= 0, 만기= 5 // CD91일 -&gt; 연 지급횟수= 4, 만기= 0.25")</f>
        <v/>
      </c>
      <c r="H13" s="112"/>
      <c r="I13" s="112"/>
      <c r="J13" s="112"/>
      <c r="K13" s="112"/>
      <c r="L13" s="113"/>
      <c r="M13" s="34"/>
      <c r="N13" s="38">
        <v>43169</v>
      </c>
      <c r="O13" s="38">
        <f>EDATE(N13,3)</f>
        <v>43261</v>
      </c>
      <c r="P13" s="38">
        <f>N13</f>
        <v>43169</v>
      </c>
      <c r="Q13" s="38">
        <f>O13</f>
        <v>43261</v>
      </c>
      <c r="R13" s="38">
        <f>Q13+1</f>
        <v>43262</v>
      </c>
      <c r="S13" s="85">
        <v>0</v>
      </c>
      <c r="T13" s="90">
        <v>1</v>
      </c>
      <c r="W13" s="37" t="s">
        <v>45</v>
      </c>
      <c r="X13" s="155">
        <v>0</v>
      </c>
      <c r="Y13" s="155"/>
      <c r="AD13" s="142"/>
      <c r="AE13" s="126" t="str">
        <f>IF($AF$7&gt;=1,"금리결정조건Multiple", "")</f>
        <v>금리결정조건Multiple</v>
      </c>
      <c r="AF13" s="139"/>
      <c r="AG13" s="116">
        <v>1</v>
      </c>
      <c r="AH13" s="116"/>
      <c r="AI13" s="112" t="str">
        <f>IF(OR(AG11 = 0, AG11 = 2, AG11 = 4), "", "ex) Zero Rate 5년 -&gt; 연 지급횟수= 0, 만기= 5 // CD91일 -&gt; 연 지급횟수= 4, 만기= 0.25")</f>
        <v/>
      </c>
      <c r="AJ13" s="112"/>
      <c r="AK13" s="112"/>
      <c r="AL13" s="112"/>
      <c r="AM13" s="112"/>
      <c r="AN13" s="113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5">
        <v>2E-3</v>
      </c>
      <c r="AV13" s="90">
        <v>1</v>
      </c>
      <c r="AY13" s="37" t="s">
        <v>45</v>
      </c>
      <c r="AZ13" s="155">
        <v>0</v>
      </c>
      <c r="BA13" s="155"/>
    </row>
    <row r="14" spans="1:57" ht="16.2" customHeight="1" x14ac:dyDescent="0.4">
      <c r="A14" s="34">
        <f t="shared" si="1"/>
        <v>14</v>
      </c>
      <c r="B14" s="170"/>
      <c r="C14" s="158" t="str">
        <f>IF($D$7&gt;=1,"Power Spread Flag", "")</f>
        <v>Power Spread Flag</v>
      </c>
      <c r="D14" s="158"/>
      <c r="E14" s="117">
        <v>0</v>
      </c>
      <c r="F14" s="188"/>
      <c r="G14" s="165" t="str">
        <f>IF(E14&gt;0,"PowerSpreadFlag 1일때 입력","입력필요X")</f>
        <v>입력필요X</v>
      </c>
      <c r="H14" s="165"/>
      <c r="I14" s="165" t="str">
        <f>IF(E14&gt;0,"만기1","")</f>
        <v/>
      </c>
      <c r="J14" s="165"/>
      <c r="K14" s="119">
        <v>10</v>
      </c>
      <c r="L14" s="120"/>
      <c r="M14" s="34"/>
      <c r="N14" s="38">
        <f>O13</f>
        <v>43261</v>
      </c>
      <c r="O14" s="38">
        <f>EDATE(N14,3)</f>
        <v>43353</v>
      </c>
      <c r="P14" s="38">
        <f>N14</f>
        <v>43261</v>
      </c>
      <c r="Q14" s="38">
        <f>O14</f>
        <v>43353</v>
      </c>
      <c r="R14" s="38">
        <f>Q14+1</f>
        <v>43354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42"/>
      <c r="AE14" s="125" t="str">
        <f>IF($AF$7&gt;=1,"Power Spread Flag", "")</f>
        <v>Power Spread Flag</v>
      </c>
      <c r="AF14" s="125"/>
      <c r="AG14" s="117">
        <v>0</v>
      </c>
      <c r="AH14" s="117"/>
      <c r="AI14" s="118" t="str">
        <f>IF(AG14&gt;0,"PowerSpreadFlag 1일때 입력","입력필요X")</f>
        <v>입력필요X</v>
      </c>
      <c r="AJ14" s="118"/>
      <c r="AK14" s="118" t="str">
        <f>IF(AG14&gt;0,"만기1","")</f>
        <v/>
      </c>
      <c r="AL14" s="118"/>
      <c r="AM14" s="119">
        <v>10</v>
      </c>
      <c r="AN14" s="120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70" t="str">
        <f>IF($D$7&gt;0, "사용", "커브개수"&amp;"="&amp;$D$7&amp;"이므로 사용안함")</f>
        <v>사용</v>
      </c>
      <c r="C15" s="158" t="str">
        <f>IF($D$7&gt;=1,"기초금리 Range상한", "")</f>
        <v>기초금리 Range상한</v>
      </c>
      <c r="D15" s="158"/>
      <c r="E15" s="147">
        <v>10</v>
      </c>
      <c r="F15" s="168"/>
      <c r="G15" s="165"/>
      <c r="H15" s="165"/>
      <c r="I15" s="165" t="str">
        <f>IF(E14&gt;0,"만기2","")</f>
        <v/>
      </c>
      <c r="J15" s="165"/>
      <c r="K15" s="119">
        <v>5</v>
      </c>
      <c r="L15" s="120"/>
      <c r="M15" s="34"/>
      <c r="N15" s="38">
        <f t="shared" ref="N15:N52" si="2">O14</f>
        <v>43353</v>
      </c>
      <c r="O15" s="38">
        <f t="shared" ref="O15:O52" si="3">EDATE(N15,3)</f>
        <v>43444</v>
      </c>
      <c r="P15" s="38">
        <f t="shared" ref="P15:P52" si="4">N15</f>
        <v>43353</v>
      </c>
      <c r="Q15" s="38">
        <f t="shared" ref="Q15:Q52" si="5">O15</f>
        <v>43444</v>
      </c>
      <c r="R15" s="38">
        <f t="shared" ref="R15:R52" si="6">Q15+1</f>
        <v>43445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42" t="str">
        <f>IF($AF$7&gt;0, "사용", "커브개수"&amp;"="&amp;$AF$7&amp;"이므로 사용안함")</f>
        <v>사용</v>
      </c>
      <c r="AE15" s="125" t="str">
        <f>IF($AF$7&gt;=1,"기초금리 Range상한", "")</f>
        <v>기초금리 Range상한</v>
      </c>
      <c r="AF15" s="125"/>
      <c r="AG15" s="147">
        <v>10</v>
      </c>
      <c r="AH15" s="147"/>
      <c r="AI15" s="118"/>
      <c r="AJ15" s="118"/>
      <c r="AK15" s="118" t="str">
        <f>IF(AG14&gt;0,"만기2","")</f>
        <v/>
      </c>
      <c r="AL15" s="118"/>
      <c r="AM15" s="119">
        <v>5</v>
      </c>
      <c r="AN15" s="120"/>
      <c r="AP15" s="38">
        <f t="shared" ref="AP15:AP52" si="7">AQ14</f>
        <v>43353</v>
      </c>
      <c r="AQ15" s="38">
        <f t="shared" ref="AQ15:AQ52" si="8">EDATE(AP15,3)</f>
        <v>43444</v>
      </c>
      <c r="AR15" s="38">
        <f t="shared" ref="AR15:AR52" si="9">AP15</f>
        <v>43353</v>
      </c>
      <c r="AS15" s="38">
        <f t="shared" ref="AS15:AS52" si="10">AQ15</f>
        <v>43444</v>
      </c>
      <c r="AT15" s="38">
        <f t="shared" ref="AT15:AT52" si="11">AS15+1</f>
        <v>43445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70"/>
      <c r="C16" s="158" t="str">
        <f>IF($D$7&gt;=1,"기초금리 Range하한", "")</f>
        <v>기초금리 Range하한</v>
      </c>
      <c r="D16" s="159"/>
      <c r="E16" s="127">
        <v>-1</v>
      </c>
      <c r="F16" s="169"/>
      <c r="G16" s="171"/>
      <c r="H16" s="171"/>
      <c r="I16" s="166" t="str">
        <f>IF(E14&gt;0,"Spread1","")</f>
        <v/>
      </c>
      <c r="J16" s="166"/>
      <c r="K16" s="156" t="str">
        <f>IF(E14&gt;0, I14&amp;"-"&amp;I15, "")</f>
        <v/>
      </c>
      <c r="L16" s="157"/>
      <c r="M16" s="34"/>
      <c r="N16" s="38">
        <f t="shared" si="2"/>
        <v>43444</v>
      </c>
      <c r="O16" s="38">
        <f t="shared" si="3"/>
        <v>43534</v>
      </c>
      <c r="P16" s="38">
        <f t="shared" si="4"/>
        <v>43444</v>
      </c>
      <c r="Q16" s="38">
        <f t="shared" si="5"/>
        <v>43534</v>
      </c>
      <c r="R16" s="38">
        <f t="shared" si="6"/>
        <v>43535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42"/>
      <c r="AE16" s="125" t="str">
        <f>IF($AF$7&gt;=1,"기초금리 Range하한", "")</f>
        <v>기초금리 Range하한</v>
      </c>
      <c r="AF16" s="126"/>
      <c r="AG16" s="127">
        <v>-1</v>
      </c>
      <c r="AH16" s="127"/>
      <c r="AI16" s="124"/>
      <c r="AJ16" s="124"/>
      <c r="AK16" s="121" t="str">
        <f>IF(AG14&gt;0,"Spread1","")</f>
        <v/>
      </c>
      <c r="AL16" s="121"/>
      <c r="AM16" s="122" t="str">
        <f>IF(AG14&gt;0, AK14&amp;"-"&amp;AK15, "")</f>
        <v/>
      </c>
      <c r="AN16" s="123"/>
      <c r="AO16" s="34"/>
      <c r="AP16" s="38">
        <f t="shared" si="7"/>
        <v>43444</v>
      </c>
      <c r="AQ16" s="38">
        <f t="shared" si="8"/>
        <v>43534</v>
      </c>
      <c r="AR16" s="38">
        <f t="shared" si="9"/>
        <v>43444</v>
      </c>
      <c r="AS16" s="38">
        <f t="shared" si="10"/>
        <v>43534</v>
      </c>
      <c r="AT16" s="38">
        <f t="shared" si="11"/>
        <v>43535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8" t="str">
        <f>IF($D$7&gt;=1,"Payoff조건Multiple", "")</f>
        <v>Payoff조건Multiple</v>
      </c>
      <c r="D17" s="148"/>
      <c r="E17" s="133">
        <v>1</v>
      </c>
      <c r="F17" s="154"/>
      <c r="G17" s="114" t="str">
        <f>IF(E14&gt;0,"예시) 10년-5년 스왑: 연 지급횟수=4, 만기1=10, 만기2=5","")</f>
        <v/>
      </c>
      <c r="H17" s="114"/>
      <c r="I17" s="114"/>
      <c r="J17" s="114"/>
      <c r="K17" s="114"/>
      <c r="L17" s="115"/>
      <c r="M17" s="34"/>
      <c r="N17" s="38">
        <f t="shared" si="2"/>
        <v>43534</v>
      </c>
      <c r="O17" s="38">
        <f t="shared" si="3"/>
        <v>43626</v>
      </c>
      <c r="P17" s="38">
        <f t="shared" si="4"/>
        <v>43534</v>
      </c>
      <c r="Q17" s="38">
        <f t="shared" si="5"/>
        <v>43626</v>
      </c>
      <c r="R17" s="38">
        <f t="shared" si="6"/>
        <v>43627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34" t="str">
        <f>IF($AF$7&gt;=1,"Payoff조건Multiple", "")</f>
        <v>Payoff조건Multiple</v>
      </c>
      <c r="AF17" s="134"/>
      <c r="AG17" s="133">
        <v>1</v>
      </c>
      <c r="AH17" s="133"/>
      <c r="AI17" s="114" t="str">
        <f>IF(AG14&gt;0,"예시) 10년-5년 스왑: 연 지급횟수=4, 만기1=10, 만기2=5","")</f>
        <v/>
      </c>
      <c r="AJ17" s="114"/>
      <c r="AK17" s="114"/>
      <c r="AL17" s="114"/>
      <c r="AM17" s="114"/>
      <c r="AN17" s="115"/>
      <c r="AO17" s="34"/>
      <c r="AP17" s="38">
        <f t="shared" si="7"/>
        <v>43534</v>
      </c>
      <c r="AQ17" s="38">
        <f t="shared" si="8"/>
        <v>43626</v>
      </c>
      <c r="AR17" s="38">
        <f t="shared" si="9"/>
        <v>43534</v>
      </c>
      <c r="AS17" s="38">
        <f t="shared" si="10"/>
        <v>43626</v>
      </c>
      <c r="AT17" s="38">
        <f t="shared" si="11"/>
        <v>43627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43626</v>
      </c>
      <c r="O18" s="38">
        <f t="shared" si="3"/>
        <v>43718</v>
      </c>
      <c r="P18" s="38">
        <f t="shared" si="4"/>
        <v>43626</v>
      </c>
      <c r="Q18" s="38">
        <f t="shared" si="5"/>
        <v>43718</v>
      </c>
      <c r="R18" s="38">
        <f t="shared" si="6"/>
        <v>43719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f t="shared" si="7"/>
        <v>43626</v>
      </c>
      <c r="AQ18" s="38">
        <f t="shared" si="8"/>
        <v>43718</v>
      </c>
      <c r="AR18" s="38">
        <f t="shared" si="9"/>
        <v>43626</v>
      </c>
      <c r="AS18" s="38">
        <f t="shared" si="10"/>
        <v>43718</v>
      </c>
      <c r="AT18" s="38">
        <f t="shared" si="11"/>
        <v>43719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90" t="str">
        <f>IF(D7&gt;=2,"기초금리2", "")</f>
        <v/>
      </c>
      <c r="C19" s="173" t="str">
        <f>IF($D$7&gt;=2,"커브번호", "")</f>
        <v/>
      </c>
      <c r="D19" s="173"/>
      <c r="E19" s="138">
        <v>2</v>
      </c>
      <c r="F19" s="138"/>
      <c r="G19" s="65"/>
      <c r="H19" s="36"/>
      <c r="I19" s="152" t="str">
        <f>IF(OR(E20 = 0, E20 = 2, E20 = 4), "RefType = "&amp;E20&amp;" 이므로 Ref Swap 금리정보 사용안함", "사용")</f>
        <v>RefType = 0 이므로 Ref Swap 금리정보 사용안함</v>
      </c>
      <c r="J19" s="152"/>
      <c r="K19" s="152"/>
      <c r="L19" s="153"/>
      <c r="M19" s="34"/>
      <c r="N19" s="38">
        <f t="shared" si="2"/>
        <v>43718</v>
      </c>
      <c r="O19" s="38">
        <f t="shared" si="3"/>
        <v>43809</v>
      </c>
      <c r="P19" s="38">
        <f t="shared" si="4"/>
        <v>43718</v>
      </c>
      <c r="Q19" s="38">
        <f t="shared" si="5"/>
        <v>43809</v>
      </c>
      <c r="R19" s="38">
        <f t="shared" si="6"/>
        <v>43810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41" t="str">
        <f>IF($AF$7&gt;=2,"기초금리2", "")</f>
        <v/>
      </c>
      <c r="AE19" s="137" t="str">
        <f>IF($AF$7&gt;=2,"커브번호", "")</f>
        <v/>
      </c>
      <c r="AF19" s="137"/>
      <c r="AG19" s="138">
        <v>2</v>
      </c>
      <c r="AH19" s="138"/>
      <c r="AI19" s="65"/>
      <c r="AJ19" s="36"/>
      <c r="AK19" s="135" t="str">
        <f>IF(OR(AG20 = 0, AG20 = 2, AG20 = 4), "RefType = "&amp;AG20&amp;" 이므로 Ref Swap 금리정보 사용안함", "사용")</f>
        <v>RefType = 0 이므로 Ref Swap 금리정보 사용안함</v>
      </c>
      <c r="AL19" s="135"/>
      <c r="AM19" s="135"/>
      <c r="AN19" s="136"/>
      <c r="AP19" s="38">
        <f t="shared" si="7"/>
        <v>43718</v>
      </c>
      <c r="AQ19" s="38">
        <f t="shared" si="8"/>
        <v>43809</v>
      </c>
      <c r="AR19" s="38">
        <f t="shared" si="9"/>
        <v>43718</v>
      </c>
      <c r="AS19" s="38">
        <f t="shared" si="10"/>
        <v>43809</v>
      </c>
      <c r="AT19" s="38">
        <f t="shared" si="11"/>
        <v>43810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70"/>
      <c r="C20" s="159" t="str">
        <f>IF($D$7&gt;=2,"Reference Rate Type", "")</f>
        <v/>
      </c>
      <c r="D20" s="160"/>
      <c r="E20" s="140">
        <v>0</v>
      </c>
      <c r="F20" s="140"/>
      <c r="G20" s="143" t="str">
        <f>IF(OR(E20 = 0, E20 = 2, E20 = 4), "", "Zero/Swap 레퍼런스금리정보")</f>
        <v/>
      </c>
      <c r="H20" s="143"/>
      <c r="I20" s="143" t="str">
        <f>IF(OR(E20 = 0, E20 = 2, E20 = 4), "", "연 지급횟수")</f>
        <v/>
      </c>
      <c r="J20" s="144"/>
      <c r="K20" s="130">
        <v>4</v>
      </c>
      <c r="L20" s="131"/>
      <c r="M20" s="34"/>
      <c r="N20" s="38">
        <f t="shared" si="2"/>
        <v>43809</v>
      </c>
      <c r="O20" s="38">
        <f t="shared" si="3"/>
        <v>43900</v>
      </c>
      <c r="P20" s="38">
        <f t="shared" si="4"/>
        <v>43809</v>
      </c>
      <c r="Q20" s="38">
        <f t="shared" si="5"/>
        <v>43900</v>
      </c>
      <c r="R20" s="38">
        <f t="shared" si="6"/>
        <v>43901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42"/>
      <c r="AE20" s="126" t="str">
        <f>IF($AF$7&gt;=2,"Reference Rate Type", "")</f>
        <v/>
      </c>
      <c r="AF20" s="139"/>
      <c r="AG20" s="140">
        <v>0</v>
      </c>
      <c r="AH20" s="140"/>
      <c r="AI20" s="128" t="str">
        <f>IF(OR(AG20 = 0, AG20 = 2, AG20 = 4), "", "Zero/Swap 레퍼런스금리정보")</f>
        <v/>
      </c>
      <c r="AJ20" s="128"/>
      <c r="AK20" s="128" t="str">
        <f>IF(OR(AG20 = 0, AG20 = 2, AG20 = 4), "", "연 지급횟수")</f>
        <v/>
      </c>
      <c r="AL20" s="129"/>
      <c r="AM20" s="130">
        <v>4</v>
      </c>
      <c r="AN20" s="131"/>
      <c r="AP20" s="38">
        <f t="shared" si="7"/>
        <v>43809</v>
      </c>
      <c r="AQ20" s="38">
        <f t="shared" si="8"/>
        <v>43900</v>
      </c>
      <c r="AR20" s="38">
        <f t="shared" si="9"/>
        <v>43809</v>
      </c>
      <c r="AS20" s="38">
        <f t="shared" si="10"/>
        <v>43900</v>
      </c>
      <c r="AT20" s="38">
        <f t="shared" si="11"/>
        <v>43901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70"/>
      <c r="C21" s="159" t="str">
        <f>IF($D$7&gt;=2,"DayCount", "")</f>
        <v/>
      </c>
      <c r="D21" s="159"/>
      <c r="E21" s="117">
        <v>0</v>
      </c>
      <c r="F21" s="117"/>
      <c r="G21" s="143"/>
      <c r="H21" s="143"/>
      <c r="I21" s="143" t="str">
        <f>IF(OR(E20 = 0, E20 = 2, E20 = 4,E23=1), "", "만기")</f>
        <v/>
      </c>
      <c r="J21" s="144"/>
      <c r="K21" s="145">
        <v>1</v>
      </c>
      <c r="L21" s="146"/>
      <c r="M21" s="34"/>
      <c r="N21" s="38">
        <f t="shared" si="2"/>
        <v>43900</v>
      </c>
      <c r="O21" s="38">
        <f t="shared" si="3"/>
        <v>43992</v>
      </c>
      <c r="P21" s="38">
        <f t="shared" si="4"/>
        <v>43900</v>
      </c>
      <c r="Q21" s="38">
        <f t="shared" si="5"/>
        <v>43992</v>
      </c>
      <c r="R21" s="38">
        <f t="shared" si="6"/>
        <v>43993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42"/>
      <c r="AE21" s="126" t="str">
        <f>IF($AF$7&gt;=2,"DayCount", "")</f>
        <v/>
      </c>
      <c r="AF21" s="126"/>
      <c r="AG21" s="117">
        <v>0</v>
      </c>
      <c r="AH21" s="117"/>
      <c r="AI21" s="128"/>
      <c r="AJ21" s="128"/>
      <c r="AK21" s="143" t="str">
        <f>IF(OR(AG20 = 0, AG20 = 2, AG20 = 4,AG23=1), "", "만기")</f>
        <v/>
      </c>
      <c r="AL21" s="144"/>
      <c r="AM21" s="145">
        <v>5</v>
      </c>
      <c r="AN21" s="146"/>
      <c r="AP21" s="38">
        <f t="shared" si="7"/>
        <v>43900</v>
      </c>
      <c r="AQ21" s="38">
        <f t="shared" si="8"/>
        <v>43992</v>
      </c>
      <c r="AR21" s="38">
        <f t="shared" si="9"/>
        <v>43900</v>
      </c>
      <c r="AS21" s="38">
        <f t="shared" si="10"/>
        <v>43992</v>
      </c>
      <c r="AT21" s="38">
        <f t="shared" si="11"/>
        <v>43993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70"/>
      <c r="C22" s="159" t="str">
        <f>IF($D$7&gt;=2,"금리결정조건Multiple", "")</f>
        <v/>
      </c>
      <c r="D22" s="160"/>
      <c r="E22" s="116">
        <v>1</v>
      </c>
      <c r="F22" s="116"/>
      <c r="G22" s="112" t="str">
        <f>IF(OR(E20 = 0, E20 = 2, E20 = 4), "", "ex) Zero Rate 5년 -&gt; 연 지급횟수= 0, 만기= 5 // CD91일 -&gt; 연 지급횟수= 4, 만기= 0.25")</f>
        <v/>
      </c>
      <c r="H22" s="112"/>
      <c r="I22" s="112"/>
      <c r="J22" s="112"/>
      <c r="K22" s="112"/>
      <c r="L22" s="113"/>
      <c r="M22" s="34"/>
      <c r="N22" s="38">
        <f t="shared" si="2"/>
        <v>43992</v>
      </c>
      <c r="O22" s="38">
        <f t="shared" si="3"/>
        <v>44084</v>
      </c>
      <c r="P22" s="38">
        <f t="shared" si="4"/>
        <v>43992</v>
      </c>
      <c r="Q22" s="38">
        <f t="shared" si="5"/>
        <v>44084</v>
      </c>
      <c r="R22" s="38">
        <f t="shared" si="6"/>
        <v>44085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42"/>
      <c r="AE22" s="126" t="str">
        <f>IF($AF$7&gt;=2,"금리결정조건Multiple", "")</f>
        <v/>
      </c>
      <c r="AF22" s="139"/>
      <c r="AG22" s="116">
        <v>1</v>
      </c>
      <c r="AH22" s="116"/>
      <c r="AI22" s="112" t="str">
        <f>IF(OR(AG20 = 0, AG20 = 2, AG20 = 4), "", "ex) Zero Rate 5년 -&gt; 연 지급횟수= 0, 만기= 5 // CD91일 -&gt; 연 지급횟수= 4, 만기= 0.25")</f>
        <v/>
      </c>
      <c r="AJ22" s="112"/>
      <c r="AK22" s="112"/>
      <c r="AL22" s="112"/>
      <c r="AM22" s="112"/>
      <c r="AN22" s="113"/>
      <c r="AP22" s="38">
        <f t="shared" si="7"/>
        <v>43992</v>
      </c>
      <c r="AQ22" s="38">
        <f t="shared" si="8"/>
        <v>44084</v>
      </c>
      <c r="AR22" s="38">
        <f t="shared" si="9"/>
        <v>43992</v>
      </c>
      <c r="AS22" s="38">
        <f t="shared" si="10"/>
        <v>44084</v>
      </c>
      <c r="AT22" s="38">
        <f t="shared" si="11"/>
        <v>44085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70"/>
      <c r="C23" s="158" t="str">
        <f>IF($D$7&gt;=2,"Power Spread Flag", "")</f>
        <v/>
      </c>
      <c r="D23" s="158"/>
      <c r="E23" s="117">
        <v>0</v>
      </c>
      <c r="F23" s="117"/>
      <c r="G23" s="165" t="str">
        <f>IF(E23&gt;0,"PowerSpreadFlag 1일때 입력","입력필요X")</f>
        <v>입력필요X</v>
      </c>
      <c r="H23" s="165"/>
      <c r="I23" s="165" t="str">
        <f>IF(E23&gt;0,"만기1","")</f>
        <v/>
      </c>
      <c r="J23" s="165"/>
      <c r="K23" s="119">
        <v>10</v>
      </c>
      <c r="L23" s="120"/>
      <c r="M23" s="34"/>
      <c r="N23" s="38">
        <f t="shared" si="2"/>
        <v>44084</v>
      </c>
      <c r="O23" s="38">
        <f t="shared" si="3"/>
        <v>44175</v>
      </c>
      <c r="P23" s="38">
        <f t="shared" si="4"/>
        <v>44084</v>
      </c>
      <c r="Q23" s="38">
        <f t="shared" si="5"/>
        <v>44175</v>
      </c>
      <c r="R23" s="38">
        <f t="shared" si="6"/>
        <v>44176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42"/>
      <c r="AE23" s="125" t="str">
        <f>IF($AF$7&gt;=2,"Power Spread Flag", "")</f>
        <v/>
      </c>
      <c r="AF23" s="125"/>
      <c r="AG23" s="117">
        <v>0</v>
      </c>
      <c r="AH23" s="117"/>
      <c r="AI23" s="118" t="str">
        <f>IF(AG23&gt;0,"PowerSpreadFlag 1일때 입력","입력필요X")</f>
        <v>입력필요X</v>
      </c>
      <c r="AJ23" s="118"/>
      <c r="AK23" s="118" t="str">
        <f>IF(AG23&gt;0,"만기1","")</f>
        <v/>
      </c>
      <c r="AL23" s="118"/>
      <c r="AM23" s="119">
        <v>10</v>
      </c>
      <c r="AN23" s="120"/>
      <c r="AP23" s="38">
        <f t="shared" si="7"/>
        <v>44084</v>
      </c>
      <c r="AQ23" s="38">
        <f t="shared" si="8"/>
        <v>44175</v>
      </c>
      <c r="AR23" s="38">
        <f t="shared" si="9"/>
        <v>44084</v>
      </c>
      <c r="AS23" s="38">
        <f t="shared" si="10"/>
        <v>44175</v>
      </c>
      <c r="AT23" s="38">
        <f t="shared" si="11"/>
        <v>44176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70" t="str">
        <f>IF($D$7&gt;1, "사용", "커브개수"&amp;"="&amp;$D$7&amp;"이므로 사용안함")</f>
        <v>커브개수=1이므로 사용안함</v>
      </c>
      <c r="C24" s="158" t="str">
        <f>IF($D$7&gt;=2,"기초금리 Range상한", "")</f>
        <v/>
      </c>
      <c r="D24" s="158"/>
      <c r="E24" s="147">
        <v>10</v>
      </c>
      <c r="F24" s="147"/>
      <c r="G24" s="165"/>
      <c r="H24" s="165"/>
      <c r="I24" s="165" t="str">
        <f>IF(E23&gt;0,"만기2","")</f>
        <v/>
      </c>
      <c r="J24" s="165"/>
      <c r="K24" s="119">
        <v>5</v>
      </c>
      <c r="L24" s="120"/>
      <c r="M24" s="34"/>
      <c r="N24" s="38">
        <f t="shared" si="2"/>
        <v>44175</v>
      </c>
      <c r="O24" s="38">
        <f t="shared" si="3"/>
        <v>44265</v>
      </c>
      <c r="P24" s="38">
        <f t="shared" si="4"/>
        <v>44175</v>
      </c>
      <c r="Q24" s="38">
        <f t="shared" si="5"/>
        <v>44265</v>
      </c>
      <c r="R24" s="38">
        <f t="shared" si="6"/>
        <v>44266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42" t="str">
        <f>IF($AF$7&gt;1, "사용", "커브개수"&amp;"="&amp;$AF$7&amp;"이므로 사용안함")</f>
        <v>커브개수=1이므로 사용안함</v>
      </c>
      <c r="AE24" s="125" t="str">
        <f>IF($AF$7&gt;=2,"기초금리 Range상한", "")</f>
        <v/>
      </c>
      <c r="AF24" s="125"/>
      <c r="AG24" s="147">
        <v>0.5</v>
      </c>
      <c r="AH24" s="147"/>
      <c r="AI24" s="118"/>
      <c r="AJ24" s="118"/>
      <c r="AK24" s="118" t="str">
        <f>IF(AG23&gt;0,"만기2","")</f>
        <v/>
      </c>
      <c r="AL24" s="118"/>
      <c r="AM24" s="119">
        <v>5</v>
      </c>
      <c r="AN24" s="120"/>
      <c r="AP24" s="38">
        <f t="shared" si="7"/>
        <v>44175</v>
      </c>
      <c r="AQ24" s="38">
        <f t="shared" si="8"/>
        <v>44265</v>
      </c>
      <c r="AR24" s="38">
        <f t="shared" si="9"/>
        <v>44175</v>
      </c>
      <c r="AS24" s="38">
        <f t="shared" si="10"/>
        <v>44265</v>
      </c>
      <c r="AT24" s="38">
        <f t="shared" si="11"/>
        <v>44266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70"/>
      <c r="C25" s="158" t="str">
        <f>IF($D$7&gt;=2,"기초금리 Range하한", "")</f>
        <v/>
      </c>
      <c r="D25" s="159"/>
      <c r="E25" s="127">
        <v>-1</v>
      </c>
      <c r="F25" s="127"/>
      <c r="G25" s="171"/>
      <c r="H25" s="171"/>
      <c r="I25" s="166" t="str">
        <f>IF(E23&gt;0,"Spread1","")</f>
        <v/>
      </c>
      <c r="J25" s="166"/>
      <c r="K25" s="156" t="str">
        <f>IF(E23&gt;0, I23&amp;"-"&amp;I24, "")</f>
        <v/>
      </c>
      <c r="L25" s="157"/>
      <c r="N25" s="38">
        <f t="shared" si="2"/>
        <v>44265</v>
      </c>
      <c r="O25" s="38">
        <f t="shared" si="3"/>
        <v>44357</v>
      </c>
      <c r="P25" s="38">
        <f t="shared" si="4"/>
        <v>44265</v>
      </c>
      <c r="Q25" s="38">
        <f t="shared" si="5"/>
        <v>44357</v>
      </c>
      <c r="R25" s="38">
        <f t="shared" si="6"/>
        <v>44358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42"/>
      <c r="AE25" s="125" t="str">
        <f>IF($AF$7&gt;=2,"기초금리 Range하한", "")</f>
        <v/>
      </c>
      <c r="AF25" s="126"/>
      <c r="AG25" s="127">
        <v>-0.1</v>
      </c>
      <c r="AH25" s="127"/>
      <c r="AI25" s="124"/>
      <c r="AJ25" s="124"/>
      <c r="AK25" s="121" t="str">
        <f>IF(AG23&gt;0,"Spread1","")</f>
        <v/>
      </c>
      <c r="AL25" s="121"/>
      <c r="AM25" s="122" t="str">
        <f>IF(AG23&gt;0, AK23&amp;"-"&amp;AK24, "")</f>
        <v/>
      </c>
      <c r="AN25" s="123"/>
      <c r="AP25" s="38">
        <f t="shared" si="7"/>
        <v>44265</v>
      </c>
      <c r="AQ25" s="38">
        <f t="shared" si="8"/>
        <v>44357</v>
      </c>
      <c r="AR25" s="38">
        <f t="shared" si="9"/>
        <v>44265</v>
      </c>
      <c r="AS25" s="38">
        <f t="shared" si="10"/>
        <v>44357</v>
      </c>
      <c r="AT25" s="38">
        <f t="shared" si="11"/>
        <v>44358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8" t="str">
        <f>IF($D$7&gt;=2,"Payoff조건Multiple", "")</f>
        <v/>
      </c>
      <c r="D26" s="148"/>
      <c r="E26" s="133">
        <v>0</v>
      </c>
      <c r="F26" s="133"/>
      <c r="G26" s="114" t="str">
        <f>IF(E23&gt;0,"예시) 10년-5년 스왑: 연 지급횟수=4, 만기1=10, 만기2=5","")</f>
        <v/>
      </c>
      <c r="H26" s="114"/>
      <c r="I26" s="114"/>
      <c r="J26" s="114"/>
      <c r="K26" s="114"/>
      <c r="L26" s="115"/>
      <c r="N26" s="38">
        <f t="shared" si="2"/>
        <v>44357</v>
      </c>
      <c r="O26" s="38">
        <f t="shared" si="3"/>
        <v>44449</v>
      </c>
      <c r="P26" s="38">
        <f t="shared" si="4"/>
        <v>44357</v>
      </c>
      <c r="Q26" s="38">
        <f t="shared" si="5"/>
        <v>44449</v>
      </c>
      <c r="R26" s="38">
        <f t="shared" si="6"/>
        <v>44450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34" t="str">
        <f>IF($AF$7&gt;=2,"Payoff조건Multiple", "")</f>
        <v/>
      </c>
      <c r="AF26" s="134"/>
      <c r="AG26" s="133">
        <v>0</v>
      </c>
      <c r="AH26" s="133"/>
      <c r="AI26" s="114" t="str">
        <f>IF(AG23&gt;0,"예시) 10년-5년 스왑: 연 지급횟수=4, 만기1=10, 만기2=5","")</f>
        <v/>
      </c>
      <c r="AJ26" s="114"/>
      <c r="AK26" s="114"/>
      <c r="AL26" s="114"/>
      <c r="AM26" s="114"/>
      <c r="AN26" s="115"/>
      <c r="AP26" s="38">
        <f t="shared" si="7"/>
        <v>44357</v>
      </c>
      <c r="AQ26" s="38">
        <f t="shared" si="8"/>
        <v>44449</v>
      </c>
      <c r="AR26" s="38">
        <f t="shared" si="9"/>
        <v>44357</v>
      </c>
      <c r="AS26" s="38">
        <f t="shared" si="10"/>
        <v>44449</v>
      </c>
      <c r="AT26" s="38">
        <f t="shared" si="11"/>
        <v>44450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44449</v>
      </c>
      <c r="O27" s="38">
        <f t="shared" si="3"/>
        <v>44540</v>
      </c>
      <c r="P27" s="38">
        <f t="shared" si="4"/>
        <v>44449</v>
      </c>
      <c r="Q27" s="38">
        <f t="shared" si="5"/>
        <v>44540</v>
      </c>
      <c r="R27" s="38">
        <f t="shared" si="6"/>
        <v>44541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f t="shared" si="7"/>
        <v>44449</v>
      </c>
      <c r="AQ27" s="38">
        <f t="shared" si="8"/>
        <v>44540</v>
      </c>
      <c r="AR27" s="38">
        <f t="shared" si="9"/>
        <v>44449</v>
      </c>
      <c r="AS27" s="38">
        <f t="shared" si="10"/>
        <v>44540</v>
      </c>
      <c r="AT27" s="38">
        <f t="shared" si="11"/>
        <v>44541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90" t="str">
        <f>IF($D$7&gt;=3,"기초금리3", "")</f>
        <v/>
      </c>
      <c r="C28" s="173" t="str">
        <f>IF($D$7&gt;=3,"커브번호", "")</f>
        <v/>
      </c>
      <c r="D28" s="173"/>
      <c r="E28" s="138">
        <v>3</v>
      </c>
      <c r="F28" s="138"/>
      <c r="G28" s="65"/>
      <c r="H28" s="36"/>
      <c r="I28" s="152" t="str">
        <f>IF(OR(E29 = 0, E29 = 2, E29 = 4), "RefType = "&amp;E29&amp;" 이므로 Ref Swap 금리정보 사용안함", "사용")</f>
        <v>RefType = 0 이므로 Ref Swap 금리정보 사용안함</v>
      </c>
      <c r="J28" s="152"/>
      <c r="K28" s="152"/>
      <c r="L28" s="153"/>
      <c r="N28" s="38">
        <f t="shared" si="2"/>
        <v>44540</v>
      </c>
      <c r="O28" s="38">
        <f t="shared" si="3"/>
        <v>44630</v>
      </c>
      <c r="P28" s="38">
        <f t="shared" si="4"/>
        <v>44540</v>
      </c>
      <c r="Q28" s="38">
        <f t="shared" si="5"/>
        <v>44630</v>
      </c>
      <c r="R28" s="38">
        <f t="shared" si="6"/>
        <v>44631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41" t="str">
        <f>IF($AF$7&gt;=3,"기초금리3", "")</f>
        <v/>
      </c>
      <c r="AE28" s="137" t="str">
        <f>IF($AF$7&gt;=3,"커브번호", "")</f>
        <v/>
      </c>
      <c r="AF28" s="137"/>
      <c r="AG28" s="138">
        <v>3</v>
      </c>
      <c r="AH28" s="138"/>
      <c r="AI28" s="65"/>
      <c r="AJ28" s="36"/>
      <c r="AK28" s="135" t="str">
        <f>IF(OR(AG29 = 0, AG29 = 2, AG29 = 4), "RefType = "&amp;AG29&amp;" 이므로 Ref Swap 금리정보 사용안함", "사용")</f>
        <v>RefType = 0 이므로 Ref Swap 금리정보 사용안함</v>
      </c>
      <c r="AL28" s="135"/>
      <c r="AM28" s="135"/>
      <c r="AN28" s="136"/>
      <c r="AP28" s="38">
        <f t="shared" si="7"/>
        <v>44540</v>
      </c>
      <c r="AQ28" s="38">
        <f t="shared" si="8"/>
        <v>44630</v>
      </c>
      <c r="AR28" s="38">
        <f t="shared" si="9"/>
        <v>44540</v>
      </c>
      <c r="AS28" s="38">
        <f t="shared" si="10"/>
        <v>44630</v>
      </c>
      <c r="AT28" s="38">
        <f t="shared" si="11"/>
        <v>44631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70"/>
      <c r="C29" s="159" t="str">
        <f>IF($D$7&gt;=3,"Reference Rate Type", "")</f>
        <v/>
      </c>
      <c r="D29" s="160"/>
      <c r="E29" s="140">
        <v>0</v>
      </c>
      <c r="F29" s="140"/>
      <c r="G29" s="143" t="str">
        <f>IF(OR(E29 = 0, E29 = 2, E29 = 4), "", "Zero/Swap 레퍼런스금리정보")</f>
        <v/>
      </c>
      <c r="H29" s="143"/>
      <c r="I29" s="143" t="str">
        <f>IF(OR(E29 = 0, E29 = 2, E29 = 4), "", "연 지급횟수")</f>
        <v/>
      </c>
      <c r="J29" s="144"/>
      <c r="K29" s="130">
        <v>4</v>
      </c>
      <c r="L29" s="131"/>
      <c r="N29" s="38">
        <f t="shared" si="2"/>
        <v>44630</v>
      </c>
      <c r="O29" s="38">
        <f t="shared" si="3"/>
        <v>44722</v>
      </c>
      <c r="P29" s="38">
        <f t="shared" si="4"/>
        <v>44630</v>
      </c>
      <c r="Q29" s="38">
        <f t="shared" si="5"/>
        <v>44722</v>
      </c>
      <c r="R29" s="38">
        <f t="shared" si="6"/>
        <v>44723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42"/>
      <c r="AE29" s="126" t="str">
        <f>IF($AF$7&gt;=3,"Reference Rate Type", "")</f>
        <v/>
      </c>
      <c r="AF29" s="139"/>
      <c r="AG29" s="140">
        <v>0</v>
      </c>
      <c r="AH29" s="140"/>
      <c r="AI29" s="128" t="str">
        <f>IF(OR(AG29 = 0, AG29 = 2, AG29 = 4), "", "Zero/Swap 레퍼런스금리정보")</f>
        <v/>
      </c>
      <c r="AJ29" s="128"/>
      <c r="AK29" s="128" t="str">
        <f>IF(OR(AG29 = 0, AG29 = 2, AG29 = 4), "", "연 지급횟수")</f>
        <v/>
      </c>
      <c r="AL29" s="129"/>
      <c r="AM29" s="130">
        <v>4</v>
      </c>
      <c r="AN29" s="131"/>
      <c r="AP29" s="38">
        <f t="shared" si="7"/>
        <v>44630</v>
      </c>
      <c r="AQ29" s="38">
        <f t="shared" si="8"/>
        <v>44722</v>
      </c>
      <c r="AR29" s="38">
        <f t="shared" si="9"/>
        <v>44630</v>
      </c>
      <c r="AS29" s="38">
        <f t="shared" si="10"/>
        <v>44722</v>
      </c>
      <c r="AT29" s="38">
        <f t="shared" si="11"/>
        <v>44723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70"/>
      <c r="C30" s="159" t="str">
        <f>IF($D$7&gt;=3,"DayCount", "")</f>
        <v/>
      </c>
      <c r="D30" s="159"/>
      <c r="E30" s="117">
        <v>0</v>
      </c>
      <c r="F30" s="117"/>
      <c r="G30" s="143"/>
      <c r="H30" s="143"/>
      <c r="I30" s="143" t="str">
        <f>IF(OR(E29 = 0, E29 = 2, E29 = 4,E32=1), "", "만기")</f>
        <v/>
      </c>
      <c r="J30" s="144"/>
      <c r="K30" s="145">
        <v>5</v>
      </c>
      <c r="L30" s="146"/>
      <c r="N30" s="38">
        <f t="shared" si="2"/>
        <v>44722</v>
      </c>
      <c r="O30" s="38">
        <f t="shared" si="3"/>
        <v>44814</v>
      </c>
      <c r="P30" s="38">
        <f t="shared" si="4"/>
        <v>44722</v>
      </c>
      <c r="Q30" s="38">
        <f t="shared" si="5"/>
        <v>44814</v>
      </c>
      <c r="R30" s="38">
        <f t="shared" si="6"/>
        <v>44815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42"/>
      <c r="AE30" s="126" t="str">
        <f>IF($AF$7&gt;=3,"DayCount", "")</f>
        <v/>
      </c>
      <c r="AF30" s="126"/>
      <c r="AG30" s="117">
        <v>0</v>
      </c>
      <c r="AH30" s="117"/>
      <c r="AI30" s="128"/>
      <c r="AJ30" s="128"/>
      <c r="AK30" s="143" t="str">
        <f>IF(OR(AG29 = 0, AG29 = 2, AG29 = 4,AG32=1), "", "만기")</f>
        <v/>
      </c>
      <c r="AL30" s="144"/>
      <c r="AM30" s="145">
        <v>5</v>
      </c>
      <c r="AN30" s="146"/>
      <c r="AP30" s="38">
        <f t="shared" si="7"/>
        <v>44722</v>
      </c>
      <c r="AQ30" s="38">
        <f t="shared" si="8"/>
        <v>44814</v>
      </c>
      <c r="AR30" s="38">
        <f t="shared" si="9"/>
        <v>44722</v>
      </c>
      <c r="AS30" s="38">
        <f t="shared" si="10"/>
        <v>44814</v>
      </c>
      <c r="AT30" s="38">
        <f t="shared" si="11"/>
        <v>44815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70"/>
      <c r="C31" s="159" t="str">
        <f>IF($D$7&gt;=3,"금리결정조건Multiple", "")</f>
        <v/>
      </c>
      <c r="D31" s="160"/>
      <c r="E31" s="116">
        <v>1</v>
      </c>
      <c r="F31" s="116"/>
      <c r="G31" s="112" t="str">
        <f>IF(OR(E29 = 0, E29 = 2, E29 = 4), "", "ex) Zero Rate 5년 -&gt; 연 지급횟수= 0, 만기= 5 // CD91일 -&gt; 연 지급횟수= 4, 만기= 0.25")</f>
        <v/>
      </c>
      <c r="H31" s="112"/>
      <c r="I31" s="112"/>
      <c r="J31" s="112"/>
      <c r="K31" s="112"/>
      <c r="L31" s="113"/>
      <c r="N31" s="38">
        <f t="shared" si="2"/>
        <v>44814</v>
      </c>
      <c r="O31" s="38">
        <f t="shared" si="3"/>
        <v>44905</v>
      </c>
      <c r="P31" s="38">
        <f t="shared" si="4"/>
        <v>44814</v>
      </c>
      <c r="Q31" s="38">
        <f t="shared" si="5"/>
        <v>44905</v>
      </c>
      <c r="R31" s="38">
        <f t="shared" si="6"/>
        <v>44906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42"/>
      <c r="AE31" s="126" t="str">
        <f>IF($AF$7&gt;=3,"금리결정조건Multiple", "")</f>
        <v/>
      </c>
      <c r="AF31" s="139"/>
      <c r="AG31" s="116">
        <v>1</v>
      </c>
      <c r="AH31" s="116"/>
      <c r="AI31" s="112" t="str">
        <f>IF(OR(AG29 = 0, AG29 = 2, AG29 = 4), "", "ex) Zero Rate 5년 -&gt; 연 지급횟수= 0, 만기= 5 // CD91일 -&gt; 연 지급횟수= 4, 만기= 0.25")</f>
        <v/>
      </c>
      <c r="AJ31" s="112"/>
      <c r="AK31" s="112"/>
      <c r="AL31" s="112"/>
      <c r="AM31" s="112"/>
      <c r="AN31" s="113"/>
      <c r="AP31" s="38">
        <f t="shared" si="7"/>
        <v>44814</v>
      </c>
      <c r="AQ31" s="38">
        <f t="shared" si="8"/>
        <v>44905</v>
      </c>
      <c r="AR31" s="38">
        <f t="shared" si="9"/>
        <v>44814</v>
      </c>
      <c r="AS31" s="38">
        <f t="shared" si="10"/>
        <v>44905</v>
      </c>
      <c r="AT31" s="38">
        <f t="shared" si="11"/>
        <v>44906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70"/>
      <c r="C32" s="158" t="str">
        <f>IF($D$7&gt;=3,"Power Spread Flag", "")</f>
        <v/>
      </c>
      <c r="D32" s="158"/>
      <c r="E32" s="117">
        <v>0</v>
      </c>
      <c r="F32" s="117"/>
      <c r="G32" s="165" t="str">
        <f>IF(E32&gt;0,"PowerSpreadFlag 1일때 입력","입력필요X")</f>
        <v>입력필요X</v>
      </c>
      <c r="H32" s="165"/>
      <c r="I32" s="165" t="str">
        <f>IF(E32&gt;0,"만기1","")</f>
        <v/>
      </c>
      <c r="J32" s="165"/>
      <c r="K32" s="119">
        <v>10</v>
      </c>
      <c r="L32" s="120"/>
      <c r="N32" s="38">
        <f t="shared" si="2"/>
        <v>44905</v>
      </c>
      <c r="O32" s="38">
        <f t="shared" si="3"/>
        <v>44995</v>
      </c>
      <c r="P32" s="38">
        <f t="shared" si="4"/>
        <v>44905</v>
      </c>
      <c r="Q32" s="38">
        <f t="shared" si="5"/>
        <v>44995</v>
      </c>
      <c r="R32" s="38">
        <f t="shared" si="6"/>
        <v>44996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42"/>
      <c r="AE32" s="125" t="str">
        <f>IF($AF$7&gt;=3,"Power Spread Flag", "")</f>
        <v/>
      </c>
      <c r="AF32" s="125"/>
      <c r="AG32" s="117">
        <v>0</v>
      </c>
      <c r="AH32" s="117"/>
      <c r="AI32" s="118" t="str">
        <f>IF(AG32&gt;0,"PowerSpreadFlag 1일때 입력","입력필요X")</f>
        <v>입력필요X</v>
      </c>
      <c r="AJ32" s="118"/>
      <c r="AK32" s="118" t="str">
        <f>IF(AG32&gt;0,"만기1","")</f>
        <v/>
      </c>
      <c r="AL32" s="118"/>
      <c r="AM32" s="119">
        <v>10</v>
      </c>
      <c r="AN32" s="120"/>
      <c r="AP32" s="38">
        <f t="shared" si="7"/>
        <v>44905</v>
      </c>
      <c r="AQ32" s="38">
        <f t="shared" si="8"/>
        <v>44995</v>
      </c>
      <c r="AR32" s="38">
        <f t="shared" si="9"/>
        <v>44905</v>
      </c>
      <c r="AS32" s="38">
        <f t="shared" si="10"/>
        <v>44995</v>
      </c>
      <c r="AT32" s="38">
        <f t="shared" si="11"/>
        <v>44996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70" t="str">
        <f>IF($D$7&gt;2, "사용", "커브개수"&amp;"="&amp;$D$7&amp;"이므로 사용안함")</f>
        <v>커브개수=1이므로 사용안함</v>
      </c>
      <c r="C33" s="158" t="str">
        <f>IF($D$7&gt;=3,"기초금리 Range상한", "")</f>
        <v/>
      </c>
      <c r="D33" s="158"/>
      <c r="E33" s="147">
        <v>0.5</v>
      </c>
      <c r="F33" s="147"/>
      <c r="G33" s="165"/>
      <c r="H33" s="165"/>
      <c r="I33" s="165" t="str">
        <f>IF(E32&gt;0,"만기2","")</f>
        <v/>
      </c>
      <c r="J33" s="165"/>
      <c r="K33" s="119">
        <v>5</v>
      </c>
      <c r="L33" s="120"/>
      <c r="N33" s="38">
        <f t="shared" si="2"/>
        <v>44995</v>
      </c>
      <c r="O33" s="38">
        <f t="shared" si="3"/>
        <v>45087</v>
      </c>
      <c r="P33" s="38">
        <f t="shared" si="4"/>
        <v>44995</v>
      </c>
      <c r="Q33" s="38">
        <f t="shared" si="5"/>
        <v>45087</v>
      </c>
      <c r="R33" s="38">
        <f t="shared" si="6"/>
        <v>45088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42" t="str">
        <f>IF($AF$7&gt;2, "사용", "커브개수"&amp;"="&amp;$AF$7&amp;"이므로 사용안함")</f>
        <v>커브개수=1이므로 사용안함</v>
      </c>
      <c r="AE33" s="125" t="str">
        <f>IF($AF$7&gt;=3,"기초금리 Range상한", "")</f>
        <v/>
      </c>
      <c r="AF33" s="125"/>
      <c r="AG33" s="147">
        <v>0.5</v>
      </c>
      <c r="AH33" s="147"/>
      <c r="AI33" s="118"/>
      <c r="AJ33" s="118"/>
      <c r="AK33" s="118" t="str">
        <f>IF(AG32&gt;0,"만기2","")</f>
        <v/>
      </c>
      <c r="AL33" s="118"/>
      <c r="AM33" s="119">
        <v>5</v>
      </c>
      <c r="AN33" s="120"/>
      <c r="AP33" s="38">
        <f t="shared" si="7"/>
        <v>44995</v>
      </c>
      <c r="AQ33" s="38">
        <f t="shared" si="8"/>
        <v>45087</v>
      </c>
      <c r="AR33" s="38">
        <f t="shared" si="9"/>
        <v>44995</v>
      </c>
      <c r="AS33" s="38">
        <f t="shared" si="10"/>
        <v>45087</v>
      </c>
      <c r="AT33" s="38">
        <f t="shared" si="11"/>
        <v>45088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70"/>
      <c r="C34" s="158" t="str">
        <f>IF($D$7&gt;=3,"기초금리 Range하한", "")</f>
        <v/>
      </c>
      <c r="D34" s="159"/>
      <c r="E34" s="127">
        <v>-0.1</v>
      </c>
      <c r="F34" s="127"/>
      <c r="G34" s="171"/>
      <c r="H34" s="171"/>
      <c r="I34" s="166" t="str">
        <f>IF(E32&gt;0,"Spread1","")</f>
        <v/>
      </c>
      <c r="J34" s="166"/>
      <c r="K34" s="156" t="str">
        <f>IF(E32&gt;0, I32&amp;"-"&amp;I33, "")</f>
        <v/>
      </c>
      <c r="L34" s="157"/>
      <c r="N34" s="38">
        <f t="shared" si="2"/>
        <v>45087</v>
      </c>
      <c r="O34" s="38">
        <f t="shared" si="3"/>
        <v>45179</v>
      </c>
      <c r="P34" s="38">
        <f t="shared" si="4"/>
        <v>45087</v>
      </c>
      <c r="Q34" s="38">
        <f t="shared" si="5"/>
        <v>45179</v>
      </c>
      <c r="R34" s="38">
        <f t="shared" si="6"/>
        <v>45180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42"/>
      <c r="AE34" s="125" t="str">
        <f>IF($AF$7&gt;=3,"기초금리 Range하한", "")</f>
        <v/>
      </c>
      <c r="AF34" s="126"/>
      <c r="AG34" s="127">
        <v>-0.1</v>
      </c>
      <c r="AH34" s="127"/>
      <c r="AI34" s="124"/>
      <c r="AJ34" s="124"/>
      <c r="AK34" s="121" t="str">
        <f>IF(AG32&gt;0,"Spread1","")</f>
        <v/>
      </c>
      <c r="AL34" s="121"/>
      <c r="AM34" s="122" t="str">
        <f>IF(AG32&gt;0, AK32&amp;"-"&amp;AK33, "")</f>
        <v/>
      </c>
      <c r="AN34" s="123"/>
      <c r="AP34" s="38">
        <f t="shared" si="7"/>
        <v>45087</v>
      </c>
      <c r="AQ34" s="38">
        <f t="shared" si="8"/>
        <v>45179</v>
      </c>
      <c r="AR34" s="38">
        <f t="shared" si="9"/>
        <v>45087</v>
      </c>
      <c r="AS34" s="38">
        <f t="shared" si="10"/>
        <v>45179</v>
      </c>
      <c r="AT34" s="38">
        <f t="shared" si="11"/>
        <v>45180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8" t="str">
        <f>IF($D$7&gt;=3,"Payoff조건Multiple", "")</f>
        <v/>
      </c>
      <c r="D35" s="148"/>
      <c r="E35" s="133">
        <v>0</v>
      </c>
      <c r="F35" s="133"/>
      <c r="G35" s="114" t="str">
        <f>IF(E32&gt;0,"예시) 10년-5년 스왑: 연 지급횟수=4, 만기1=10, 만기2=5","")</f>
        <v/>
      </c>
      <c r="H35" s="114"/>
      <c r="I35" s="114"/>
      <c r="J35" s="114"/>
      <c r="K35" s="114"/>
      <c r="L35" s="115"/>
      <c r="N35" s="38">
        <f t="shared" si="2"/>
        <v>45179</v>
      </c>
      <c r="O35" s="38">
        <f t="shared" si="3"/>
        <v>45270</v>
      </c>
      <c r="P35" s="38">
        <f t="shared" si="4"/>
        <v>45179</v>
      </c>
      <c r="Q35" s="38">
        <f t="shared" si="5"/>
        <v>45270</v>
      </c>
      <c r="R35" s="38">
        <f t="shared" si="6"/>
        <v>45271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34" t="str">
        <f>IF($AF$7&gt;=3,"Payoff조건Multiple", "")</f>
        <v/>
      </c>
      <c r="AF35" s="134"/>
      <c r="AG35" s="133">
        <v>0</v>
      </c>
      <c r="AH35" s="133"/>
      <c r="AI35" s="114" t="str">
        <f>IF(AG32&gt;0,"예시) 10년-5년 스왑: 연 지급횟수=4, 만기1=10, 만기2=5","")</f>
        <v/>
      </c>
      <c r="AJ35" s="114"/>
      <c r="AK35" s="114"/>
      <c r="AL35" s="114"/>
      <c r="AM35" s="114"/>
      <c r="AN35" s="115"/>
      <c r="AP35" s="38">
        <f t="shared" si="7"/>
        <v>45179</v>
      </c>
      <c r="AQ35" s="38">
        <f t="shared" si="8"/>
        <v>45270</v>
      </c>
      <c r="AR35" s="38">
        <f t="shared" si="9"/>
        <v>45179</v>
      </c>
      <c r="AS35" s="38">
        <f t="shared" si="10"/>
        <v>45270</v>
      </c>
      <c r="AT35" s="38">
        <f t="shared" si="11"/>
        <v>45271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45270</v>
      </c>
      <c r="O36" s="38">
        <f t="shared" si="3"/>
        <v>45361</v>
      </c>
      <c r="P36" s="38">
        <f t="shared" si="4"/>
        <v>45270</v>
      </c>
      <c r="Q36" s="38">
        <f t="shared" si="5"/>
        <v>45361</v>
      </c>
      <c r="R36" s="38">
        <f t="shared" si="6"/>
        <v>45362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f t="shared" si="7"/>
        <v>45270</v>
      </c>
      <c r="AQ36" s="38">
        <f t="shared" si="8"/>
        <v>45361</v>
      </c>
      <c r="AR36" s="38">
        <f t="shared" si="9"/>
        <v>45270</v>
      </c>
      <c r="AS36" s="38">
        <f t="shared" si="10"/>
        <v>45361</v>
      </c>
      <c r="AT36" s="38">
        <f t="shared" si="11"/>
        <v>45362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61" t="s">
        <v>93</v>
      </c>
      <c r="C37" s="137" t="s">
        <v>33</v>
      </c>
      <c r="D37" s="137"/>
      <c r="E37" s="199">
        <v>1</v>
      </c>
      <c r="F37" s="200"/>
      <c r="G37" s="35"/>
      <c r="H37" s="141" t="s">
        <v>48</v>
      </c>
      <c r="I37" s="161"/>
      <c r="J37" s="149">
        <v>0</v>
      </c>
      <c r="K37" s="149"/>
      <c r="L37" s="150"/>
      <c r="N37" s="38">
        <f t="shared" si="2"/>
        <v>45361</v>
      </c>
      <c r="O37" s="38">
        <f t="shared" si="3"/>
        <v>45453</v>
      </c>
      <c r="P37" s="38">
        <f t="shared" si="4"/>
        <v>45361</v>
      </c>
      <c r="Q37" s="38">
        <f t="shared" si="5"/>
        <v>45453</v>
      </c>
      <c r="R37" s="38">
        <f t="shared" si="6"/>
        <v>45454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61" t="s">
        <v>93</v>
      </c>
      <c r="AE37" s="137" t="s">
        <v>33</v>
      </c>
      <c r="AF37" s="137"/>
      <c r="AG37" s="199">
        <v>1</v>
      </c>
      <c r="AH37" s="200"/>
      <c r="AJ37" s="141" t="s">
        <v>48</v>
      </c>
      <c r="AK37" s="161"/>
      <c r="AL37" s="149">
        <v>0</v>
      </c>
      <c r="AM37" s="149"/>
      <c r="AN37" s="150"/>
      <c r="AP37" s="38">
        <f t="shared" si="7"/>
        <v>45361</v>
      </c>
      <c r="AQ37" s="38">
        <f t="shared" si="8"/>
        <v>45453</v>
      </c>
      <c r="AR37" s="38">
        <f t="shared" si="9"/>
        <v>45361</v>
      </c>
      <c r="AS37" s="38">
        <f t="shared" si="10"/>
        <v>45453</v>
      </c>
      <c r="AT37" s="38">
        <f t="shared" si="11"/>
        <v>45454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7"/>
      <c r="C38" s="134"/>
      <c r="D38" s="134"/>
      <c r="E38" s="201"/>
      <c r="F38" s="202"/>
      <c r="G38" s="35"/>
      <c r="H38" s="162" t="s">
        <v>49</v>
      </c>
      <c r="I38" s="163"/>
      <c r="J38" s="163"/>
      <c r="K38" s="163"/>
      <c r="L38" s="164"/>
      <c r="N38" s="38">
        <f t="shared" si="2"/>
        <v>45453</v>
      </c>
      <c r="O38" s="38">
        <f t="shared" si="3"/>
        <v>45545</v>
      </c>
      <c r="P38" s="38">
        <f t="shared" si="4"/>
        <v>45453</v>
      </c>
      <c r="Q38" s="38">
        <f t="shared" si="5"/>
        <v>45545</v>
      </c>
      <c r="R38" s="38">
        <f t="shared" si="6"/>
        <v>45546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97"/>
      <c r="AE38" s="134"/>
      <c r="AF38" s="134"/>
      <c r="AG38" s="201"/>
      <c r="AH38" s="202"/>
      <c r="AJ38" s="162" t="s">
        <v>49</v>
      </c>
      <c r="AK38" s="163"/>
      <c r="AL38" s="163"/>
      <c r="AM38" s="163"/>
      <c r="AN38" s="164"/>
      <c r="AP38" s="38">
        <f t="shared" si="7"/>
        <v>45453</v>
      </c>
      <c r="AQ38" s="38">
        <f t="shared" si="8"/>
        <v>45545</v>
      </c>
      <c r="AR38" s="38">
        <f t="shared" si="9"/>
        <v>45453</v>
      </c>
      <c r="AS38" s="38">
        <f t="shared" si="10"/>
        <v>45545</v>
      </c>
      <c r="AT38" s="38">
        <f t="shared" si="11"/>
        <v>45546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7"/>
      <c r="C39" s="198"/>
      <c r="D39" s="198"/>
      <c r="E39" s="198"/>
      <c r="F39" s="198"/>
      <c r="G39" s="35"/>
      <c r="H39" s="19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5"/>
      <c r="J39" s="195"/>
      <c r="K39" s="195"/>
      <c r="L39" s="196"/>
      <c r="N39" s="38">
        <f t="shared" si="2"/>
        <v>45545</v>
      </c>
      <c r="O39" s="38">
        <f t="shared" si="3"/>
        <v>45636</v>
      </c>
      <c r="P39" s="38">
        <f t="shared" si="4"/>
        <v>45545</v>
      </c>
      <c r="Q39" s="38">
        <f t="shared" si="5"/>
        <v>45636</v>
      </c>
      <c r="R39" s="38">
        <f t="shared" si="6"/>
        <v>45637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97"/>
      <c r="AE39" s="198"/>
      <c r="AF39" s="198"/>
      <c r="AG39" s="198"/>
      <c r="AH39" s="198"/>
      <c r="AJ39" s="19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92"/>
      <c r="AL39" s="192"/>
      <c r="AM39" s="192"/>
      <c r="AN39" s="193"/>
      <c r="AP39" s="38">
        <f t="shared" si="7"/>
        <v>45545</v>
      </c>
      <c r="AQ39" s="38">
        <f t="shared" si="8"/>
        <v>45636</v>
      </c>
      <c r="AR39" s="38">
        <f t="shared" si="9"/>
        <v>45545</v>
      </c>
      <c r="AS39" s="38">
        <f t="shared" si="10"/>
        <v>45636</v>
      </c>
      <c r="AT39" s="38">
        <f t="shared" si="11"/>
        <v>45637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45636</v>
      </c>
      <c r="O40" s="38">
        <f t="shared" si="3"/>
        <v>45726</v>
      </c>
      <c r="P40" s="38">
        <f t="shared" si="4"/>
        <v>45636</v>
      </c>
      <c r="Q40" s="38">
        <f t="shared" si="5"/>
        <v>45726</v>
      </c>
      <c r="R40" s="38">
        <f t="shared" si="6"/>
        <v>45727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f t="shared" si="7"/>
        <v>45636</v>
      </c>
      <c r="AQ40" s="38">
        <f t="shared" si="8"/>
        <v>45726</v>
      </c>
      <c r="AR40" s="38">
        <f t="shared" si="9"/>
        <v>45636</v>
      </c>
      <c r="AS40" s="38">
        <f t="shared" si="10"/>
        <v>45726</v>
      </c>
      <c r="AT40" s="38">
        <f t="shared" si="11"/>
        <v>45727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45726</v>
      </c>
      <c r="O41" s="38">
        <f t="shared" si="3"/>
        <v>45818</v>
      </c>
      <c r="P41" s="38">
        <f t="shared" si="4"/>
        <v>45726</v>
      </c>
      <c r="Q41" s="38">
        <f t="shared" si="5"/>
        <v>45818</v>
      </c>
      <c r="R41" s="38">
        <f t="shared" si="6"/>
        <v>45819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f t="shared" si="7"/>
        <v>45726</v>
      </c>
      <c r="AQ41" s="38">
        <f t="shared" si="8"/>
        <v>45818</v>
      </c>
      <c r="AR41" s="38">
        <f t="shared" si="9"/>
        <v>45726</v>
      </c>
      <c r="AS41" s="38">
        <f t="shared" si="10"/>
        <v>45818</v>
      </c>
      <c r="AT41" s="38">
        <f t="shared" si="11"/>
        <v>45819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11" t="s">
        <v>89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N42" s="38">
        <f t="shared" si="2"/>
        <v>45818</v>
      </c>
      <c r="O42" s="38">
        <f t="shared" si="3"/>
        <v>45910</v>
      </c>
      <c r="P42" s="38">
        <f t="shared" si="4"/>
        <v>45818</v>
      </c>
      <c r="Q42" s="38">
        <f t="shared" si="5"/>
        <v>45910</v>
      </c>
      <c r="R42" s="38">
        <f t="shared" si="6"/>
        <v>45911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f t="shared" si="7"/>
        <v>45818</v>
      </c>
      <c r="AQ42" s="38">
        <f t="shared" si="8"/>
        <v>45910</v>
      </c>
      <c r="AR42" s="38">
        <f t="shared" si="9"/>
        <v>45818</v>
      </c>
      <c r="AS42" s="38">
        <f t="shared" si="10"/>
        <v>45910</v>
      </c>
      <c r="AT42" s="38">
        <f t="shared" si="11"/>
        <v>45911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f t="shared" si="2"/>
        <v>45910</v>
      </c>
      <c r="O43" s="38">
        <f t="shared" si="3"/>
        <v>46001</v>
      </c>
      <c r="P43" s="38">
        <f t="shared" si="4"/>
        <v>45910</v>
      </c>
      <c r="Q43" s="38">
        <f t="shared" si="5"/>
        <v>46001</v>
      </c>
      <c r="R43" s="38">
        <f t="shared" si="6"/>
        <v>46002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f t="shared" si="7"/>
        <v>45910</v>
      </c>
      <c r="AQ43" s="38">
        <f t="shared" si="8"/>
        <v>46001</v>
      </c>
      <c r="AR43" s="38">
        <f t="shared" si="9"/>
        <v>45910</v>
      </c>
      <c r="AS43" s="38">
        <f t="shared" si="10"/>
        <v>46001</v>
      </c>
      <c r="AT43" s="38">
        <f t="shared" si="11"/>
        <v>46002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f t="shared" si="2"/>
        <v>46001</v>
      </c>
      <c r="O44" s="38">
        <f t="shared" si="3"/>
        <v>46091</v>
      </c>
      <c r="P44" s="38">
        <f t="shared" si="4"/>
        <v>46001</v>
      </c>
      <c r="Q44" s="38">
        <f t="shared" si="5"/>
        <v>46091</v>
      </c>
      <c r="R44" s="38">
        <f t="shared" si="6"/>
        <v>46092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f t="shared" si="7"/>
        <v>46001</v>
      </c>
      <c r="AQ44" s="38">
        <f t="shared" si="8"/>
        <v>46091</v>
      </c>
      <c r="AR44" s="38">
        <f t="shared" si="9"/>
        <v>46001</v>
      </c>
      <c r="AS44" s="38">
        <f t="shared" si="10"/>
        <v>46091</v>
      </c>
      <c r="AT44" s="38">
        <f t="shared" si="11"/>
        <v>46092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2">R14-15</f>
        <v>43339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46091</v>
      </c>
      <c r="O45" s="38">
        <f t="shared" si="3"/>
        <v>46183</v>
      </c>
      <c r="P45" s="38">
        <f t="shared" si="4"/>
        <v>46091</v>
      </c>
      <c r="Q45" s="38">
        <f t="shared" si="5"/>
        <v>46183</v>
      </c>
      <c r="R45" s="38">
        <f t="shared" si="6"/>
        <v>46184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f t="shared" si="7"/>
        <v>46091</v>
      </c>
      <c r="AQ45" s="38">
        <f t="shared" si="8"/>
        <v>46183</v>
      </c>
      <c r="AR45" s="38">
        <f t="shared" si="9"/>
        <v>46091</v>
      </c>
      <c r="AS45" s="38">
        <f t="shared" si="10"/>
        <v>46183</v>
      </c>
      <c r="AT45" s="38">
        <f t="shared" si="11"/>
        <v>46184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2"/>
        <v>43430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L46" s="54" t="s">
        <v>117</v>
      </c>
      <c r="N46" s="38">
        <f t="shared" si="2"/>
        <v>46183</v>
      </c>
      <c r="O46" s="38">
        <f t="shared" si="3"/>
        <v>46275</v>
      </c>
      <c r="P46" s="38">
        <f t="shared" si="4"/>
        <v>46183</v>
      </c>
      <c r="Q46" s="38">
        <f t="shared" si="5"/>
        <v>46275</v>
      </c>
      <c r="R46" s="38">
        <f t="shared" si="6"/>
        <v>46276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f t="shared" si="7"/>
        <v>46183</v>
      </c>
      <c r="AQ46" s="38">
        <f t="shared" si="8"/>
        <v>46275</v>
      </c>
      <c r="AR46" s="38">
        <f t="shared" si="9"/>
        <v>46183</v>
      </c>
      <c r="AS46" s="38">
        <f t="shared" si="10"/>
        <v>46275</v>
      </c>
      <c r="AT46" s="38">
        <f t="shared" si="11"/>
        <v>46276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2"/>
        <v>43520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L47" s="42">
        <v>30</v>
      </c>
      <c r="N47" s="38">
        <f t="shared" si="2"/>
        <v>46275</v>
      </c>
      <c r="O47" s="38">
        <f t="shared" si="3"/>
        <v>46366</v>
      </c>
      <c r="P47" s="38">
        <f t="shared" si="4"/>
        <v>46275</v>
      </c>
      <c r="Q47" s="38">
        <f t="shared" si="5"/>
        <v>46366</v>
      </c>
      <c r="R47" s="38">
        <f t="shared" si="6"/>
        <v>46367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f t="shared" si="7"/>
        <v>46275</v>
      </c>
      <c r="AQ47" s="38">
        <f t="shared" si="8"/>
        <v>46366</v>
      </c>
      <c r="AR47" s="38">
        <f t="shared" si="9"/>
        <v>46275</v>
      </c>
      <c r="AS47" s="38">
        <f t="shared" si="10"/>
        <v>46366</v>
      </c>
      <c r="AT47" s="38">
        <f t="shared" si="11"/>
        <v>46367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2"/>
        <v>43612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46366</v>
      </c>
      <c r="O48" s="38">
        <f t="shared" si="3"/>
        <v>46456</v>
      </c>
      <c r="P48" s="38">
        <f t="shared" si="4"/>
        <v>46366</v>
      </c>
      <c r="Q48" s="38">
        <f t="shared" si="5"/>
        <v>46456</v>
      </c>
      <c r="R48" s="38">
        <f t="shared" si="6"/>
        <v>46457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f t="shared" si="7"/>
        <v>46366</v>
      </c>
      <c r="AQ48" s="38">
        <f t="shared" si="8"/>
        <v>46456</v>
      </c>
      <c r="AR48" s="38">
        <f t="shared" si="9"/>
        <v>46366</v>
      </c>
      <c r="AS48" s="38">
        <f t="shared" si="10"/>
        <v>46456</v>
      </c>
      <c r="AT48" s="38">
        <f t="shared" si="11"/>
        <v>46457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2"/>
        <v>43704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46456</v>
      </c>
      <c r="O49" s="38">
        <f t="shared" si="3"/>
        <v>46548</v>
      </c>
      <c r="P49" s="38">
        <f t="shared" si="4"/>
        <v>46456</v>
      </c>
      <c r="Q49" s="38">
        <f t="shared" si="5"/>
        <v>46548</v>
      </c>
      <c r="R49" s="38">
        <f t="shared" si="6"/>
        <v>46549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f t="shared" si="7"/>
        <v>46456</v>
      </c>
      <c r="AQ49" s="38">
        <f t="shared" si="8"/>
        <v>46548</v>
      </c>
      <c r="AR49" s="38">
        <f t="shared" si="9"/>
        <v>46456</v>
      </c>
      <c r="AS49" s="38">
        <f t="shared" si="10"/>
        <v>46548</v>
      </c>
      <c r="AT49" s="38">
        <f t="shared" si="11"/>
        <v>46549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2"/>
        <v>43795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46548</v>
      </c>
      <c r="O50" s="38">
        <f t="shared" si="3"/>
        <v>46640</v>
      </c>
      <c r="P50" s="38">
        <f t="shared" si="4"/>
        <v>46548</v>
      </c>
      <c r="Q50" s="38">
        <f t="shared" si="5"/>
        <v>46640</v>
      </c>
      <c r="R50" s="38">
        <f t="shared" si="6"/>
        <v>46641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f t="shared" si="7"/>
        <v>46548</v>
      </c>
      <c r="AQ50" s="38">
        <f t="shared" si="8"/>
        <v>46640</v>
      </c>
      <c r="AR50" s="38">
        <f t="shared" si="9"/>
        <v>46548</v>
      </c>
      <c r="AS50" s="38">
        <f t="shared" si="10"/>
        <v>46640</v>
      </c>
      <c r="AT50" s="38">
        <f t="shared" si="11"/>
        <v>46641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2"/>
        <v>43886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46640</v>
      </c>
      <c r="O51" s="38">
        <f t="shared" si="3"/>
        <v>46731</v>
      </c>
      <c r="P51" s="38">
        <f t="shared" si="4"/>
        <v>46640</v>
      </c>
      <c r="Q51" s="38">
        <f t="shared" si="5"/>
        <v>46731</v>
      </c>
      <c r="R51" s="38">
        <f t="shared" si="6"/>
        <v>46732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f t="shared" si="7"/>
        <v>46640</v>
      </c>
      <c r="AQ51" s="38">
        <f t="shared" si="8"/>
        <v>46731</v>
      </c>
      <c r="AR51" s="38">
        <f t="shared" si="9"/>
        <v>46640</v>
      </c>
      <c r="AS51" s="38">
        <f t="shared" si="10"/>
        <v>46731</v>
      </c>
      <c r="AT51" s="38">
        <f t="shared" si="11"/>
        <v>46732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2"/>
        <v>43978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46731</v>
      </c>
      <c r="O52" s="38">
        <f t="shared" si="3"/>
        <v>46822</v>
      </c>
      <c r="P52" s="38">
        <f t="shared" si="4"/>
        <v>46731</v>
      </c>
      <c r="Q52" s="38">
        <f t="shared" si="5"/>
        <v>46822</v>
      </c>
      <c r="R52" s="38">
        <f t="shared" si="6"/>
        <v>46823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f t="shared" si="7"/>
        <v>46731</v>
      </c>
      <c r="AQ52" s="38">
        <f t="shared" si="8"/>
        <v>46822</v>
      </c>
      <c r="AR52" s="38">
        <f t="shared" si="9"/>
        <v>46731</v>
      </c>
      <c r="AS52" s="38">
        <f t="shared" si="10"/>
        <v>46822</v>
      </c>
      <c r="AT52" s="38">
        <f t="shared" si="11"/>
        <v>46823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2"/>
        <v>44070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2"/>
        <v>44161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2"/>
        <v>44251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2"/>
        <v>44343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2"/>
        <v>44435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2"/>
        <v>44526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2"/>
        <v>44616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2"/>
        <v>44708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2"/>
        <v>44800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2"/>
        <v>44891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2"/>
        <v>44981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2"/>
        <v>45073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2"/>
        <v>45165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2"/>
        <v>45256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2"/>
        <v>45347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2"/>
        <v>45439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2"/>
        <v>45531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2"/>
        <v>45622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2"/>
        <v>45712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2"/>
        <v>45804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2"/>
        <v>45896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2"/>
        <v>45987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2"/>
        <v>46077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2"/>
        <v>46169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2"/>
        <v>46261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2"/>
        <v>46352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2"/>
        <v>46442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2"/>
        <v>46534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2"/>
        <v>46626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2"/>
        <v>46717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2"/>
        <v>46808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D14" sqref="D14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7" t="s">
        <v>110</v>
      </c>
      <c r="C3" s="207"/>
      <c r="D3" s="208">
        <v>0</v>
      </c>
      <c r="E3" s="208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7" t="s">
        <v>55</v>
      </c>
      <c r="C4" s="207"/>
      <c r="D4" s="208">
        <v>10000</v>
      </c>
      <c r="E4" s="208"/>
      <c r="F4" s="13"/>
      <c r="G4" s="209" t="s">
        <v>73</v>
      </c>
      <c r="H4" s="210"/>
      <c r="I4" s="205">
        <v>2061.1909805214964</v>
      </c>
      <c r="J4" s="206"/>
      <c r="K4" s="13"/>
      <c r="L4" s="63">
        <v>45193.008379629631</v>
      </c>
      <c r="M4" s="1" t="s">
        <v>5</v>
      </c>
      <c r="N4" s="109" t="s">
        <v>6</v>
      </c>
      <c r="O4" s="109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7" t="s">
        <v>30</v>
      </c>
      <c r="C5" s="207"/>
      <c r="D5" s="208">
        <v>0</v>
      </c>
      <c r="E5" s="208"/>
      <c r="F5" s="13"/>
      <c r="G5" s="209" t="s">
        <v>74</v>
      </c>
      <c r="H5" s="210"/>
      <c r="I5" s="205">
        <v>2375.5260001365732</v>
      </c>
      <c r="J5" s="206"/>
      <c r="K5" s="13"/>
      <c r="L5" s="63">
        <v>45193.008379629631</v>
      </c>
      <c r="M5" s="13"/>
      <c r="N5" s="109"/>
      <c r="O5" s="109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7" t="s">
        <v>114</v>
      </c>
      <c r="C6" s="207"/>
      <c r="D6" s="208">
        <v>0</v>
      </c>
      <c r="E6" s="208"/>
      <c r="F6" s="13"/>
      <c r="G6" s="209" t="s">
        <v>105</v>
      </c>
      <c r="H6" s="210"/>
      <c r="I6" s="205">
        <v>256.8611284818503</v>
      </c>
      <c r="J6" s="206"/>
      <c r="K6" s="60"/>
      <c r="L6" s="23"/>
      <c r="M6" s="13"/>
      <c r="N6" s="109"/>
      <c r="O6" s="109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9" t="s">
        <v>88</v>
      </c>
      <c r="H7" s="210"/>
      <c r="I7" s="205">
        <v>571.19614809692712</v>
      </c>
      <c r="J7" s="206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4" t="s">
        <v>61</v>
      </c>
      <c r="C10" s="204"/>
      <c r="D10" s="204"/>
      <c r="E10" s="204"/>
      <c r="F10" s="204"/>
      <c r="G10" s="204"/>
      <c r="H10" s="204"/>
      <c r="I10" s="204" t="s">
        <v>64</v>
      </c>
      <c r="J10" s="204"/>
      <c r="K10" s="204"/>
      <c r="L10" s="204"/>
      <c r="M10" s="204"/>
      <c r="N10" s="204"/>
      <c r="O10" s="204"/>
      <c r="P10" s="13"/>
      <c r="Q10" s="204" t="s">
        <v>97</v>
      </c>
      <c r="R10" s="204"/>
      <c r="S10" s="13"/>
      <c r="T10" s="13"/>
      <c r="U10" s="204" t="s">
        <v>98</v>
      </c>
      <c r="V10" s="204"/>
      <c r="W10" s="13"/>
      <c r="Y10" s="204" t="s">
        <v>99</v>
      </c>
      <c r="Z10" s="204"/>
      <c r="AA10" s="13"/>
      <c r="AB10" s="13"/>
      <c r="AC10" s="204" t="s">
        <v>100</v>
      </c>
      <c r="AD10" s="204"/>
      <c r="AE10" s="13"/>
      <c r="AF10" s="13"/>
      <c r="AG10" s="204" t="s">
        <v>101</v>
      </c>
      <c r="AH10" s="204"/>
      <c r="AI10" s="13"/>
      <c r="AJ10" s="13"/>
      <c r="AK10" s="204" t="s">
        <v>102</v>
      </c>
      <c r="AL10" s="204"/>
      <c r="AM10" s="13"/>
      <c r="AN10" s="13"/>
      <c r="AO10" s="204" t="s">
        <v>103</v>
      </c>
      <c r="AP10" s="204"/>
      <c r="AQ10" s="13"/>
      <c r="AR10" s="13"/>
      <c r="AS10" s="204" t="s">
        <v>104</v>
      </c>
      <c r="AT10" s="204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20180611</v>
      </c>
      <c r="C12" s="49">
        <v>0</v>
      </c>
      <c r="F12" s="50"/>
      <c r="G12" s="51">
        <v>0</v>
      </c>
      <c r="H12" s="51">
        <v>0.99999999999990619</v>
      </c>
      <c r="I12" s="86">
        <v>20180611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20180911</v>
      </c>
      <c r="C13" s="49">
        <v>0</v>
      </c>
      <c r="F13" s="50"/>
      <c r="G13" s="51">
        <v>0</v>
      </c>
      <c r="H13" s="51">
        <v>0.99999999999990619</v>
      </c>
      <c r="I13" s="86">
        <v>20180911</v>
      </c>
      <c r="J13" s="49">
        <v>0</v>
      </c>
      <c r="M13" s="50"/>
      <c r="N13" s="51">
        <v>0</v>
      </c>
      <c r="O13" s="51">
        <v>0.99999999999990619</v>
      </c>
      <c r="P13" s="13"/>
      <c r="Q13" s="204" t="s">
        <v>96</v>
      </c>
      <c r="R13" s="204"/>
      <c r="S13" s="66"/>
      <c r="T13" s="13"/>
      <c r="U13" s="204" t="s">
        <v>96</v>
      </c>
      <c r="V13" s="204"/>
      <c r="W13" s="66"/>
      <c r="Y13" s="204" t="s">
        <v>96</v>
      </c>
      <c r="Z13" s="204"/>
      <c r="AA13" s="66"/>
      <c r="AB13" s="13"/>
      <c r="AC13" s="204" t="s">
        <v>96</v>
      </c>
      <c r="AD13" s="204"/>
      <c r="AE13" s="66"/>
      <c r="AF13" s="13"/>
      <c r="AG13" s="204" t="s">
        <v>96</v>
      </c>
      <c r="AH13" s="204"/>
      <c r="AI13" s="66"/>
      <c r="AJ13" s="13"/>
      <c r="AK13" s="204" t="s">
        <v>96</v>
      </c>
      <c r="AL13" s="204"/>
      <c r="AM13" s="66"/>
      <c r="AN13" s="13"/>
      <c r="AO13" s="204" t="s">
        <v>96</v>
      </c>
      <c r="AP13" s="204"/>
      <c r="AQ13" s="66"/>
      <c r="AR13" s="13"/>
      <c r="AS13" s="204" t="s">
        <v>96</v>
      </c>
      <c r="AT13" s="204"/>
      <c r="AU13" s="66"/>
    </row>
    <row r="14" spans="1:47" x14ac:dyDescent="0.4">
      <c r="B14" s="86">
        <v>20181211</v>
      </c>
      <c r="C14" s="49">
        <v>0</v>
      </c>
      <c r="F14" s="50"/>
      <c r="G14" s="51">
        <v>0</v>
      </c>
      <c r="H14" s="51">
        <v>0.99999999999990619</v>
      </c>
      <c r="I14" s="86">
        <v>20181211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20190311</v>
      </c>
      <c r="C15" s="49">
        <v>0</v>
      </c>
      <c r="F15" s="50"/>
      <c r="G15" s="51">
        <v>0</v>
      </c>
      <c r="H15" s="51">
        <v>0.99999999999990619</v>
      </c>
      <c r="I15" s="86">
        <v>20190311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20190611</v>
      </c>
      <c r="C16" s="49">
        <v>0</v>
      </c>
      <c r="F16" s="50"/>
      <c r="G16" s="51">
        <v>0</v>
      </c>
      <c r="H16" s="51">
        <v>0.99999999999990619</v>
      </c>
      <c r="I16" s="86">
        <v>20190611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20190911</v>
      </c>
      <c r="C17" s="49">
        <v>0</v>
      </c>
      <c r="F17" s="50"/>
      <c r="G17" s="51">
        <v>0</v>
      </c>
      <c r="H17" s="51">
        <v>0.99999999999990619</v>
      </c>
      <c r="I17" s="86">
        <v>20190911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20191211</v>
      </c>
      <c r="C18" s="49">
        <v>0</v>
      </c>
      <c r="F18" s="50"/>
      <c r="G18" s="51">
        <v>0</v>
      </c>
      <c r="H18" s="51">
        <v>0.99999999999990619</v>
      </c>
      <c r="I18" s="86">
        <v>20191211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20200311</v>
      </c>
      <c r="C19" s="49">
        <v>0</v>
      </c>
      <c r="F19" s="50"/>
      <c r="G19" s="51">
        <v>0</v>
      </c>
      <c r="H19" s="51">
        <v>0.99999999999990619</v>
      </c>
      <c r="I19" s="86">
        <v>20200311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20200611</v>
      </c>
      <c r="C20" s="49">
        <v>0</v>
      </c>
      <c r="F20" s="50"/>
      <c r="G20" s="52">
        <v>0</v>
      </c>
      <c r="H20" s="51">
        <v>0.99999999999990619</v>
      </c>
      <c r="I20" s="86">
        <v>20200611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20200911</v>
      </c>
      <c r="C21" s="49">
        <v>0</v>
      </c>
      <c r="F21" s="50"/>
      <c r="G21" s="52">
        <v>0</v>
      </c>
      <c r="H21" s="51">
        <v>0.99999999999990619</v>
      </c>
      <c r="I21" s="86">
        <v>20200911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20201211</v>
      </c>
      <c r="C22" s="49">
        <v>0</v>
      </c>
      <c r="F22" s="50"/>
      <c r="G22" s="52">
        <v>0</v>
      </c>
      <c r="H22" s="51">
        <v>0.99999999999990619</v>
      </c>
      <c r="I22" s="86">
        <v>20201211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20210311</v>
      </c>
      <c r="C23" s="49">
        <v>0</v>
      </c>
      <c r="F23" s="50"/>
      <c r="G23" s="52">
        <v>0</v>
      </c>
      <c r="H23" s="51">
        <v>0.99999999999990619</v>
      </c>
      <c r="I23" s="86">
        <v>20210311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20210611</v>
      </c>
      <c r="C24" s="49">
        <v>0</v>
      </c>
      <c r="F24" s="50"/>
      <c r="G24" s="52">
        <v>0</v>
      </c>
      <c r="H24" s="51">
        <v>0.99999999999990619</v>
      </c>
      <c r="I24" s="86">
        <v>20210611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20210911</v>
      </c>
      <c r="C25" s="49">
        <v>0</v>
      </c>
      <c r="F25" s="50"/>
      <c r="G25" s="52">
        <v>0</v>
      </c>
      <c r="H25" s="51">
        <v>0.99999999999990619</v>
      </c>
      <c r="I25" s="86">
        <v>20210911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20211211</v>
      </c>
      <c r="C26" s="49">
        <v>0</v>
      </c>
      <c r="F26" s="50"/>
      <c r="G26" s="52">
        <v>0</v>
      </c>
      <c r="H26" s="51">
        <v>0.99999999999990619</v>
      </c>
      <c r="I26" s="86">
        <v>20211211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20220311</v>
      </c>
      <c r="C27" s="49">
        <v>0</v>
      </c>
      <c r="F27" s="50"/>
      <c r="G27" s="52">
        <v>0</v>
      </c>
      <c r="H27" s="51">
        <v>0.99999999999990619</v>
      </c>
      <c r="I27" s="86">
        <v>20220311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20220611</v>
      </c>
      <c r="C28" s="49">
        <v>0</v>
      </c>
      <c r="F28" s="50"/>
      <c r="G28" s="52">
        <v>0</v>
      </c>
      <c r="H28" s="51">
        <v>0.99999999999990619</v>
      </c>
      <c r="I28" s="86">
        <v>20220611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20220911</v>
      </c>
      <c r="C29" s="49">
        <v>0</v>
      </c>
      <c r="F29" s="50"/>
      <c r="G29" s="52">
        <v>0</v>
      </c>
      <c r="H29" s="51">
        <v>0.99999999999990619</v>
      </c>
      <c r="I29" s="86">
        <v>20220911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20221211</v>
      </c>
      <c r="C30" s="49">
        <v>3.0399999999995049E-2</v>
      </c>
      <c r="F30" s="50"/>
      <c r="G30" s="52">
        <v>75.791780821913093</v>
      </c>
      <c r="H30" s="51">
        <v>0.99489502443628153</v>
      </c>
      <c r="I30" s="86">
        <v>20221211</v>
      </c>
      <c r="J30" s="49">
        <v>3.9140000000005316E-2</v>
      </c>
      <c r="M30" s="50"/>
      <c r="N30" s="52">
        <v>102.84999999999435</v>
      </c>
      <c r="O30" s="51">
        <v>0.99489502443628153</v>
      </c>
      <c r="P30" s="92"/>
      <c r="T30" s="13"/>
    </row>
    <row r="31" spans="1:20" x14ac:dyDescent="0.4">
      <c r="A31" s="91"/>
      <c r="B31" s="86">
        <v>20230311</v>
      </c>
      <c r="C31" s="49">
        <v>3.3887211551989864E-2</v>
      </c>
      <c r="F31" s="50"/>
      <c r="G31" s="52">
        <v>83.557507936414183</v>
      </c>
      <c r="H31" s="51">
        <v>0.98664806542030903</v>
      </c>
      <c r="I31" s="86">
        <v>20230311</v>
      </c>
      <c r="J31" s="49">
        <v>4.5449239711335479E-2</v>
      </c>
      <c r="M31" s="50"/>
      <c r="N31" s="52">
        <v>118.62309927833854</v>
      </c>
      <c r="O31" s="51">
        <v>0.98664806542030903</v>
      </c>
      <c r="P31" s="92"/>
      <c r="T31" s="13"/>
    </row>
    <row r="32" spans="1:20" x14ac:dyDescent="0.4">
      <c r="A32" s="91"/>
      <c r="B32" s="86">
        <v>20230611</v>
      </c>
      <c r="C32" s="49">
        <v>3.4960745868506483E-2</v>
      </c>
      <c r="F32" s="50"/>
      <c r="G32" s="52">
        <v>88.120236161715667</v>
      </c>
      <c r="H32" s="51">
        <v>0.97802815918279673</v>
      </c>
      <c r="I32" s="86">
        <v>20230611</v>
      </c>
      <c r="J32" s="49">
        <v>5.0013133816994682E-2</v>
      </c>
      <c r="M32" s="50"/>
      <c r="N32" s="52">
        <v>130.03283454248728</v>
      </c>
      <c r="O32" s="51">
        <v>0.97802815918279673</v>
      </c>
      <c r="P32" s="92"/>
      <c r="T32" s="13"/>
    </row>
    <row r="33" spans="1:20" x14ac:dyDescent="0.4">
      <c r="A33" s="91"/>
      <c r="B33" s="86">
        <v>20230911</v>
      </c>
      <c r="C33" s="49">
        <v>3.5736565759076605E-2</v>
      </c>
      <c r="F33" s="50"/>
      <c r="G33" s="52">
        <v>90.075727392740504</v>
      </c>
      <c r="H33" s="51">
        <v>0.96928335341305771</v>
      </c>
      <c r="I33" s="86">
        <v>20230911</v>
      </c>
      <c r="J33" s="49">
        <v>5.2558384196319377E-2</v>
      </c>
      <c r="M33" s="50"/>
      <c r="N33" s="52">
        <v>136.39596049079876</v>
      </c>
      <c r="O33" s="51">
        <v>0.96928335341305771</v>
      </c>
      <c r="P33" s="92"/>
      <c r="T33" s="13"/>
    </row>
    <row r="34" spans="1:20" x14ac:dyDescent="0.4">
      <c r="A34" s="91"/>
      <c r="B34" s="87">
        <v>20231211</v>
      </c>
      <c r="C34" s="49">
        <v>4.3236157281025804E-2</v>
      </c>
      <c r="G34" s="89">
        <v>107.79425513899565</v>
      </c>
      <c r="H34" s="89">
        <v>0.95889919977015825</v>
      </c>
      <c r="I34" s="88">
        <v>20231211</v>
      </c>
      <c r="J34" s="49">
        <v>5.0845428080480579E-2</v>
      </c>
      <c r="N34" s="89">
        <v>132.1135702012011</v>
      </c>
      <c r="O34" s="89">
        <v>0.95889919977015825</v>
      </c>
      <c r="P34" s="93"/>
    </row>
    <row r="35" spans="1:20" x14ac:dyDescent="0.4">
      <c r="A35" s="91"/>
      <c r="B35" s="87">
        <v>20240311</v>
      </c>
      <c r="C35" s="49">
        <v>5.1720664304915148E-2</v>
      </c>
      <c r="G35" s="89">
        <v>128.94740963691217</v>
      </c>
      <c r="H35" s="89">
        <v>0.94664748451289882</v>
      </c>
      <c r="I35" s="88">
        <v>20240311</v>
      </c>
      <c r="J35" s="49">
        <v>4.8089464626433306E-2</v>
      </c>
      <c r="N35" s="89">
        <v>125.22366156608385</v>
      </c>
      <c r="O35" s="89">
        <v>0.94664748451289882</v>
      </c>
      <c r="P35" s="93"/>
    </row>
    <row r="36" spans="1:20" x14ac:dyDescent="0.4">
      <c r="A36" s="91"/>
      <c r="B36" s="87">
        <v>20240611</v>
      </c>
      <c r="C36" s="49">
        <v>5.0414742393423646E-2</v>
      </c>
      <c r="G36" s="89">
        <v>127.07277534780714</v>
      </c>
      <c r="H36" s="89">
        <v>0.93472605442796364</v>
      </c>
      <c r="I36" s="88">
        <v>20240611</v>
      </c>
      <c r="J36" s="49">
        <v>4.7835088875364022E-2</v>
      </c>
      <c r="N36" s="89">
        <v>124.58772218840994</v>
      </c>
      <c r="O36" s="89">
        <v>0.93472605442796364</v>
      </c>
      <c r="P36" s="93"/>
    </row>
    <row r="37" spans="1:20" x14ac:dyDescent="0.4">
      <c r="A37" s="91"/>
      <c r="B37" s="87">
        <v>20240911</v>
      </c>
      <c r="C37" s="49">
        <v>4.9196247800054299E-2</v>
      </c>
      <c r="G37" s="89">
        <v>124.00150130424646</v>
      </c>
      <c r="H37" s="89">
        <v>0.92320178150010279</v>
      </c>
      <c r="I37" s="88">
        <v>20240911</v>
      </c>
      <c r="J37" s="49">
        <v>4.7535520637625117E-2</v>
      </c>
      <c r="N37" s="89">
        <v>123.83880159406228</v>
      </c>
      <c r="O37" s="89">
        <v>0.92320178150010279</v>
      </c>
      <c r="P37" s="93"/>
    </row>
    <row r="38" spans="1:20" x14ac:dyDescent="0.4">
      <c r="A38" s="91"/>
      <c r="B38" s="87">
        <v>20241211</v>
      </c>
      <c r="C38" s="49">
        <v>4.5504460776478753E-2</v>
      </c>
      <c r="G38" s="89">
        <v>113.44947755231694</v>
      </c>
      <c r="H38" s="89">
        <v>0.91279151001945635</v>
      </c>
      <c r="I38" s="88">
        <v>20241211</v>
      </c>
      <c r="J38" s="49">
        <v>4.8183972169092447E-2</v>
      </c>
      <c r="N38" s="89">
        <v>125.45993042273112</v>
      </c>
      <c r="O38" s="89">
        <v>0.91279151001945635</v>
      </c>
      <c r="P38" s="93"/>
    </row>
    <row r="39" spans="1:20" x14ac:dyDescent="0.4">
      <c r="A39" s="91"/>
      <c r="B39" s="87">
        <v>20250311</v>
      </c>
      <c r="C39" s="49">
        <v>4.2654660701072197E-2</v>
      </c>
      <c r="G39" s="89">
        <v>105.17587570127409</v>
      </c>
      <c r="H39" s="89">
        <v>0.90319301649998129</v>
      </c>
      <c r="I39" s="88">
        <v>20250311</v>
      </c>
      <c r="J39" s="49">
        <v>4.8743528719754778E-2</v>
      </c>
      <c r="N39" s="89">
        <v>126.858821799387</v>
      </c>
      <c r="O39" s="89">
        <v>0.90319301649998129</v>
      </c>
      <c r="P39" s="93"/>
    </row>
    <row r="40" spans="1:20" x14ac:dyDescent="0.4">
      <c r="A40" s="91"/>
      <c r="B40" s="87">
        <v>20250611</v>
      </c>
      <c r="C40" s="49">
        <v>4.2621426661650592E-2</v>
      </c>
      <c r="G40" s="89">
        <v>107.42934939374935</v>
      </c>
      <c r="H40" s="89">
        <v>0.89348808791297751</v>
      </c>
      <c r="I40" s="88">
        <v>20250611</v>
      </c>
      <c r="J40" s="49">
        <v>4.8627666996851227E-2</v>
      </c>
      <c r="N40" s="89">
        <v>126.56916749212782</v>
      </c>
      <c r="O40" s="89">
        <v>0.89348808791297751</v>
      </c>
      <c r="P40" s="93"/>
    </row>
    <row r="41" spans="1:20" x14ac:dyDescent="0.4">
      <c r="A41" s="91"/>
      <c r="B41" s="87">
        <v>20250911</v>
      </c>
      <c r="C41" s="49">
        <v>4.2638451830862935E-2</v>
      </c>
      <c r="G41" s="89">
        <v>107.47226214902427</v>
      </c>
      <c r="H41" s="89">
        <v>0.88384219305154677</v>
      </c>
      <c r="I41" s="88">
        <v>20250911</v>
      </c>
      <c r="J41" s="49">
        <v>4.8633858666132235E-2</v>
      </c>
      <c r="N41" s="89">
        <v>126.58464666533041</v>
      </c>
      <c r="O41" s="89">
        <v>0.88384219305154677</v>
      </c>
      <c r="P41" s="93"/>
    </row>
    <row r="42" spans="1:20" x14ac:dyDescent="0.4">
      <c r="A42" s="91"/>
      <c r="B42" s="87">
        <v>20251211</v>
      </c>
      <c r="C42" s="49">
        <v>4.4131576415135251E-2</v>
      </c>
      <c r="G42" s="89">
        <v>110.02666996650164</v>
      </c>
      <c r="H42" s="89">
        <v>0.87404705440937369</v>
      </c>
      <c r="I42" s="88">
        <v>20251211</v>
      </c>
      <c r="J42" s="49">
        <v>4.6782091355374533E-2</v>
      </c>
      <c r="N42" s="89">
        <v>121.95522838843621</v>
      </c>
      <c r="O42" s="89">
        <v>0.87404705440937369</v>
      </c>
      <c r="P42" s="93"/>
    </row>
    <row r="43" spans="1:20" x14ac:dyDescent="0.4">
      <c r="A43" s="91"/>
      <c r="B43" s="87">
        <v>20260311</v>
      </c>
      <c r="C43" s="49">
        <v>4.5277233153794533E-2</v>
      </c>
      <c r="G43" s="89">
        <v>111.64249270798705</v>
      </c>
      <c r="H43" s="89">
        <v>0.86422309591000002</v>
      </c>
      <c r="I43" s="88">
        <v>20260311</v>
      </c>
      <c r="J43" s="49">
        <v>4.5405007654787902E-2</v>
      </c>
      <c r="N43" s="89">
        <v>118.5125191369695</v>
      </c>
      <c r="O43" s="89">
        <v>0.86422309591000002</v>
      </c>
      <c r="P43" s="93"/>
    </row>
    <row r="44" spans="1:20" x14ac:dyDescent="0.4">
      <c r="A44" s="91"/>
      <c r="B44" s="87">
        <v>20260611</v>
      </c>
      <c r="C44" s="49">
        <v>4.5628937996092939E-2</v>
      </c>
      <c r="G44" s="89">
        <v>115.00992590796058</v>
      </c>
      <c r="H44" s="89">
        <v>0.85421814745973634</v>
      </c>
      <c r="I44" s="88">
        <v>20260611</v>
      </c>
      <c r="J44" s="49">
        <v>4.4918801393675198E-2</v>
      </c>
      <c r="N44" s="89">
        <v>117.29700348418831</v>
      </c>
      <c r="O44" s="89">
        <v>0.85421814745973634</v>
      </c>
      <c r="P44" s="93"/>
    </row>
    <row r="45" spans="1:20" x14ac:dyDescent="0.4">
      <c r="A45" s="91"/>
      <c r="B45" s="87">
        <v>20260911</v>
      </c>
      <c r="C45" s="49">
        <v>4.6060996944986096E-2</v>
      </c>
      <c r="G45" s="89">
        <v>116.09895120379993</v>
      </c>
      <c r="H45" s="89">
        <v>0.84420454895309438</v>
      </c>
      <c r="I45" s="88">
        <v>20260911</v>
      </c>
      <c r="J45" s="49">
        <v>4.4412869383425313E-2</v>
      </c>
      <c r="N45" s="89">
        <v>116.03217345856291</v>
      </c>
      <c r="O45" s="89">
        <v>0.84420454895309438</v>
      </c>
      <c r="P45" s="93"/>
    </row>
    <row r="46" spans="1:20" x14ac:dyDescent="0.4">
      <c r="A46" s="91"/>
      <c r="B46" s="87">
        <v>20261211</v>
      </c>
      <c r="C46" s="49">
        <v>4.2492012334891659E-2</v>
      </c>
      <c r="G46" s="89">
        <v>105.93898965685406</v>
      </c>
      <c r="H46" s="89">
        <v>0.83514993419537975</v>
      </c>
      <c r="I46" s="88">
        <v>20261211</v>
      </c>
      <c r="J46" s="49">
        <v>4.401650069822545E-2</v>
      </c>
      <c r="N46" s="89">
        <v>115.04125174556386</v>
      </c>
      <c r="O46" s="89">
        <v>0.83514993419537975</v>
      </c>
      <c r="P46" s="93"/>
    </row>
    <row r="47" spans="1:20" x14ac:dyDescent="0.4">
      <c r="A47" s="91"/>
      <c r="B47" s="87">
        <v>20270311</v>
      </c>
      <c r="C47" s="49">
        <v>4.0110822906319135E-2</v>
      </c>
      <c r="G47" s="89">
        <v>98.903398947088732</v>
      </c>
      <c r="H47" s="89">
        <v>0.82675678813049569</v>
      </c>
      <c r="I47" s="88">
        <v>20270311</v>
      </c>
      <c r="J47" s="49">
        <v>4.3538151804225995E-2</v>
      </c>
      <c r="N47" s="89">
        <v>113.84537951056546</v>
      </c>
      <c r="O47" s="89">
        <v>0.82675678813049569</v>
      </c>
      <c r="P47" s="93"/>
    </row>
    <row r="48" spans="1:20" x14ac:dyDescent="0.4">
      <c r="A48" s="91"/>
      <c r="B48" s="87">
        <v>20270611</v>
      </c>
      <c r="C48" s="49">
        <v>3.9855702393857315E-2</v>
      </c>
      <c r="G48" s="89">
        <v>100.45820877355813</v>
      </c>
      <c r="H48" s="89">
        <v>0.81833949934610373</v>
      </c>
      <c r="I48" s="88">
        <v>20270611</v>
      </c>
      <c r="J48" s="49">
        <v>4.3142292630299887E-2</v>
      </c>
      <c r="N48" s="89">
        <v>112.85573157574947</v>
      </c>
      <c r="O48" s="89">
        <v>0.81833949934610373</v>
      </c>
      <c r="P48" s="93"/>
    </row>
    <row r="49" spans="1:16" x14ac:dyDescent="0.4">
      <c r="A49" s="91"/>
      <c r="B49" s="87">
        <v>20270911</v>
      </c>
      <c r="C49" s="49">
        <v>3.9499806663560656E-2</v>
      </c>
      <c r="G49" s="89">
        <v>99.561156521851416</v>
      </c>
      <c r="H49" s="89">
        <v>0.81007925793756186</v>
      </c>
      <c r="I49" s="88">
        <v>20270911</v>
      </c>
      <c r="J49" s="49">
        <v>4.267810178442253E-2</v>
      </c>
      <c r="N49" s="89">
        <v>111.69525446105634</v>
      </c>
      <c r="O49" s="89">
        <v>0.81007925793756186</v>
      </c>
      <c r="P49" s="93"/>
    </row>
    <row r="50" spans="1:16" x14ac:dyDescent="0.4">
      <c r="A50" s="91"/>
      <c r="B50" s="87">
        <v>20271211</v>
      </c>
      <c r="C50" s="49">
        <v>4.0964985551190207E-2</v>
      </c>
      <c r="G50" s="89">
        <v>102.13188178515867</v>
      </c>
      <c r="H50" s="89">
        <v>0.80167717408038541</v>
      </c>
      <c r="I50" s="88">
        <v>20271211</v>
      </c>
      <c r="J50" s="49">
        <v>4.4299260299533946E-2</v>
      </c>
      <c r="N50" s="89">
        <v>115.74815074883463</v>
      </c>
      <c r="O50" s="89">
        <v>0.80167717408038541</v>
      </c>
      <c r="P50" s="93"/>
    </row>
    <row r="51" spans="1:16" x14ac:dyDescent="0.4">
      <c r="A51" s="91"/>
      <c r="B51" s="87">
        <v>20280311</v>
      </c>
      <c r="C51" s="49">
        <v>4.1853942900151708E-2</v>
      </c>
      <c r="G51" s="89">
        <v>104.34818640859693</v>
      </c>
      <c r="H51" s="89">
        <v>0.79319500230023887</v>
      </c>
      <c r="I51" s="88">
        <v>20280311</v>
      </c>
      <c r="J51" s="49">
        <v>4.5257986451294682E-2</v>
      </c>
      <c r="N51" s="89">
        <v>118.14496612823595</v>
      </c>
      <c r="O51" s="89">
        <v>0.79319500230023887</v>
      </c>
      <c r="P51" s="93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2023-09-23T15:12:44Z</dcterms:modified>
</cp:coreProperties>
</file>