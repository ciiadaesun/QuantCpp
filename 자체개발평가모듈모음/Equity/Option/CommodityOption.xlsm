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>
  <authors>
    <author>DAESUN IM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<sst xmlns="http://schemas.openxmlformats.org/spreadsheetml/2006/main" count="36" uniqueCount="35">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</sst>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Alignment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Border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Border="1" applyAlignment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4"/>
  <sheetViews>
    <sheetView tabSelected="1" topLeftCell="H1" workbookViewId="0">
      <selection activeCell="Q21" sqref="Q21"/>
    </sheetView>
  </sheetViews>
  <sheetFormatPr defaultColWidth="11.5" defaultRowHeight="17.399999999999999" x14ac:dyDescent="0.4"/>
  <cols>
    <col min="1" max="1" width="11.5" style="25"/>
    <col min="2" max="2" width="11.5" style="20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7" bestFit="1" customWidth="1"/>
    <col min="16" max="16" width="11.5" style="15"/>
    <col min="17" max="17" width="11.5" style="14"/>
    <col min="18" max="18" width="11.5" style="16"/>
    <col min="19" max="19" width="11.5" style="26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30" t="s">
        <v>0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55" s="2" customFormat="1" ht="15.6" x14ac:dyDescent="0.4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1" t="s">
        <v>1</v>
      </c>
      <c r="B5" s="31"/>
      <c r="C5" s="32">
        <v>0</v>
      </c>
      <c r="D5" s="32"/>
      <c r="E5" s="3" t="str">
        <f>IF(C5=0,"매수","매도")</f>
        <v>매수</v>
      </c>
      <c r="G5" s="1"/>
      <c r="H5" s="1"/>
      <c r="J5" s="1"/>
      <c r="K5" s="31" t="s">
        <v>19</v>
      </c>
      <c r="L5" s="31"/>
      <c r="M5" s="32">
        <v>0</v>
      </c>
      <c r="N5" s="32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1" t="s">
        <v>2</v>
      </c>
      <c r="B6" s="31"/>
      <c r="C6" s="32">
        <v>0</v>
      </c>
      <c r="D6" s="32"/>
      <c r="E6" s="3" t="str">
        <f>IF(C6=0,"콜","풋")</f>
        <v>콜</v>
      </c>
      <c r="F6" s="31" t="s">
        <v>3</v>
      </c>
      <c r="G6" s="31"/>
      <c r="H6" s="33">
        <v>60</v>
      </c>
      <c r="I6" s="33"/>
      <c r="J6" s="1"/>
      <c r="K6" s="31" t="s">
        <v>20</v>
      </c>
      <c r="L6" s="31"/>
      <c r="M6" s="32">
        <v>0</v>
      </c>
      <c r="N6" s="32"/>
      <c r="O6" s="7" t="s">
        <v>31</v>
      </c>
      <c r="P6" s="8">
        <v>10</v>
      </c>
      <c r="Q6" s="44" t="s">
        <v>33</v>
      </c>
      <c r="R6" s="45"/>
      <c r="S6" s="46"/>
    </row>
    <row r="7" spans="1:55" x14ac:dyDescent="0.4">
      <c r="A7" s="31" t="s">
        <v>7</v>
      </c>
      <c r="B7" s="31"/>
      <c r="C7" s="32">
        <v>1</v>
      </c>
      <c r="D7" s="32"/>
      <c r="E7" s="3" t="str">
        <f>C7&amp;"Month"</f>
        <v>1Month</v>
      </c>
      <c r="G7" s="1"/>
      <c r="H7" s="1"/>
      <c r="J7" s="1"/>
      <c r="K7" s="1"/>
      <c r="L7" s="1"/>
      <c r="M7" s="49" t="s">
        <v>26</v>
      </c>
      <c r="N7" s="49"/>
      <c r="O7" s="47">
        <v>11.020914481597593</v>
      </c>
      <c r="P7" s="48"/>
      <c r="Q7" s="38"/>
      <c r="R7" s="39"/>
      <c r="S7" s="40"/>
    </row>
    <row r="8" spans="1:55" ht="18" thickBot="1" x14ac:dyDescent="0.45">
      <c r="A8" s="31" t="s">
        <v>4</v>
      </c>
      <c r="B8" s="31"/>
      <c r="C8" s="37">
        <v>45411</v>
      </c>
      <c r="D8" s="32"/>
      <c r="E8" s="1"/>
      <c r="G8" s="1"/>
      <c r="H8" s="1"/>
      <c r="J8" s="1"/>
      <c r="K8" s="1"/>
      <c r="L8" s="1"/>
      <c r="M8" s="1"/>
      <c r="N8" s="1"/>
      <c r="O8" s="1"/>
      <c r="P8" s="22">
        <v>11.023797</v>
      </c>
      <c r="Q8" s="41"/>
      <c r="R8" s="42"/>
      <c r="S8" s="43"/>
    </row>
    <row r="9" spans="1:55" x14ac:dyDescent="0.4">
      <c r="A9" s="31" t="s">
        <v>5</v>
      </c>
      <c r="B9" s="31"/>
      <c r="C9" s="37">
        <v>45413</v>
      </c>
      <c r="D9" s="32"/>
      <c r="E9" s="1"/>
      <c r="F9" s="3" t="s">
        <v>8</v>
      </c>
      <c r="G9" s="4">
        <v>1</v>
      </c>
      <c r="H9" s="36" t="str">
        <f>"M월 "&amp;G9&amp;"일부터"</f>
        <v>M월 1일부터</v>
      </c>
      <c r="I9" s="36"/>
      <c r="J9" s="1"/>
      <c r="K9" s="1"/>
      <c r="L9" s="1"/>
      <c r="M9" s="1"/>
      <c r="N9" s="1"/>
      <c r="O9" s="1"/>
      <c r="P9" s="21">
        <f>(O7-P8)/H6</f>
        <v>-4.8041973373447175E-5</v>
      </c>
      <c r="Q9" s="1"/>
      <c r="R9" s="1"/>
      <c r="S9" s="1"/>
    </row>
    <row r="10" spans="1:55" x14ac:dyDescent="0.4">
      <c r="A10" s="31" t="s">
        <v>6</v>
      </c>
      <c r="B10" s="31"/>
      <c r="C10" s="37">
        <v>45777</v>
      </c>
      <c r="D10" s="32"/>
      <c r="E10" s="1"/>
      <c r="F10" s="3" t="s">
        <v>9</v>
      </c>
      <c r="G10" s="4">
        <v>31</v>
      </c>
      <c r="H10" s="36" t="str">
        <f>"M월 "&amp;G10&amp;"일까지 영업일 평균"</f>
        <v>M월 31일까지 영업일 평균</v>
      </c>
      <c r="I10" s="36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5" t="s">
        <v>14</v>
      </c>
      <c r="B13" s="35"/>
      <c r="D13" s="35" t="s">
        <v>16</v>
      </c>
      <c r="E13" s="35"/>
      <c r="G13" s="35" t="s">
        <v>23</v>
      </c>
      <c r="H13" s="35"/>
      <c r="J13" s="34" t="s">
        <v>10</v>
      </c>
      <c r="K13" s="34" t="s">
        <v>11</v>
      </c>
      <c r="L13" s="34" t="s">
        <v>21</v>
      </c>
      <c r="M13" s="34" t="s">
        <v>22</v>
      </c>
      <c r="N13" s="34" t="s">
        <v>25</v>
      </c>
      <c r="O13" s="50" t="s">
        <v>34</v>
      </c>
      <c r="P13" s="28" t="s">
        <v>28</v>
      </c>
      <c r="Q13" s="28" t="s">
        <v>27</v>
      </c>
      <c r="R13" s="28" t="s">
        <v>29</v>
      </c>
      <c r="S13" s="28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13" t="s">
        <v>18</v>
      </c>
      <c r="H14" s="6" t="s">
        <v>24</v>
      </c>
      <c r="J14" s="34"/>
      <c r="K14" s="34"/>
      <c r="L14" s="34"/>
      <c r="M14" s="34"/>
      <c r="N14" s="34"/>
      <c r="O14" s="50"/>
      <c r="P14" s="29"/>
      <c r="Q14" s="29"/>
      <c r="R14" s="29"/>
      <c r="S14" s="29"/>
    </row>
    <row r="15" spans="1:55" x14ac:dyDescent="0.35">
      <c r="A15" s="23">
        <v>45412</v>
      </c>
      <c r="B15" s="18">
        <v>5.3934903999999999E-2</v>
      </c>
      <c r="C15" s="17">
        <v>45412</v>
      </c>
      <c r="D15" s="5">
        <v>45433</v>
      </c>
      <c r="E15" s="9">
        <v>70</v>
      </c>
      <c r="G15" s="5">
        <v>45443</v>
      </c>
      <c r="H15" s="10">
        <v>0</v>
      </c>
      <c r="J15" s="5">
        <v>45413</v>
      </c>
      <c r="K15" s="5">
        <v>45443</v>
      </c>
      <c r="L15" s="5">
        <v>45443</v>
      </c>
      <c r="M15" s="5">
        <v>45453</v>
      </c>
      <c r="O15" s="27">
        <v>45478</v>
      </c>
      <c r="P15" s="15">
        <v>10.079545454545453</v>
      </c>
      <c r="Q15" s="14">
        <v>0.99999999999999967</v>
      </c>
      <c r="R15" s="16">
        <v>0</v>
      </c>
      <c r="S15" s="26">
        <v>0.99381663257223674</v>
      </c>
    </row>
    <row r="16" spans="1:55" x14ac:dyDescent="0.35">
      <c r="A16" s="23">
        <v>45422</v>
      </c>
      <c r="B16" s="18">
        <v>5.3860367999999999E-2</v>
      </c>
      <c r="C16" s="17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7">
        <v>45765</v>
      </c>
      <c r="P16" s="15">
        <v>10.328987225558926</v>
      </c>
      <c r="Q16" s="14">
        <v>0.99994176103764476</v>
      </c>
      <c r="R16" s="16">
        <v>5.721705671650966E-5</v>
      </c>
      <c r="S16" s="26">
        <v>0.9897141564847185</v>
      </c>
    </row>
    <row r="17" spans="1:19" x14ac:dyDescent="0.35">
      <c r="A17" s="23">
        <v>45448</v>
      </c>
      <c r="B17" s="18">
        <v>5.3898420000000002E-2</v>
      </c>
      <c r="C17" s="17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5">
        <v>10.586730596535382</v>
      </c>
      <c r="Q17" s="14">
        <v>0.99731621390275593</v>
      </c>
      <c r="R17" s="16">
        <v>2.6219188994805053E-3</v>
      </c>
      <c r="S17" s="26">
        <v>0.98536906209478914</v>
      </c>
    </row>
    <row r="18" spans="1:19" x14ac:dyDescent="0.35">
      <c r="A18" s="23">
        <v>45476</v>
      </c>
      <c r="B18" s="18">
        <v>5.3925364000000003E-2</v>
      </c>
      <c r="C18" s="17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5">
        <v>10.865041230984446</v>
      </c>
      <c r="Q18" s="14">
        <v>0.98734396160110338</v>
      </c>
      <c r="R18" s="16">
        <v>1.2365432717133796E-2</v>
      </c>
      <c r="S18" s="26">
        <v>0.98076894810876636</v>
      </c>
    </row>
    <row r="19" spans="1:19" x14ac:dyDescent="0.35">
      <c r="A19" s="23">
        <v>45509</v>
      </c>
      <c r="B19" s="18">
        <v>5.3830991000000002E-2</v>
      </c>
      <c r="C19" s="17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45573</v>
      </c>
      <c r="P19" s="15">
        <v>11.151888406313496</v>
      </c>
      <c r="Q19" s="14">
        <v>0.97051945356873515</v>
      </c>
      <c r="R19" s="16">
        <v>2.9015658576779589E-2</v>
      </c>
      <c r="S19" s="26">
        <v>0.97668786374296401</v>
      </c>
    </row>
    <row r="20" spans="1:19" x14ac:dyDescent="0.35">
      <c r="A20" s="23">
        <v>45540</v>
      </c>
      <c r="B20" s="18">
        <v>5.3311007000000001E-2</v>
      </c>
      <c r="C20" s="17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5">
        <v>11.494152574888446</v>
      </c>
      <c r="Q20" s="14">
        <v>0.95085829738849759</v>
      </c>
      <c r="R20" s="16">
        <v>4.8730757010665114E-2</v>
      </c>
      <c r="S20" s="26">
        <v>0.97250747840369722</v>
      </c>
    </row>
    <row r="21" spans="1:19" x14ac:dyDescent="0.35">
      <c r="A21" s="23">
        <v>45693</v>
      </c>
      <c r="B21" s="18">
        <v>5.2546755000000001E-2</v>
      </c>
      <c r="C21" s="17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5">
        <v>10.782398261110032</v>
      </c>
      <c r="Q21" s="14">
        <v>0.90988048257918008</v>
      </c>
      <c r="R21" s="16">
        <v>8.3739242140342895E-2</v>
      </c>
      <c r="S21" s="26">
        <v>0.96850612582543616</v>
      </c>
    </row>
    <row r="22" spans="1:19" x14ac:dyDescent="0.35">
      <c r="A22" s="23">
        <v>45782</v>
      </c>
      <c r="B22" s="18">
        <v>5.1679950000000002E-2</v>
      </c>
      <c r="C22" s="17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5">
        <v>10.077416734251223</v>
      </c>
      <c r="Q22" s="14">
        <v>0.86115945792566562</v>
      </c>
      <c r="R22" s="16">
        <v>0.12063563063559921</v>
      </c>
      <c r="S22" s="26">
        <v>0.96399987664870357</v>
      </c>
    </row>
    <row r="23" spans="1:19" x14ac:dyDescent="0.35">
      <c r="A23" s="23">
        <v>45966</v>
      </c>
      <c r="B23" s="18">
        <v>4.9851999000000001E-2</v>
      </c>
      <c r="C23" s="17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5">
        <v>12.763520110269148</v>
      </c>
      <c r="Q23" s="14">
        <v>0.88901832071582521</v>
      </c>
      <c r="R23" s="16">
        <v>0.11464030825209645</v>
      </c>
      <c r="S23" s="26">
        <v>0.95995339917747169</v>
      </c>
    </row>
    <row r="24" spans="1:19" x14ac:dyDescent="0.35">
      <c r="A24" s="23">
        <v>46147</v>
      </c>
      <c r="B24" s="18">
        <v>4.8106734999999998E-2</v>
      </c>
      <c r="C24" s="17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5">
        <v>12.267130165284719</v>
      </c>
      <c r="Q24" s="14">
        <v>0.85321122946290484</v>
      </c>
      <c r="R24" s="16">
        <v>0.14530250905488992</v>
      </c>
      <c r="S24" s="26">
        <v>0.95592941998839842</v>
      </c>
    </row>
    <row r="25" spans="1:19" x14ac:dyDescent="0.35">
      <c r="A25" s="23">
        <v>46512</v>
      </c>
      <c r="B25" s="18">
        <v>4.5582950999999997E-2</v>
      </c>
      <c r="C25" s="17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5">
        <v>11.776711285006293</v>
      </c>
      <c r="Q25" s="14">
        <v>0.81592532738513524</v>
      </c>
      <c r="R25" s="16">
        <v>0.17407815421720729</v>
      </c>
      <c r="S25" s="26">
        <v>0.952351337830045</v>
      </c>
    </row>
    <row r="26" spans="1:19" x14ac:dyDescent="0.4">
      <c r="A26" s="23">
        <v>46876</v>
      </c>
      <c r="B26" s="19">
        <v>4.3939680000000002E-2</v>
      </c>
      <c r="C26" s="17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5">
        <v>14.242352413597537</v>
      </c>
      <c r="Q26" s="14">
        <v>0.84330211295277946</v>
      </c>
      <c r="R26" s="16">
        <v>0.1701573170235974</v>
      </c>
      <c r="S26" s="26">
        <v>0.94795467664646405</v>
      </c>
    </row>
    <row r="27" spans="1:19" x14ac:dyDescent="0.4">
      <c r="A27" s="23">
        <v>47241</v>
      </c>
      <c r="B27" s="19">
        <v>4.2891055999999997E-2</v>
      </c>
      <c r="C27" s="17">
        <v>47241</v>
      </c>
      <c r="D27" s="5">
        <v>45797</v>
      </c>
      <c r="E27" s="9">
        <v>73</v>
      </c>
    </row>
    <row r="28" spans="1:19" x14ac:dyDescent="0.4">
      <c r="A28" s="24"/>
      <c r="B28" s="19"/>
      <c r="D28" s="5">
        <v>45828</v>
      </c>
      <c r="E28" s="9">
        <v>73.25</v>
      </c>
    </row>
    <row r="29" spans="1:19" x14ac:dyDescent="0.4">
      <c r="A29" s="24"/>
      <c r="B29" s="19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  <mergeCell ref="A8:B8"/>
    <mergeCell ref="C8:D8"/>
    <mergeCell ref="A9:B9"/>
    <mergeCell ref="C9:D9"/>
    <mergeCell ref="A10:B10"/>
    <mergeCell ref="C10:D10"/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2024-05-30T12:01:54Z</dcterms:created>
  <dcterms:modified xsi:type="dcterms:W3CDTF">2025-01-27T08:16:42Z</dcterms:modified>
</cp:coreProperties>
</file>