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sharedStrings.xml><?xml version="1.0" encoding="utf-8"?>
<sst xmlns="http://schemas.openxmlformats.org/spreadsheetml/2006/main" count="14" uniqueCount="12">
  <si>
    <t>Option Imvol Price</t>
    <phoneticPr fontId="3" type="noConversion"/>
  </si>
  <si>
    <t>가격계산일</t>
    <phoneticPr fontId="3" type="noConversion"/>
  </si>
  <si>
    <t>만기to결제일(N일)</t>
    <phoneticPr fontId="3" type="noConversion"/>
  </si>
  <si>
    <t>이자율</t>
    <phoneticPr fontId="3" type="noConversion"/>
  </si>
  <si>
    <t>Discount</t>
    <phoneticPr fontId="3" type="noConversion"/>
  </si>
  <si>
    <t>Reference</t>
    <phoneticPr fontId="3" type="noConversion"/>
  </si>
  <si>
    <t>배당률</t>
    <phoneticPr fontId="3" type="noConversion"/>
  </si>
  <si>
    <t>기간구조</t>
    <phoneticPr fontId="3" type="noConversion"/>
  </si>
  <si>
    <t>Parity</t>
    <phoneticPr fontId="3" type="noConversion"/>
  </si>
  <si>
    <t>가격</t>
    <phoneticPr fontId="3" type="noConversion"/>
  </si>
  <si>
    <t>기초자산가격</t>
    <phoneticPr fontId="3" type="noConversion"/>
  </si>
  <si>
    <t xml:space="preserve"> 변동성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</si>
</sst>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);[Red]\(0\)"/>
    <numFmt numFmtId="177" formatCode="0.00_);[Red]\(0.00\)"/>
    <numFmt numFmtId="178" formatCode="0.0000_);[Red]\(0.0000\)"/>
    <numFmt numFmtId="179" formatCode="0.000%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2" fillId="3" borderId="0" xfId="0" applyFont="1" applyFill="1">
      <alignment vertical="center"/>
    </xf>
    <xf numFmtId="179" fontId="8" fillId="10" borderId="0" xfId="1" applyNumberFormat="1" applyFont="1" applyFill="1" applyBorder="1" applyAlignment="1" applyProtection="1">
      <protection locked="0"/>
    </xf>
    <xf numFmtId="179" fontId="5" fillId="10" borderId="0" xfId="1" applyNumberFormat="1" applyFont="1" applyFill="1" applyProtection="1">
      <alignment vertical="center"/>
      <protection locked="0"/>
    </xf>
    <xf numFmtId="179" fontId="0" fillId="10" borderId="0" xfId="1" applyNumberFormat="1" applyFont="1" applyFill="1">
      <alignment vertical="center"/>
    </xf>
    <xf numFmtId="0" fontId="6" fillId="2" borderId="2" xfId="0" applyFont="1" applyFill="1" applyBorder="1" applyAlignment="1" applyProtection="1">
      <alignment vertical="center"/>
      <protection locked="0"/>
    </xf>
    <xf numFmtId="0" fontId="6" fillId="2" borderId="3" xfId="0" applyFont="1" applyFill="1" applyBorder="1" applyAlignment="1" applyProtection="1">
      <alignment vertical="center"/>
      <protection locked="0"/>
    </xf>
    <xf numFmtId="177" fontId="7" fillId="11" borderId="5" xfId="0" applyNumberFormat="1" applyFont="1" applyFill="1" applyBorder="1" applyAlignment="1" applyProtection="1">
      <alignment vertical="center"/>
      <protection locked="0"/>
    </xf>
    <xf numFmtId="178" fontId="8" fillId="12" borderId="5" xfId="0" applyNumberFormat="1" applyFont="1" applyFill="1" applyBorder="1" applyAlignment="1" applyProtection="1">
      <protection locked="0"/>
    </xf>
    <xf numFmtId="14" fontId="7" fillId="11" borderId="5" xfId="0" applyNumberFormat="1" applyFont="1" applyFill="1" applyBorder="1" applyAlignment="1" applyProtection="1">
      <alignment vertical="center"/>
      <protection locked="0"/>
    </xf>
    <xf numFmtId="14" fontId="0" fillId="3" borderId="0" xfId="0" applyNumberFormat="1" applyFill="1">
      <alignment vertical="center"/>
    </xf>
    <xf numFmtId="10" fontId="8" fillId="12" borderId="5" xfId="1" applyNumberFormat="1" applyFont="1" applyFill="1" applyBorder="1" applyAlignment="1" applyProtection="1">
      <protection locked="0"/>
    </xf>
    <xf numFmtId="10" fontId="8" fillId="10" borderId="0" xfId="0" applyNumberFormat="1" applyFont="1" applyFill="1" applyBorder="1" applyAlignment="1" applyProtection="1">
      <protection locked="0"/>
    </xf>
    <xf numFmtId="14" fontId="7" fillId="10" borderId="0" xfId="0" applyNumberFormat="1" applyFont="1" applyFill="1" applyBorder="1" applyAlignment="1" applyProtection="1">
      <alignment vertical="center"/>
      <protection locked="0"/>
    </xf>
    <xf numFmtId="14" fontId="9" fillId="10" borderId="0" xfId="0" applyNumberFormat="1" applyFont="1" applyFill="1" applyProtection="1">
      <alignment vertical="center"/>
      <protection locked="0"/>
    </xf>
    <xf numFmtId="14" fontId="10" fillId="10" borderId="0" xfId="0" applyNumberFormat="1" applyFont="1" applyFill="1">
      <alignment vertical="center"/>
    </xf>
    <xf numFmtId="0" fontId="6" fillId="13" borderId="0" xfId="0" applyFont="1" applyFill="1" applyAlignment="1">
      <alignment horizontal="left"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center" vertical="center" wrapText="1"/>
    </xf>
    <xf numFmtId="0" fontId="4" fillId="5" borderId="0" xfId="0" applyFont="1" applyFill="1" applyAlignment="1">
      <alignment horizontal="left" vertical="center"/>
    </xf>
    <xf numFmtId="0" fontId="2" fillId="6" borderId="0" xfId="0" applyFont="1" applyFill="1" applyAlignment="1">
      <alignment horizontal="center" vertical="center"/>
    </xf>
    <xf numFmtId="14" fontId="5" fillId="7" borderId="0" xfId="0" applyNumberFormat="1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176" fontId="5" fillId="7" borderId="0" xfId="0" applyNumberFormat="1" applyFont="1" applyFill="1" applyAlignment="1" applyProtection="1">
      <alignment horizontal="center" vertical="center"/>
      <protection locked="0"/>
    </xf>
    <xf numFmtId="177" fontId="5" fillId="7" borderId="0" xfId="0" applyNumberFormat="1" applyFont="1" applyFill="1" applyAlignment="1" applyProtection="1">
      <alignment horizontal="center" vertical="center"/>
      <protection locked="0"/>
    </xf>
    <xf numFmtId="0" fontId="6" fillId="8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4</xdr:row>
          <xdr:rowOff>0</xdr:rowOff>
        </xdr:from>
        <xdr:to>
          <xdr:col>10</xdr:col>
          <xdr:colOff>716280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Vol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50"/>
  <sheetViews>
    <sheetView tabSelected="1" workbookViewId="0">
      <selection activeCell="K11" sqref="K11"/>
    </sheetView>
  </sheetViews>
  <sheetFormatPr defaultRowHeight="17.399999999999999" x14ac:dyDescent="0.4"/>
  <cols>
    <col min="1" max="1" width="10.8984375" style="17" bestFit="1" customWidth="1"/>
    <col min="2" max="2" width="8.796875" style="6"/>
    <col min="3" max="3" width="10.8984375" style="17" bestFit="1" customWidth="1"/>
    <col min="4" max="4" width="8.796875" style="6"/>
    <col min="5" max="5" width="11.5" style="17" bestFit="1" customWidth="1"/>
    <col min="6" max="6" width="8.796875" style="6"/>
    <col min="7" max="7" width="10.8984375" style="1" bestFit="1" customWidth="1"/>
    <col min="8" max="8" width="8.796875" style="1"/>
    <col min="9" max="18" width="10.8984375" style="1" bestFit="1" customWidth="1"/>
    <col min="19" max="29" width="8.796875" style="1"/>
    <col min="30" max="39" width="10.8984375" style="1" bestFit="1" customWidth="1"/>
    <col min="40" max="44" width="11" style="1" customWidth="1"/>
    <col min="45" max="48" width="12.59765625" style="1" customWidth="1"/>
    <col min="49" max="16384" width="8.796875" style="1"/>
  </cols>
  <sheetData>
    <row r="1" spans="1:56" s="3" customFormat="1" ht="15.6" x14ac:dyDescent="0.4">
      <c r="A1" s="3">
        <v>1</v>
      </c>
      <c r="B1" s="3">
        <f>A1+1</f>
        <v>2</v>
      </c>
      <c r="C1" s="3">
        <f t="shared" ref="C1:BC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 t="shared" si="0"/>
        <v>37</v>
      </c>
      <c r="AL1" s="3">
        <f t="shared" si="0"/>
        <v>38</v>
      </c>
      <c r="AM1" s="3">
        <f t="shared" si="0"/>
        <v>39</v>
      </c>
      <c r="AN1" s="3">
        <f t="shared" si="0"/>
        <v>40</v>
      </c>
      <c r="AO1" s="3">
        <f t="shared" si="0"/>
        <v>41</v>
      </c>
      <c r="AP1" s="3">
        <f t="shared" si="0"/>
        <v>42</v>
      </c>
      <c r="AQ1" s="3">
        <f t="shared" si="0"/>
        <v>43</v>
      </c>
      <c r="AR1" s="3">
        <f t="shared" si="0"/>
        <v>44</v>
      </c>
      <c r="AS1" s="3">
        <f t="shared" si="0"/>
        <v>45</v>
      </c>
      <c r="AT1" s="3">
        <f t="shared" si="0"/>
        <v>46</v>
      </c>
      <c r="AU1" s="3">
        <f t="shared" si="0"/>
        <v>47</v>
      </c>
      <c r="AV1" s="3">
        <f t="shared" si="0"/>
        <v>48</v>
      </c>
      <c r="AW1" s="3">
        <f t="shared" si="0"/>
        <v>49</v>
      </c>
      <c r="AX1" s="3">
        <f t="shared" si="0"/>
        <v>50</v>
      </c>
      <c r="AY1" s="3">
        <f t="shared" si="0"/>
        <v>51</v>
      </c>
      <c r="AZ1" s="3">
        <f t="shared" si="0"/>
        <v>52</v>
      </c>
      <c r="BA1" s="3">
        <f t="shared" si="0"/>
        <v>53</v>
      </c>
      <c r="BB1" s="3">
        <f t="shared" si="0"/>
        <v>54</v>
      </c>
      <c r="BC1" s="3">
        <f t="shared" si="0"/>
        <v>55</v>
      </c>
    </row>
    <row r="2" spans="1:56" s="2" customFormat="1" ht="15.6" x14ac:dyDescent="0.4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6" s="2" customFormat="1" ht="15.6" x14ac:dyDescent="0.4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6" x14ac:dyDescent="0.4">
      <c r="A4" s="1"/>
      <c r="B4" s="1"/>
      <c r="C4" s="1"/>
      <c r="D4" s="1"/>
      <c r="E4" s="1"/>
      <c r="F4" s="1"/>
    </row>
    <row r="5" spans="1:56" x14ac:dyDescent="0.4">
      <c r="A5" s="22" t="s">
        <v>1</v>
      </c>
      <c r="B5" s="22"/>
      <c r="C5" s="23">
        <v>45168</v>
      </c>
      <c r="D5" s="24"/>
      <c r="E5" s="22" t="s">
        <v>10</v>
      </c>
      <c r="F5" s="22"/>
      <c r="G5" s="26">
        <v>1316</v>
      </c>
      <c r="H5" s="26"/>
    </row>
    <row r="6" spans="1:56" x14ac:dyDescent="0.4">
      <c r="A6" s="22" t="s">
        <v>2</v>
      </c>
      <c r="B6" s="22"/>
      <c r="C6" s="25">
        <v>0</v>
      </c>
      <c r="D6" s="25"/>
      <c r="E6" s="1"/>
      <c r="F6" s="1"/>
    </row>
    <row r="7" spans="1:56" x14ac:dyDescent="0.4">
      <c r="A7" s="1"/>
      <c r="B7" s="1"/>
      <c r="C7" s="1"/>
      <c r="D7" s="1"/>
      <c r="E7" s="1"/>
      <c r="F7" s="1"/>
    </row>
    <row r="8" spans="1:56" x14ac:dyDescent="0.4">
      <c r="A8" s="29" t="s">
        <v>3</v>
      </c>
      <c r="B8" s="29"/>
      <c r="C8" s="29"/>
      <c r="D8" s="29"/>
      <c r="E8" s="29" t="s">
        <v>6</v>
      </c>
      <c r="F8" s="29"/>
      <c r="H8" s="29" t="s">
        <v>9</v>
      </c>
      <c r="I8" s="29"/>
      <c r="J8" s="29"/>
      <c r="K8" s="29"/>
      <c r="AC8" s="18" t="s">
        <v>11</v>
      </c>
      <c r="AD8" s="18"/>
      <c r="AE8" s="18"/>
      <c r="AF8" s="18"/>
    </row>
    <row r="9" spans="1:56" x14ac:dyDescent="0.4">
      <c r="A9" s="27" t="s">
        <v>4</v>
      </c>
      <c r="B9" s="27"/>
      <c r="C9" s="28" t="s">
        <v>5</v>
      </c>
      <c r="D9" s="28"/>
      <c r="E9" s="27" t="str">
        <f>IF(F7=2,"배당액입력(금액입력)","Dividend(%입력)")</f>
        <v>Dividend(%입력)</v>
      </c>
      <c r="F9" s="27"/>
      <c r="H9" s="19" t="s">
        <v>8</v>
      </c>
      <c r="I9" s="7" t="s">
        <v>7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C9" s="19" t="s">
        <v>8</v>
      </c>
      <c r="AD9" s="7" t="s">
        <v>7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56" s="12" customFormat="1" x14ac:dyDescent="0.4">
      <c r="A10" s="27"/>
      <c r="B10" s="27"/>
      <c r="C10" s="28"/>
      <c r="D10" s="28"/>
      <c r="E10" s="27"/>
      <c r="F10" s="27"/>
      <c r="G10" s="1"/>
      <c r="H10" s="20"/>
      <c r="I10" s="11">
        <v>45289</v>
      </c>
      <c r="J10" s="11">
        <v>45411</v>
      </c>
      <c r="K10" s="11">
        <v>45533</v>
      </c>
      <c r="L10" s="11">
        <v>45654</v>
      </c>
      <c r="M10" s="11">
        <v>45776</v>
      </c>
      <c r="N10" s="11">
        <v>45898</v>
      </c>
      <c r="O10" s="11">
        <v>46019</v>
      </c>
      <c r="P10" s="11">
        <v>46141</v>
      </c>
      <c r="Q10" s="11">
        <v>46263</v>
      </c>
      <c r="R10" s="11">
        <v>46384</v>
      </c>
      <c r="S10" s="11"/>
      <c r="T10" s="11"/>
      <c r="U10" s="11"/>
      <c r="V10" s="11"/>
      <c r="W10" s="11"/>
      <c r="X10" s="11"/>
      <c r="Y10" s="11"/>
      <c r="Z10" s="11"/>
      <c r="AB10" s="1"/>
      <c r="AC10" s="20"/>
      <c r="AD10" s="11">
        <v>45289</v>
      </c>
      <c r="AE10" s="11">
        <v>45411</v>
      </c>
      <c r="AF10" s="11">
        <v>45533</v>
      </c>
      <c r="AG10" s="11">
        <v>45654</v>
      </c>
      <c r="AH10" s="11">
        <v>45776</v>
      </c>
      <c r="AI10" s="11">
        <v>45898</v>
      </c>
      <c r="AJ10" s="11">
        <v>46019</v>
      </c>
      <c r="AK10" s="11">
        <v>46141</v>
      </c>
      <c r="AL10" s="11">
        <v>46263</v>
      </c>
      <c r="AM10" s="11">
        <v>46384</v>
      </c>
      <c r="AN10" s="11"/>
      <c r="AO10" s="11"/>
      <c r="AP10" s="11"/>
      <c r="AQ10" s="11"/>
      <c r="AR10" s="11"/>
      <c r="AS10" s="11"/>
      <c r="AT10" s="11"/>
      <c r="AU10" s="1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15">
        <v>45172</v>
      </c>
      <c r="B11" s="4">
        <v>3.5263000000000003E-2</v>
      </c>
      <c r="C11" s="15">
        <v>45172</v>
      </c>
      <c r="D11" s="4">
        <v>3.5263000000000003E-2</v>
      </c>
      <c r="E11" s="15">
        <v>45169</v>
      </c>
      <c r="F11" s="14">
        <v>5.2999999999999999E-2</v>
      </c>
      <c r="G11" s="12">
        <v>45172</v>
      </c>
      <c r="H11" s="9">
        <v>0.8</v>
      </c>
      <c r="I11" s="10">
        <v>257.73518262081529</v>
      </c>
      <c r="J11" s="10">
        <v>264.62695079171709</v>
      </c>
      <c r="K11" s="10">
        <v>271.7030029553531</v>
      </c>
      <c r="L11" s="10">
        <v>278.90871547208684</v>
      </c>
      <c r="M11" s="10">
        <v>286.36665811046373</v>
      </c>
      <c r="N11" s="10">
        <v>294.02402409171884</v>
      </c>
      <c r="O11" s="10">
        <v>301.82170231968553</v>
      </c>
      <c r="P11" s="10">
        <v>309.89233194883656</v>
      </c>
      <c r="Q11" s="10">
        <v>318.17876800313968</v>
      </c>
      <c r="R11" s="10">
        <v>326.61704327511336</v>
      </c>
      <c r="S11" s="10"/>
      <c r="T11" s="10"/>
      <c r="U11" s="10"/>
      <c r="V11" s="10"/>
      <c r="W11" s="10"/>
      <c r="X11" s="10"/>
      <c r="Y11" s="10"/>
      <c r="Z11" s="10"/>
      <c r="AC11" s="9">
        <v>1052.8</v>
      </c>
      <c r="AD11" s="13">
        <v>0.24398406310081486</v>
      </c>
      <c r="AE11" s="13">
        <v>0.26079254906773575</v>
      </c>
      <c r="AF11" s="13">
        <v>0.26372321175932889</v>
      </c>
      <c r="AG11" s="13">
        <v>0.26752113782614473</v>
      </c>
      <c r="AH11" s="13">
        <v>0.27256066176146265</v>
      </c>
      <c r="AI11" s="13">
        <v>0.27864321731030933</v>
      </c>
      <c r="AJ11" s="13">
        <v>0.2855317721523345</v>
      </c>
      <c r="AK11" s="13">
        <v>0.29314858952090139</v>
      </c>
      <c r="AL11" s="13">
        <v>0.30136796741038552</v>
      </c>
      <c r="AM11" s="13">
        <v>0.31002026175558567</v>
      </c>
      <c r="AN11" s="13"/>
      <c r="AO11" s="13"/>
      <c r="AP11" s="13"/>
      <c r="AQ11" s="13"/>
      <c r="AR11" s="13"/>
      <c r="AS11" s="13"/>
      <c r="AT11" s="13"/>
      <c r="AU11" s="13"/>
    </row>
    <row r="12" spans="1:56" x14ac:dyDescent="0.35">
      <c r="A12" s="15">
        <v>45173</v>
      </c>
      <c r="B12" s="4">
        <v>3.5270999999999997E-2</v>
      </c>
      <c r="C12" s="15">
        <v>45173</v>
      </c>
      <c r="D12" s="4">
        <v>3.5270999999999997E-2</v>
      </c>
      <c r="E12" s="15"/>
      <c r="F12" s="4"/>
      <c r="G12" s="12">
        <v>45173</v>
      </c>
      <c r="H12" s="9">
        <v>0.9</v>
      </c>
      <c r="I12" s="10">
        <v>127.3108398183756</v>
      </c>
      <c r="J12" s="10">
        <v>130.71509679543681</v>
      </c>
      <c r="K12" s="10">
        <v>134.2103826713915</v>
      </c>
      <c r="L12" s="10">
        <v>137.76971555977252</v>
      </c>
      <c r="M12" s="10">
        <v>141.45364000871328</v>
      </c>
      <c r="N12" s="10">
        <v>145.23607158812433</v>
      </c>
      <c r="O12" s="10">
        <v>149.08781178805049</v>
      </c>
      <c r="P12" s="10">
        <v>153.07437902928712</v>
      </c>
      <c r="Q12" s="10">
        <v>157.16754598634421</v>
      </c>
      <c r="R12" s="10">
        <v>161.33571542510535</v>
      </c>
      <c r="S12" s="10"/>
      <c r="T12" s="10"/>
      <c r="U12" s="10"/>
      <c r="V12" s="10"/>
      <c r="W12" s="10"/>
      <c r="X12" s="10"/>
      <c r="Y12" s="10"/>
      <c r="Z12" s="10"/>
      <c r="AC12" s="9">
        <v>1184.4000000000001</v>
      </c>
      <c r="AD12" s="13">
        <v>0.1291682445406914</v>
      </c>
      <c r="AE12" s="13">
        <v>0.13574600877314805</v>
      </c>
      <c r="AF12" s="13">
        <v>0.1377772673562169</v>
      </c>
      <c r="AG12" s="13">
        <v>0.14015992830991744</v>
      </c>
      <c r="AH12" s="13">
        <v>0.14304606781601908</v>
      </c>
      <c r="AI12" s="13">
        <v>0.14637578520327807</v>
      </c>
      <c r="AJ12" s="13">
        <v>0.15004957383424042</v>
      </c>
      <c r="AK12" s="13">
        <v>0.15400920936241747</v>
      </c>
      <c r="AL12" s="13">
        <v>0.15819409823566674</v>
      </c>
      <c r="AM12" s="13">
        <v>0.16249250782132146</v>
      </c>
      <c r="AN12" s="13"/>
      <c r="AO12" s="13"/>
      <c r="AP12" s="13"/>
      <c r="AQ12" s="13"/>
      <c r="AR12" s="13"/>
      <c r="AS12" s="13"/>
      <c r="AT12" s="13"/>
      <c r="AU12" s="13"/>
    </row>
    <row r="13" spans="1:56" x14ac:dyDescent="0.35">
      <c r="A13" s="15">
        <v>45264</v>
      </c>
      <c r="B13" s="4">
        <v>3.7902999999999999E-2</v>
      </c>
      <c r="C13" s="15">
        <v>45264</v>
      </c>
      <c r="D13" s="4">
        <v>3.7902999999999999E-2</v>
      </c>
      <c r="E13" s="15"/>
      <c r="F13" s="4"/>
      <c r="G13" s="12">
        <v>45264</v>
      </c>
      <c r="H13" s="9">
        <v>1</v>
      </c>
      <c r="I13" s="10">
        <v>43.647148114679297</v>
      </c>
      <c r="J13" s="10">
        <v>44.814260897143043</v>
      </c>
      <c r="K13" s="10">
        <v>46.012581955652948</v>
      </c>
      <c r="L13" s="10">
        <v>47.232860841490542</v>
      </c>
      <c r="M13" s="10">
        <v>48.495854599882172</v>
      </c>
      <c r="N13" s="10">
        <v>49.792620465347511</v>
      </c>
      <c r="O13" s="10">
        <v>51.11314804371618</v>
      </c>
      <c r="P13" s="10">
        <v>52.479899618802939</v>
      </c>
      <c r="Q13" s="10">
        <v>53.883197756555035</v>
      </c>
      <c r="R13" s="10">
        <v>55.312209686098747</v>
      </c>
      <c r="S13" s="10"/>
      <c r="T13" s="10"/>
      <c r="U13" s="10"/>
      <c r="V13" s="10"/>
      <c r="W13" s="10"/>
      <c r="X13" s="10"/>
      <c r="Y13" s="10"/>
      <c r="Z13" s="10"/>
      <c r="AC13" s="9">
        <v>1316</v>
      </c>
      <c r="AD13" s="13">
        <v>0.14638566434383393</v>
      </c>
      <c r="AE13" s="13">
        <v>0.10731397635936736</v>
      </c>
      <c r="AF13" s="13">
        <v>9.0791806660592556E-2</v>
      </c>
      <c r="AG13" s="13">
        <v>8.1453426119685174E-2</v>
      </c>
      <c r="AH13" s="13">
        <v>7.534036146029828E-2</v>
      </c>
      <c r="AI13" s="13">
        <v>7.1078160489350548E-2</v>
      </c>
      <c r="AJ13" s="13">
        <v>6.7992046615481361E-2</v>
      </c>
      <c r="AK13" s="13">
        <v>6.5674360009282826E-2</v>
      </c>
      <c r="AL13" s="13">
        <v>6.3937374649196868E-2</v>
      </c>
      <c r="AM13" s="13">
        <v>6.2674789194762714E-2</v>
      </c>
      <c r="AN13" s="13"/>
      <c r="AO13" s="13"/>
      <c r="AP13" s="13"/>
      <c r="AQ13" s="13"/>
      <c r="AR13" s="13"/>
      <c r="AS13" s="13"/>
      <c r="AT13" s="13"/>
      <c r="AU13" s="13"/>
    </row>
    <row r="14" spans="1:56" x14ac:dyDescent="0.35">
      <c r="A14" s="15">
        <v>45356</v>
      </c>
      <c r="B14" s="4">
        <v>3.8933000000000002E-2</v>
      </c>
      <c r="C14" s="15">
        <v>45356</v>
      </c>
      <c r="D14" s="4">
        <v>3.8933000000000002E-2</v>
      </c>
      <c r="E14" s="15"/>
      <c r="F14" s="4"/>
      <c r="G14" s="12">
        <v>45356</v>
      </c>
      <c r="H14" s="9">
        <v>1.1000000000000001</v>
      </c>
      <c r="I14" s="10">
        <v>146.55000000000001</v>
      </c>
      <c r="J14" s="10">
        <v>150.46870684931505</v>
      </c>
      <c r="K14" s="10">
        <v>154.49219884616247</v>
      </c>
      <c r="L14" s="10">
        <v>158.58941661282233</v>
      </c>
      <c r="M14" s="10">
        <v>162.83005416389395</v>
      </c>
      <c r="N14" s="10">
        <v>167.18408520126272</v>
      </c>
      <c r="O14" s="10">
        <v>171.61789874851814</v>
      </c>
      <c r="P14" s="10">
        <v>176.20691434245111</v>
      </c>
      <c r="Q14" s="10">
        <v>180.91863895610129</v>
      </c>
      <c r="R14" s="10">
        <v>185.71670039471789</v>
      </c>
      <c r="S14" s="10"/>
      <c r="T14" s="10"/>
      <c r="U14" s="10"/>
      <c r="V14" s="10"/>
      <c r="W14" s="10"/>
      <c r="X14" s="10"/>
      <c r="Y14" s="10"/>
      <c r="Z14" s="10"/>
      <c r="AC14" s="9">
        <v>1447.6000000000001</v>
      </c>
      <c r="AD14" s="13">
        <v>0.16812236628234389</v>
      </c>
      <c r="AE14" s="13">
        <v>0.12366230000555514</v>
      </c>
      <c r="AF14" s="13">
        <v>0.10538007871806621</v>
      </c>
      <c r="AG14" s="13">
        <v>9.595216008424759E-2</v>
      </c>
      <c r="AH14" s="13">
        <v>9.0697038434445848E-2</v>
      </c>
      <c r="AI14" s="13">
        <v>8.7807546278834359E-2</v>
      </c>
      <c r="AJ14" s="13">
        <v>8.6388570900261419E-2</v>
      </c>
      <c r="AK14" s="13">
        <v>8.6095236419141324E-2</v>
      </c>
      <c r="AL14" s="13">
        <v>8.6661029550433172E-2</v>
      </c>
      <c r="AM14" s="13">
        <v>8.8029849292337897E-2</v>
      </c>
      <c r="AN14" s="13"/>
      <c r="AO14" s="13"/>
      <c r="AP14" s="13"/>
      <c r="AQ14" s="13"/>
      <c r="AR14" s="13"/>
      <c r="AS14" s="13"/>
      <c r="AT14" s="13"/>
      <c r="AU14" s="13"/>
    </row>
    <row r="15" spans="1:56" x14ac:dyDescent="0.35">
      <c r="A15" s="15">
        <v>45446</v>
      </c>
      <c r="B15" s="4">
        <v>3.9302999999999998E-2</v>
      </c>
      <c r="C15" s="15">
        <v>45446</v>
      </c>
      <c r="D15" s="4">
        <v>3.9302999999999998E-2</v>
      </c>
      <c r="E15" s="15"/>
      <c r="F15" s="4"/>
      <c r="G15" s="12">
        <v>45446</v>
      </c>
      <c r="H15" s="9">
        <v>1.2</v>
      </c>
      <c r="I15" s="10">
        <v>271.59608039804402</v>
      </c>
      <c r="J15" s="10">
        <v>278.85848517800264</v>
      </c>
      <c r="K15" s="10">
        <v>286.31508467207743</v>
      </c>
      <c r="L15" s="10">
        <v>293.90831760255884</v>
      </c>
      <c r="M15" s="10">
        <v>301.76734549242451</v>
      </c>
      <c r="N15" s="10">
        <v>309.83652163490683</v>
      </c>
      <c r="O15" s="10">
        <v>318.05355596210109</v>
      </c>
      <c r="P15" s="10">
        <v>326.55822091056712</v>
      </c>
      <c r="Q15" s="10">
        <v>335.29029826970992</v>
      </c>
      <c r="R15" s="10">
        <v>344.18238070053405</v>
      </c>
      <c r="S15" s="10"/>
      <c r="T15" s="10"/>
      <c r="U15" s="10"/>
      <c r="V15" s="10"/>
      <c r="W15" s="10"/>
      <c r="X15" s="10"/>
      <c r="Y15" s="10"/>
      <c r="Z15" s="10"/>
      <c r="AC15" s="9">
        <v>1579.2</v>
      </c>
      <c r="AD15" s="13">
        <v>0.21822355592250825</v>
      </c>
      <c r="AE15" s="13">
        <v>0.18710113403201106</v>
      </c>
      <c r="AF15" s="13">
        <v>0.17596416878402232</v>
      </c>
      <c r="AG15" s="13">
        <v>0.17184586353003983</v>
      </c>
      <c r="AH15" s="13">
        <v>0.17107721275240184</v>
      </c>
      <c r="AI15" s="13">
        <v>0.17219769056960949</v>
      </c>
      <c r="AJ15" s="13">
        <v>0.17450143015384673</v>
      </c>
      <c r="AK15" s="13">
        <v>0.17781248445883402</v>
      </c>
      <c r="AL15" s="13">
        <v>0.18191067381575704</v>
      </c>
      <c r="AM15" s="13">
        <v>0.186749508151412</v>
      </c>
      <c r="AN15" s="13"/>
      <c r="AO15" s="13"/>
      <c r="AP15" s="13"/>
      <c r="AQ15" s="13"/>
      <c r="AR15" s="13"/>
      <c r="AS15" s="13"/>
      <c r="AT15" s="13"/>
      <c r="AU15" s="13"/>
    </row>
    <row r="16" spans="1:56" x14ac:dyDescent="0.35">
      <c r="A16" s="15">
        <v>45538</v>
      </c>
      <c r="B16" s="4">
        <v>3.9365999999999998E-2</v>
      </c>
      <c r="C16" s="15">
        <v>45538</v>
      </c>
      <c r="D16" s="4">
        <v>3.9365999999999998E-2</v>
      </c>
      <c r="E16" s="15"/>
      <c r="F16" s="4"/>
      <c r="G16" s="12">
        <v>45538</v>
      </c>
      <c r="H16" s="9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C16" s="9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</row>
    <row r="17" spans="1:47" x14ac:dyDescent="0.35">
      <c r="A17" s="15">
        <v>45720</v>
      </c>
      <c r="B17" s="4">
        <v>3.9529000000000002E-2</v>
      </c>
      <c r="C17" s="15">
        <v>45720</v>
      </c>
      <c r="D17" s="4">
        <v>3.9529000000000002E-2</v>
      </c>
      <c r="E17" s="15"/>
      <c r="F17" s="4"/>
      <c r="G17" s="12">
        <v>45720</v>
      </c>
      <c r="H17" s="9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C17" s="9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</row>
    <row r="18" spans="1:47" x14ac:dyDescent="0.35">
      <c r="A18" s="15">
        <v>45903</v>
      </c>
      <c r="B18" s="4">
        <v>3.9586000000000003E-2</v>
      </c>
      <c r="C18" s="15">
        <v>45903</v>
      </c>
      <c r="D18" s="4">
        <v>3.9586000000000003E-2</v>
      </c>
      <c r="E18" s="15"/>
      <c r="F18" s="4"/>
      <c r="G18" s="12">
        <v>45903</v>
      </c>
      <c r="H18" s="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C18" s="9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</row>
    <row r="19" spans="1:47" x14ac:dyDescent="0.35">
      <c r="A19" s="15">
        <v>46270</v>
      </c>
      <c r="B19" s="4">
        <v>3.9591000000000001E-2</v>
      </c>
      <c r="C19" s="15">
        <v>46270</v>
      </c>
      <c r="D19" s="4">
        <v>3.9591000000000001E-2</v>
      </c>
      <c r="E19" s="15"/>
      <c r="F19" s="4"/>
      <c r="G19" s="12">
        <v>46270</v>
      </c>
      <c r="H19" s="9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C19" s="9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</row>
    <row r="20" spans="1:47" x14ac:dyDescent="0.35">
      <c r="A20" s="15">
        <v>46634</v>
      </c>
      <c r="B20" s="4">
        <v>3.9673E-2</v>
      </c>
      <c r="C20" s="15">
        <v>46634</v>
      </c>
      <c r="D20" s="4">
        <v>3.9673E-2</v>
      </c>
      <c r="E20" s="16"/>
      <c r="F20" s="5"/>
      <c r="G20" s="12">
        <v>46634</v>
      </c>
      <c r="H20" s="9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C20" s="9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</row>
    <row r="21" spans="1:47" x14ac:dyDescent="0.35">
      <c r="A21" s="15">
        <v>46999</v>
      </c>
      <c r="B21" s="4">
        <v>3.9701E-2</v>
      </c>
      <c r="C21" s="15">
        <v>46999</v>
      </c>
      <c r="D21" s="4">
        <v>3.9701E-2</v>
      </c>
      <c r="E21" s="16"/>
      <c r="F21" s="5"/>
      <c r="G21" s="12">
        <v>46999</v>
      </c>
      <c r="H21" s="9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C21" s="9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</row>
    <row r="22" spans="1:47" x14ac:dyDescent="0.35">
      <c r="A22" s="16">
        <v>47364</v>
      </c>
      <c r="B22" s="5">
        <v>3.9782999999999999E-2</v>
      </c>
      <c r="C22" s="16">
        <v>47364</v>
      </c>
      <c r="D22" s="5">
        <v>3.9782999999999999E-2</v>
      </c>
      <c r="E22" s="16"/>
      <c r="F22" s="5"/>
      <c r="G22" s="12">
        <v>47364</v>
      </c>
      <c r="H22" s="9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C22" s="9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</row>
    <row r="23" spans="1:47" x14ac:dyDescent="0.35">
      <c r="A23" s="16">
        <v>47729</v>
      </c>
      <c r="B23" s="5">
        <v>3.9837999999999998E-2</v>
      </c>
      <c r="C23" s="16">
        <v>47729</v>
      </c>
      <c r="D23" s="5">
        <v>3.9837999999999998E-2</v>
      </c>
      <c r="E23" s="16"/>
      <c r="F23" s="5"/>
      <c r="G23" s="12">
        <v>47729</v>
      </c>
      <c r="H23" s="9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C23" s="9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</row>
    <row r="24" spans="1:47" x14ac:dyDescent="0.35">
      <c r="A24" s="16">
        <v>48094</v>
      </c>
      <c r="B24" s="5">
        <v>3.9923E-2</v>
      </c>
      <c r="C24" s="16">
        <v>48094</v>
      </c>
      <c r="D24" s="5">
        <v>3.9923E-2</v>
      </c>
      <c r="E24" s="16"/>
      <c r="F24" s="5"/>
      <c r="G24" s="12">
        <v>48094</v>
      </c>
      <c r="H24" s="9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C24" s="9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</row>
    <row r="25" spans="1:47" x14ac:dyDescent="0.35">
      <c r="A25" s="16">
        <v>48461</v>
      </c>
      <c r="B25" s="5">
        <v>4.0037000000000003E-2</v>
      </c>
      <c r="C25" s="16">
        <v>48461</v>
      </c>
      <c r="D25" s="5">
        <v>4.0037000000000003E-2</v>
      </c>
      <c r="E25" s="16"/>
      <c r="F25" s="5"/>
      <c r="G25" s="12">
        <v>48461</v>
      </c>
      <c r="H25" s="9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C25" s="9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</row>
    <row r="26" spans="1:47" x14ac:dyDescent="0.35">
      <c r="A26" s="16">
        <v>48825</v>
      </c>
      <c r="B26" s="5">
        <v>4.0153000000000001E-2</v>
      </c>
      <c r="C26" s="16">
        <v>48825</v>
      </c>
      <c r="D26" s="5">
        <v>4.0153000000000001E-2</v>
      </c>
      <c r="E26" s="16"/>
      <c r="F26" s="5"/>
      <c r="G26" s="12">
        <v>48825</v>
      </c>
      <c r="H26" s="9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C26" s="9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</row>
    <row r="27" spans="1:47" x14ac:dyDescent="0.35">
      <c r="A27" s="16">
        <v>49555</v>
      </c>
      <c r="B27" s="5">
        <v>4.0266000000000003E-2</v>
      </c>
      <c r="C27" s="16">
        <v>49555</v>
      </c>
      <c r="D27" s="5">
        <v>4.0266000000000003E-2</v>
      </c>
      <c r="E27" s="16"/>
      <c r="F27" s="5"/>
      <c r="G27" s="12">
        <v>49555</v>
      </c>
      <c r="H27" s="9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C27" s="9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</row>
    <row r="28" spans="1:47" x14ac:dyDescent="0.35">
      <c r="A28" s="16">
        <v>50652</v>
      </c>
      <c r="B28" s="5">
        <v>4.0155999999999997E-2</v>
      </c>
      <c r="C28" s="16">
        <v>50652</v>
      </c>
      <c r="D28" s="5">
        <v>4.0155999999999997E-2</v>
      </c>
      <c r="E28" s="16"/>
      <c r="F28" s="5"/>
      <c r="G28" s="12">
        <v>50652</v>
      </c>
      <c r="H28" s="9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C28" s="9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</row>
    <row r="29" spans="1:47" x14ac:dyDescent="0.35">
      <c r="A29" s="16">
        <v>52479</v>
      </c>
      <c r="B29" s="5">
        <v>3.8306E-2</v>
      </c>
      <c r="C29" s="16">
        <v>52479</v>
      </c>
      <c r="D29" s="5">
        <v>3.8306E-2</v>
      </c>
      <c r="E29" s="16"/>
      <c r="F29" s="5"/>
      <c r="G29" s="12">
        <v>52479</v>
      </c>
      <c r="H29" s="9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C29" s="9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x14ac:dyDescent="0.35">
      <c r="A30" s="16">
        <v>54306</v>
      </c>
      <c r="B30" s="5">
        <v>3.6707000000000004E-2</v>
      </c>
      <c r="C30" s="16">
        <v>54306</v>
      </c>
      <c r="D30" s="5">
        <v>3.6707000000000004E-2</v>
      </c>
      <c r="G30" s="12">
        <v>54306</v>
      </c>
      <c r="H30" s="9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C30" s="9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x14ac:dyDescent="0.35">
      <c r="A31" s="16">
        <v>56130</v>
      </c>
      <c r="B31" s="5">
        <v>3.5825000000000003E-2</v>
      </c>
      <c r="C31" s="16">
        <v>56130</v>
      </c>
      <c r="D31" s="5">
        <v>3.5825000000000003E-2</v>
      </c>
      <c r="G31" s="12">
        <v>56130</v>
      </c>
      <c r="H31" s="9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C31" s="9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</row>
    <row r="32" spans="1:47" x14ac:dyDescent="0.35">
      <c r="A32" s="16"/>
      <c r="B32" s="5"/>
      <c r="C32" s="16"/>
      <c r="D32" s="5"/>
      <c r="H32" s="9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C32" s="9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</row>
    <row r="33" spans="1:47" x14ac:dyDescent="0.35">
      <c r="A33" s="16"/>
      <c r="B33" s="5"/>
      <c r="C33" s="16"/>
      <c r="D33" s="5"/>
      <c r="H33" s="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C33" s="9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</row>
    <row r="34" spans="1:47" x14ac:dyDescent="0.35">
      <c r="A34" s="16"/>
      <c r="B34" s="5"/>
      <c r="C34" s="16"/>
      <c r="D34" s="5"/>
      <c r="H34" s="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C34" s="9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</row>
    <row r="35" spans="1:47" x14ac:dyDescent="0.4">
      <c r="A35" s="16"/>
      <c r="B35" s="5"/>
      <c r="C35" s="16"/>
      <c r="D35" s="5"/>
    </row>
    <row r="36" spans="1:47" x14ac:dyDescent="0.4">
      <c r="A36" s="16"/>
      <c r="B36" s="5"/>
      <c r="C36" s="16"/>
      <c r="D36" s="5"/>
    </row>
    <row r="37" spans="1:47" x14ac:dyDescent="0.4">
      <c r="A37" s="16"/>
      <c r="B37" s="5"/>
      <c r="C37" s="16"/>
      <c r="D37" s="5"/>
    </row>
    <row r="38" spans="1:47" x14ac:dyDescent="0.4">
      <c r="A38" s="16"/>
      <c r="B38" s="5"/>
      <c r="C38" s="16"/>
      <c r="D38" s="5"/>
    </row>
    <row r="39" spans="1:47" x14ac:dyDescent="0.4">
      <c r="A39" s="16"/>
      <c r="B39" s="5"/>
      <c r="C39" s="16"/>
      <c r="D39" s="5"/>
    </row>
    <row r="40" spans="1:47" x14ac:dyDescent="0.4">
      <c r="A40" s="16"/>
      <c r="B40" s="5"/>
      <c r="C40" s="16"/>
      <c r="D40" s="5"/>
    </row>
    <row r="41" spans="1:47" x14ac:dyDescent="0.4">
      <c r="A41" s="16"/>
      <c r="B41" s="5"/>
      <c r="C41" s="16"/>
      <c r="D41" s="5"/>
    </row>
    <row r="42" spans="1:47" x14ac:dyDescent="0.4">
      <c r="A42" s="16"/>
      <c r="B42" s="5"/>
      <c r="C42" s="16"/>
      <c r="D42" s="5"/>
    </row>
    <row r="43" spans="1:47" x14ac:dyDescent="0.4">
      <c r="A43" s="16"/>
      <c r="B43" s="5"/>
      <c r="C43" s="16"/>
      <c r="D43" s="5"/>
    </row>
    <row r="44" spans="1:47" x14ac:dyDescent="0.4">
      <c r="A44" s="16"/>
      <c r="B44" s="5"/>
      <c r="C44" s="16"/>
      <c r="D44" s="5"/>
    </row>
    <row r="45" spans="1:47" x14ac:dyDescent="0.4">
      <c r="A45" s="16"/>
      <c r="B45" s="5"/>
      <c r="C45" s="16"/>
      <c r="D45" s="5"/>
    </row>
    <row r="46" spans="1:47" x14ac:dyDescent="0.4">
      <c r="A46" s="16"/>
      <c r="B46" s="5"/>
      <c r="C46" s="16"/>
      <c r="D46" s="5"/>
    </row>
    <row r="47" spans="1:47" x14ac:dyDescent="0.4">
      <c r="A47" s="16"/>
      <c r="B47" s="5"/>
      <c r="C47" s="16"/>
      <c r="D47" s="5"/>
    </row>
    <row r="48" spans="1:47" x14ac:dyDescent="0.4">
      <c r="A48" s="16"/>
      <c r="B48" s="5"/>
      <c r="C48" s="16"/>
      <c r="D48" s="5"/>
    </row>
    <row r="49" spans="1:4" x14ac:dyDescent="0.4">
      <c r="A49" s="16"/>
      <c r="B49" s="5"/>
      <c r="C49" s="16"/>
      <c r="D49" s="5"/>
    </row>
    <row r="50" spans="1:4" x14ac:dyDescent="0.4">
      <c r="A50" s="16"/>
      <c r="B50" s="5"/>
      <c r="C50" s="16"/>
      <c r="D50" s="5"/>
    </row>
  </sheetData>
  <mergeCells count="16">
    <mergeCell ref="AC8:AF8"/>
    <mergeCell ref="AC9:AC10"/>
    <mergeCell ref="A2:P3"/>
    <mergeCell ref="A5:B5"/>
    <mergeCell ref="C5:D5"/>
    <mergeCell ref="A6:B6"/>
    <mergeCell ref="C6:D6"/>
    <mergeCell ref="E5:F5"/>
    <mergeCell ref="G5:H5"/>
    <mergeCell ref="A9:B10"/>
    <mergeCell ref="C9:D10"/>
    <mergeCell ref="E9:F10"/>
    <mergeCell ref="E8:F8"/>
    <mergeCell ref="H8:K8"/>
    <mergeCell ref="H9:H10"/>
    <mergeCell ref="A8:D8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TIONIMVOLCALC">
                <anchor moveWithCells="1" sizeWithCells="1">
                  <from>
                    <xdr:col>9</xdr:col>
                    <xdr:colOff>228600</xdr:colOff>
                    <xdr:row>4</xdr:row>
                    <xdr:rowOff>0</xdr:rowOff>
                  </from>
                  <to>
                    <xdr:col>10</xdr:col>
                    <xdr:colOff>716280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2023-12-16T15:26:39Z</dcterms:created>
  <dcterms:modified xsi:type="dcterms:W3CDTF">2025-01-27T08:04:24Z</dcterms:modified>
</cp:coreProperties>
</file>