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AE11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<sst xmlns="http://schemas.openxmlformats.org/spreadsheetml/2006/main" count="122" uniqueCount="87">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</sst>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14" fillId="4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10" borderId="13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10" borderId="0" xfId="0" applyFont="1" applyFill="1" applyBorder="1" applyAlignment="1" applyProtection="1">
      <alignment horizontal="center" vertical="center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4" t="s">
        <v>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</row>
    <row r="3" spans="1:41" x14ac:dyDescent="0.4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</row>
    <row r="4" spans="1:41" x14ac:dyDescent="0.4">
      <c r="A4" s="1">
        <f>4</f>
        <v>4</v>
      </c>
      <c r="B4" s="57" t="s">
        <v>1</v>
      </c>
      <c r="C4" s="57"/>
      <c r="D4" s="59">
        <v>1</v>
      </c>
      <c r="E4" s="59"/>
    </row>
    <row r="5" spans="1:41" x14ac:dyDescent="0.4">
      <c r="A5" s="1">
        <f>A4+1</f>
        <v>5</v>
      </c>
      <c r="B5" s="57" t="s">
        <v>29</v>
      </c>
      <c r="C5" s="57"/>
      <c r="D5" s="58">
        <v>45538</v>
      </c>
      <c r="E5" s="59"/>
      <c r="G5" s="65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6"/>
      <c r="H6" s="67" t="s">
        <v>4</v>
      </c>
      <c r="I6" s="61"/>
      <c r="L6" s="52" t="s">
        <v>75</v>
      </c>
      <c r="M6" s="52"/>
      <c r="N6" s="52"/>
      <c r="O6" s="60" t="s">
        <v>76</v>
      </c>
      <c r="P6" s="61"/>
      <c r="R6" s="52" t="s">
        <v>5</v>
      </c>
      <c r="S6" s="52"/>
      <c r="T6" s="52"/>
    </row>
    <row r="7" spans="1:41" x14ac:dyDescent="0.4">
      <c r="A7" s="1">
        <f t="shared" si="1"/>
        <v>7</v>
      </c>
      <c r="B7" s="57" t="s">
        <v>6</v>
      </c>
      <c r="C7" s="57"/>
      <c r="D7" s="59">
        <v>0</v>
      </c>
      <c r="E7" s="59"/>
      <c r="G7" s="66"/>
      <c r="H7" s="62"/>
      <c r="I7" s="63"/>
      <c r="L7" s="52"/>
      <c r="M7" s="52"/>
      <c r="N7" s="52"/>
      <c r="O7" s="62"/>
      <c r="P7" s="63"/>
      <c r="R7" s="52"/>
      <c r="S7" s="52"/>
      <c r="T7" s="52"/>
    </row>
    <row r="8" spans="1:41" x14ac:dyDescent="0.4">
      <c r="A8" s="1">
        <f t="shared" si="1"/>
        <v>8</v>
      </c>
      <c r="B8" s="57" t="s">
        <v>7</v>
      </c>
      <c r="C8" s="57"/>
      <c r="D8" s="59">
        <v>0.01</v>
      </c>
      <c r="E8" s="59"/>
      <c r="G8" s="66"/>
      <c r="I8" s="3" t="s">
        <v>8</v>
      </c>
      <c r="J8" s="3" t="s">
        <v>9</v>
      </c>
      <c r="K8" s="3" t="s">
        <v>10</v>
      </c>
      <c r="R8" s="52" t="s">
        <v>11</v>
      </c>
      <c r="S8" s="52"/>
      <c r="T8" s="4">
        <v>3</v>
      </c>
    </row>
    <row r="9" spans="1:41" x14ac:dyDescent="0.4">
      <c r="A9" s="1">
        <f t="shared" si="1"/>
        <v>9</v>
      </c>
      <c r="G9" s="66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6"/>
      <c r="H10" s="8" t="s">
        <v>13</v>
      </c>
      <c r="I10" s="53" t="s">
        <v>14</v>
      </c>
      <c r="J10" s="54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6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6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68" t="s">
        <v>23</v>
      </c>
      <c r="E13" s="68"/>
      <c r="G13" s="66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68"/>
      <c r="E14" s="68"/>
      <c r="G14" s="66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68"/>
      <c r="E15" s="68"/>
      <c r="G15" s="66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6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69">
        <v>45202.835729166669</v>
      </c>
      <c r="E17" s="69"/>
      <c r="G17" s="66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69">
        <v>45202.835729166669</v>
      </c>
      <c r="E18" s="69"/>
      <c r="G18" s="66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6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6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6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6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7" t="s">
        <v>24</v>
      </c>
      <c r="C23" s="57"/>
      <c r="D23" s="59">
        <v>1</v>
      </c>
      <c r="E23" s="59"/>
      <c r="G23" s="66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7" t="s">
        <v>25</v>
      </c>
      <c r="C24" s="57"/>
      <c r="D24" s="59">
        <v>0</v>
      </c>
      <c r="E24" s="59"/>
      <c r="G24" s="66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7" t="s">
        <v>26</v>
      </c>
      <c r="C25" s="57"/>
      <c r="D25" s="59">
        <v>-0.1</v>
      </c>
      <c r="E25" s="59"/>
      <c r="G25" s="66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7" t="s">
        <v>27</v>
      </c>
      <c r="C26" s="57"/>
      <c r="D26" s="59">
        <v>0.15</v>
      </c>
      <c r="E26" s="59"/>
      <c r="G26" s="66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6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6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6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6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6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6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6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6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6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6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6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6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6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6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G13" workbookViewId="0">
      <selection activeCell="Q8" sqref="Q8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0" t="s">
        <v>30</v>
      </c>
      <c r="C3" s="70"/>
      <c r="D3" s="71">
        <v>45538</v>
      </c>
      <c r="E3" s="72"/>
      <c r="F3" s="73" t="s">
        <v>31</v>
      </c>
      <c r="G3" s="73"/>
      <c r="H3" s="72">
        <v>0</v>
      </c>
      <c r="I3" s="72"/>
      <c r="J3" s="73" t="s">
        <v>32</v>
      </c>
      <c r="K3" s="73"/>
      <c r="L3" s="74">
        <v>40000000000</v>
      </c>
      <c r="M3" s="74"/>
      <c r="O3" s="124" t="s">
        <v>50</v>
      </c>
      <c r="P3" s="125"/>
      <c r="Q3" s="125"/>
      <c r="R3" s="126"/>
      <c r="T3" s="122" t="s">
        <v>56</v>
      </c>
      <c r="U3" s="123"/>
      <c r="W3" s="150" t="s">
        <v>77</v>
      </c>
      <c r="X3" s="151"/>
      <c r="Y3" s="150" t="s">
        <v>78</v>
      </c>
      <c r="Z3" s="151"/>
      <c r="AB3" s="86" t="s">
        <v>66</v>
      </c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8"/>
    </row>
    <row r="4" spans="1:57" x14ac:dyDescent="0.4">
      <c r="A4" s="21">
        <f t="shared" si="1"/>
        <v>4</v>
      </c>
      <c r="B4" s="20"/>
      <c r="C4" s="20"/>
      <c r="O4" s="127" t="s">
        <v>49</v>
      </c>
      <c r="P4" s="128"/>
      <c r="Q4" s="129">
        <v>43819</v>
      </c>
      <c r="R4" s="130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9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1"/>
    </row>
    <row r="5" spans="1:57" x14ac:dyDescent="0.4">
      <c r="A5" s="21">
        <f t="shared" si="1"/>
        <v>5</v>
      </c>
      <c r="B5" s="86" t="s">
        <v>48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8"/>
      <c r="O5" s="135" t="s">
        <v>51</v>
      </c>
      <c r="P5" s="136"/>
      <c r="Q5" s="137">
        <v>49298</v>
      </c>
      <c r="R5" s="138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9"/>
      <c r="C6" s="90"/>
      <c r="D6" s="90"/>
      <c r="E6" s="90"/>
      <c r="F6" s="90"/>
      <c r="G6" s="90"/>
      <c r="H6" s="90"/>
      <c r="I6" s="90"/>
      <c r="J6" s="90"/>
      <c r="K6" s="90"/>
      <c r="L6" s="90"/>
      <c r="M6" s="91"/>
      <c r="O6" s="133" t="s">
        <v>43</v>
      </c>
      <c r="P6" s="134"/>
      <c r="Q6" s="121">
        <v>0</v>
      </c>
      <c r="R6" s="104"/>
      <c r="W6" s="28">
        <v>44769</v>
      </c>
      <c r="X6" s="35">
        <v>3.6999999999999998E-2</v>
      </c>
      <c r="Y6" s="28">
        <v>44769</v>
      </c>
      <c r="Z6" s="37">
        <v>0.03</v>
      </c>
      <c r="AB6" s="73" t="s">
        <v>67</v>
      </c>
      <c r="AC6" s="73"/>
      <c r="AD6" s="72">
        <v>0</v>
      </c>
      <c r="AE6" s="72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3" t="s">
        <v>33</v>
      </c>
      <c r="C7" s="73"/>
      <c r="D7" s="75">
        <v>1</v>
      </c>
      <c r="E7" s="76"/>
      <c r="F7" s="73" t="s">
        <v>34</v>
      </c>
      <c r="G7" s="73"/>
      <c r="H7" s="75">
        <v>1</v>
      </c>
      <c r="I7" s="76"/>
      <c r="J7" s="73" t="s">
        <v>86</v>
      </c>
      <c r="K7" s="73"/>
      <c r="L7" s="103">
        <v>0</v>
      </c>
      <c r="M7" s="104"/>
      <c r="O7" s="122" t="str">
        <f>IF(Q6&gt;0,"Phase2날짜","")</f>
        <v/>
      </c>
      <c r="P7" s="123"/>
      <c r="Q7" s="131">
        <f>EDATE(Q4,12)</f>
        <v>44185</v>
      </c>
      <c r="R7" s="132"/>
      <c r="W7" s="28">
        <v>44815</v>
      </c>
      <c r="X7" s="35">
        <v>3.6999999999999998E-2</v>
      </c>
      <c r="Y7" s="28">
        <v>44815</v>
      </c>
      <c r="Z7" s="35">
        <v>0.03</v>
      </c>
      <c r="AB7" s="73" t="s">
        <v>80</v>
      </c>
      <c r="AC7" s="73"/>
      <c r="AD7" s="72">
        <v>0</v>
      </c>
      <c r="AE7" s="72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77" t="str">
        <f>"기초금리정보"</f>
        <v>기초금리정보</v>
      </c>
      <c r="C9" s="78"/>
      <c r="D9" s="83" t="s">
        <v>35</v>
      </c>
      <c r="E9" s="83"/>
      <c r="F9" s="103">
        <v>0</v>
      </c>
      <c r="G9" s="104"/>
      <c r="H9" s="24"/>
      <c r="I9" s="23"/>
      <c r="J9" s="92" t="str">
        <f>IF(OR(F10 = 0, F10 = 2, F10 = 4), "RefType = "&amp;F10&amp;" 이므로 Ref Swap 금리정보 사용안함", "사용")</f>
        <v>사용</v>
      </c>
      <c r="K9" s="93"/>
      <c r="L9" s="93"/>
      <c r="M9" s="94"/>
      <c r="O9" s="85" t="s">
        <v>53</v>
      </c>
      <c r="P9" s="85"/>
      <c r="Q9" s="85"/>
      <c r="R9" s="85"/>
      <c r="AB9" s="20"/>
      <c r="AC9" s="20"/>
      <c r="AD9" s="20">
        <v>940293287.59126413</v>
      </c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79"/>
      <c r="C10" s="80"/>
      <c r="D10" s="83" t="s">
        <v>36</v>
      </c>
      <c r="E10" s="84"/>
      <c r="F10" s="105">
        <v>1</v>
      </c>
      <c r="G10" s="106"/>
      <c r="H10" s="92" t="str">
        <f xml:space="preserve"> "Swap 레퍼런스금리정보"</f>
        <v>Swap 레퍼런스금리정보</v>
      </c>
      <c r="I10" s="93"/>
      <c r="J10" s="96" t="str">
        <f>IF(OR(F10 = 0, F10 = 2, F10 = 4), "", "연 지급횟수")</f>
        <v>연 지급횟수</v>
      </c>
      <c r="K10" s="97"/>
      <c r="L10" s="98">
        <v>4</v>
      </c>
      <c r="M10" s="99"/>
      <c r="O10" s="85" t="s">
        <v>52</v>
      </c>
      <c r="P10" s="85"/>
      <c r="Q10" s="121">
        <v>4</v>
      </c>
      <c r="R10" s="104"/>
      <c r="AB10" s="135" t="s">
        <v>79</v>
      </c>
      <c r="AC10" s="148"/>
      <c r="AD10" s="149">
        <v>615162456.67706609</v>
      </c>
      <c r="AE10" s="149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79"/>
      <c r="C11" s="80"/>
      <c r="D11" s="85" t="s">
        <v>37</v>
      </c>
      <c r="E11" s="85"/>
      <c r="F11" s="103">
        <v>0</v>
      </c>
      <c r="G11" s="104"/>
      <c r="H11" s="95"/>
      <c r="I11" s="96"/>
      <c r="J11" s="96" t="str">
        <f>IF(F11=0, "만기", "입력X, 아래만기2개입력")</f>
        <v>만기</v>
      </c>
      <c r="K11" s="97"/>
      <c r="L11" s="118">
        <v>0.25</v>
      </c>
      <c r="M11" s="119"/>
      <c r="O11" s="85" t="s">
        <v>54</v>
      </c>
      <c r="P11" s="85"/>
      <c r="Q11" s="121">
        <v>0</v>
      </c>
      <c r="R11" s="104"/>
      <c r="AB11" s="20"/>
      <c r="AC11" s="20"/>
      <c r="AD11" s="20">
        <v>798615000</v>
      </c>
      <c r="AE11" s="50">
        <f>(AD11-AD10)/L3</f>
        <v>4.5863135830733481E-3</v>
      </c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79"/>
      <c r="C12" s="80"/>
      <c r="D12" s="85" t="s">
        <v>38</v>
      </c>
      <c r="E12" s="85"/>
      <c r="F12" s="112">
        <v>1</v>
      </c>
      <c r="G12" s="113"/>
      <c r="H12" s="100" t="str">
        <f>"ex) Deposit 3M -&gt; 연 지급횟수= 4, 만기= 0.25 ||  ex2) CMT 5Y 연 지급횟수=2, 만기 5"</f>
        <v>ex) Deposit 3M -&gt; 연 지급횟수= 4, 만기= 0.25 ||  ex2) CMT 5Y 연 지급횟수=2, 만기 5</v>
      </c>
      <c r="I12" s="100"/>
      <c r="J12" s="100"/>
      <c r="K12" s="100"/>
      <c r="L12" s="100"/>
      <c r="M12" s="101"/>
      <c r="O12" s="122" t="s">
        <v>55</v>
      </c>
      <c r="P12" s="123"/>
      <c r="Q12" s="121">
        <v>4</v>
      </c>
      <c r="R12" s="104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79"/>
      <c r="C13" s="80"/>
      <c r="D13" s="85" t="s">
        <v>39</v>
      </c>
      <c r="E13" s="83"/>
      <c r="F13" s="114">
        <v>-1</v>
      </c>
      <c r="G13" s="115"/>
      <c r="H13" s="102" t="str">
        <f>IF(F11&gt;0,"PowerSpreadFlag 1일때 입력","입력필요X")</f>
        <v>입력필요X</v>
      </c>
      <c r="I13" s="102"/>
      <c r="J13" s="102" t="str">
        <f>IF(F11&gt;0,"만기1","")</f>
        <v/>
      </c>
      <c r="K13" s="102"/>
      <c r="L13" s="108">
        <v>10</v>
      </c>
      <c r="M13" s="109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81"/>
      <c r="C14" s="82"/>
      <c r="D14" s="107" t="s">
        <v>40</v>
      </c>
      <c r="E14" s="107"/>
      <c r="F14" s="116">
        <v>1</v>
      </c>
      <c r="G14" s="117"/>
      <c r="H14" s="102"/>
      <c r="I14" s="102"/>
      <c r="J14" s="102" t="str">
        <f>IF(F11&gt;0,"만기2","")</f>
        <v/>
      </c>
      <c r="K14" s="102"/>
      <c r="L14" s="108">
        <v>5</v>
      </c>
      <c r="M14" s="109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46" t="s">
        <v>73</v>
      </c>
      <c r="AC15" s="147"/>
      <c r="AD15" s="147"/>
      <c r="AE15" s="147"/>
      <c r="AF15" s="147"/>
      <c r="AG15" s="146" t="s">
        <v>74</v>
      </c>
      <c r="AH15" s="147"/>
      <c r="AI15" s="147"/>
      <c r="AJ15" s="147"/>
      <c r="AK15" s="147"/>
    </row>
    <row r="16" spans="1:57" x14ac:dyDescent="0.4">
      <c r="A16" s="21">
        <f t="shared" si="1"/>
        <v>16</v>
      </c>
      <c r="B16" s="145" t="s">
        <v>41</v>
      </c>
      <c r="C16" s="145"/>
      <c r="D16" s="85" t="s">
        <v>81</v>
      </c>
      <c r="E16" s="85"/>
      <c r="F16" s="112">
        <v>-1E-4</v>
      </c>
      <c r="G16" s="113"/>
      <c r="H16" s="110" t="s">
        <v>84</v>
      </c>
      <c r="I16" s="111"/>
      <c r="J16" s="120" t="str">
        <f>IF(F11&gt;0, F13&amp;" &lt; "&amp;F10&amp;" x Rate("&amp;L13&amp;"Y-"&amp;L14&amp;"Y) &lt; "&amp;F12,F13&amp;" &lt; "&amp;F10&amp;" x Rate("&amp;L11&amp;"Y) &lt; "&amp;F12)</f>
        <v>-1 &lt; 1 x Rate(0.25Y) &lt; 1</v>
      </c>
      <c r="K16" s="120"/>
      <c r="L16" s="120"/>
      <c r="M16" s="120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45"/>
      <c r="C17" s="145"/>
      <c r="D17" s="85" t="s">
        <v>44</v>
      </c>
      <c r="E17" s="85"/>
      <c r="F17" s="112">
        <v>0</v>
      </c>
      <c r="G17" s="113"/>
      <c r="H17" s="110" t="s">
        <v>82</v>
      </c>
      <c r="I17" s="111"/>
      <c r="J17" s="120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20"/>
      <c r="L17" s="120"/>
      <c r="M17" s="120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20341220</v>
      </c>
      <c r="AI17" s="41">
        <v>20341220</v>
      </c>
      <c r="AJ17" s="44">
        <v>0</v>
      </c>
      <c r="AK17" s="48">
        <v>13996000000</v>
      </c>
    </row>
    <row r="18" spans="1:37" x14ac:dyDescent="0.4">
      <c r="A18" s="21">
        <f t="shared" si="1"/>
        <v>18</v>
      </c>
      <c r="B18" s="145"/>
      <c r="C18" s="145"/>
      <c r="D18" s="85" t="s">
        <v>45</v>
      </c>
      <c r="E18" s="85"/>
      <c r="F18" s="103">
        <v>1</v>
      </c>
      <c r="G18" s="104"/>
      <c r="H18" s="110"/>
      <c r="I18" s="111"/>
      <c r="J18" s="120"/>
      <c r="K18" s="120"/>
      <c r="L18" s="120"/>
      <c r="M18" s="120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</row>
    <row r="21" spans="1:37" x14ac:dyDescent="0.4">
      <c r="A21" s="21">
        <f t="shared" si="1"/>
        <v>21</v>
      </c>
      <c r="B21" s="145" t="s">
        <v>46</v>
      </c>
      <c r="C21" s="145"/>
      <c r="D21" s="85" t="s">
        <v>42</v>
      </c>
      <c r="E21" s="85"/>
      <c r="F21" s="112">
        <v>-1E-4</v>
      </c>
      <c r="G21" s="113"/>
      <c r="H21" s="110" t="s">
        <v>83</v>
      </c>
      <c r="I21" s="111"/>
      <c r="J21" s="120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20"/>
      <c r="L21" s="120"/>
      <c r="M21" s="120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</row>
    <row r="22" spans="1:37" x14ac:dyDescent="0.4">
      <c r="A22" s="21">
        <f t="shared" si="1"/>
        <v>22</v>
      </c>
      <c r="B22" s="145"/>
      <c r="C22" s="145"/>
      <c r="D22" s="85" t="s">
        <v>44</v>
      </c>
      <c r="E22" s="85"/>
      <c r="F22" s="112">
        <v>0</v>
      </c>
      <c r="G22" s="113"/>
      <c r="H22" s="110"/>
      <c r="I22" s="111"/>
      <c r="J22" s="120"/>
      <c r="K22" s="120"/>
      <c r="L22" s="120"/>
      <c r="M22" s="120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</row>
    <row r="23" spans="1:37" x14ac:dyDescent="0.4">
      <c r="A23" s="21">
        <f t="shared" si="1"/>
        <v>23</v>
      </c>
      <c r="B23" s="145"/>
      <c r="C23" s="145"/>
      <c r="D23" s="85" t="s">
        <v>45</v>
      </c>
      <c r="E23" s="85"/>
      <c r="F23" s="103">
        <v>1</v>
      </c>
      <c r="G23" s="104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</row>
    <row r="25" spans="1:37" x14ac:dyDescent="0.4">
      <c r="A25" s="21">
        <f t="shared" si="1"/>
        <v>25</v>
      </c>
      <c r="B25" s="86" t="s">
        <v>47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8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</row>
    <row r="26" spans="1:37" x14ac:dyDescent="0.4">
      <c r="A26" s="21">
        <f t="shared" si="1"/>
        <v>26</v>
      </c>
      <c r="B26" s="89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1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</row>
    <row r="27" spans="1:37" x14ac:dyDescent="0.4">
      <c r="A27" s="21">
        <f t="shared" si="1"/>
        <v>27</v>
      </c>
      <c r="B27" s="73" t="s">
        <v>33</v>
      </c>
      <c r="C27" s="73"/>
      <c r="D27" s="75">
        <v>1</v>
      </c>
      <c r="E27" s="76"/>
      <c r="F27" s="73" t="s">
        <v>34</v>
      </c>
      <c r="G27" s="73"/>
      <c r="H27" s="75">
        <v>1</v>
      </c>
      <c r="I27" s="76"/>
      <c r="J27" s="73" t="s">
        <v>86</v>
      </c>
      <c r="K27" s="73"/>
      <c r="L27" s="103">
        <v>4</v>
      </c>
      <c r="M27" s="104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</row>
    <row r="29" spans="1:37" x14ac:dyDescent="0.4">
      <c r="A29" s="21">
        <f t="shared" si="1"/>
        <v>29</v>
      </c>
      <c r="B29" s="77" t="str">
        <f>"기초금리정보"</f>
        <v>기초금리정보</v>
      </c>
      <c r="C29" s="78"/>
      <c r="D29" s="83" t="s">
        <v>35</v>
      </c>
      <c r="E29" s="83"/>
      <c r="F29" s="103">
        <v>3</v>
      </c>
      <c r="G29" s="104"/>
      <c r="H29" s="24"/>
      <c r="I29" s="23"/>
      <c r="J29" s="92" t="str">
        <f>IF(OR(F30 = 0, F30 = 2, F30 = 4), "RefType = "&amp;F30&amp;" 이므로 Ref Swap 금리정보 사용안함", "사용")</f>
        <v>RefType = 0 이므로 Ref Swap 금리정보 사용안함</v>
      </c>
      <c r="K29" s="93"/>
      <c r="L29" s="93"/>
      <c r="M29" s="94"/>
      <c r="O29" s="85" t="s">
        <v>59</v>
      </c>
      <c r="P29" s="85"/>
      <c r="Q29" s="85"/>
      <c r="R29" s="85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</row>
    <row r="30" spans="1:37" x14ac:dyDescent="0.4">
      <c r="A30" s="21">
        <f t="shared" si="1"/>
        <v>30</v>
      </c>
      <c r="B30" s="79"/>
      <c r="C30" s="80"/>
      <c r="D30" s="83" t="s">
        <v>36</v>
      </c>
      <c r="E30" s="84"/>
      <c r="F30" s="105">
        <v>0</v>
      </c>
      <c r="G30" s="106"/>
      <c r="H30" s="92" t="str">
        <f xml:space="preserve"> "Swap 레퍼런스금리정보"</f>
        <v>Swap 레퍼런스금리정보</v>
      </c>
      <c r="I30" s="93"/>
      <c r="J30" s="96" t="str">
        <f>IF(OR(F30 = 0, F30 = 2, F30 = 4), "", "연 지급횟수")</f>
        <v/>
      </c>
      <c r="K30" s="97"/>
      <c r="L30" s="98">
        <v>4</v>
      </c>
      <c r="M30" s="99"/>
      <c r="O30" s="85" t="s">
        <v>52</v>
      </c>
      <c r="P30" s="85"/>
      <c r="Q30" s="121">
        <v>0</v>
      </c>
      <c r="R30" s="104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</row>
    <row r="31" spans="1:37" x14ac:dyDescent="0.4">
      <c r="A31" s="21">
        <f t="shared" si="1"/>
        <v>31</v>
      </c>
      <c r="B31" s="79"/>
      <c r="C31" s="80"/>
      <c r="D31" s="85" t="s">
        <v>37</v>
      </c>
      <c r="E31" s="85"/>
      <c r="F31" s="103">
        <v>0</v>
      </c>
      <c r="G31" s="104"/>
      <c r="H31" s="95"/>
      <c r="I31" s="96"/>
      <c r="J31" s="96" t="str">
        <f>IF(F31=0, "만기", "입력X, 아래만기2개입력")</f>
        <v>만기</v>
      </c>
      <c r="K31" s="97"/>
      <c r="L31" s="118">
        <v>10</v>
      </c>
      <c r="M31" s="119"/>
      <c r="O31" s="85" t="s">
        <v>54</v>
      </c>
      <c r="P31" s="85"/>
      <c r="Q31" s="121">
        <v>0</v>
      </c>
      <c r="R31" s="104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</row>
    <row r="32" spans="1:37" x14ac:dyDescent="0.4">
      <c r="A32" s="21">
        <f t="shared" si="1"/>
        <v>32</v>
      </c>
      <c r="B32" s="79"/>
      <c r="C32" s="80"/>
      <c r="D32" s="85" t="s">
        <v>38</v>
      </c>
      <c r="E32" s="85"/>
      <c r="F32" s="112">
        <v>0.8</v>
      </c>
      <c r="G32" s="113"/>
      <c r="H32" s="100" t="str">
        <f>"ex) Deposit 3M -&gt; 연 지급횟수= 4, 만기= 0.25 ||  ex2) CMT 5Y 연 지급횟수=2, 만기 5"</f>
        <v>ex) Deposit 3M -&gt; 연 지급횟수= 4, 만기= 0.25 ||  ex2) CMT 5Y 연 지급횟수=2, 만기 5</v>
      </c>
      <c r="I32" s="100"/>
      <c r="J32" s="100"/>
      <c r="K32" s="100"/>
      <c r="L32" s="100"/>
      <c r="M32" s="101"/>
      <c r="O32" s="122" t="s">
        <v>55</v>
      </c>
      <c r="P32" s="123"/>
      <c r="Q32" s="121">
        <v>0</v>
      </c>
      <c r="R32" s="104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</row>
    <row r="33" spans="1:32" x14ac:dyDescent="0.4">
      <c r="A33" s="21">
        <f t="shared" si="1"/>
        <v>33</v>
      </c>
      <c r="B33" s="79"/>
      <c r="C33" s="80"/>
      <c r="D33" s="85" t="s">
        <v>39</v>
      </c>
      <c r="E33" s="83"/>
      <c r="F33" s="114">
        <v>-0.8</v>
      </c>
      <c r="G33" s="115"/>
      <c r="H33" s="102" t="str">
        <f>IF(F31&gt;0,"PowerSpreadFlag 1일때 입력","입력필요X")</f>
        <v>입력필요X</v>
      </c>
      <c r="I33" s="102"/>
      <c r="J33" s="102" t="str">
        <f>IF(F31&gt;0,"만기1","")</f>
        <v/>
      </c>
      <c r="K33" s="102"/>
      <c r="L33" s="108">
        <v>10</v>
      </c>
      <c r="M33" s="109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</row>
    <row r="34" spans="1:32" x14ac:dyDescent="0.4">
      <c r="A34" s="21">
        <f t="shared" si="1"/>
        <v>34</v>
      </c>
      <c r="B34" s="81"/>
      <c r="C34" s="82"/>
      <c r="D34" s="107" t="s">
        <v>40</v>
      </c>
      <c r="E34" s="107"/>
      <c r="F34" s="116">
        <v>0</v>
      </c>
      <c r="G34" s="117"/>
      <c r="H34" s="102"/>
      <c r="I34" s="102"/>
      <c r="J34" s="102" t="str">
        <f>IF(F31&gt;0,"만기2","")</f>
        <v/>
      </c>
      <c r="K34" s="102"/>
      <c r="L34" s="108">
        <v>5</v>
      </c>
      <c r="M34" s="109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</row>
    <row r="35" spans="1:32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</row>
    <row r="36" spans="1:32" x14ac:dyDescent="0.4">
      <c r="A36" s="21">
        <f t="shared" si="1"/>
        <v>36</v>
      </c>
      <c r="B36" s="145" t="s">
        <v>41</v>
      </c>
      <c r="C36" s="145"/>
      <c r="D36" s="85" t="s">
        <v>42</v>
      </c>
      <c r="E36" s="85"/>
      <c r="F36" s="112">
        <v>2.0199999999999999E-2</v>
      </c>
      <c r="G36" s="113"/>
      <c r="H36" s="110" t="s">
        <v>85</v>
      </c>
      <c r="I36" s="111"/>
      <c r="J36" s="120" t="str">
        <f>IF(F31&gt;0, F33&amp;" &lt; "&amp;F30&amp;" x Rate("&amp;L33&amp;"Y-"&amp;L34&amp;"Y) &lt; "&amp;F32,F33&amp;" &lt; "&amp;F30&amp;" x Rate("&amp;L31&amp;"Y) &lt; "&amp;F32)</f>
        <v>-0.8 &lt; 0 x Rate(10Y) &lt; 0.8</v>
      </c>
      <c r="K36" s="120"/>
      <c r="L36" s="120"/>
      <c r="M36" s="120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</row>
    <row r="37" spans="1:32" x14ac:dyDescent="0.4">
      <c r="A37" s="21">
        <f t="shared" si="1"/>
        <v>37</v>
      </c>
      <c r="B37" s="145"/>
      <c r="C37" s="145"/>
      <c r="D37" s="85" t="s">
        <v>44</v>
      </c>
      <c r="E37" s="85"/>
      <c r="F37" s="112">
        <v>0</v>
      </c>
      <c r="G37" s="113"/>
      <c r="H37" s="110" t="s">
        <v>82</v>
      </c>
      <c r="I37" s="111"/>
      <c r="J37" s="120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20"/>
      <c r="L37" s="120"/>
      <c r="M37" s="120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</row>
    <row r="38" spans="1:32" x14ac:dyDescent="0.4">
      <c r="A38" s="21">
        <f t="shared" si="1"/>
        <v>38</v>
      </c>
      <c r="B38" s="145"/>
      <c r="C38" s="145"/>
      <c r="D38" s="85" t="s">
        <v>45</v>
      </c>
      <c r="E38" s="85"/>
      <c r="F38" s="103">
        <v>0</v>
      </c>
      <c r="G38" s="104"/>
      <c r="H38" s="110"/>
      <c r="I38" s="111"/>
      <c r="J38" s="120"/>
      <c r="K38" s="120"/>
      <c r="L38" s="120"/>
      <c r="M38" s="120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</row>
    <row r="39" spans="1:32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</row>
    <row r="40" spans="1:32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</row>
    <row r="41" spans="1:32" x14ac:dyDescent="0.4">
      <c r="A41" s="21">
        <f t="shared" si="1"/>
        <v>41</v>
      </c>
      <c r="B41" s="145" t="s">
        <v>46</v>
      </c>
      <c r="C41" s="145"/>
      <c r="D41" s="85" t="s">
        <v>42</v>
      </c>
      <c r="E41" s="85"/>
      <c r="F41" s="112">
        <v>2.0199999999999999E-2</v>
      </c>
      <c r="G41" s="113"/>
      <c r="H41" s="110" t="s">
        <v>83</v>
      </c>
      <c r="I41" s="111"/>
      <c r="J41" s="120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20"/>
      <c r="L41" s="120"/>
      <c r="M41" s="120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</row>
    <row r="42" spans="1:32" x14ac:dyDescent="0.4">
      <c r="A42" s="21">
        <f t="shared" si="1"/>
        <v>42</v>
      </c>
      <c r="B42" s="145"/>
      <c r="C42" s="145"/>
      <c r="D42" s="85" t="s">
        <v>44</v>
      </c>
      <c r="E42" s="85"/>
      <c r="F42" s="112">
        <v>0</v>
      </c>
      <c r="G42" s="113"/>
      <c r="H42" s="110"/>
      <c r="I42" s="111"/>
      <c r="J42" s="120"/>
      <c r="K42" s="120"/>
      <c r="L42" s="120"/>
      <c r="M42" s="120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</row>
    <row r="43" spans="1:32" x14ac:dyDescent="0.4">
      <c r="A43" s="21">
        <f t="shared" si="1"/>
        <v>43</v>
      </c>
      <c r="B43" s="145"/>
      <c r="C43" s="145"/>
      <c r="D43" s="85" t="s">
        <v>45</v>
      </c>
      <c r="E43" s="85"/>
      <c r="F43" s="103">
        <v>0</v>
      </c>
      <c r="G43" s="104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</row>
    <row r="44" spans="1:32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</row>
    <row r="45" spans="1:32" ht="17.399999999999999" customHeight="1" x14ac:dyDescent="0.4">
      <c r="A45" s="21">
        <f t="shared" si="1"/>
        <v>45</v>
      </c>
      <c r="B45" s="139" t="s">
        <v>61</v>
      </c>
      <c r="C45" s="140"/>
      <c r="D45" s="140"/>
      <c r="E45" s="140"/>
      <c r="F45" s="140"/>
      <c r="G45" s="141"/>
      <c r="AB45" s="42">
        <v>20261221</v>
      </c>
      <c r="AC45" s="43">
        <v>20270322</v>
      </c>
      <c r="AD45" s="43">
        <v>20270322</v>
      </c>
      <c r="AE45" s="45">
        <v>2.8062122571600494E-2</v>
      </c>
      <c r="AF45" s="49">
        <v>278855140.16609806</v>
      </c>
    </row>
    <row r="46" spans="1:32" ht="17.399999999999999" customHeight="1" x14ac:dyDescent="0.4">
      <c r="A46" s="21">
        <f t="shared" si="1"/>
        <v>46</v>
      </c>
      <c r="B46" s="142"/>
      <c r="C46" s="143"/>
      <c r="D46" s="143"/>
      <c r="E46" s="143"/>
      <c r="F46" s="143"/>
      <c r="G46" s="144"/>
      <c r="AB46" s="42">
        <v>20270322</v>
      </c>
      <c r="AC46" s="43">
        <v>20270621</v>
      </c>
      <c r="AD46" s="43">
        <v>20270621</v>
      </c>
      <c r="AE46" s="45">
        <v>2.7696636918449608E-2</v>
      </c>
      <c r="AF46" s="49">
        <v>275210296.94015503</v>
      </c>
    </row>
    <row r="47" spans="1:32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2.7544967542104514E-2</v>
      </c>
      <c r="AF47" s="49">
        <v>273697758.50208336</v>
      </c>
    </row>
    <row r="48" spans="1:32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2.8396124316168492E-2</v>
      </c>
      <c r="AF48" s="49">
        <v>282186006.8790502</v>
      </c>
    </row>
    <row r="49" spans="1:32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2.8245059534082947E-2</v>
      </c>
      <c r="AF49" s="49">
        <v>280679497.81934774</v>
      </c>
    </row>
    <row r="50" spans="1:32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2.809425133857749E-2</v>
      </c>
      <c r="AF50" s="49">
        <v>282243410.75606894</v>
      </c>
    </row>
    <row r="51" spans="1:32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2.8105227398747365E-2</v>
      </c>
      <c r="AF51" s="49">
        <v>282354073.49969947</v>
      </c>
    </row>
    <row r="52" spans="1:32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2.8797990972236402E-2</v>
      </c>
      <c r="AF52" s="49">
        <v>286193663.39435756</v>
      </c>
    </row>
    <row r="53" spans="1:32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2.8761898241136088E-2</v>
      </c>
      <c r="AF53" s="49">
        <v>282692694.98106825</v>
      </c>
    </row>
    <row r="54" spans="1:32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2.8729006619230047E-2</v>
      </c>
      <c r="AF54" s="49">
        <v>288643135.22949749</v>
      </c>
    </row>
    <row r="55" spans="1:32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2.8713807922766954E-2</v>
      </c>
      <c r="AF55" s="49">
        <v>288489899.05693811</v>
      </c>
    </row>
    <row r="56" spans="1:32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2.8780748825927318E-2</v>
      </c>
      <c r="AF56" s="49">
        <v>286021714.31883681</v>
      </c>
    </row>
    <row r="57" spans="1:32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2.8756143406290843E-2</v>
      </c>
      <c r="AF57" s="49">
        <v>282635934.96615624</v>
      </c>
    </row>
    <row r="58" spans="1:32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2.8734802191058388E-2</v>
      </c>
      <c r="AF58" s="49">
        <v>288701567.29615039</v>
      </c>
    </row>
    <row r="59" spans="1:32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2.8852936032284095E-2</v>
      </c>
      <c r="AF59" s="49">
        <v>289892615.33919311</v>
      </c>
    </row>
    <row r="60" spans="1:32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2.9542136627606599E-2</v>
      </c>
      <c r="AF60" s="49">
        <v>293614732.39585757</v>
      </c>
    </row>
    <row r="61" spans="1:32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2.9584399690687716E-2</v>
      </c>
      <c r="AF61" s="49">
        <v>290805038.04513913</v>
      </c>
    </row>
    <row r="62" spans="1:32" x14ac:dyDescent="0.4">
      <c r="AB62" s="42">
        <v>20310320</v>
      </c>
      <c r="AC62" s="43">
        <v>20310620</v>
      </c>
      <c r="AD62" s="43">
        <v>20310620</v>
      </c>
      <c r="AE62" s="45">
        <v>2.9630500479252732E-2</v>
      </c>
      <c r="AF62" s="49">
        <v>297732169.21547961</v>
      </c>
    </row>
    <row r="63" spans="1:32" x14ac:dyDescent="0.4">
      <c r="AB63" s="42">
        <v>20310620</v>
      </c>
      <c r="AC63" s="43">
        <v>20310922</v>
      </c>
      <c r="AD63" s="43">
        <v>20310922</v>
      </c>
      <c r="AE63" s="45">
        <v>2.9711715578584548E-2</v>
      </c>
      <c r="AF63" s="49">
        <v>305041234.45336413</v>
      </c>
    </row>
    <row r="64" spans="1:32" x14ac:dyDescent="0.4">
      <c r="AB64" s="42">
        <v>20310922</v>
      </c>
      <c r="AC64" s="43">
        <v>20311222</v>
      </c>
      <c r="AD64" s="43">
        <v>20311222</v>
      </c>
      <c r="AE64" s="45">
        <v>2.9904170901011686E-2</v>
      </c>
      <c r="AF64" s="49">
        <v>297225156.38269186</v>
      </c>
    </row>
    <row r="65" spans="28:32" x14ac:dyDescent="0.4">
      <c r="AB65" s="42">
        <v>20311222</v>
      </c>
      <c r="AC65" s="43">
        <v>20320322</v>
      </c>
      <c r="AD65" s="43">
        <v>20320322</v>
      </c>
      <c r="AE65" s="45">
        <v>2.9960473401647588E-2</v>
      </c>
      <c r="AF65" s="49">
        <v>297786638.85478693</v>
      </c>
    </row>
    <row r="66" spans="28:32" x14ac:dyDescent="0.4">
      <c r="AB66" s="42">
        <v>20320322</v>
      </c>
      <c r="AC66" s="43">
        <v>20320621</v>
      </c>
      <c r="AD66" s="43">
        <v>20320621</v>
      </c>
      <c r="AE66" s="45">
        <v>3.0018319118321094E-2</v>
      </c>
      <c r="AF66" s="49">
        <v>298363511.20736653</v>
      </c>
    </row>
    <row r="67" spans="28:32" x14ac:dyDescent="0.4">
      <c r="AB67" s="42">
        <v>20320621</v>
      </c>
      <c r="AC67" s="43">
        <v>20320922</v>
      </c>
      <c r="AD67" s="43">
        <v>20320922</v>
      </c>
      <c r="AE67" s="45">
        <v>2.9960238051572358E-2</v>
      </c>
      <c r="AF67" s="49">
        <v>304329001.51191556</v>
      </c>
    </row>
    <row r="68" spans="28:32" x14ac:dyDescent="0.4">
      <c r="AB68" s="42">
        <v>20320922</v>
      </c>
      <c r="AC68" s="43">
        <v>20321220</v>
      </c>
      <c r="AD68" s="43">
        <v>20321220</v>
      </c>
      <c r="AE68" s="45">
        <v>2.9432377230484957E-2</v>
      </c>
      <c r="AF68" s="49">
        <v>286091131.34390807</v>
      </c>
    </row>
    <row r="69" spans="28:32" x14ac:dyDescent="0.4">
      <c r="AB69" s="42">
        <v>20321220</v>
      </c>
      <c r="AC69" s="43">
        <v>20330321</v>
      </c>
      <c r="AD69" s="43">
        <v>20330321</v>
      </c>
      <c r="AE69" s="45">
        <v>2.9446662227887777E-2</v>
      </c>
      <c r="AF69" s="49">
        <v>292662604.13564795</v>
      </c>
    </row>
    <row r="70" spans="28:32" x14ac:dyDescent="0.4">
      <c r="AB70" s="42">
        <v>20330321</v>
      </c>
      <c r="AC70" s="43">
        <v>20330620</v>
      </c>
      <c r="AD70" s="43">
        <v>20330620</v>
      </c>
      <c r="AE70" s="45">
        <v>2.9462536460701207E-2</v>
      </c>
      <c r="AF70" s="49">
        <v>292820911.55329424</v>
      </c>
    </row>
    <row r="71" spans="28:32" x14ac:dyDescent="0.4">
      <c r="AB71" s="42">
        <v>20330620</v>
      </c>
      <c r="AC71" s="43">
        <v>20330920</v>
      </c>
      <c r="AD71" s="43">
        <v>20330920</v>
      </c>
      <c r="AE71" s="45">
        <v>2.9647113239616291E-2</v>
      </c>
      <c r="AF71" s="49">
        <v>297899662.2514739</v>
      </c>
    </row>
    <row r="72" spans="28:32" x14ac:dyDescent="0.4">
      <c r="AB72" s="42">
        <v>20330920</v>
      </c>
      <c r="AC72" s="43">
        <v>20331220</v>
      </c>
      <c r="AD72" s="43">
        <v>20331220</v>
      </c>
      <c r="AE72" s="45">
        <v>3.0566603448965786E-2</v>
      </c>
      <c r="AF72" s="49">
        <v>303831333.02530265</v>
      </c>
    </row>
    <row r="73" spans="28:32" x14ac:dyDescent="0.4">
      <c r="AB73" s="42">
        <v>20331220</v>
      </c>
      <c r="AC73" s="43">
        <v>20340320</v>
      </c>
      <c r="AD73" s="43">
        <v>20340320</v>
      </c>
      <c r="AE73" s="45">
        <v>3.0636968094769856E-2</v>
      </c>
      <c r="AF73" s="49">
        <v>301186534.6333465</v>
      </c>
    </row>
    <row r="74" spans="28:32" x14ac:dyDescent="0.4">
      <c r="AB74" s="42">
        <v>20340320</v>
      </c>
      <c r="AC74" s="43">
        <v>20340620</v>
      </c>
      <c r="AD74" s="43">
        <v>20340620</v>
      </c>
      <c r="AE74" s="45">
        <v>3.0711589656012814E-2</v>
      </c>
      <c r="AF74" s="49">
        <v>308631917.62774569</v>
      </c>
    </row>
    <row r="75" spans="28:32" x14ac:dyDescent="0.4">
      <c r="AB75" s="42">
        <v>20340620</v>
      </c>
      <c r="AC75" s="43">
        <v>20340920</v>
      </c>
      <c r="AD75" s="43">
        <v>20340920</v>
      </c>
      <c r="AE75" s="45">
        <v>3.0708627690942309E-2</v>
      </c>
      <c r="AF75" s="49">
        <v>308602054.52785677</v>
      </c>
    </row>
    <row r="76" spans="28:32" x14ac:dyDescent="0.4">
      <c r="AB76" s="42">
        <v>20340920</v>
      </c>
      <c r="AC76" s="43">
        <v>20341220</v>
      </c>
      <c r="AD76" s="43">
        <v>20341220</v>
      </c>
      <c r="AE76" s="45">
        <v>3.0407026995949826E-2</v>
      </c>
      <c r="AF76" s="49">
        <v>302239940.45275992</v>
      </c>
    </row>
  </sheetData>
  <mergeCells count="146"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2025-03-06T13:02:23Z</dcterms:modified>
</cp:coreProperties>
</file>