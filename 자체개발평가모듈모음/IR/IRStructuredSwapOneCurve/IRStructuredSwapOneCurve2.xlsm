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<sst xmlns="http://schemas.openxmlformats.org/spreadsheetml/2006/main" count="122" uniqueCount="87">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</sst>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5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5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X1" workbookViewId="0">
      <selection activeCell="F32" sqref="F32:G32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3" t="s">
        <v>50</v>
      </c>
      <c r="P3" s="124"/>
      <c r="Q3" s="124"/>
      <c r="R3" s="125"/>
      <c r="T3" s="121" t="s">
        <v>56</v>
      </c>
      <c r="U3" s="122"/>
      <c r="W3" s="149" t="s">
        <v>77</v>
      </c>
      <c r="X3" s="150"/>
      <c r="Y3" s="149" t="s">
        <v>78</v>
      </c>
      <c r="Z3" s="150"/>
      <c r="AB3" s="85" t="s">
        <v>66</v>
      </c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7"/>
    </row>
    <row r="4" spans="1:57" x14ac:dyDescent="0.4">
      <c r="A4" s="21">
        <f t="shared" si="1"/>
        <v>4</v>
      </c>
      <c r="B4" s="20"/>
      <c r="C4" s="20"/>
      <c r="O4" s="126" t="s">
        <v>49</v>
      </c>
      <c r="P4" s="127"/>
      <c r="Q4" s="128">
        <v>44039</v>
      </c>
      <c r="R4" s="12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8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90"/>
    </row>
    <row r="5" spans="1:57" x14ac:dyDescent="0.4">
      <c r="A5" s="21">
        <f t="shared" si="1"/>
        <v>5</v>
      </c>
      <c r="B5" s="85" t="s">
        <v>48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  <c r="O5" s="134" t="s">
        <v>51</v>
      </c>
      <c r="P5" s="135"/>
      <c r="Q5" s="136">
        <v>49517</v>
      </c>
      <c r="R5" s="137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90"/>
      <c r="O6" s="132" t="s">
        <v>43</v>
      </c>
      <c r="P6" s="133"/>
      <c r="Q6" s="120">
        <v>0</v>
      </c>
      <c r="R6" s="103"/>
      <c r="W6" s="28">
        <v>44769</v>
      </c>
      <c r="X6" s="35">
        <v>3.6999999999999998E-2</v>
      </c>
      <c r="Y6" s="28">
        <v>44769</v>
      </c>
      <c r="Z6" s="37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5"/>
      <c r="F7" s="72" t="s">
        <v>34</v>
      </c>
      <c r="G7" s="72"/>
      <c r="H7" s="74">
        <v>1</v>
      </c>
      <c r="I7" s="75"/>
      <c r="J7" s="72" t="s">
        <v>86</v>
      </c>
      <c r="K7" s="72"/>
      <c r="L7" s="102">
        <v>0</v>
      </c>
      <c r="M7" s="103"/>
      <c r="O7" s="121" t="str">
        <f>IF(Q6&gt;0,"Phase2날짜","")</f>
        <v/>
      </c>
      <c r="P7" s="122"/>
      <c r="Q7" s="130">
        <v>45865</v>
      </c>
      <c r="R7" s="131"/>
      <c r="W7" s="28">
        <v>44815</v>
      </c>
      <c r="X7" s="35">
        <v>3.6999999999999998E-2</v>
      </c>
      <c r="Y7" s="28">
        <v>44815</v>
      </c>
      <c r="Z7" s="35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6" t="str">
        <f>"기초금리정보"</f>
        <v>기초금리정보</v>
      </c>
      <c r="C9" s="77"/>
      <c r="D9" s="82" t="s">
        <v>35</v>
      </c>
      <c r="E9" s="82"/>
      <c r="F9" s="102">
        <v>0</v>
      </c>
      <c r="G9" s="103"/>
      <c r="H9" s="24"/>
      <c r="I9" s="23"/>
      <c r="J9" s="91" t="str">
        <f>IF(OR(F10 = 0, F10 = 2, F10 = 4), "RefType = "&amp;F10&amp;" 이므로 Ref Swap 금리정보 사용안함", "사용")</f>
        <v>사용</v>
      </c>
      <c r="K9" s="92"/>
      <c r="L9" s="92"/>
      <c r="M9" s="93"/>
      <c r="O9" s="84" t="s">
        <v>53</v>
      </c>
      <c r="P9" s="84"/>
      <c r="Q9" s="84"/>
      <c r="R9" s="84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8"/>
      <c r="C10" s="79"/>
      <c r="D10" s="82" t="s">
        <v>36</v>
      </c>
      <c r="E10" s="83"/>
      <c r="F10" s="104">
        <v>1</v>
      </c>
      <c r="G10" s="105"/>
      <c r="H10" s="91" t="str">
        <f xml:space="preserve"> "Swap 레퍼런스금리정보"</f>
        <v>Swap 레퍼런스금리정보</v>
      </c>
      <c r="I10" s="92"/>
      <c r="J10" s="95" t="str">
        <f>IF(OR(F10 = 0, F10 = 2, F10 = 4), "", "연 지급횟수")</f>
        <v>연 지급횟수</v>
      </c>
      <c r="K10" s="96"/>
      <c r="L10" s="97">
        <v>4</v>
      </c>
      <c r="M10" s="98"/>
      <c r="O10" s="84" t="s">
        <v>52</v>
      </c>
      <c r="P10" s="84"/>
      <c r="Q10" s="120">
        <v>4</v>
      </c>
      <c r="R10" s="103"/>
      <c r="AB10" s="134" t="s">
        <v>79</v>
      </c>
      <c r="AC10" s="147"/>
      <c r="AD10" s="148">
        <v>2148811283.9789033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8"/>
      <c r="C11" s="79"/>
      <c r="D11" s="84" t="s">
        <v>37</v>
      </c>
      <c r="E11" s="84"/>
      <c r="F11" s="102">
        <v>0</v>
      </c>
      <c r="G11" s="103"/>
      <c r="H11" s="94"/>
      <c r="I11" s="95"/>
      <c r="J11" s="95" t="str">
        <f>IF(F11=0, "만기", "입력X, 아래만기2개입력")</f>
        <v>만기</v>
      </c>
      <c r="K11" s="96"/>
      <c r="L11" s="117">
        <v>0.25</v>
      </c>
      <c r="M11" s="118"/>
      <c r="O11" s="84" t="s">
        <v>54</v>
      </c>
      <c r="P11" s="84"/>
      <c r="Q11" s="120">
        <v>0</v>
      </c>
      <c r="R11" s="103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8"/>
      <c r="C12" s="79"/>
      <c r="D12" s="84" t="s">
        <v>38</v>
      </c>
      <c r="E12" s="84"/>
      <c r="F12" s="111">
        <v>0.8</v>
      </c>
      <c r="G12" s="112"/>
      <c r="H12" s="99" t="str">
        <f>"ex) Deposit 3M -&gt; 연 지급횟수= 4, 만기= 0.25 ||  ex2) CMT 5Y 연 지급횟수=2, 만기 5"</f>
        <v>ex) Deposit 3M -&gt; 연 지급횟수= 4, 만기= 0.25 ||  ex2) CMT 5Y 연 지급횟수=2, 만기 5</v>
      </c>
      <c r="I12" s="99"/>
      <c r="J12" s="99"/>
      <c r="K12" s="99"/>
      <c r="L12" s="99"/>
      <c r="M12" s="100"/>
      <c r="O12" s="121" t="s">
        <v>55</v>
      </c>
      <c r="P12" s="122"/>
      <c r="Q12" s="120">
        <v>4</v>
      </c>
      <c r="R12" s="103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8"/>
      <c r="C13" s="79"/>
      <c r="D13" s="84" t="s">
        <v>39</v>
      </c>
      <c r="E13" s="82"/>
      <c r="F13" s="113">
        <v>-0.8</v>
      </c>
      <c r="G13" s="114"/>
      <c r="H13" s="101" t="str">
        <f>IF(F11&gt;0,"PowerSpreadFlag 1일때 입력","입력필요X")</f>
        <v>입력필요X</v>
      </c>
      <c r="I13" s="101"/>
      <c r="J13" s="101" t="str">
        <f>IF(F11&gt;0,"만기1","")</f>
        <v/>
      </c>
      <c r="K13" s="101"/>
      <c r="L13" s="107">
        <v>10</v>
      </c>
      <c r="M13" s="108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0"/>
      <c r="C14" s="81"/>
      <c r="D14" s="106" t="s">
        <v>40</v>
      </c>
      <c r="E14" s="106"/>
      <c r="F14" s="115">
        <v>1</v>
      </c>
      <c r="G14" s="116"/>
      <c r="H14" s="101"/>
      <c r="I14" s="101"/>
      <c r="J14" s="101" t="str">
        <f>IF(F11&gt;0,"만기2","")</f>
        <v/>
      </c>
      <c r="K14" s="101"/>
      <c r="L14" s="107">
        <v>5</v>
      </c>
      <c r="M14" s="108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5" t="s">
        <v>73</v>
      </c>
      <c r="AC15" s="146"/>
      <c r="AD15" s="146"/>
      <c r="AE15" s="146"/>
      <c r="AF15" s="146"/>
      <c r="AG15" s="145" t="s">
        <v>74</v>
      </c>
      <c r="AH15" s="146"/>
      <c r="AI15" s="146"/>
      <c r="AJ15" s="146"/>
      <c r="AK15" s="146"/>
    </row>
    <row r="16" spans="1:57" x14ac:dyDescent="0.4">
      <c r="A16" s="21">
        <f t="shared" si="1"/>
        <v>16</v>
      </c>
      <c r="B16" s="144" t="s">
        <v>41</v>
      </c>
      <c r="C16" s="144"/>
      <c r="D16" s="84" t="s">
        <v>81</v>
      </c>
      <c r="E16" s="84"/>
      <c r="F16" s="111">
        <v>0</v>
      </c>
      <c r="G16" s="112"/>
      <c r="H16" s="109" t="s">
        <v>84</v>
      </c>
      <c r="I16" s="110"/>
      <c r="J16" s="119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9"/>
      <c r="L16" s="119"/>
      <c r="M16" s="119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4"/>
      <c r="C17" s="144"/>
      <c r="D17" s="84" t="s">
        <v>44</v>
      </c>
      <c r="E17" s="84"/>
      <c r="F17" s="111">
        <v>0</v>
      </c>
      <c r="G17" s="112"/>
      <c r="H17" s="109" t="s">
        <v>82</v>
      </c>
      <c r="I17" s="110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9"/>
      <c r="L17" s="119"/>
      <c r="M17" s="119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4"/>
      <c r="C18" s="144"/>
      <c r="D18" s="84" t="s">
        <v>45</v>
      </c>
      <c r="E18" s="84"/>
      <c r="F18" s="102">
        <v>1</v>
      </c>
      <c r="G18" s="103"/>
      <c r="H18" s="109"/>
      <c r="I18" s="110"/>
      <c r="J18" s="119"/>
      <c r="K18" s="119"/>
      <c r="L18" s="119"/>
      <c r="M18" s="119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4" t="s">
        <v>46</v>
      </c>
      <c r="C21" s="144"/>
      <c r="D21" s="84" t="s">
        <v>42</v>
      </c>
      <c r="E21" s="84"/>
      <c r="F21" s="111">
        <v>0</v>
      </c>
      <c r="G21" s="112"/>
      <c r="H21" s="109" t="s">
        <v>83</v>
      </c>
      <c r="I21" s="110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9"/>
      <c r="L21" s="119"/>
      <c r="M21" s="119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4"/>
      <c r="C22" s="144"/>
      <c r="D22" s="84" t="s">
        <v>44</v>
      </c>
      <c r="E22" s="84"/>
      <c r="F22" s="111">
        <v>0</v>
      </c>
      <c r="G22" s="112"/>
      <c r="H22" s="109"/>
      <c r="I22" s="110"/>
      <c r="J22" s="119"/>
      <c r="K22" s="119"/>
      <c r="L22" s="119"/>
      <c r="M22" s="119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4"/>
      <c r="C23" s="144"/>
      <c r="D23" s="84" t="s">
        <v>45</v>
      </c>
      <c r="E23" s="84"/>
      <c r="F23" s="102">
        <v>1</v>
      </c>
      <c r="G23" s="103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5" t="s">
        <v>47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90"/>
      <c r="AB26" s="42">
        <v>20221027</v>
      </c>
      <c r="AC26" s="43">
        <v>20230127</v>
      </c>
      <c r="AD26" s="43">
        <v>20230127</v>
      </c>
      <c r="AE26" s="45">
        <v>3.944524886508944E-2</v>
      </c>
      <c r="AF26" s="49">
        <v>397694563.90007985</v>
      </c>
      <c r="AG26" s="43">
        <v>20221027</v>
      </c>
      <c r="AH26" s="43">
        <v>20230127</v>
      </c>
      <c r="AI26" s="43">
        <v>20230127</v>
      </c>
      <c r="AJ26" s="45">
        <v>3.7727582323363103E-2</v>
      </c>
      <c r="AK26" s="49">
        <v>203660273.97260275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5"/>
      <c r="F27" s="72" t="s">
        <v>34</v>
      </c>
      <c r="G27" s="72"/>
      <c r="H27" s="74">
        <v>1</v>
      </c>
      <c r="I27" s="75"/>
      <c r="J27" s="72" t="s">
        <v>86</v>
      </c>
      <c r="K27" s="72"/>
      <c r="L27" s="102">
        <v>0</v>
      </c>
      <c r="M27" s="103"/>
      <c r="AB27" s="42">
        <v>20230127</v>
      </c>
      <c r="AC27" s="43">
        <v>20230427</v>
      </c>
      <c r="AD27" s="43">
        <v>20230427</v>
      </c>
      <c r="AE27" s="45">
        <v>3.9916390550464136E-2</v>
      </c>
      <c r="AF27" s="49">
        <v>393695906.79909831</v>
      </c>
      <c r="AG27" s="43">
        <v>20230127</v>
      </c>
      <c r="AH27" s="43">
        <v>20230427</v>
      </c>
      <c r="AI27" s="43">
        <v>20230427</v>
      </c>
      <c r="AJ27" s="45">
        <v>3.7764580748408147E-2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3.9904156143810862E-2</v>
      </c>
      <c r="AF28" s="49">
        <v>397948296.88622338</v>
      </c>
      <c r="AG28" s="43">
        <v>20230427</v>
      </c>
      <c r="AH28" s="43">
        <v>20230727</v>
      </c>
      <c r="AI28" s="43">
        <v>20230727</v>
      </c>
      <c r="AJ28" s="45">
        <v>3.7806037012015091E-2</v>
      </c>
      <c r="AK28" s="49">
        <v>201446575.34246573</v>
      </c>
    </row>
    <row r="29" spans="1:37" x14ac:dyDescent="0.4">
      <c r="A29" s="21">
        <f t="shared" si="1"/>
        <v>29</v>
      </c>
      <c r="B29" s="76" t="str">
        <f>"기초금리정보"</f>
        <v>기초금리정보</v>
      </c>
      <c r="C29" s="77"/>
      <c r="D29" s="82" t="s">
        <v>35</v>
      </c>
      <c r="E29" s="82"/>
      <c r="F29" s="102">
        <v>0</v>
      </c>
      <c r="G29" s="103"/>
      <c r="H29" s="24"/>
      <c r="I29" s="23"/>
      <c r="J29" s="91" t="str">
        <f>IF(OR(F30 = 0, F30 = 2, F30 = 4), "RefType = "&amp;F30&amp;" 이므로 Ref Swap 금리정보 사용안함", "사용")</f>
        <v>사용</v>
      </c>
      <c r="K29" s="92"/>
      <c r="L29" s="92"/>
      <c r="M29" s="93"/>
      <c r="O29" s="84" t="s">
        <v>59</v>
      </c>
      <c r="P29" s="84"/>
      <c r="Q29" s="84"/>
      <c r="R29" s="84"/>
      <c r="AB29" s="42">
        <v>20230727</v>
      </c>
      <c r="AC29" s="43">
        <v>20231027</v>
      </c>
      <c r="AD29" s="43">
        <v>20231027</v>
      </c>
      <c r="AE29" s="45">
        <v>3.9784211686979515E-2</v>
      </c>
      <c r="AF29" s="49">
        <v>401112052.07694423</v>
      </c>
      <c r="AG29" s="43">
        <v>20230727</v>
      </c>
      <c r="AH29" s="43">
        <v>20231027</v>
      </c>
      <c r="AI29" s="43">
        <v>20231027</v>
      </c>
      <c r="AJ29" s="45">
        <v>3.7844122104572206E-2</v>
      </c>
      <c r="AK29" s="49">
        <v>203660273.97260275</v>
      </c>
    </row>
    <row r="30" spans="1:37" x14ac:dyDescent="0.4">
      <c r="A30" s="21">
        <f t="shared" si="1"/>
        <v>30</v>
      </c>
      <c r="B30" s="78"/>
      <c r="C30" s="79"/>
      <c r="D30" s="82" t="s">
        <v>36</v>
      </c>
      <c r="E30" s="83"/>
      <c r="F30" s="104">
        <v>1</v>
      </c>
      <c r="G30" s="105"/>
      <c r="H30" s="91" t="str">
        <f xml:space="preserve"> "Swap 레퍼런스금리정보"</f>
        <v>Swap 레퍼런스금리정보</v>
      </c>
      <c r="I30" s="92"/>
      <c r="J30" s="95" t="str">
        <f>IF(OR(F30 = 0, F30 = 2, F30 = 4), "", "연 지급횟수")</f>
        <v>연 지급횟수</v>
      </c>
      <c r="K30" s="96"/>
      <c r="L30" s="97">
        <v>4</v>
      </c>
      <c r="M30" s="98"/>
      <c r="O30" s="84" t="s">
        <v>52</v>
      </c>
      <c r="P30" s="84"/>
      <c r="Q30" s="120">
        <v>4</v>
      </c>
      <c r="R30" s="103"/>
      <c r="AB30" s="42">
        <v>20231027</v>
      </c>
      <c r="AC30" s="43">
        <v>20240129</v>
      </c>
      <c r="AD30" s="43">
        <v>20240129</v>
      </c>
      <c r="AE30" s="45">
        <v>3.9508040407280773E-2</v>
      </c>
      <c r="AF30" s="49">
        <v>406986936.7982896</v>
      </c>
      <c r="AG30" s="43">
        <v>20231027</v>
      </c>
      <c r="AH30" s="43">
        <v>20240129</v>
      </c>
      <c r="AI30" s="43">
        <v>20240129</v>
      </c>
      <c r="AJ30" s="45">
        <v>3.7868336894053112E-2</v>
      </c>
      <c r="AK30" s="49">
        <v>208087671.23287672</v>
      </c>
    </row>
    <row r="31" spans="1:37" x14ac:dyDescent="0.4">
      <c r="A31" s="21">
        <f t="shared" si="1"/>
        <v>31</v>
      </c>
      <c r="B31" s="78"/>
      <c r="C31" s="79"/>
      <c r="D31" s="84" t="s">
        <v>37</v>
      </c>
      <c r="E31" s="84"/>
      <c r="F31" s="102">
        <v>0</v>
      </c>
      <c r="G31" s="103"/>
      <c r="H31" s="94"/>
      <c r="I31" s="95"/>
      <c r="J31" s="95" t="str">
        <f>IF(F31=0, "만기", "입력X, 아래만기2개입력")</f>
        <v>만기</v>
      </c>
      <c r="K31" s="96"/>
      <c r="L31" s="117">
        <v>10</v>
      </c>
      <c r="M31" s="118"/>
      <c r="O31" s="84" t="s">
        <v>54</v>
      </c>
      <c r="P31" s="84"/>
      <c r="Q31" s="120">
        <v>0</v>
      </c>
      <c r="R31" s="103"/>
      <c r="AB31" s="42">
        <v>20240129</v>
      </c>
      <c r="AC31" s="43">
        <v>20240429</v>
      </c>
      <c r="AD31" s="43">
        <v>20240429</v>
      </c>
      <c r="AE31" s="45">
        <v>3.9280972051566644E-2</v>
      </c>
      <c r="AF31" s="49">
        <v>391733529.50055504</v>
      </c>
      <c r="AG31" s="43">
        <v>20240129</v>
      </c>
      <c r="AH31" s="43">
        <v>20240429</v>
      </c>
      <c r="AI31" s="43">
        <v>20240429</v>
      </c>
      <c r="AJ31" s="45">
        <v>3.7870021233508799E-2</v>
      </c>
      <c r="AK31" s="49">
        <v>201446575.34246573</v>
      </c>
    </row>
    <row r="32" spans="1:37" x14ac:dyDescent="0.4">
      <c r="A32" s="21">
        <f t="shared" si="1"/>
        <v>32</v>
      </c>
      <c r="B32" s="78"/>
      <c r="C32" s="79"/>
      <c r="D32" s="84" t="s">
        <v>38</v>
      </c>
      <c r="E32" s="84"/>
      <c r="F32" s="111">
        <v>0.8</v>
      </c>
      <c r="G32" s="112"/>
      <c r="H32" s="99" t="str">
        <f>"ex) Deposit 3M -&gt; 연 지급횟수= 4, 만기= 0.25 ||  ex2) CMT 5Y 연 지급횟수=2, 만기 5"</f>
        <v>ex) Deposit 3M -&gt; 연 지급횟수= 4, 만기= 0.25 ||  ex2) CMT 5Y 연 지급횟수=2, 만기 5</v>
      </c>
      <c r="I32" s="99"/>
      <c r="J32" s="99"/>
      <c r="K32" s="99"/>
      <c r="L32" s="99"/>
      <c r="M32" s="100"/>
      <c r="O32" s="121" t="s">
        <v>55</v>
      </c>
      <c r="P32" s="122"/>
      <c r="Q32" s="120">
        <v>4</v>
      </c>
      <c r="R32" s="103"/>
      <c r="AB32" s="42">
        <v>20240429</v>
      </c>
      <c r="AC32" s="43">
        <v>20240729</v>
      </c>
      <c r="AD32" s="43">
        <v>20240729</v>
      </c>
      <c r="AE32" s="45">
        <v>3.8936026698976257E-2</v>
      </c>
      <c r="AF32" s="49">
        <v>388293526.53225636</v>
      </c>
      <c r="AG32" s="43">
        <v>20240429</v>
      </c>
      <c r="AH32" s="43">
        <v>20240729</v>
      </c>
      <c r="AI32" s="43">
        <v>20240729</v>
      </c>
      <c r="AJ32" s="45">
        <v>3.7891574837907428E-2</v>
      </c>
      <c r="AK32" s="49">
        <v>201446575.34246573</v>
      </c>
    </row>
    <row r="33" spans="1:37" x14ac:dyDescent="0.4">
      <c r="A33" s="21">
        <f t="shared" si="1"/>
        <v>33</v>
      </c>
      <c r="B33" s="78"/>
      <c r="C33" s="79"/>
      <c r="D33" s="84" t="s">
        <v>39</v>
      </c>
      <c r="E33" s="82"/>
      <c r="F33" s="113">
        <v>-0.8</v>
      </c>
      <c r="G33" s="114"/>
      <c r="H33" s="101" t="str">
        <f>IF(F31&gt;0,"PowerSpreadFlag 1일때 입력","입력필요X")</f>
        <v>입력필요X</v>
      </c>
      <c r="I33" s="101"/>
      <c r="J33" s="101" t="str">
        <f>IF(F31&gt;0,"만기1","")</f>
        <v/>
      </c>
      <c r="K33" s="101"/>
      <c r="L33" s="107">
        <v>10</v>
      </c>
      <c r="M33" s="108"/>
      <c r="AB33" s="42">
        <v>20240729</v>
      </c>
      <c r="AC33" s="43">
        <v>20241028</v>
      </c>
      <c r="AD33" s="43">
        <v>20241028</v>
      </c>
      <c r="AE33" s="45">
        <v>3.8942359873980537E-2</v>
      </c>
      <c r="AF33" s="49">
        <v>388356684.77065521</v>
      </c>
      <c r="AG33" s="43">
        <v>20240729</v>
      </c>
      <c r="AH33" s="43">
        <v>20241028</v>
      </c>
      <c r="AI33" s="43">
        <v>20241028</v>
      </c>
      <c r="AJ33" s="45">
        <v>3.7922468668232762E-2</v>
      </c>
      <c r="AK33" s="49">
        <v>201446575.34246573</v>
      </c>
    </row>
    <row r="34" spans="1:37" x14ac:dyDescent="0.4">
      <c r="A34" s="21">
        <f t="shared" si="1"/>
        <v>34</v>
      </c>
      <c r="B34" s="80"/>
      <c r="C34" s="81"/>
      <c r="D34" s="106" t="s">
        <v>40</v>
      </c>
      <c r="E34" s="106"/>
      <c r="F34" s="115">
        <v>1</v>
      </c>
      <c r="G34" s="116"/>
      <c r="H34" s="101"/>
      <c r="I34" s="101"/>
      <c r="J34" s="101" t="str">
        <f>IF(F31&gt;0,"만기2","")</f>
        <v/>
      </c>
      <c r="K34" s="101"/>
      <c r="L34" s="107">
        <v>5</v>
      </c>
      <c r="M34" s="108"/>
      <c r="AB34" s="42">
        <v>20241028</v>
      </c>
      <c r="AC34" s="43">
        <v>20250127</v>
      </c>
      <c r="AD34" s="43">
        <v>20250127</v>
      </c>
      <c r="AE34" s="45">
        <v>3.9003731513414755E-2</v>
      </c>
      <c r="AF34" s="49">
        <v>388968719.75021839</v>
      </c>
      <c r="AG34" s="43">
        <v>20241028</v>
      </c>
      <c r="AH34" s="43">
        <v>20250127</v>
      </c>
      <c r="AI34" s="43">
        <v>20250127</v>
      </c>
      <c r="AJ34" s="45">
        <v>3.796704473292143E-2</v>
      </c>
      <c r="AK34" s="49">
        <v>201446575.34246573</v>
      </c>
    </row>
    <row r="35" spans="1:37" x14ac:dyDescent="0.4">
      <c r="A35" s="21">
        <f t="shared" si="1"/>
        <v>35</v>
      </c>
      <c r="B35" s="20"/>
      <c r="C35" s="20"/>
      <c r="AB35" s="42">
        <v>20250127</v>
      </c>
      <c r="AC35" s="43">
        <v>20250428</v>
      </c>
      <c r="AD35" s="43">
        <v>20250428</v>
      </c>
      <c r="AE35" s="45">
        <v>3.8934816274434542E-2</v>
      </c>
      <c r="AF35" s="49">
        <v>388281455.44915545</v>
      </c>
      <c r="AG35" s="43">
        <v>20250127</v>
      </c>
      <c r="AH35" s="43">
        <v>20250428</v>
      </c>
      <c r="AI35" s="43">
        <v>20250428</v>
      </c>
      <c r="AJ35" s="45">
        <v>3.8013100319778274E-2</v>
      </c>
      <c r="AK35" s="49">
        <v>201446575.34246573</v>
      </c>
    </row>
    <row r="36" spans="1:37" x14ac:dyDescent="0.4">
      <c r="A36" s="21">
        <f t="shared" si="1"/>
        <v>36</v>
      </c>
      <c r="B36" s="144" t="s">
        <v>41</v>
      </c>
      <c r="C36" s="144"/>
      <c r="D36" s="84" t="s">
        <v>42</v>
      </c>
      <c r="E36" s="84"/>
      <c r="F36" s="111">
        <v>2.0199999999999999E-2</v>
      </c>
      <c r="G36" s="112"/>
      <c r="H36" s="109" t="s">
        <v>85</v>
      </c>
      <c r="I36" s="110"/>
      <c r="J36" s="11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9"/>
      <c r="L36" s="119"/>
      <c r="M36" s="119"/>
      <c r="AB36" s="42">
        <v>20250428</v>
      </c>
      <c r="AC36" s="43">
        <v>20250728</v>
      </c>
      <c r="AD36" s="43">
        <v>20250728</v>
      </c>
      <c r="AE36" s="45">
        <v>3.8872863072125299E-2</v>
      </c>
      <c r="AF36" s="49">
        <v>387663620.77407151</v>
      </c>
      <c r="AG36" s="43">
        <v>20250428</v>
      </c>
      <c r="AH36" s="43">
        <v>20250728</v>
      </c>
      <c r="AI36" s="43">
        <v>20250728</v>
      </c>
      <c r="AJ36" s="45">
        <v>3.8061433793993814E-2</v>
      </c>
      <c r="AK36" s="49">
        <v>201446575.34246573</v>
      </c>
    </row>
    <row r="37" spans="1:37" x14ac:dyDescent="0.4">
      <c r="A37" s="21">
        <f t="shared" si="1"/>
        <v>37</v>
      </c>
      <c r="B37" s="144"/>
      <c r="C37" s="144"/>
      <c r="D37" s="84" t="s">
        <v>44</v>
      </c>
      <c r="E37" s="84"/>
      <c r="F37" s="111">
        <v>0</v>
      </c>
      <c r="G37" s="112"/>
      <c r="H37" s="109" t="s">
        <v>82</v>
      </c>
      <c r="I37" s="110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9"/>
      <c r="L37" s="119"/>
      <c r="M37" s="119"/>
      <c r="AB37" s="42">
        <v>20250728</v>
      </c>
      <c r="AC37" s="43">
        <v>20251027</v>
      </c>
      <c r="AD37" s="43">
        <v>20251027</v>
      </c>
      <c r="AE37" s="45">
        <v>3.9043939128188362E-2</v>
      </c>
      <c r="AF37" s="49">
        <v>389369694.31946748</v>
      </c>
      <c r="AG37" s="43">
        <v>20250728</v>
      </c>
      <c r="AH37" s="43">
        <v>20251027</v>
      </c>
      <c r="AI37" s="43">
        <v>20251027</v>
      </c>
      <c r="AJ37" s="45">
        <v>3.8112172767687066E-2</v>
      </c>
      <c r="AK37" s="49">
        <v>581524133.90241349</v>
      </c>
    </row>
    <row r="38" spans="1:37" x14ac:dyDescent="0.4">
      <c r="A38" s="21">
        <f t="shared" si="1"/>
        <v>38</v>
      </c>
      <c r="B38" s="144"/>
      <c r="C38" s="144"/>
      <c r="D38" s="84" t="s">
        <v>45</v>
      </c>
      <c r="E38" s="84"/>
      <c r="F38" s="102">
        <v>0</v>
      </c>
      <c r="G38" s="103"/>
      <c r="H38" s="109"/>
      <c r="I38" s="110"/>
      <c r="J38" s="119"/>
      <c r="K38" s="119"/>
      <c r="L38" s="119"/>
      <c r="M38" s="119"/>
      <c r="AB38" s="42">
        <v>20251027</v>
      </c>
      <c r="AC38" s="43">
        <v>20260127</v>
      </c>
      <c r="AD38" s="43">
        <v>20260127</v>
      </c>
      <c r="AE38" s="45">
        <v>3.9291019455205571E-2</v>
      </c>
      <c r="AF38" s="49">
        <v>396139593.41138768</v>
      </c>
      <c r="AG38" s="43">
        <v>20251027</v>
      </c>
      <c r="AH38" s="43">
        <v>20260127</v>
      </c>
      <c r="AI38" s="43">
        <v>20260127</v>
      </c>
      <c r="AJ38" s="45">
        <v>3.8151111629773714E-2</v>
      </c>
      <c r="AK38" s="49">
        <v>588307098.07552683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3.9301827427917838E-2</v>
      </c>
      <c r="AF39" s="49">
        <v>387634462.30275124</v>
      </c>
      <c r="AG39" s="43">
        <v>20260127</v>
      </c>
      <c r="AH39" s="43">
        <v>20260427</v>
      </c>
      <c r="AI39" s="43">
        <v>20260427</v>
      </c>
      <c r="AJ39" s="45">
        <v>3.8172460994755263E-2</v>
      </c>
      <c r="AK39" s="49">
        <v>575728382.41402447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3.9318896972075371E-2</v>
      </c>
      <c r="AF40" s="49">
        <v>392111739.66672426</v>
      </c>
      <c r="AG40" s="43">
        <v>20260427</v>
      </c>
      <c r="AH40" s="43">
        <v>20260727</v>
      </c>
      <c r="AI40" s="43">
        <v>20260727</v>
      </c>
      <c r="AJ40" s="45">
        <v>3.8199776293347754E-2</v>
      </c>
      <c r="AK40" s="49">
        <v>582397769.06242681</v>
      </c>
    </row>
    <row r="41" spans="1:37" x14ac:dyDescent="0.4">
      <c r="A41" s="21">
        <f t="shared" si="1"/>
        <v>41</v>
      </c>
      <c r="B41" s="144" t="s">
        <v>46</v>
      </c>
      <c r="C41" s="144"/>
      <c r="D41" s="84" t="s">
        <v>42</v>
      </c>
      <c r="E41" s="84"/>
      <c r="F41" s="111">
        <v>2.0199999999999999E-2</v>
      </c>
      <c r="G41" s="112"/>
      <c r="H41" s="109" t="s">
        <v>83</v>
      </c>
      <c r="I41" s="110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9"/>
      <c r="L41" s="119"/>
      <c r="M41" s="119"/>
      <c r="AB41" s="42">
        <v>20260727</v>
      </c>
      <c r="AC41" s="43">
        <v>20261027</v>
      </c>
      <c r="AD41" s="43">
        <v>20261027</v>
      </c>
      <c r="AE41" s="45">
        <v>3.9284922672681848E-2</v>
      </c>
      <c r="AF41" s="49">
        <v>396078124.48073757</v>
      </c>
      <c r="AG41" s="43">
        <v>20260727</v>
      </c>
      <c r="AH41" s="43">
        <v>20261027</v>
      </c>
      <c r="AI41" s="43">
        <v>20261027</v>
      </c>
      <c r="AJ41" s="45">
        <v>3.8223257772620381E-2</v>
      </c>
      <c r="AK41" s="49">
        <v>589034489.32395351</v>
      </c>
    </row>
    <row r="42" spans="1:37" x14ac:dyDescent="0.4">
      <c r="A42" s="21">
        <f t="shared" si="1"/>
        <v>42</v>
      </c>
      <c r="B42" s="144"/>
      <c r="C42" s="144"/>
      <c r="D42" s="84" t="s">
        <v>44</v>
      </c>
      <c r="E42" s="84"/>
      <c r="F42" s="111">
        <v>0</v>
      </c>
      <c r="G42" s="112"/>
      <c r="H42" s="109"/>
      <c r="I42" s="110"/>
      <c r="J42" s="119"/>
      <c r="K42" s="119"/>
      <c r="L42" s="119"/>
      <c r="M42" s="119"/>
      <c r="AB42" s="42">
        <v>20261027</v>
      </c>
      <c r="AC42" s="43">
        <v>20270127</v>
      </c>
      <c r="AD42" s="43">
        <v>20270127</v>
      </c>
      <c r="AE42" s="45">
        <v>3.9226281715140095E-2</v>
      </c>
      <c r="AF42" s="49">
        <v>395486895.10059053</v>
      </c>
      <c r="AG42" s="43">
        <v>20261027</v>
      </c>
      <c r="AH42" s="43">
        <v>20270127</v>
      </c>
      <c r="AI42" s="43">
        <v>20270127</v>
      </c>
      <c r="AJ42" s="45">
        <v>3.8246676364142709E-2</v>
      </c>
      <c r="AK42" s="49">
        <v>589270600.05491829</v>
      </c>
    </row>
    <row r="43" spans="1:37" x14ac:dyDescent="0.4">
      <c r="A43" s="21">
        <f t="shared" si="1"/>
        <v>43</v>
      </c>
      <c r="B43" s="144"/>
      <c r="C43" s="144"/>
      <c r="D43" s="84" t="s">
        <v>45</v>
      </c>
      <c r="E43" s="84"/>
      <c r="F43" s="102">
        <v>1</v>
      </c>
      <c r="G43" s="103"/>
      <c r="AB43" s="42">
        <v>20270127</v>
      </c>
      <c r="AC43" s="43">
        <v>20270427</v>
      </c>
      <c r="AD43" s="43">
        <v>20270427</v>
      </c>
      <c r="AE43" s="45">
        <v>3.9223227079929555E-2</v>
      </c>
      <c r="AF43" s="49">
        <v>386859225.99382573</v>
      </c>
      <c r="AG43" s="43">
        <v>20270127</v>
      </c>
      <c r="AH43" s="43">
        <v>20270427</v>
      </c>
      <c r="AI43" s="43">
        <v>20270427</v>
      </c>
      <c r="AJ43" s="45">
        <v>3.826683673067631E-2</v>
      </c>
      <c r="AK43" s="49">
        <v>576659211.59023201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3.9226488635927932E-2</v>
      </c>
      <c r="AF44" s="49">
        <v>391190188.04048681</v>
      </c>
      <c r="AG44" s="43">
        <v>20270427</v>
      </c>
      <c r="AH44" s="43">
        <v>20270727</v>
      </c>
      <c r="AI44" s="43">
        <v>20270727</v>
      </c>
      <c r="AJ44" s="45">
        <v>3.8286313584533702E-2</v>
      </c>
      <c r="AK44" s="49">
        <v>583260771.08959627</v>
      </c>
    </row>
    <row r="45" spans="1:37" ht="17.399999999999999" customHeight="1" x14ac:dyDescent="0.4">
      <c r="A45" s="21">
        <f t="shared" si="1"/>
        <v>45</v>
      </c>
      <c r="B45" s="138" t="s">
        <v>61</v>
      </c>
      <c r="C45" s="139"/>
      <c r="D45" s="139"/>
      <c r="E45" s="139"/>
      <c r="F45" s="139"/>
      <c r="G45" s="140"/>
      <c r="AB45" s="42">
        <v>20270727</v>
      </c>
      <c r="AC45" s="43">
        <v>20271027</v>
      </c>
      <c r="AD45" s="43">
        <v>20271027</v>
      </c>
      <c r="AE45" s="45">
        <v>3.935708895502301E-2</v>
      </c>
      <c r="AF45" s="49">
        <v>396805718.77941006</v>
      </c>
      <c r="AG45" s="43">
        <v>20270727</v>
      </c>
      <c r="AH45" s="43">
        <v>20271027</v>
      </c>
      <c r="AI45" s="43">
        <v>20271027</v>
      </c>
      <c r="AJ45" s="45">
        <v>3.8305817463712283E-2</v>
      </c>
      <c r="AK45" s="49">
        <v>589866871.96290743</v>
      </c>
    </row>
    <row r="46" spans="1:37" ht="17.399999999999999" customHeight="1" x14ac:dyDescent="0.4">
      <c r="A46" s="21">
        <f t="shared" si="1"/>
        <v>46</v>
      </c>
      <c r="B46" s="141"/>
      <c r="C46" s="142"/>
      <c r="D46" s="142"/>
      <c r="E46" s="142"/>
      <c r="F46" s="142"/>
      <c r="G46" s="143"/>
      <c r="AB46" s="42">
        <v>20271027</v>
      </c>
      <c r="AC46" s="43">
        <v>20280131</v>
      </c>
      <c r="AD46" s="43">
        <v>20280131</v>
      </c>
      <c r="AE46" s="45">
        <v>3.9538991508744827E-2</v>
      </c>
      <c r="AF46" s="49">
        <v>415971855.87282223</v>
      </c>
      <c r="AG46" s="43">
        <v>20271027</v>
      </c>
      <c r="AH46" s="43">
        <v>20280131</v>
      </c>
      <c r="AI46" s="43">
        <v>20280131</v>
      </c>
      <c r="AJ46" s="45">
        <v>3.8276320437355023E-2</v>
      </c>
      <c r="AK46" s="49">
        <v>615202932.82039261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20280131</v>
      </c>
      <c r="AC47" s="43">
        <v>20280427</v>
      </c>
      <c r="AD47" s="43">
        <v>20280427</v>
      </c>
      <c r="AE47" s="45">
        <v>3.9550426141176008E-2</v>
      </c>
      <c r="AF47" s="49">
        <v>377083514.98984253</v>
      </c>
      <c r="AG47" s="43">
        <v>20280131</v>
      </c>
      <c r="AH47" s="43">
        <v>20280427</v>
      </c>
      <c r="AI47" s="43">
        <v>20280427</v>
      </c>
      <c r="AJ47" s="45">
        <v>3.8184966856987627E-2</v>
      </c>
      <c r="AK47" s="49">
        <v>556656670.30771768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3.958434546450227E-2</v>
      </c>
      <c r="AF48" s="49">
        <v>394758952.02955693</v>
      </c>
      <c r="AG48" s="43">
        <v>20280427</v>
      </c>
      <c r="AH48" s="43">
        <v>20280727</v>
      </c>
      <c r="AI48" s="43">
        <v>20280727</v>
      </c>
      <c r="AJ48" s="45">
        <v>3.8089463104120744E-2</v>
      </c>
      <c r="AK48" s="49">
        <v>581297659.44931364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3.9614915533315392E-2</v>
      </c>
      <c r="AF49" s="49">
        <v>399405175.787947</v>
      </c>
      <c r="AG49" s="43">
        <v>20280727</v>
      </c>
      <c r="AH49" s="43">
        <v>20281027</v>
      </c>
      <c r="AI49" s="43">
        <v>20281027</v>
      </c>
      <c r="AJ49" s="45">
        <v>3.798736852513486E-2</v>
      </c>
      <c r="AK49" s="49">
        <v>586656208.69177067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3.9648112091607381E-2</v>
      </c>
      <c r="AF50" s="49">
        <v>408429867.02587324</v>
      </c>
      <c r="AG50" s="43">
        <v>20281027</v>
      </c>
      <c r="AH50" s="43">
        <v>20290129</v>
      </c>
      <c r="AI50" s="43">
        <v>20290129</v>
      </c>
      <c r="AJ50" s="45">
        <v>3.7878762264429121E-2</v>
      </c>
      <c r="AK50" s="49">
        <v>598290811.27192748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3.9670381736591064E-2</v>
      </c>
      <c r="AF51" s="49">
        <v>382574640.30904263</v>
      </c>
      <c r="AG51" s="43">
        <v>20290129</v>
      </c>
      <c r="AH51" s="43">
        <v>20290427</v>
      </c>
      <c r="AI51" s="43">
        <v>20290427</v>
      </c>
      <c r="AJ51" s="45">
        <v>3.7756421926177744E-2</v>
      </c>
      <c r="AK51" s="49">
        <v>558922205.97300184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3.9697714941992202E-2</v>
      </c>
      <c r="AF52" s="49">
        <v>395889540.79137427</v>
      </c>
      <c r="AG52" s="43">
        <v>20290427</v>
      </c>
      <c r="AH52" s="43">
        <v>20290727</v>
      </c>
      <c r="AI52" s="43">
        <v>20290727</v>
      </c>
      <c r="AJ52" s="45">
        <v>3.7647895514895807E-2</v>
      </c>
      <c r="AK52" s="49">
        <v>576894081.29923487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3.9832480183468202E-2</v>
      </c>
      <c r="AF53" s="49">
        <v>410329110.93106973</v>
      </c>
      <c r="AG53" s="43">
        <v>20290727</v>
      </c>
      <c r="AH53" s="43">
        <v>20291029</v>
      </c>
      <c r="AI53" s="43">
        <v>20291029</v>
      </c>
      <c r="AJ53" s="45">
        <v>3.752435586242369E-2</v>
      </c>
      <c r="AK53" s="49">
        <v>594639939.84304953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3.9976331130072762E-2</v>
      </c>
      <c r="AF54" s="49">
        <v>398668069.35195851</v>
      </c>
      <c r="AG54" s="43">
        <v>20291029</v>
      </c>
      <c r="AH54" s="43">
        <v>20300128</v>
      </c>
      <c r="AI54" s="43">
        <v>20300128</v>
      </c>
      <c r="AJ54" s="45">
        <v>3.7382038004496437E-2</v>
      </c>
      <c r="AK54" s="49">
        <v>574242789.96264935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4.0016697539659023E-2</v>
      </c>
      <c r="AF55" s="49">
        <v>399070627.51879138</v>
      </c>
      <c r="AG55" s="43">
        <v>20300128</v>
      </c>
      <c r="AH55" s="43">
        <v>20300429</v>
      </c>
      <c r="AI55" s="43">
        <v>20300429</v>
      </c>
      <c r="AJ55" s="45">
        <v>3.7240610531445069E-2</v>
      </c>
      <c r="AK55" s="49">
        <v>572832389.95742476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4.0059489070026717E-2</v>
      </c>
      <c r="AF56" s="49">
        <v>399497370.45177329</v>
      </c>
      <c r="AG56" s="43">
        <v>20300429</v>
      </c>
      <c r="AH56" s="43">
        <v>20300729</v>
      </c>
      <c r="AI56" s="43">
        <v>20300729</v>
      </c>
      <c r="AJ56" s="45">
        <v>3.7093191916119379E-2</v>
      </c>
      <c r="AK56" s="49">
        <v>571362242.67034125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4.0220245909397614E-2</v>
      </c>
      <c r="AF57" s="49">
        <v>401100534.54851323</v>
      </c>
      <c r="AG57" s="43">
        <v>20300729</v>
      </c>
      <c r="AH57" s="43">
        <v>20301028</v>
      </c>
      <c r="AI57" s="43">
        <v>20301028</v>
      </c>
      <c r="AJ57" s="45">
        <v>3.6939607255273454E-2</v>
      </c>
      <c r="AK57" s="49">
        <v>569830603.86080921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4.0394446141424407E-2</v>
      </c>
      <c r="AF58" s="49">
        <v>402837764.2596845</v>
      </c>
      <c r="AG58" s="43">
        <v>20301028</v>
      </c>
      <c r="AH58" s="43">
        <v>20310127</v>
      </c>
      <c r="AI58" s="43">
        <v>20310127</v>
      </c>
      <c r="AJ58" s="45">
        <v>3.677636055420825E-2</v>
      </c>
      <c r="AK58" s="49">
        <v>568202609.36251521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4.0449164445564748E-2</v>
      </c>
      <c r="AF59" s="49">
        <v>403383448.16946763</v>
      </c>
      <c r="AG59" s="43">
        <v>20310127</v>
      </c>
      <c r="AH59" s="43">
        <v>20310428</v>
      </c>
      <c r="AI59" s="43">
        <v>20310428</v>
      </c>
      <c r="AJ59" s="45">
        <v>3.6602853277720046E-2</v>
      </c>
      <c r="AK59" s="49">
        <v>566472290.22164643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4.0506433572192031E-2</v>
      </c>
      <c r="AF60" s="49">
        <v>403954570.41857255</v>
      </c>
      <c r="AG60" s="43">
        <v>20310428</v>
      </c>
      <c r="AH60" s="43">
        <v>20310728</v>
      </c>
      <c r="AI60" s="43">
        <v>20310728</v>
      </c>
      <c r="AJ60" s="45">
        <v>3.6422659980575901E-2</v>
      </c>
      <c r="AK60" s="49">
        <v>564675294.05286658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4.057743137547902E-2</v>
      </c>
      <c r="AF61" s="49">
        <v>404662603.30614692</v>
      </c>
      <c r="AG61" s="43">
        <v>20310728</v>
      </c>
      <c r="AH61" s="43">
        <v>20311027</v>
      </c>
      <c r="AI61" s="43">
        <v>20311027</v>
      </c>
      <c r="AJ61" s="45">
        <v>3.6235609180647235E-2</v>
      </c>
      <c r="AK61" s="49">
        <v>562809910.73302996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4.0649573296889605E-2</v>
      </c>
      <c r="AF62" s="49">
        <v>409836793.78781849</v>
      </c>
      <c r="AG62" s="43">
        <v>20311027</v>
      </c>
      <c r="AH62" s="43">
        <v>20320127</v>
      </c>
      <c r="AI62" s="43">
        <v>20320127</v>
      </c>
      <c r="AJ62" s="45">
        <v>3.6041326129618939E-2</v>
      </c>
      <c r="AK62" s="49">
        <v>567035836.04656899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4.0706270658794848E-2</v>
      </c>
      <c r="AF63" s="49">
        <v>405947466.29592669</v>
      </c>
      <c r="AG63" s="43">
        <v>20320127</v>
      </c>
      <c r="AH63" s="43">
        <v>20320427</v>
      </c>
      <c r="AI63" s="43">
        <v>20320427</v>
      </c>
      <c r="AJ63" s="45">
        <v>3.5840347815651097E-2</v>
      </c>
      <c r="AK63" s="49">
        <v>558868126.16156161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4.0764910214391485E-2</v>
      </c>
      <c r="AF64" s="49">
        <v>406532255.28872609</v>
      </c>
      <c r="AG64" s="43">
        <v>20320427</v>
      </c>
      <c r="AH64" s="43">
        <v>20320727</v>
      </c>
      <c r="AI64" s="43">
        <v>20320727</v>
      </c>
      <c r="AJ64" s="45">
        <v>3.5631664703323525E-2</v>
      </c>
      <c r="AK64" s="49">
        <v>556787012.38382912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4.0835355645510114E-2</v>
      </c>
      <c r="AF65" s="49">
        <v>411709887.05610204</v>
      </c>
      <c r="AG65" s="43">
        <v>20320727</v>
      </c>
      <c r="AH65" s="43">
        <v>20321027</v>
      </c>
      <c r="AI65" s="43">
        <v>20321027</v>
      </c>
      <c r="AJ65" s="45">
        <v>3.5415946891235041E-2</v>
      </c>
      <c r="AK65" s="49">
        <v>560730642.62943828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4.0906330279010514E-2</v>
      </c>
      <c r="AF66" s="49">
        <v>412425466.92262655</v>
      </c>
      <c r="AG66" s="43">
        <v>20321027</v>
      </c>
      <c r="AH66" s="43">
        <v>20330127</v>
      </c>
      <c r="AI66" s="43">
        <v>20330127</v>
      </c>
      <c r="AJ66" s="45">
        <v>3.5191828238674332E-2</v>
      </c>
      <c r="AK66" s="49">
        <v>558471035.39266181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4.0961373579067616E-2</v>
      </c>
      <c r="AF67" s="49">
        <v>404002588.72505039</v>
      </c>
      <c r="AG67" s="43">
        <v>20330127</v>
      </c>
      <c r="AH67" s="43">
        <v>20330427</v>
      </c>
      <c r="AI67" s="43">
        <v>20330427</v>
      </c>
      <c r="AJ67" s="45">
        <v>3.495550547833557E-2</v>
      </c>
      <c r="AK67" s="49">
        <v>543999506.08769333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4.1022979127376145E-2</v>
      </c>
      <c r="AF68" s="49">
        <v>409105874.037395</v>
      </c>
      <c r="AG68" s="43">
        <v>20330427</v>
      </c>
      <c r="AH68" s="43">
        <v>20330727</v>
      </c>
      <c r="AI68" s="43">
        <v>20330727</v>
      </c>
      <c r="AJ68" s="45">
        <v>3.4717193315337465E-2</v>
      </c>
      <c r="AK68" s="49">
        <v>547667352.51459825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4.1085254465375365E-2</v>
      </c>
      <c r="AF69" s="49">
        <v>414229414.88378453</v>
      </c>
      <c r="AG69" s="43">
        <v>20330727</v>
      </c>
      <c r="AH69" s="43">
        <v>20331027</v>
      </c>
      <c r="AI69" s="43">
        <v>20331027</v>
      </c>
      <c r="AJ69" s="45">
        <v>3.4468931859868955E-2</v>
      </c>
      <c r="AK69" s="49">
        <v>551182655.46388435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4.1145553060062054E-2</v>
      </c>
      <c r="AF70" s="49">
        <v>414837356.87952977</v>
      </c>
      <c r="AG70" s="43">
        <v>20331027</v>
      </c>
      <c r="AH70" s="43">
        <v>20340127</v>
      </c>
      <c r="AI70" s="43">
        <v>20340127</v>
      </c>
      <c r="AJ70" s="45">
        <v>3.4210456030343617E-2</v>
      </c>
      <c r="AK70" s="49">
        <v>548576652.57990277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4.120054634544227E-2</v>
      </c>
      <c r="AF71" s="49">
        <v>406361552.99614292</v>
      </c>
      <c r="AG71" s="43">
        <v>20340127</v>
      </c>
      <c r="AH71" s="43">
        <v>20340427</v>
      </c>
      <c r="AI71" s="43">
        <v>20340427</v>
      </c>
      <c r="AJ71" s="45">
        <v>3.3944468816979344E-2</v>
      </c>
      <c r="AK71" s="49">
        <v>534027637.64691955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4.1262182180395478E-2</v>
      </c>
      <c r="AF72" s="49">
        <v>411491351.05928642</v>
      </c>
      <c r="AG72" s="43">
        <v>20340427</v>
      </c>
      <c r="AH72" s="43">
        <v>20340727</v>
      </c>
      <c r="AI72" s="43">
        <v>20340727</v>
      </c>
      <c r="AJ72" s="45">
        <v>3.3674230951813745E-2</v>
      </c>
      <c r="AK72" s="49">
        <v>537266303.19069052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4.0490863360382663E-2</v>
      </c>
      <c r="AF73" s="49">
        <v>408236649.77043343</v>
      </c>
      <c r="AG73" s="43">
        <v>20340727</v>
      </c>
      <c r="AH73" s="43">
        <v>20341027</v>
      </c>
      <c r="AI73" s="43">
        <v>20341027</v>
      </c>
      <c r="AJ73" s="45">
        <v>3.3396489554475786E-2</v>
      </c>
      <c r="AK73" s="49">
        <v>540370086.46704352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3.9551195769064906E-2</v>
      </c>
      <c r="AF74" s="49">
        <v>407431496.14160013</v>
      </c>
      <c r="AG74" s="43">
        <v>20341027</v>
      </c>
      <c r="AH74" s="43">
        <v>20350129</v>
      </c>
      <c r="AI74" s="43">
        <v>20350129</v>
      </c>
      <c r="AJ74" s="45">
        <v>3.3133174856985692E-2</v>
      </c>
      <c r="AK74" s="49">
        <v>549404760.17059231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3.9530895519032473E-2</v>
      </c>
      <c r="AF75" s="49">
        <v>381229458.15614879</v>
      </c>
      <c r="AG75" s="43">
        <v>20350129</v>
      </c>
      <c r="AH75" s="43">
        <v>20350427</v>
      </c>
      <c r="AI75" s="43">
        <v>20350427</v>
      </c>
      <c r="AJ75" s="45">
        <v>3.2884479945627813E-2</v>
      </c>
      <c r="AK75" s="49">
        <v>511937998.37975317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3.9517699799082588E-2</v>
      </c>
      <c r="AF76" s="49">
        <v>394094321.28400171</v>
      </c>
      <c r="AG76" s="43">
        <v>20350427</v>
      </c>
      <c r="AH76" s="43">
        <v>20350727</v>
      </c>
      <c r="AI76" s="43">
        <v>20350727</v>
      </c>
      <c r="AJ76" s="45">
        <v>3.2652288804930346E-2</v>
      </c>
      <c r="AK76" s="49">
        <v>527074880.13683963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2024-12-29T13:13:18Z</dcterms:modified>
</cp:coreProperties>
</file>