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 : -1
KDBZeroCallable(</t>
        </r>
        <r>
          <rPr>
            <b/>
            <sz val="9"/>
            <color indexed="81"/>
            <rFont val="돋움"/>
            <family val="3"/>
            <charset val="129"/>
          </rPr>
          <t>콜행사시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만기때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고정금리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-2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-3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<sst xmlns="http://schemas.openxmlformats.org/spreadsheetml/2006/main" count="122" uniqueCount="87">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</sst>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86" fontId="0" fillId="2" borderId="0" xfId="1" applyNumberFormat="1" applyFont="1" applyFill="1">
      <alignment vertical="center"/>
    </xf>
    <xf numFmtId="14" fontId="8" fillId="11" borderId="10" xfId="0" applyNumberFormat="1" applyFont="1" applyFill="1" applyBorder="1" applyAlignment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workbookViewId="0">
      <selection activeCell="I9" sqref="I9:K9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8" t="s">
        <v>0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1:41" x14ac:dyDescent="0.4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</row>
    <row r="4" spans="1:41" x14ac:dyDescent="0.4">
      <c r="A4" s="1">
        <f>4</f>
        <v>4</v>
      </c>
      <c r="B4" s="52" t="s">
        <v>1</v>
      </c>
      <c r="C4" s="52"/>
      <c r="D4" s="53">
        <v>1</v>
      </c>
      <c r="E4" s="53"/>
    </row>
    <row r="5" spans="1:41" x14ac:dyDescent="0.4">
      <c r="A5" s="1">
        <f>A4+1</f>
        <v>5</v>
      </c>
      <c r="B5" s="52" t="s">
        <v>29</v>
      </c>
      <c r="C5" s="52"/>
      <c r="D5" s="68">
        <v>45538</v>
      </c>
      <c r="E5" s="53"/>
      <c r="G5" s="59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0"/>
      <c r="H6" s="61" t="s">
        <v>4</v>
      </c>
      <c r="I6" s="62"/>
      <c r="L6" s="65" t="s">
        <v>75</v>
      </c>
      <c r="M6" s="65"/>
      <c r="N6" s="65"/>
      <c r="O6" s="69" t="s">
        <v>76</v>
      </c>
      <c r="P6" s="62"/>
      <c r="R6" s="65" t="s">
        <v>5</v>
      </c>
      <c r="S6" s="65"/>
      <c r="T6" s="65"/>
    </row>
    <row r="7" spans="1:41" x14ac:dyDescent="0.4">
      <c r="A7" s="1">
        <f t="shared" si="1"/>
        <v>7</v>
      </c>
      <c r="B7" s="52" t="s">
        <v>6</v>
      </c>
      <c r="C7" s="52"/>
      <c r="D7" s="53">
        <v>0</v>
      </c>
      <c r="E7" s="53"/>
      <c r="G7" s="60"/>
      <c r="H7" s="63"/>
      <c r="I7" s="64"/>
      <c r="L7" s="65"/>
      <c r="M7" s="65"/>
      <c r="N7" s="65"/>
      <c r="O7" s="63"/>
      <c r="P7" s="64"/>
      <c r="R7" s="65"/>
      <c r="S7" s="65"/>
      <c r="T7" s="65"/>
    </row>
    <row r="8" spans="1:41" x14ac:dyDescent="0.4">
      <c r="A8" s="1">
        <f t="shared" si="1"/>
        <v>8</v>
      </c>
      <c r="B8" s="52" t="s">
        <v>7</v>
      </c>
      <c r="C8" s="52"/>
      <c r="D8" s="53">
        <v>0.01</v>
      </c>
      <c r="E8" s="53"/>
      <c r="G8" s="60"/>
      <c r="I8" s="3" t="s">
        <v>8</v>
      </c>
      <c r="J8" s="3" t="s">
        <v>9</v>
      </c>
      <c r="K8" s="3" t="s">
        <v>10</v>
      </c>
      <c r="R8" s="65" t="s">
        <v>11</v>
      </c>
      <c r="S8" s="65"/>
      <c r="T8" s="4">
        <v>3</v>
      </c>
    </row>
    <row r="9" spans="1:41" x14ac:dyDescent="0.4">
      <c r="A9" s="1">
        <f t="shared" si="1"/>
        <v>9</v>
      </c>
      <c r="G9" s="60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0"/>
      <c r="H10" s="8" t="s">
        <v>13</v>
      </c>
      <c r="I10" s="66" t="s">
        <v>14</v>
      </c>
      <c r="J10" s="67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4" t="s">
        <v>17</v>
      </c>
      <c r="S10" s="54" t="s">
        <v>18</v>
      </c>
      <c r="T10" s="54" t="s">
        <v>19</v>
      </c>
      <c r="U10" s="54" t="s">
        <v>20</v>
      </c>
      <c r="V10" s="54" t="s">
        <v>21</v>
      </c>
      <c r="W10" s="54" t="s">
        <v>22</v>
      </c>
    </row>
    <row r="11" spans="1:41" x14ac:dyDescent="0.4">
      <c r="A11" s="1">
        <f t="shared" si="1"/>
        <v>11</v>
      </c>
      <c r="G11" s="60"/>
      <c r="H11" s="51">
        <v>45539</v>
      </c>
      <c r="I11" s="10">
        <v>7.1815999999999998E-3</v>
      </c>
      <c r="J11" s="11"/>
      <c r="K11" s="7">
        <v>45539</v>
      </c>
      <c r="L11" s="12">
        <v>1</v>
      </c>
      <c r="M11" s="46">
        <v>45539</v>
      </c>
      <c r="N11" s="13">
        <v>3.5068000000000001</v>
      </c>
      <c r="O11" s="46">
        <v>45539</v>
      </c>
      <c r="P11" s="13">
        <v>3.5068000000000001</v>
      </c>
      <c r="R11" s="55"/>
      <c r="S11" s="55"/>
      <c r="T11" s="55"/>
      <c r="U11" s="55"/>
      <c r="V11" s="55"/>
      <c r="W11" s="55"/>
    </row>
    <row r="12" spans="1:41" x14ac:dyDescent="0.4">
      <c r="A12" s="1">
        <f t="shared" si="1"/>
        <v>12</v>
      </c>
      <c r="G12" s="60"/>
      <c r="H12" s="51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6">
        <v>45540</v>
      </c>
      <c r="N12" s="13">
        <v>3.5068000000000001</v>
      </c>
      <c r="O12" s="46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56" t="s">
        <v>23</v>
      </c>
      <c r="E13" s="56"/>
      <c r="G13" s="60"/>
      <c r="H13" s="51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6">
        <v>45630</v>
      </c>
      <c r="N13" s="13">
        <v>3.4948999999999999</v>
      </c>
      <c r="O13" s="46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56"/>
      <c r="E14" s="56"/>
      <c r="G14" s="60"/>
      <c r="H14" s="51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6">
        <v>45720</v>
      </c>
      <c r="N14" s="13">
        <v>3.3959000000000001</v>
      </c>
      <c r="O14" s="46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56"/>
      <c r="E15" s="56"/>
      <c r="G15" s="60"/>
      <c r="H15" s="51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6">
        <v>45812</v>
      </c>
      <c r="N15" s="13">
        <v>3.2936000000000001</v>
      </c>
      <c r="O15" s="46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60"/>
      <c r="H16" s="51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6">
        <v>45904</v>
      </c>
      <c r="N16" s="13">
        <v>3.1911</v>
      </c>
      <c r="O16" s="46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57">
        <v>45202.835729166669</v>
      </c>
      <c r="E17" s="57"/>
      <c r="G17" s="60"/>
      <c r="H17" s="51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6">
        <v>46085</v>
      </c>
      <c r="N17" s="13">
        <v>3.0758000000000001</v>
      </c>
      <c r="O17" s="46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57">
        <v>45202.835729166669</v>
      </c>
      <c r="E18" s="57"/>
      <c r="G18" s="60"/>
      <c r="H18" s="51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6">
        <v>46269</v>
      </c>
      <c r="N18" s="13">
        <v>3.0028999999999999</v>
      </c>
      <c r="O18" s="46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60"/>
      <c r="H19" s="51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6">
        <v>46636</v>
      </c>
      <c r="N19" s="13">
        <v>2.9298999999999999</v>
      </c>
      <c r="O19" s="46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0"/>
      <c r="H20" s="51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6">
        <v>47000</v>
      </c>
      <c r="N20" s="13">
        <v>2.8999000000000001</v>
      </c>
      <c r="O20" s="46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0"/>
      <c r="H21" s="51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6">
        <v>47365</v>
      </c>
      <c r="N21" s="13">
        <v>2.8929</v>
      </c>
      <c r="O21" s="46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0"/>
      <c r="H22" s="51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6">
        <v>47730</v>
      </c>
      <c r="N22" s="13">
        <v>2.8881999999999999</v>
      </c>
      <c r="O22" s="46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2" t="s">
        <v>24</v>
      </c>
      <c r="C23" s="52"/>
      <c r="D23" s="53">
        <v>1</v>
      </c>
      <c r="E23" s="53"/>
      <c r="G23" s="60"/>
      <c r="H23" s="51"/>
      <c r="I23" s="10"/>
      <c r="J23" s="11"/>
      <c r="L23" s="12">
        <f t="shared" si="2"/>
        <v>13</v>
      </c>
      <c r="M23" s="46">
        <v>48095</v>
      </c>
      <c r="N23" s="13">
        <v>2.8969</v>
      </c>
      <c r="O23" s="46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2" t="s">
        <v>25</v>
      </c>
      <c r="C24" s="52"/>
      <c r="D24" s="53">
        <v>0</v>
      </c>
      <c r="E24" s="53"/>
      <c r="G24" s="60"/>
      <c r="H24" s="51"/>
      <c r="I24" s="10"/>
      <c r="J24" s="11"/>
      <c r="L24" s="12">
        <f t="shared" si="2"/>
        <v>14</v>
      </c>
      <c r="M24" s="46">
        <v>48463</v>
      </c>
      <c r="N24" s="13">
        <v>2.9081999999999999</v>
      </c>
      <c r="O24" s="46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2" t="s">
        <v>26</v>
      </c>
      <c r="C25" s="52"/>
      <c r="D25" s="53">
        <v>-0.1</v>
      </c>
      <c r="E25" s="53"/>
      <c r="G25" s="60"/>
      <c r="H25" s="51"/>
      <c r="I25" s="10"/>
      <c r="J25" s="11"/>
      <c r="L25" s="12">
        <f t="shared" si="2"/>
        <v>15</v>
      </c>
      <c r="M25" s="46">
        <v>48827</v>
      </c>
      <c r="N25" s="13">
        <v>2.9110999999999998</v>
      </c>
      <c r="O25" s="46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2" t="s">
        <v>27</v>
      </c>
      <c r="C26" s="52"/>
      <c r="D26" s="53">
        <v>0.15</v>
      </c>
      <c r="E26" s="53"/>
      <c r="G26" s="60"/>
      <c r="H26" s="51"/>
      <c r="I26" s="10"/>
      <c r="J26" s="11"/>
      <c r="L26" s="12">
        <f t="shared" si="2"/>
        <v>16</v>
      </c>
      <c r="M26" s="46">
        <v>49191</v>
      </c>
      <c r="N26" s="13">
        <v>2.9253999999999998</v>
      </c>
      <c r="O26" s="46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0"/>
      <c r="H27" s="51"/>
      <c r="I27" s="10"/>
      <c r="J27" s="11"/>
      <c r="L27" s="12">
        <f t="shared" si="2"/>
        <v>17</v>
      </c>
      <c r="M27" s="46">
        <v>49922</v>
      </c>
      <c r="N27" s="13">
        <v>2.9455</v>
      </c>
      <c r="O27" s="46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0"/>
      <c r="H28" s="51"/>
      <c r="I28" s="10"/>
      <c r="J28" s="11"/>
      <c r="L28" s="12">
        <f t="shared" si="2"/>
        <v>18</v>
      </c>
      <c r="M28" s="46">
        <v>51018</v>
      </c>
      <c r="N28" s="13">
        <v>2.9357000000000002</v>
      </c>
      <c r="O28" s="46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0"/>
      <c r="H29" s="51"/>
      <c r="I29" s="10"/>
      <c r="J29" s="11"/>
      <c r="L29" s="12">
        <f t="shared" si="2"/>
        <v>19</v>
      </c>
      <c r="M29" s="46">
        <v>52845</v>
      </c>
      <c r="N29" s="13">
        <v>2.8538000000000001</v>
      </c>
      <c r="O29" s="46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0"/>
      <c r="H30" s="51"/>
      <c r="I30" s="10"/>
      <c r="J30" s="11"/>
      <c r="L30" s="12">
        <f t="shared" si="2"/>
        <v>20</v>
      </c>
      <c r="M30" s="46">
        <v>54672</v>
      </c>
      <c r="N30" s="13">
        <v>2.7635000000000001</v>
      </c>
      <c r="O30" s="46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0"/>
      <c r="H31" s="51"/>
      <c r="I31" s="10"/>
      <c r="J31" s="11"/>
      <c r="L31" s="12">
        <f t="shared" si="2"/>
        <v>21</v>
      </c>
      <c r="M31" s="46">
        <v>56496</v>
      </c>
      <c r="N31" s="13">
        <v>2.5066999999999999</v>
      </c>
      <c r="O31" s="46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0"/>
      <c r="H32" s="51"/>
      <c r="I32" s="10"/>
      <c r="J32" s="11"/>
      <c r="L32" s="12">
        <f t="shared" si="2"/>
        <v>22</v>
      </c>
      <c r="M32" s="47"/>
      <c r="N32" s="18"/>
      <c r="O32" s="47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0"/>
      <c r="H33" s="51"/>
      <c r="I33" s="10"/>
      <c r="J33" s="11"/>
      <c r="L33" s="12">
        <f t="shared" si="2"/>
        <v>23</v>
      </c>
      <c r="M33" s="47"/>
      <c r="N33" s="18"/>
      <c r="O33" s="47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0"/>
      <c r="H34" s="51"/>
      <c r="I34" s="10"/>
      <c r="J34" s="11"/>
      <c r="L34" s="12">
        <f t="shared" si="2"/>
        <v>24</v>
      </c>
      <c r="M34" s="47"/>
      <c r="N34" s="18"/>
      <c r="O34" s="47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0"/>
      <c r="H35" s="51"/>
      <c r="I35" s="10"/>
      <c r="J35" s="11"/>
      <c r="L35" s="12">
        <f t="shared" si="2"/>
        <v>25</v>
      </c>
      <c r="M35" s="47"/>
      <c r="N35" s="18"/>
      <c r="O35" s="47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0"/>
      <c r="H36" s="51"/>
      <c r="I36" s="10"/>
      <c r="J36" s="11"/>
      <c r="L36" s="12">
        <f t="shared" si="2"/>
        <v>26</v>
      </c>
      <c r="M36" s="47"/>
      <c r="N36" s="18"/>
      <c r="O36" s="47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0"/>
      <c r="H37" s="51"/>
      <c r="I37" s="10"/>
      <c r="J37" s="11"/>
      <c r="L37" s="12">
        <f t="shared" si="2"/>
        <v>27</v>
      </c>
      <c r="M37" s="47"/>
      <c r="N37" s="18"/>
      <c r="O37" s="47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0"/>
      <c r="H38" s="51"/>
      <c r="I38" s="10"/>
      <c r="J38" s="11"/>
      <c r="L38" s="12">
        <f t="shared" si="2"/>
        <v>28</v>
      </c>
      <c r="M38" s="47"/>
      <c r="N38" s="18"/>
      <c r="O38" s="47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0"/>
      <c r="H39" s="51"/>
      <c r="I39" s="10"/>
      <c r="J39" s="11"/>
      <c r="L39" s="12">
        <f t="shared" si="2"/>
        <v>29</v>
      </c>
      <c r="M39" s="47"/>
      <c r="N39" s="18"/>
      <c r="O39" s="47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0"/>
      <c r="H40" s="51"/>
      <c r="I40" s="10"/>
      <c r="J40" s="11"/>
      <c r="L40" s="12">
        <f t="shared" si="2"/>
        <v>30</v>
      </c>
      <c r="M40" s="47"/>
      <c r="N40" s="18"/>
      <c r="O40" s="47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51"/>
      <c r="I41" s="10"/>
      <c r="J41" s="11"/>
      <c r="L41" s="12">
        <f t="shared" si="2"/>
        <v>31</v>
      </c>
      <c r="M41" s="47"/>
      <c r="N41" s="18"/>
      <c r="O41" s="47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51"/>
      <c r="I42" s="10"/>
      <c r="J42" s="11"/>
      <c r="L42" s="12">
        <f t="shared" si="2"/>
        <v>32</v>
      </c>
      <c r="M42" s="47"/>
      <c r="N42" s="18"/>
      <c r="O42" s="47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51"/>
      <c r="I43" s="10"/>
      <c r="J43" s="11"/>
      <c r="L43" s="12">
        <f t="shared" si="2"/>
        <v>33</v>
      </c>
      <c r="M43" s="47"/>
      <c r="N43" s="18"/>
      <c r="O43" s="47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51"/>
      <c r="I44" s="10"/>
      <c r="J44" s="11"/>
      <c r="L44" s="12">
        <f t="shared" si="2"/>
        <v>34</v>
      </c>
      <c r="M44" s="47"/>
      <c r="N44" s="18"/>
      <c r="O44" s="47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51"/>
      <c r="I45" s="10"/>
      <c r="J45" s="11"/>
      <c r="L45" s="12">
        <f t="shared" si="2"/>
        <v>35</v>
      </c>
      <c r="M45" s="47"/>
      <c r="N45" s="18"/>
      <c r="O45" s="47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51"/>
      <c r="I46" s="10"/>
      <c r="J46" s="11"/>
      <c r="L46" s="12">
        <f t="shared" si="2"/>
        <v>36</v>
      </c>
      <c r="M46" s="47"/>
      <c r="N46" s="18"/>
      <c r="O46" s="47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51"/>
      <c r="I47" s="10"/>
      <c r="J47" s="11"/>
      <c r="L47" s="12">
        <f t="shared" si="2"/>
        <v>37</v>
      </c>
      <c r="M47" s="47"/>
      <c r="N47" s="18"/>
      <c r="O47" s="47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51"/>
      <c r="I48" s="10"/>
      <c r="J48" s="11"/>
      <c r="L48" s="12">
        <f t="shared" si="2"/>
        <v>38</v>
      </c>
      <c r="M48" s="47"/>
      <c r="N48" s="18"/>
      <c r="O48" s="47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51"/>
      <c r="I49" s="10"/>
      <c r="J49" s="11"/>
      <c r="L49" s="12">
        <f t="shared" si="2"/>
        <v>39</v>
      </c>
      <c r="M49" s="47"/>
      <c r="N49" s="18"/>
      <c r="O49" s="47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51"/>
      <c r="I50" s="10"/>
      <c r="J50" s="11"/>
      <c r="L50" s="12">
        <f t="shared" si="2"/>
        <v>40</v>
      </c>
      <c r="M50" s="47"/>
      <c r="N50" s="18"/>
      <c r="O50" s="47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51"/>
      <c r="I51" s="10"/>
      <c r="J51" s="11"/>
      <c r="L51" s="12">
        <f t="shared" si="2"/>
        <v>41</v>
      </c>
      <c r="M51" s="47"/>
      <c r="N51" s="18"/>
      <c r="O51" s="47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51"/>
      <c r="I52" s="10"/>
      <c r="J52" s="11"/>
      <c r="L52" s="12">
        <f t="shared" si="2"/>
        <v>42</v>
      </c>
      <c r="M52" s="47"/>
      <c r="N52" s="18"/>
      <c r="O52" s="47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51"/>
      <c r="I53" s="10"/>
      <c r="J53" s="11"/>
      <c r="L53" s="12">
        <f t="shared" si="2"/>
        <v>43</v>
      </c>
      <c r="M53" s="47"/>
      <c r="N53" s="18"/>
      <c r="O53" s="47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O16" workbookViewId="0">
      <selection activeCell="Q34" sqref="Q34"/>
    </sheetView>
  </sheetViews>
  <sheetFormatPr defaultColWidth="12.5" defaultRowHeight="17.399999999999999" x14ac:dyDescent="0.4"/>
  <cols>
    <col min="1" max="1" width="12.5" style="20"/>
    <col min="2" max="3" width="12.5" style="27"/>
    <col min="4" max="19" width="12.5" style="20"/>
    <col min="20" max="20" width="12.5" style="28"/>
    <col min="21" max="21" width="12.5" style="29"/>
    <col min="22" max="22" width="12.5" style="20"/>
    <col min="23" max="23" width="12.5" style="28"/>
    <col min="24" max="24" width="12.5" style="35"/>
    <col min="25" max="25" width="12.5" style="28"/>
    <col min="26" max="26" width="12.5" style="37"/>
    <col min="27" max="27" width="12.5" style="20"/>
    <col min="28" max="28" width="12.5" style="42"/>
    <col min="29" max="30" width="12.5" style="43"/>
    <col min="31" max="31" width="12.5" style="45"/>
    <col min="32" max="32" width="17.59765625" style="49" bestFit="1" customWidth="1"/>
    <col min="33" max="35" width="12.5" style="43"/>
    <col min="36" max="36" width="12.5" style="45"/>
    <col min="37" max="37" width="18.09765625" style="49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20"/>
      <c r="C2" s="20"/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149" t="s">
        <v>30</v>
      </c>
      <c r="C3" s="149"/>
      <c r="D3" s="150">
        <v>45538</v>
      </c>
      <c r="E3" s="110"/>
      <c r="F3" s="70" t="s">
        <v>31</v>
      </c>
      <c r="G3" s="70"/>
      <c r="H3" s="110">
        <v>0</v>
      </c>
      <c r="I3" s="110"/>
      <c r="J3" s="70" t="s">
        <v>32</v>
      </c>
      <c r="K3" s="70"/>
      <c r="L3" s="151">
        <v>40000000000</v>
      </c>
      <c r="M3" s="151"/>
      <c r="O3" s="133" t="s">
        <v>50</v>
      </c>
      <c r="P3" s="134"/>
      <c r="Q3" s="134"/>
      <c r="R3" s="135"/>
      <c r="T3" s="125" t="s">
        <v>56</v>
      </c>
      <c r="U3" s="126"/>
      <c r="W3" s="116" t="s">
        <v>77</v>
      </c>
      <c r="X3" s="117"/>
      <c r="Y3" s="116" t="s">
        <v>78</v>
      </c>
      <c r="Z3" s="117"/>
      <c r="AB3" s="81" t="s">
        <v>66</v>
      </c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3"/>
    </row>
    <row r="4" spans="1:57" x14ac:dyDescent="0.4">
      <c r="A4" s="21">
        <f t="shared" si="1"/>
        <v>4</v>
      </c>
      <c r="B4" s="20"/>
      <c r="C4" s="20"/>
      <c r="O4" s="136" t="s">
        <v>49</v>
      </c>
      <c r="P4" s="137"/>
      <c r="Q4" s="138">
        <v>43819</v>
      </c>
      <c r="R4" s="139"/>
      <c r="T4" s="30" t="s">
        <v>57</v>
      </c>
      <c r="U4" s="31" t="s">
        <v>58</v>
      </c>
      <c r="W4" s="38" t="s">
        <v>60</v>
      </c>
      <c r="X4" s="39" t="s">
        <v>16</v>
      </c>
      <c r="Y4" s="38" t="s">
        <v>60</v>
      </c>
      <c r="Z4" s="39" t="s">
        <v>16</v>
      </c>
      <c r="AB4" s="84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6"/>
    </row>
    <row r="5" spans="1:57" x14ac:dyDescent="0.4">
      <c r="A5" s="21">
        <f t="shared" si="1"/>
        <v>5</v>
      </c>
      <c r="B5" s="81" t="s">
        <v>48</v>
      </c>
      <c r="C5" s="82"/>
      <c r="D5" s="82"/>
      <c r="E5" s="82"/>
      <c r="F5" s="82"/>
      <c r="G5" s="82"/>
      <c r="H5" s="82"/>
      <c r="I5" s="82"/>
      <c r="J5" s="82"/>
      <c r="K5" s="82"/>
      <c r="L5" s="82"/>
      <c r="M5" s="83"/>
      <c r="O5" s="113" t="s">
        <v>51</v>
      </c>
      <c r="P5" s="144"/>
      <c r="Q5" s="145">
        <v>49298</v>
      </c>
      <c r="R5" s="146"/>
      <c r="T5" s="25">
        <v>45292</v>
      </c>
      <c r="U5" s="26">
        <v>45651</v>
      </c>
      <c r="W5" s="33">
        <v>45292</v>
      </c>
      <c r="X5" s="34">
        <v>3.6999999999999998E-2</v>
      </c>
      <c r="Y5" s="33">
        <v>45292</v>
      </c>
      <c r="Z5" s="36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57" x14ac:dyDescent="0.4">
      <c r="A6" s="21">
        <f t="shared" si="1"/>
        <v>6</v>
      </c>
      <c r="B6" s="84"/>
      <c r="C6" s="85"/>
      <c r="D6" s="85"/>
      <c r="E6" s="85"/>
      <c r="F6" s="85"/>
      <c r="G6" s="85"/>
      <c r="H6" s="85"/>
      <c r="I6" s="85"/>
      <c r="J6" s="85"/>
      <c r="K6" s="85"/>
      <c r="L6" s="85"/>
      <c r="M6" s="86"/>
      <c r="O6" s="142" t="s">
        <v>43</v>
      </c>
      <c r="P6" s="143"/>
      <c r="Q6" s="124">
        <v>1</v>
      </c>
      <c r="R6" s="72"/>
      <c r="W6" s="28">
        <v>44769</v>
      </c>
      <c r="X6" s="35">
        <v>3.6999999999999998E-2</v>
      </c>
      <c r="Y6" s="28">
        <v>44769</v>
      </c>
      <c r="Z6" s="37">
        <v>0.03</v>
      </c>
      <c r="AB6" s="70" t="s">
        <v>67</v>
      </c>
      <c r="AC6" s="70"/>
      <c r="AD6" s="110">
        <v>0</v>
      </c>
      <c r="AE6" s="110"/>
      <c r="AF6" s="20"/>
      <c r="AG6" s="20"/>
      <c r="AH6" s="20"/>
      <c r="AI6" s="20"/>
      <c r="AJ6" s="20"/>
      <c r="AK6" s="20"/>
    </row>
    <row r="7" spans="1:57" x14ac:dyDescent="0.4">
      <c r="A7" s="21">
        <f t="shared" si="1"/>
        <v>7</v>
      </c>
      <c r="B7" s="70" t="s">
        <v>33</v>
      </c>
      <c r="C7" s="70"/>
      <c r="D7" s="87">
        <v>1</v>
      </c>
      <c r="E7" s="88"/>
      <c r="F7" s="70" t="s">
        <v>34</v>
      </c>
      <c r="G7" s="70"/>
      <c r="H7" s="87">
        <v>1</v>
      </c>
      <c r="I7" s="88"/>
      <c r="J7" s="70" t="s">
        <v>86</v>
      </c>
      <c r="K7" s="70"/>
      <c r="L7" s="71">
        <v>0</v>
      </c>
      <c r="M7" s="72"/>
      <c r="O7" s="125" t="str">
        <f>IF(Q6&gt;0,"Phase2날짜","")</f>
        <v>Phase2날짜</v>
      </c>
      <c r="P7" s="126"/>
      <c r="Q7" s="140">
        <f>EDATE(Q4,84)</f>
        <v>46376</v>
      </c>
      <c r="R7" s="141"/>
      <c r="W7" s="28">
        <v>44815</v>
      </c>
      <c r="X7" s="35">
        <v>3.6999999999999998E-2</v>
      </c>
      <c r="Y7" s="28">
        <v>44815</v>
      </c>
      <c r="Z7" s="35">
        <v>0.03</v>
      </c>
      <c r="AB7" s="70" t="s">
        <v>80</v>
      </c>
      <c r="AC7" s="70"/>
      <c r="AD7" s="110">
        <v>0</v>
      </c>
      <c r="AE7" s="110"/>
      <c r="AF7" s="20"/>
      <c r="AG7" s="20"/>
      <c r="AH7" s="20"/>
      <c r="AI7" s="20"/>
      <c r="AJ7" s="20"/>
      <c r="AK7" s="20"/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3"/>
      <c r="L8" s="23"/>
      <c r="M8" s="23"/>
      <c r="W8" s="28">
        <v>45463</v>
      </c>
      <c r="X8" s="35">
        <v>3.5999999999999997E-2</v>
      </c>
      <c r="Y8" s="28">
        <v>45463</v>
      </c>
      <c r="Z8" s="35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</row>
    <row r="9" spans="1:57" x14ac:dyDescent="0.4">
      <c r="A9" s="21">
        <f t="shared" si="1"/>
        <v>9</v>
      </c>
      <c r="B9" s="127" t="str">
        <f>"기초금리정보"</f>
        <v>기초금리정보</v>
      </c>
      <c r="C9" s="128"/>
      <c r="D9" s="92" t="s">
        <v>35</v>
      </c>
      <c r="E9" s="92"/>
      <c r="F9" s="71">
        <v>0</v>
      </c>
      <c r="G9" s="72"/>
      <c r="H9" s="24"/>
      <c r="I9" s="23"/>
      <c r="J9" s="89" t="str">
        <f>IF(OR(F10 = 0, F10 = 2, F10 = 4), "RefType = "&amp;F10&amp;" 이므로 Ref Swap 금리정보 사용안함", "사용")</f>
        <v>사용</v>
      </c>
      <c r="K9" s="90"/>
      <c r="L9" s="90"/>
      <c r="M9" s="91"/>
      <c r="O9" s="99" t="s">
        <v>53</v>
      </c>
      <c r="P9" s="99"/>
      <c r="Q9" s="99"/>
      <c r="R9" s="99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129"/>
      <c r="C10" s="130"/>
      <c r="D10" s="92" t="s">
        <v>36</v>
      </c>
      <c r="E10" s="93"/>
      <c r="F10" s="94">
        <v>1</v>
      </c>
      <c r="G10" s="95"/>
      <c r="H10" s="89" t="str">
        <f xml:space="preserve"> "Swap 레퍼런스금리정보"</f>
        <v>Swap 레퍼런스금리정보</v>
      </c>
      <c r="I10" s="90"/>
      <c r="J10" s="77" t="str">
        <f>IF(OR(F10 = 0, F10 = 2, F10 = 4), "", "연 지급횟수")</f>
        <v>연 지급횟수</v>
      </c>
      <c r="K10" s="78"/>
      <c r="L10" s="97">
        <v>4</v>
      </c>
      <c r="M10" s="98"/>
      <c r="O10" s="99" t="s">
        <v>52</v>
      </c>
      <c r="P10" s="99"/>
      <c r="Q10" s="124">
        <v>4</v>
      </c>
      <c r="R10" s="72"/>
      <c r="AB10" s="113" t="s">
        <v>79</v>
      </c>
      <c r="AC10" s="114"/>
      <c r="AD10" s="115">
        <v>3626987621.5642705</v>
      </c>
      <c r="AE10" s="11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129"/>
      <c r="C11" s="130"/>
      <c r="D11" s="99" t="s">
        <v>37</v>
      </c>
      <c r="E11" s="99"/>
      <c r="F11" s="71">
        <v>0</v>
      </c>
      <c r="G11" s="72"/>
      <c r="H11" s="96"/>
      <c r="I11" s="77"/>
      <c r="J11" s="77" t="str">
        <f>IF(F11=0, "만기", "입력X, 아래만기2개입력")</f>
        <v>만기</v>
      </c>
      <c r="K11" s="78"/>
      <c r="L11" s="79">
        <v>0.25</v>
      </c>
      <c r="M11" s="80"/>
      <c r="O11" s="99" t="s">
        <v>54</v>
      </c>
      <c r="P11" s="99"/>
      <c r="Q11" s="124">
        <v>0</v>
      </c>
      <c r="R11" s="72"/>
      <c r="AB11" s="20"/>
      <c r="AC11" s="20"/>
      <c r="AD11" s="20"/>
      <c r="AE11" s="50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129"/>
      <c r="C12" s="130"/>
      <c r="D12" s="99" t="s">
        <v>38</v>
      </c>
      <c r="E12" s="99"/>
      <c r="F12" s="108">
        <v>1</v>
      </c>
      <c r="G12" s="109"/>
      <c r="H12" s="147" t="str">
        <f>"ex) Deposit 3M -&gt; 연 지급횟수= 4, 만기= 0.25 ||  ex2) CMT 5Y 연 지급횟수=2, 만기 5"</f>
        <v>ex) Deposit 3M -&gt; 연 지급횟수= 4, 만기= 0.25 ||  ex2) CMT 5Y 연 지급횟수=2, 만기 5</v>
      </c>
      <c r="I12" s="147"/>
      <c r="J12" s="147"/>
      <c r="K12" s="147"/>
      <c r="L12" s="147"/>
      <c r="M12" s="148"/>
      <c r="O12" s="125" t="s">
        <v>55</v>
      </c>
      <c r="P12" s="126"/>
      <c r="Q12" s="124">
        <v>1</v>
      </c>
      <c r="R12" s="72"/>
      <c r="AB12" s="20"/>
      <c r="AC12" s="20"/>
      <c r="AD12" s="20"/>
      <c r="AE12" s="20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129"/>
      <c r="C13" s="130"/>
      <c r="D13" s="99" t="s">
        <v>39</v>
      </c>
      <c r="E13" s="92"/>
      <c r="F13" s="100">
        <v>-1</v>
      </c>
      <c r="G13" s="101"/>
      <c r="H13" s="76" t="str">
        <f>IF(F11&gt;0,"PowerSpreadFlag 1일때 입력","입력필요X")</f>
        <v>입력필요X</v>
      </c>
      <c r="I13" s="76"/>
      <c r="J13" s="76" t="str">
        <f>IF(F11&gt;0,"만기1","")</f>
        <v/>
      </c>
      <c r="K13" s="76"/>
      <c r="L13" s="102">
        <v>10</v>
      </c>
      <c r="M13" s="103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131"/>
      <c r="C14" s="132"/>
      <c r="D14" s="104" t="s">
        <v>40</v>
      </c>
      <c r="E14" s="104"/>
      <c r="F14" s="105">
        <v>1</v>
      </c>
      <c r="G14" s="106"/>
      <c r="H14" s="76"/>
      <c r="I14" s="76"/>
      <c r="J14" s="76" t="str">
        <f>IF(F11&gt;0,"만기2","")</f>
        <v/>
      </c>
      <c r="K14" s="76"/>
      <c r="L14" s="102">
        <v>5</v>
      </c>
      <c r="M14" s="10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AB15" s="111" t="s">
        <v>73</v>
      </c>
      <c r="AC15" s="112"/>
      <c r="AD15" s="112"/>
      <c r="AE15" s="112"/>
      <c r="AF15" s="112"/>
      <c r="AG15" s="111" t="s">
        <v>74</v>
      </c>
      <c r="AH15" s="112"/>
      <c r="AI15" s="112"/>
      <c r="AJ15" s="112"/>
      <c r="AK15" s="112"/>
    </row>
    <row r="16" spans="1:57" x14ac:dyDescent="0.4">
      <c r="A16" s="21">
        <f t="shared" si="1"/>
        <v>16</v>
      </c>
      <c r="B16" s="107" t="s">
        <v>41</v>
      </c>
      <c r="C16" s="107"/>
      <c r="D16" s="99" t="s">
        <v>81</v>
      </c>
      <c r="E16" s="99"/>
      <c r="F16" s="108">
        <v>-1E-4</v>
      </c>
      <c r="G16" s="109"/>
      <c r="H16" s="73" t="s">
        <v>84</v>
      </c>
      <c r="I16" s="74"/>
      <c r="J16" s="75" t="str">
        <f>IF(F11&gt;0, F13&amp;" &lt; "&amp;F10&amp;" x Rate("&amp;L13&amp;"Y-"&amp;L14&amp;"Y) &lt; "&amp;F12,F13&amp;" &lt; "&amp;F10&amp;" x Rate("&amp;L11&amp;"Y) &lt; "&amp;F12)</f>
        <v>-1 &lt; 1 x Rate(0.25Y) &lt; 1</v>
      </c>
      <c r="K16" s="75"/>
      <c r="L16" s="75"/>
      <c r="M16" s="75"/>
      <c r="AB16" s="38" t="s">
        <v>68</v>
      </c>
      <c r="AC16" s="38" t="s">
        <v>69</v>
      </c>
      <c r="AD16" s="38" t="s">
        <v>70</v>
      </c>
      <c r="AE16" s="38" t="s">
        <v>71</v>
      </c>
      <c r="AF16" s="38" t="s">
        <v>72</v>
      </c>
      <c r="AG16" s="38" t="s">
        <v>68</v>
      </c>
      <c r="AH16" s="38" t="s">
        <v>69</v>
      </c>
      <c r="AI16" s="38" t="s">
        <v>70</v>
      </c>
      <c r="AJ16" s="38" t="s">
        <v>71</v>
      </c>
      <c r="AK16" s="38" t="s">
        <v>72</v>
      </c>
    </row>
    <row r="17" spans="1:37" x14ac:dyDescent="0.4">
      <c r="A17" s="21">
        <f t="shared" si="1"/>
        <v>17</v>
      </c>
      <c r="B17" s="107"/>
      <c r="C17" s="107"/>
      <c r="D17" s="99" t="s">
        <v>44</v>
      </c>
      <c r="E17" s="99"/>
      <c r="F17" s="108">
        <v>0</v>
      </c>
      <c r="G17" s="109"/>
      <c r="H17" s="73" t="s">
        <v>82</v>
      </c>
      <c r="I17" s="74"/>
      <c r="J17" s="75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5"/>
      <c r="L17" s="75"/>
      <c r="M17" s="75"/>
      <c r="AB17" s="40">
        <v>20191220</v>
      </c>
      <c r="AC17" s="41">
        <v>20200320</v>
      </c>
      <c r="AD17" s="41">
        <v>20200320</v>
      </c>
      <c r="AE17" s="44">
        <v>0</v>
      </c>
      <c r="AF17" s="48">
        <v>0</v>
      </c>
      <c r="AG17" s="41">
        <v>20191220</v>
      </c>
      <c r="AH17" s="41">
        <v>20200320</v>
      </c>
      <c r="AI17" s="41">
        <v>20200320</v>
      </c>
      <c r="AJ17" s="44">
        <v>0</v>
      </c>
      <c r="AK17" s="48">
        <v>0</v>
      </c>
    </row>
    <row r="18" spans="1:37" x14ac:dyDescent="0.4">
      <c r="A18" s="21">
        <f t="shared" si="1"/>
        <v>18</v>
      </c>
      <c r="B18" s="107"/>
      <c r="C18" s="107"/>
      <c r="D18" s="99" t="s">
        <v>45</v>
      </c>
      <c r="E18" s="99"/>
      <c r="F18" s="71">
        <v>1</v>
      </c>
      <c r="G18" s="72"/>
      <c r="H18" s="73"/>
      <c r="I18" s="74"/>
      <c r="J18" s="75"/>
      <c r="K18" s="75"/>
      <c r="L18" s="75"/>
      <c r="M18" s="75"/>
      <c r="AB18" s="42">
        <v>20200320</v>
      </c>
      <c r="AC18" s="43">
        <v>20200622</v>
      </c>
      <c r="AD18" s="43">
        <v>20200622</v>
      </c>
      <c r="AE18" s="45">
        <v>0</v>
      </c>
      <c r="AF18" s="49">
        <v>0</v>
      </c>
      <c r="AG18" s="43">
        <v>20200320</v>
      </c>
      <c r="AH18" s="43">
        <v>20200622</v>
      </c>
      <c r="AI18" s="43">
        <v>20200622</v>
      </c>
      <c r="AJ18" s="45">
        <v>0</v>
      </c>
      <c r="AK18" s="49">
        <v>0</v>
      </c>
    </row>
    <row r="19" spans="1:37" x14ac:dyDescent="0.4">
      <c r="A19" s="21">
        <f t="shared" si="1"/>
        <v>19</v>
      </c>
      <c r="B19" s="20"/>
      <c r="C19" s="20"/>
      <c r="AB19" s="42">
        <v>20200622</v>
      </c>
      <c r="AC19" s="43">
        <v>20200921</v>
      </c>
      <c r="AD19" s="43">
        <v>20200921</v>
      </c>
      <c r="AE19" s="45">
        <v>0</v>
      </c>
      <c r="AF19" s="49">
        <v>0</v>
      </c>
      <c r="AG19" s="43">
        <v>20200622</v>
      </c>
      <c r="AH19" s="43">
        <v>20200921</v>
      </c>
      <c r="AI19" s="43">
        <v>20200921</v>
      </c>
      <c r="AJ19" s="45">
        <v>0</v>
      </c>
      <c r="AK19" s="49">
        <v>0</v>
      </c>
    </row>
    <row r="20" spans="1:37" x14ac:dyDescent="0.4">
      <c r="A20" s="21">
        <f t="shared" si="1"/>
        <v>20</v>
      </c>
      <c r="B20" s="20"/>
      <c r="C20" s="20"/>
      <c r="AB20" s="42">
        <v>20200921</v>
      </c>
      <c r="AC20" s="43">
        <v>20201221</v>
      </c>
      <c r="AD20" s="43">
        <v>20201221</v>
      </c>
      <c r="AE20" s="45">
        <v>0</v>
      </c>
      <c r="AF20" s="49">
        <v>0</v>
      </c>
      <c r="AG20" s="43">
        <v>20200921</v>
      </c>
      <c r="AH20" s="43">
        <v>20201221</v>
      </c>
      <c r="AI20" s="43">
        <v>20201221</v>
      </c>
      <c r="AJ20" s="45">
        <v>0</v>
      </c>
      <c r="AK20" s="49">
        <v>0</v>
      </c>
    </row>
    <row r="21" spans="1:37" x14ac:dyDescent="0.4">
      <c r="A21" s="21">
        <f t="shared" si="1"/>
        <v>21</v>
      </c>
      <c r="B21" s="107" t="s">
        <v>46</v>
      </c>
      <c r="C21" s="107"/>
      <c r="D21" s="99" t="s">
        <v>42</v>
      </c>
      <c r="E21" s="99"/>
      <c r="F21" s="108">
        <v>-1E-4</v>
      </c>
      <c r="G21" s="109"/>
      <c r="H21" s="73" t="s">
        <v>83</v>
      </c>
      <c r="I21" s="74"/>
      <c r="J21" s="75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5"/>
      <c r="L21" s="75"/>
      <c r="M21" s="75"/>
      <c r="AB21" s="42">
        <v>20201221</v>
      </c>
      <c r="AC21" s="43">
        <v>20210322</v>
      </c>
      <c r="AD21" s="43">
        <v>20210322</v>
      </c>
      <c r="AE21" s="45">
        <v>0</v>
      </c>
      <c r="AF21" s="49">
        <v>0</v>
      </c>
      <c r="AG21" s="43">
        <v>20201221</v>
      </c>
      <c r="AH21" s="43">
        <v>20210322</v>
      </c>
      <c r="AI21" s="43">
        <v>20210322</v>
      </c>
      <c r="AJ21" s="45">
        <v>0</v>
      </c>
      <c r="AK21" s="49">
        <v>0</v>
      </c>
    </row>
    <row r="22" spans="1:37" x14ac:dyDescent="0.4">
      <c r="A22" s="21">
        <f t="shared" si="1"/>
        <v>22</v>
      </c>
      <c r="B22" s="107"/>
      <c r="C22" s="107"/>
      <c r="D22" s="99" t="s">
        <v>44</v>
      </c>
      <c r="E22" s="99"/>
      <c r="F22" s="108">
        <v>0</v>
      </c>
      <c r="G22" s="109"/>
      <c r="H22" s="73"/>
      <c r="I22" s="74"/>
      <c r="J22" s="75"/>
      <c r="K22" s="75"/>
      <c r="L22" s="75"/>
      <c r="M22" s="75"/>
      <c r="AB22" s="42">
        <v>20210322</v>
      </c>
      <c r="AC22" s="43">
        <v>20210621</v>
      </c>
      <c r="AD22" s="43">
        <v>20210621</v>
      </c>
      <c r="AE22" s="45">
        <v>0</v>
      </c>
      <c r="AF22" s="49">
        <v>0</v>
      </c>
      <c r="AG22" s="43">
        <v>20210322</v>
      </c>
      <c r="AH22" s="43">
        <v>20210621</v>
      </c>
      <c r="AI22" s="43">
        <v>20210621</v>
      </c>
      <c r="AJ22" s="45">
        <v>0</v>
      </c>
      <c r="AK22" s="49">
        <v>0</v>
      </c>
    </row>
    <row r="23" spans="1:37" x14ac:dyDescent="0.4">
      <c r="A23" s="21">
        <f t="shared" si="1"/>
        <v>23</v>
      </c>
      <c r="B23" s="107"/>
      <c r="C23" s="107"/>
      <c r="D23" s="99" t="s">
        <v>45</v>
      </c>
      <c r="E23" s="99"/>
      <c r="F23" s="71">
        <v>1</v>
      </c>
      <c r="G23" s="72"/>
      <c r="AB23" s="42">
        <v>20210621</v>
      </c>
      <c r="AC23" s="43">
        <v>20210923</v>
      </c>
      <c r="AD23" s="43">
        <v>20210923</v>
      </c>
      <c r="AE23" s="45">
        <v>0</v>
      </c>
      <c r="AF23" s="49">
        <v>0</v>
      </c>
      <c r="AG23" s="43">
        <v>20210621</v>
      </c>
      <c r="AH23" s="43">
        <v>20210923</v>
      </c>
      <c r="AI23" s="43">
        <v>20210923</v>
      </c>
      <c r="AJ23" s="45">
        <v>0</v>
      </c>
      <c r="AK23" s="49">
        <v>0</v>
      </c>
    </row>
    <row r="24" spans="1:37" x14ac:dyDescent="0.4">
      <c r="A24" s="21">
        <f t="shared" si="1"/>
        <v>24</v>
      </c>
      <c r="B24" s="20"/>
      <c r="C24" s="20"/>
      <c r="AB24" s="42">
        <v>20210923</v>
      </c>
      <c r="AC24" s="43">
        <v>20211220</v>
      </c>
      <c r="AD24" s="43">
        <v>20211220</v>
      </c>
      <c r="AE24" s="45">
        <v>0</v>
      </c>
      <c r="AF24" s="49">
        <v>0</v>
      </c>
      <c r="AG24" s="43">
        <v>20210923</v>
      </c>
      <c r="AH24" s="43">
        <v>20211220</v>
      </c>
      <c r="AI24" s="43">
        <v>20211220</v>
      </c>
      <c r="AJ24" s="45">
        <v>0</v>
      </c>
      <c r="AK24" s="49">
        <v>0</v>
      </c>
    </row>
    <row r="25" spans="1:37" x14ac:dyDescent="0.4">
      <c r="A25" s="21">
        <f t="shared" si="1"/>
        <v>25</v>
      </c>
      <c r="B25" s="81" t="s">
        <v>47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3"/>
      <c r="AB25" s="42">
        <v>20211220</v>
      </c>
      <c r="AC25" s="43">
        <v>20220321</v>
      </c>
      <c r="AD25" s="43">
        <v>20220321</v>
      </c>
      <c r="AE25" s="45">
        <v>0</v>
      </c>
      <c r="AF25" s="49">
        <v>0</v>
      </c>
      <c r="AG25" s="43">
        <v>20211220</v>
      </c>
      <c r="AH25" s="43">
        <v>20220321</v>
      </c>
      <c r="AI25" s="43">
        <v>20220321</v>
      </c>
      <c r="AJ25" s="45">
        <v>0</v>
      </c>
      <c r="AK25" s="49">
        <v>0</v>
      </c>
    </row>
    <row r="26" spans="1:37" x14ac:dyDescent="0.4">
      <c r="A26" s="21">
        <f t="shared" si="1"/>
        <v>26</v>
      </c>
      <c r="B26" s="84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6"/>
      <c r="AB26" s="42">
        <v>20220321</v>
      </c>
      <c r="AC26" s="43">
        <v>20220620</v>
      </c>
      <c r="AD26" s="43">
        <v>20220620</v>
      </c>
      <c r="AE26" s="45">
        <v>0</v>
      </c>
      <c r="AF26" s="49">
        <v>0</v>
      </c>
      <c r="AG26" s="43">
        <v>20220321</v>
      </c>
      <c r="AH26" s="43">
        <v>20220620</v>
      </c>
      <c r="AI26" s="43">
        <v>20220620</v>
      </c>
      <c r="AJ26" s="45">
        <v>0</v>
      </c>
      <c r="AK26" s="49">
        <v>0</v>
      </c>
    </row>
    <row r="27" spans="1:37" x14ac:dyDescent="0.4">
      <c r="A27" s="21">
        <f t="shared" si="1"/>
        <v>27</v>
      </c>
      <c r="B27" s="70" t="s">
        <v>33</v>
      </c>
      <c r="C27" s="70"/>
      <c r="D27" s="87">
        <v>1</v>
      </c>
      <c r="E27" s="88"/>
      <c r="F27" s="70" t="s">
        <v>34</v>
      </c>
      <c r="G27" s="70"/>
      <c r="H27" s="87">
        <v>1</v>
      </c>
      <c r="I27" s="88"/>
      <c r="J27" s="70" t="s">
        <v>86</v>
      </c>
      <c r="K27" s="70"/>
      <c r="L27" s="71">
        <v>4</v>
      </c>
      <c r="M27" s="72"/>
      <c r="AB27" s="42">
        <v>20220620</v>
      </c>
      <c r="AC27" s="43">
        <v>20220920</v>
      </c>
      <c r="AD27" s="43">
        <v>20220920</v>
      </c>
      <c r="AE27" s="45">
        <v>0</v>
      </c>
      <c r="AF27" s="49">
        <v>0</v>
      </c>
      <c r="AG27" s="43">
        <v>20220620</v>
      </c>
      <c r="AH27" s="43">
        <v>20220920</v>
      </c>
      <c r="AI27" s="43">
        <v>20220920</v>
      </c>
      <c r="AJ27" s="45">
        <v>0</v>
      </c>
      <c r="AK27" s="49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3"/>
      <c r="L28" s="23"/>
      <c r="M28" s="23"/>
      <c r="AB28" s="42">
        <v>20220920</v>
      </c>
      <c r="AC28" s="43">
        <v>20221220</v>
      </c>
      <c r="AD28" s="43">
        <v>20221220</v>
      </c>
      <c r="AE28" s="45">
        <v>0</v>
      </c>
      <c r="AF28" s="49">
        <v>0</v>
      </c>
      <c r="AG28" s="43">
        <v>20220920</v>
      </c>
      <c r="AH28" s="43">
        <v>20221220</v>
      </c>
      <c r="AI28" s="43">
        <v>20221220</v>
      </c>
      <c r="AJ28" s="45">
        <v>0</v>
      </c>
      <c r="AK28" s="49">
        <v>0</v>
      </c>
    </row>
    <row r="29" spans="1:37" x14ac:dyDescent="0.4">
      <c r="A29" s="21">
        <f t="shared" si="1"/>
        <v>29</v>
      </c>
      <c r="B29" s="127" t="str">
        <f>"기초금리정보"</f>
        <v>기초금리정보</v>
      </c>
      <c r="C29" s="128"/>
      <c r="D29" s="92" t="s">
        <v>35</v>
      </c>
      <c r="E29" s="92"/>
      <c r="F29" s="71">
        <v>3</v>
      </c>
      <c r="G29" s="72"/>
      <c r="H29" s="24"/>
      <c r="I29" s="23"/>
      <c r="J29" s="89" t="str">
        <f>IF(OR(F30 = 0, F30 = 2, F30 = 4), "RefType = "&amp;F30&amp;" 이므로 Ref Swap 금리정보 사용안함", "사용")</f>
        <v>RefType = 0 이므로 Ref Swap 금리정보 사용안함</v>
      </c>
      <c r="K29" s="90"/>
      <c r="L29" s="90"/>
      <c r="M29" s="91"/>
      <c r="O29" s="99" t="s">
        <v>59</v>
      </c>
      <c r="P29" s="99"/>
      <c r="Q29" s="99"/>
      <c r="R29" s="99"/>
      <c r="AB29" s="42">
        <v>20221220</v>
      </c>
      <c r="AC29" s="43">
        <v>20230320</v>
      </c>
      <c r="AD29" s="43">
        <v>20230320</v>
      </c>
      <c r="AE29" s="45">
        <v>0</v>
      </c>
      <c r="AF29" s="49">
        <v>0</v>
      </c>
      <c r="AG29" s="43">
        <v>20221220</v>
      </c>
      <c r="AH29" s="43">
        <v>20230320</v>
      </c>
      <c r="AI29" s="43">
        <v>20230320</v>
      </c>
      <c r="AJ29" s="45">
        <v>0</v>
      </c>
      <c r="AK29" s="49">
        <v>0</v>
      </c>
    </row>
    <row r="30" spans="1:37" x14ac:dyDescent="0.4">
      <c r="A30" s="21">
        <f t="shared" si="1"/>
        <v>30</v>
      </c>
      <c r="B30" s="129"/>
      <c r="C30" s="130"/>
      <c r="D30" s="92" t="s">
        <v>36</v>
      </c>
      <c r="E30" s="93"/>
      <c r="F30" s="94">
        <v>0</v>
      </c>
      <c r="G30" s="95"/>
      <c r="H30" s="89" t="str">
        <f xml:space="preserve"> "Swap 레퍼런스금리정보"</f>
        <v>Swap 레퍼런스금리정보</v>
      </c>
      <c r="I30" s="90"/>
      <c r="J30" s="77" t="str">
        <f>IF(OR(F30 = 0, F30 = 2, F30 = 4), "", "연 지급횟수")</f>
        <v/>
      </c>
      <c r="K30" s="78"/>
      <c r="L30" s="97">
        <v>4</v>
      </c>
      <c r="M30" s="98"/>
      <c r="O30" s="99" t="s">
        <v>52</v>
      </c>
      <c r="P30" s="99"/>
      <c r="Q30" s="124">
        <v>4</v>
      </c>
      <c r="R30" s="72"/>
      <c r="AB30" s="42">
        <v>20230320</v>
      </c>
      <c r="AC30" s="43">
        <v>20230620</v>
      </c>
      <c r="AD30" s="43">
        <v>20230620</v>
      </c>
      <c r="AE30" s="45">
        <v>0</v>
      </c>
      <c r="AF30" s="49">
        <v>0</v>
      </c>
      <c r="AG30" s="43">
        <v>20230320</v>
      </c>
      <c r="AH30" s="43">
        <v>20230620</v>
      </c>
      <c r="AI30" s="43">
        <v>20230620</v>
      </c>
      <c r="AJ30" s="45">
        <v>0</v>
      </c>
      <c r="AK30" s="49">
        <v>0</v>
      </c>
    </row>
    <row r="31" spans="1:37" x14ac:dyDescent="0.4">
      <c r="A31" s="21">
        <f t="shared" si="1"/>
        <v>31</v>
      </c>
      <c r="B31" s="129"/>
      <c r="C31" s="130"/>
      <c r="D31" s="99" t="s">
        <v>37</v>
      </c>
      <c r="E31" s="99"/>
      <c r="F31" s="71">
        <v>0</v>
      </c>
      <c r="G31" s="72"/>
      <c r="H31" s="96"/>
      <c r="I31" s="77"/>
      <c r="J31" s="77" t="str">
        <f>IF(F31=0, "만기", "입력X, 아래만기2개입력")</f>
        <v>만기</v>
      </c>
      <c r="K31" s="78"/>
      <c r="L31" s="79">
        <v>10</v>
      </c>
      <c r="M31" s="80"/>
      <c r="O31" s="99" t="s">
        <v>54</v>
      </c>
      <c r="P31" s="99"/>
      <c r="Q31" s="124">
        <v>0</v>
      </c>
      <c r="R31" s="72"/>
      <c r="AB31" s="42">
        <v>20230620</v>
      </c>
      <c r="AC31" s="43">
        <v>20230920</v>
      </c>
      <c r="AD31" s="43">
        <v>20230920</v>
      </c>
      <c r="AE31" s="45">
        <v>0</v>
      </c>
      <c r="AF31" s="49">
        <v>0</v>
      </c>
      <c r="AG31" s="43">
        <v>20230620</v>
      </c>
      <c r="AH31" s="43">
        <v>20230920</v>
      </c>
      <c r="AI31" s="43">
        <v>20230920</v>
      </c>
      <c r="AJ31" s="45">
        <v>0</v>
      </c>
      <c r="AK31" s="49">
        <v>0</v>
      </c>
    </row>
    <row r="32" spans="1:37" x14ac:dyDescent="0.4">
      <c r="A32" s="21">
        <f t="shared" si="1"/>
        <v>32</v>
      </c>
      <c r="B32" s="129"/>
      <c r="C32" s="130"/>
      <c r="D32" s="99" t="s">
        <v>38</v>
      </c>
      <c r="E32" s="99"/>
      <c r="F32" s="108">
        <v>0.8</v>
      </c>
      <c r="G32" s="109"/>
      <c r="H32" s="147" t="str">
        <f>"ex) Deposit 3M -&gt; 연 지급횟수= 4, 만기= 0.25 ||  ex2) CMT 5Y 연 지급횟수=2, 만기 5"</f>
        <v>ex) Deposit 3M -&gt; 연 지급횟수= 4, 만기= 0.25 ||  ex2) CMT 5Y 연 지급횟수=2, 만기 5</v>
      </c>
      <c r="I32" s="147"/>
      <c r="J32" s="147"/>
      <c r="K32" s="147"/>
      <c r="L32" s="147"/>
      <c r="M32" s="148"/>
      <c r="O32" s="125" t="s">
        <v>55</v>
      </c>
      <c r="P32" s="126"/>
      <c r="Q32" s="124">
        <v>4</v>
      </c>
      <c r="R32" s="72"/>
      <c r="AB32" s="42">
        <v>20230920</v>
      </c>
      <c r="AC32" s="43">
        <v>20231220</v>
      </c>
      <c r="AD32" s="43">
        <v>20231220</v>
      </c>
      <c r="AE32" s="45">
        <v>0</v>
      </c>
      <c r="AF32" s="49">
        <v>0</v>
      </c>
      <c r="AG32" s="43">
        <v>20230920</v>
      </c>
      <c r="AH32" s="43">
        <v>20231220</v>
      </c>
      <c r="AI32" s="43">
        <v>20231220</v>
      </c>
      <c r="AJ32" s="45">
        <v>0</v>
      </c>
      <c r="AK32" s="49">
        <v>0</v>
      </c>
    </row>
    <row r="33" spans="1:37" x14ac:dyDescent="0.4">
      <c r="A33" s="21">
        <f t="shared" si="1"/>
        <v>33</v>
      </c>
      <c r="B33" s="129"/>
      <c r="C33" s="130"/>
      <c r="D33" s="99" t="s">
        <v>39</v>
      </c>
      <c r="E33" s="92"/>
      <c r="F33" s="100">
        <v>-0.8</v>
      </c>
      <c r="G33" s="101"/>
      <c r="H33" s="76" t="str">
        <f>IF(F31&gt;0,"PowerSpreadFlag 1일때 입력","입력필요X")</f>
        <v>입력필요X</v>
      </c>
      <c r="I33" s="76"/>
      <c r="J33" s="76" t="str">
        <f>IF(F31&gt;0,"만기1","")</f>
        <v/>
      </c>
      <c r="K33" s="76"/>
      <c r="L33" s="102">
        <v>10</v>
      </c>
      <c r="M33" s="103"/>
      <c r="AB33" s="42">
        <v>20231220</v>
      </c>
      <c r="AC33" s="43">
        <v>20240320</v>
      </c>
      <c r="AD33" s="43">
        <v>20240320</v>
      </c>
      <c r="AE33" s="45">
        <v>0</v>
      </c>
      <c r="AF33" s="49">
        <v>0</v>
      </c>
      <c r="AG33" s="43">
        <v>20231220</v>
      </c>
      <c r="AH33" s="43">
        <v>20240320</v>
      </c>
      <c r="AI33" s="43">
        <v>20240320</v>
      </c>
      <c r="AJ33" s="45">
        <v>0</v>
      </c>
      <c r="AK33" s="49">
        <v>0</v>
      </c>
    </row>
    <row r="34" spans="1:37" x14ac:dyDescent="0.4">
      <c r="A34" s="21">
        <f t="shared" si="1"/>
        <v>34</v>
      </c>
      <c r="B34" s="131"/>
      <c r="C34" s="132"/>
      <c r="D34" s="104" t="s">
        <v>40</v>
      </c>
      <c r="E34" s="104"/>
      <c r="F34" s="105">
        <v>0</v>
      </c>
      <c r="G34" s="106"/>
      <c r="H34" s="76"/>
      <c r="I34" s="76"/>
      <c r="J34" s="76" t="str">
        <f>IF(F31&gt;0,"만기2","")</f>
        <v/>
      </c>
      <c r="K34" s="76"/>
      <c r="L34" s="102">
        <v>5</v>
      </c>
      <c r="M34" s="103"/>
      <c r="AB34" s="42">
        <v>20240320</v>
      </c>
      <c r="AC34" s="43">
        <v>20240620</v>
      </c>
      <c r="AD34" s="43">
        <v>20240620</v>
      </c>
      <c r="AE34" s="45">
        <v>0</v>
      </c>
      <c r="AF34" s="49">
        <v>0</v>
      </c>
      <c r="AG34" s="43">
        <v>20240320</v>
      </c>
      <c r="AH34" s="43">
        <v>20240620</v>
      </c>
      <c r="AI34" s="43">
        <v>20240620</v>
      </c>
      <c r="AJ34" s="45">
        <v>0</v>
      </c>
      <c r="AK34" s="49">
        <v>0</v>
      </c>
    </row>
    <row r="35" spans="1:37" x14ac:dyDescent="0.4">
      <c r="A35" s="21">
        <f t="shared" si="1"/>
        <v>35</v>
      </c>
      <c r="B35" s="20"/>
      <c r="C35" s="20"/>
      <c r="AB35" s="42">
        <v>20240620</v>
      </c>
      <c r="AC35" s="43">
        <v>20240920</v>
      </c>
      <c r="AD35" s="43">
        <v>20240920</v>
      </c>
      <c r="AE35" s="45">
        <v>3.5999999999999997E-2</v>
      </c>
      <c r="AF35" s="49">
        <v>361950684.93150681</v>
      </c>
      <c r="AG35" s="43">
        <v>20240620</v>
      </c>
      <c r="AH35" s="43">
        <v>20240920</v>
      </c>
      <c r="AI35" s="43">
        <v>20240920</v>
      </c>
      <c r="AJ35" s="45">
        <v>3.5999999999999997E-2</v>
      </c>
      <c r="AK35" s="49">
        <v>204000000</v>
      </c>
    </row>
    <row r="36" spans="1:37" x14ac:dyDescent="0.4">
      <c r="A36" s="21">
        <f t="shared" si="1"/>
        <v>36</v>
      </c>
      <c r="B36" s="107" t="s">
        <v>41</v>
      </c>
      <c r="C36" s="107"/>
      <c r="D36" s="99" t="s">
        <v>42</v>
      </c>
      <c r="E36" s="99"/>
      <c r="F36" s="108">
        <v>2.0199999999999999E-2</v>
      </c>
      <c r="G36" s="109"/>
      <c r="H36" s="73" t="s">
        <v>85</v>
      </c>
      <c r="I36" s="74"/>
      <c r="J36" s="75" t="str">
        <f>IF(F31&gt;0, F33&amp;" &lt; "&amp;F30&amp;" x Rate("&amp;L33&amp;"Y-"&amp;L34&amp;"Y) &lt; "&amp;F32,F33&amp;" &lt; "&amp;F30&amp;" x Rate("&amp;L31&amp;"Y) &lt; "&amp;F32)</f>
        <v>-0.8 &lt; 0 x Rate(10Y) &lt; 0.8</v>
      </c>
      <c r="K36" s="75"/>
      <c r="L36" s="75"/>
      <c r="M36" s="75"/>
      <c r="AB36" s="42">
        <v>20240920</v>
      </c>
      <c r="AC36" s="43">
        <v>20241220</v>
      </c>
      <c r="AD36" s="43">
        <v>20241220</v>
      </c>
      <c r="AE36" s="45">
        <v>3.4872512804521749E-2</v>
      </c>
      <c r="AF36" s="49">
        <v>346772456.46153194</v>
      </c>
      <c r="AG36" s="43">
        <v>20240920</v>
      </c>
      <c r="AH36" s="43">
        <v>20241220</v>
      </c>
      <c r="AI36" s="43">
        <v>20241220</v>
      </c>
      <c r="AJ36" s="45">
        <v>2.9601474842601738E-2</v>
      </c>
      <c r="AK36" s="49">
        <v>204000000</v>
      </c>
    </row>
    <row r="37" spans="1:37" x14ac:dyDescent="0.4">
      <c r="A37" s="21">
        <f t="shared" si="1"/>
        <v>37</v>
      </c>
      <c r="B37" s="107"/>
      <c r="C37" s="107"/>
      <c r="D37" s="99" t="s">
        <v>44</v>
      </c>
      <c r="E37" s="99"/>
      <c r="F37" s="108">
        <v>0</v>
      </c>
      <c r="G37" s="109"/>
      <c r="H37" s="73" t="s">
        <v>82</v>
      </c>
      <c r="I37" s="74"/>
      <c r="J37" s="75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5"/>
      <c r="L37" s="75"/>
      <c r="M37" s="75"/>
      <c r="AB37" s="42">
        <v>20241220</v>
      </c>
      <c r="AC37" s="43">
        <v>20250320</v>
      </c>
      <c r="AD37" s="43">
        <v>20250320</v>
      </c>
      <c r="AE37" s="45">
        <v>3.2722231060241615E-2</v>
      </c>
      <c r="AF37" s="49">
        <v>321753511.82704049</v>
      </c>
      <c r="AG37" s="43">
        <v>20241220</v>
      </c>
      <c r="AH37" s="43">
        <v>20250320</v>
      </c>
      <c r="AI37" s="43">
        <v>20250320</v>
      </c>
      <c r="AJ37" s="45">
        <v>2.9424433991542289E-2</v>
      </c>
      <c r="AK37" s="49">
        <v>204000000</v>
      </c>
    </row>
    <row r="38" spans="1:37" x14ac:dyDescent="0.4">
      <c r="A38" s="21">
        <f t="shared" si="1"/>
        <v>38</v>
      </c>
      <c r="B38" s="107"/>
      <c r="C38" s="107"/>
      <c r="D38" s="99" t="s">
        <v>45</v>
      </c>
      <c r="E38" s="99"/>
      <c r="F38" s="71">
        <v>0</v>
      </c>
      <c r="G38" s="72"/>
      <c r="H38" s="73"/>
      <c r="I38" s="74"/>
      <c r="J38" s="75"/>
      <c r="K38" s="75"/>
      <c r="L38" s="75"/>
      <c r="M38" s="75"/>
      <c r="AB38" s="42">
        <v>20250320</v>
      </c>
      <c r="AC38" s="43">
        <v>20250620</v>
      </c>
      <c r="AD38" s="43">
        <v>20250620</v>
      </c>
      <c r="AE38" s="45">
        <v>3.067342813040368E-2</v>
      </c>
      <c r="AF38" s="49">
        <v>308247165.80790561</v>
      </c>
      <c r="AG38" s="43">
        <v>20250320</v>
      </c>
      <c r="AH38" s="43">
        <v>20250620</v>
      </c>
      <c r="AI38" s="43">
        <v>20250620</v>
      </c>
      <c r="AJ38" s="45">
        <v>2.9340626548130848E-2</v>
      </c>
      <c r="AK38" s="49">
        <v>204000000</v>
      </c>
    </row>
    <row r="39" spans="1:37" x14ac:dyDescent="0.4">
      <c r="A39" s="21">
        <f t="shared" si="1"/>
        <v>39</v>
      </c>
      <c r="B39" s="20"/>
      <c r="C39" s="20"/>
      <c r="AB39" s="42">
        <v>20250620</v>
      </c>
      <c r="AC39" s="43">
        <v>20250922</v>
      </c>
      <c r="AD39" s="43">
        <v>20250922</v>
      </c>
      <c r="AE39" s="45">
        <v>2.8937749648061704E-2</v>
      </c>
      <c r="AF39" s="49">
        <v>297068325.14167672</v>
      </c>
      <c r="AG39" s="43">
        <v>20250620</v>
      </c>
      <c r="AH39" s="43">
        <v>20250922</v>
      </c>
      <c r="AI39" s="43">
        <v>20250922</v>
      </c>
      <c r="AJ39" s="45">
        <v>2.9305272232469211E-2</v>
      </c>
      <c r="AK39" s="49">
        <v>204000000</v>
      </c>
    </row>
    <row r="40" spans="1:37" x14ac:dyDescent="0.4">
      <c r="A40" s="21">
        <f t="shared" si="1"/>
        <v>40</v>
      </c>
      <c r="B40" s="20"/>
      <c r="C40" s="20"/>
      <c r="AB40" s="42">
        <v>20250922</v>
      </c>
      <c r="AC40" s="43">
        <v>20251222</v>
      </c>
      <c r="AD40" s="43">
        <v>20251222</v>
      </c>
      <c r="AE40" s="45">
        <v>2.8874069018490777E-2</v>
      </c>
      <c r="AF40" s="49">
        <v>286952359.52686691</v>
      </c>
      <c r="AG40" s="43">
        <v>20250922</v>
      </c>
      <c r="AH40" s="43">
        <v>20251222</v>
      </c>
      <c r="AI40" s="43">
        <v>20251222</v>
      </c>
      <c r="AJ40" s="45">
        <v>2.9337526995258798E-2</v>
      </c>
      <c r="AK40" s="49">
        <v>204000000</v>
      </c>
    </row>
    <row r="41" spans="1:37" x14ac:dyDescent="0.4">
      <c r="A41" s="21">
        <f t="shared" si="1"/>
        <v>41</v>
      </c>
      <c r="B41" s="107" t="s">
        <v>46</v>
      </c>
      <c r="C41" s="107"/>
      <c r="D41" s="99" t="s">
        <v>42</v>
      </c>
      <c r="E41" s="99"/>
      <c r="F41" s="108">
        <v>2.0199999999999999E-2</v>
      </c>
      <c r="G41" s="109"/>
      <c r="H41" s="73" t="s">
        <v>83</v>
      </c>
      <c r="I41" s="74"/>
      <c r="J41" s="75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5"/>
      <c r="L41" s="75"/>
      <c r="M41" s="75"/>
      <c r="AB41" s="42">
        <v>20251222</v>
      </c>
      <c r="AC41" s="43">
        <v>20260320</v>
      </c>
      <c r="AD41" s="43">
        <v>20260320</v>
      </c>
      <c r="AE41" s="45">
        <v>2.7993083497797298E-2</v>
      </c>
      <c r="AF41" s="49">
        <v>268996312.0883466</v>
      </c>
      <c r="AG41" s="43">
        <v>20251222</v>
      </c>
      <c r="AH41" s="43">
        <v>20260320</v>
      </c>
      <c r="AI41" s="43">
        <v>20260320</v>
      </c>
      <c r="AJ41" s="45">
        <v>2.9364678106068416E-2</v>
      </c>
      <c r="AK41" s="49">
        <v>204000000</v>
      </c>
    </row>
    <row r="42" spans="1:37" x14ac:dyDescent="0.4">
      <c r="A42" s="21">
        <f t="shared" si="1"/>
        <v>42</v>
      </c>
      <c r="B42" s="107"/>
      <c r="C42" s="107"/>
      <c r="D42" s="99" t="s">
        <v>44</v>
      </c>
      <c r="E42" s="99"/>
      <c r="F42" s="108">
        <v>0</v>
      </c>
      <c r="G42" s="109"/>
      <c r="H42" s="73"/>
      <c r="I42" s="74"/>
      <c r="J42" s="75"/>
      <c r="K42" s="75"/>
      <c r="L42" s="75"/>
      <c r="M42" s="75"/>
      <c r="AB42" s="42">
        <v>20260320</v>
      </c>
      <c r="AC42" s="43">
        <v>20260622</v>
      </c>
      <c r="AD42" s="43">
        <v>20260622</v>
      </c>
      <c r="AE42" s="45">
        <v>2.8193589029276749E-2</v>
      </c>
      <c r="AF42" s="49">
        <v>289402451.37008375</v>
      </c>
      <c r="AG42" s="43">
        <v>20260320</v>
      </c>
      <c r="AH42" s="43">
        <v>20260622</v>
      </c>
      <c r="AI42" s="43">
        <v>20260622</v>
      </c>
      <c r="AJ42" s="45">
        <v>2.9412579800869643E-2</v>
      </c>
      <c r="AK42" s="49">
        <v>204000000</v>
      </c>
    </row>
    <row r="43" spans="1:37" x14ac:dyDescent="0.4">
      <c r="A43" s="21">
        <f t="shared" si="1"/>
        <v>43</v>
      </c>
      <c r="B43" s="107"/>
      <c r="C43" s="107"/>
      <c r="D43" s="99" t="s">
        <v>45</v>
      </c>
      <c r="E43" s="99"/>
      <c r="F43" s="71">
        <v>0</v>
      </c>
      <c r="G43" s="72"/>
      <c r="AB43" s="42">
        <v>20260622</v>
      </c>
      <c r="AC43" s="43">
        <v>20260921</v>
      </c>
      <c r="AD43" s="43">
        <v>20260921</v>
      </c>
      <c r="AE43" s="45">
        <v>2.7740433127145029E-2</v>
      </c>
      <c r="AF43" s="49">
        <v>275647059.13098055</v>
      </c>
      <c r="AG43" s="43">
        <v>20260622</v>
      </c>
      <c r="AH43" s="43">
        <v>20260921</v>
      </c>
      <c r="AI43" s="43">
        <v>20260921</v>
      </c>
      <c r="AJ43" s="45">
        <v>2.9469552482100966E-2</v>
      </c>
      <c r="AK43" s="49">
        <v>204000000</v>
      </c>
    </row>
    <row r="44" spans="1:37" x14ac:dyDescent="0.4">
      <c r="A44" s="21">
        <f t="shared" si="1"/>
        <v>44</v>
      </c>
      <c r="B44" s="20"/>
      <c r="C44" s="20"/>
      <c r="AB44" s="42">
        <v>20260921</v>
      </c>
      <c r="AC44" s="43">
        <v>20261221</v>
      </c>
      <c r="AD44" s="43">
        <v>20261221</v>
      </c>
      <c r="AE44" s="45">
        <v>2.8426688845857275E-2</v>
      </c>
      <c r="AF44" s="49">
        <v>282490814.79156297</v>
      </c>
      <c r="AG44" s="43">
        <v>20260921</v>
      </c>
      <c r="AH44" s="43">
        <v>20261221</v>
      </c>
      <c r="AI44" s="43">
        <v>20261221</v>
      </c>
      <c r="AJ44" s="45">
        <v>2.9526850044237746E-2</v>
      </c>
      <c r="AK44" s="49">
        <v>204000000</v>
      </c>
    </row>
    <row r="45" spans="1:37" ht="17.399999999999999" customHeight="1" x14ac:dyDescent="0.4">
      <c r="A45" s="21">
        <f t="shared" si="1"/>
        <v>45</v>
      </c>
      <c r="B45" s="118" t="s">
        <v>61</v>
      </c>
      <c r="C45" s="119"/>
      <c r="D45" s="119"/>
      <c r="E45" s="119"/>
      <c r="F45" s="119"/>
      <c r="G45" s="120"/>
      <c r="AB45" s="42">
        <v>20261221</v>
      </c>
      <c r="AC45" s="43">
        <v>20271220</v>
      </c>
      <c r="AD45" s="43">
        <v>20271220</v>
      </c>
      <c r="AE45" s="45">
        <v>2.8062122571600494E-2</v>
      </c>
      <c r="AF45" s="49">
        <v>1115420560.6643922</v>
      </c>
      <c r="AG45" s="43">
        <v>20261221</v>
      </c>
      <c r="AH45" s="43">
        <v>20270322</v>
      </c>
      <c r="AI45" s="43">
        <v>20270322</v>
      </c>
      <c r="AJ45" s="45">
        <v>2.9544536543173908E-2</v>
      </c>
      <c r="AK45" s="49">
        <v>204000000</v>
      </c>
    </row>
    <row r="46" spans="1:37" ht="17.399999999999999" customHeight="1" x14ac:dyDescent="0.4">
      <c r="A46" s="21">
        <f t="shared" si="1"/>
        <v>46</v>
      </c>
      <c r="B46" s="121"/>
      <c r="C46" s="122"/>
      <c r="D46" s="122"/>
      <c r="E46" s="122"/>
      <c r="F46" s="122"/>
      <c r="G46" s="123"/>
      <c r="AB46" s="42">
        <v>20271220</v>
      </c>
      <c r="AC46" s="43">
        <v>20281220</v>
      </c>
      <c r="AD46" s="43">
        <v>20281220</v>
      </c>
      <c r="AE46" s="45">
        <v>2.8245059534082947E-2</v>
      </c>
      <c r="AF46" s="49">
        <v>1128886771.449245</v>
      </c>
      <c r="AG46" s="43">
        <v>20270322</v>
      </c>
      <c r="AH46" s="43">
        <v>20270621</v>
      </c>
      <c r="AI46" s="43">
        <v>20270621</v>
      </c>
      <c r="AJ46" s="45">
        <v>2.9574943559642762E-2</v>
      </c>
      <c r="AK46" s="49">
        <v>204000000</v>
      </c>
    </row>
    <row r="47" spans="1:37" x14ac:dyDescent="0.4">
      <c r="A47" s="21">
        <f t="shared" si="1"/>
        <v>47</v>
      </c>
      <c r="B47" s="38" t="s">
        <v>62</v>
      </c>
      <c r="C47" s="39" t="s">
        <v>63</v>
      </c>
      <c r="D47" s="39" t="s">
        <v>64</v>
      </c>
      <c r="E47" s="39" t="s">
        <v>65</v>
      </c>
      <c r="AB47" s="42">
        <v>20281220</v>
      </c>
      <c r="AC47" s="43">
        <v>20291220</v>
      </c>
      <c r="AD47" s="43">
        <v>20291220</v>
      </c>
      <c r="AE47" s="45">
        <v>2.8761898241136088E-2</v>
      </c>
      <c r="AF47" s="49">
        <v>1146475929.6454434</v>
      </c>
      <c r="AG47" s="43">
        <v>20270621</v>
      </c>
      <c r="AH47" s="43">
        <v>20270920</v>
      </c>
      <c r="AI47" s="43">
        <v>20270920</v>
      </c>
      <c r="AJ47" s="45">
        <v>2.9611216546203457E-2</v>
      </c>
      <c r="AK47" s="49">
        <v>204000000</v>
      </c>
    </row>
    <row r="48" spans="1:37" x14ac:dyDescent="0.4">
      <c r="A48" s="21">
        <f t="shared" si="1"/>
        <v>48</v>
      </c>
      <c r="B48" s="27">
        <v>44524</v>
      </c>
      <c r="C48" s="27">
        <v>44550</v>
      </c>
      <c r="D48" s="32">
        <v>0</v>
      </c>
      <c r="E48" s="32">
        <f>COUNT(B48:B1048576)</f>
        <v>13</v>
      </c>
      <c r="AB48" s="42">
        <v>20291220</v>
      </c>
      <c r="AC48" s="43">
        <v>20301220</v>
      </c>
      <c r="AD48" s="43">
        <v>20301220</v>
      </c>
      <c r="AE48" s="45">
        <v>2.8756143406290843E-2</v>
      </c>
      <c r="AF48" s="49">
        <v>1146245736.2516336</v>
      </c>
      <c r="AG48" s="43">
        <v>20270920</v>
      </c>
      <c r="AH48" s="43">
        <v>20271220</v>
      </c>
      <c r="AI48" s="43">
        <v>20271220</v>
      </c>
      <c r="AJ48" s="45">
        <v>2.9651669827897631E-2</v>
      </c>
      <c r="AK48" s="49">
        <v>204000000</v>
      </c>
    </row>
    <row r="49" spans="1:37" x14ac:dyDescent="0.4">
      <c r="A49" s="21">
        <f t="shared" si="1"/>
        <v>49</v>
      </c>
      <c r="B49" s="27">
        <v>44889</v>
      </c>
      <c r="C49" s="27">
        <v>44915</v>
      </c>
      <c r="AB49" s="42">
        <v>20301220</v>
      </c>
      <c r="AC49" s="43">
        <v>20311222</v>
      </c>
      <c r="AD49" s="43">
        <v>20311222</v>
      </c>
      <c r="AE49" s="45">
        <v>2.9584399690687716E-2</v>
      </c>
      <c r="AF49" s="49">
        <v>1185838321.8062897</v>
      </c>
      <c r="AG49" s="43">
        <v>20271220</v>
      </c>
      <c r="AH49" s="43">
        <v>20280320</v>
      </c>
      <c r="AI49" s="43">
        <v>20280320</v>
      </c>
      <c r="AJ49" s="45">
        <v>2.9669462967101864E-2</v>
      </c>
      <c r="AK49" s="49">
        <v>204000000</v>
      </c>
    </row>
    <row r="50" spans="1:37" x14ac:dyDescent="0.4">
      <c r="A50" s="21">
        <f t="shared" si="1"/>
        <v>50</v>
      </c>
      <c r="B50" s="27">
        <v>45254</v>
      </c>
      <c r="C50" s="27">
        <v>45280</v>
      </c>
      <c r="AB50" s="42">
        <v>20311222</v>
      </c>
      <c r="AC50" s="43">
        <v>20321220</v>
      </c>
      <c r="AD50" s="43">
        <v>20321220</v>
      </c>
      <c r="AE50" s="45">
        <v>2.9960473401647588E-2</v>
      </c>
      <c r="AF50" s="49">
        <v>1191146555.4191477</v>
      </c>
      <c r="AG50" s="43">
        <v>20280320</v>
      </c>
      <c r="AH50" s="43">
        <v>20280620</v>
      </c>
      <c r="AI50" s="43">
        <v>20280620</v>
      </c>
      <c r="AJ50" s="45">
        <v>2.969178595041997E-2</v>
      </c>
      <c r="AK50" s="49">
        <v>204000000</v>
      </c>
    </row>
    <row r="51" spans="1:37" x14ac:dyDescent="0.4">
      <c r="A51" s="21">
        <f t="shared" si="1"/>
        <v>51</v>
      </c>
      <c r="B51" s="27">
        <v>45622</v>
      </c>
      <c r="C51" s="27">
        <v>45646</v>
      </c>
      <c r="AB51" s="42">
        <v>20321220</v>
      </c>
      <c r="AC51" s="43">
        <v>20331220</v>
      </c>
      <c r="AD51" s="43">
        <v>20331220</v>
      </c>
      <c r="AE51" s="45">
        <v>2.9446662227887777E-2</v>
      </c>
      <c r="AF51" s="49">
        <v>1173866489.1155112</v>
      </c>
      <c r="AG51" s="43">
        <v>20280620</v>
      </c>
      <c r="AH51" s="43">
        <v>20280920</v>
      </c>
      <c r="AI51" s="43">
        <v>20280920</v>
      </c>
      <c r="AJ51" s="45">
        <v>2.9709581193139354E-2</v>
      </c>
      <c r="AK51" s="49">
        <v>204000000</v>
      </c>
    </row>
    <row r="52" spans="1:37" x14ac:dyDescent="0.4">
      <c r="A52" s="21">
        <f t="shared" si="1"/>
        <v>52</v>
      </c>
      <c r="B52" s="27">
        <v>45987</v>
      </c>
      <c r="C52" s="27">
        <v>46013</v>
      </c>
      <c r="AB52" s="42">
        <v>20331220</v>
      </c>
      <c r="AC52" s="43">
        <v>20341220</v>
      </c>
      <c r="AD52" s="43">
        <v>20341220</v>
      </c>
      <c r="AE52" s="45">
        <v>3.0636968094769856E-2</v>
      </c>
      <c r="AF52" s="49">
        <v>1221478723.7907941</v>
      </c>
      <c r="AG52" s="43">
        <v>20280920</v>
      </c>
      <c r="AH52" s="43">
        <v>20281220</v>
      </c>
      <c r="AI52" s="43">
        <v>20281220</v>
      </c>
      <c r="AJ52" s="45">
        <v>2.9728288315003348E-2</v>
      </c>
      <c r="AK52" s="49">
        <v>204000000</v>
      </c>
    </row>
    <row r="53" spans="1:37" x14ac:dyDescent="0.4">
      <c r="A53" s="21">
        <f t="shared" si="1"/>
        <v>53</v>
      </c>
      <c r="B53" s="27">
        <v>46351</v>
      </c>
      <c r="C53" s="27">
        <v>46377</v>
      </c>
      <c r="AG53" s="43">
        <v>20281220</v>
      </c>
      <c r="AH53" s="43">
        <v>20290320</v>
      </c>
      <c r="AI53" s="43">
        <v>20290320</v>
      </c>
      <c r="AJ53" s="45">
        <v>2.9741977249985556E-2</v>
      </c>
      <c r="AK53" s="49">
        <v>204000000</v>
      </c>
    </row>
    <row r="54" spans="1:37" x14ac:dyDescent="0.4">
      <c r="A54" s="21">
        <f t="shared" si="1"/>
        <v>54</v>
      </c>
      <c r="B54" s="27">
        <v>46715</v>
      </c>
      <c r="C54" s="27">
        <v>46741</v>
      </c>
      <c r="AG54" s="43">
        <v>20290320</v>
      </c>
      <c r="AH54" s="43">
        <v>20290620</v>
      </c>
      <c r="AI54" s="43">
        <v>20290620</v>
      </c>
      <c r="AJ54" s="45">
        <v>2.9765601235674753E-2</v>
      </c>
      <c r="AK54" s="49">
        <v>204000000</v>
      </c>
    </row>
    <row r="55" spans="1:37" x14ac:dyDescent="0.4">
      <c r="A55" s="21">
        <f t="shared" si="1"/>
        <v>55</v>
      </c>
      <c r="B55" s="27">
        <v>47081</v>
      </c>
      <c r="C55" s="27">
        <v>47107</v>
      </c>
      <c r="AG55" s="43">
        <v>20290620</v>
      </c>
      <c r="AH55" s="43">
        <v>20290920</v>
      </c>
      <c r="AI55" s="43">
        <v>20290920</v>
      </c>
      <c r="AJ55" s="45">
        <v>2.9771646994504398E-2</v>
      </c>
      <c r="AK55" s="49">
        <v>204000000</v>
      </c>
    </row>
    <row r="56" spans="1:37" x14ac:dyDescent="0.4">
      <c r="A56" s="21">
        <f t="shared" si="1"/>
        <v>56</v>
      </c>
      <c r="B56" s="27">
        <v>47448</v>
      </c>
      <c r="C56" s="27">
        <v>47472</v>
      </c>
      <c r="AG56" s="43">
        <v>20290920</v>
      </c>
      <c r="AH56" s="43">
        <v>20291220</v>
      </c>
      <c r="AI56" s="43">
        <v>20291220</v>
      </c>
      <c r="AJ56" s="45">
        <v>2.9777431524540585E-2</v>
      </c>
      <c r="AK56" s="49">
        <v>204000000</v>
      </c>
    </row>
    <row r="57" spans="1:37" x14ac:dyDescent="0.4">
      <c r="A57" s="21">
        <f t="shared" si="1"/>
        <v>57</v>
      </c>
      <c r="B57" s="27">
        <v>47813</v>
      </c>
      <c r="C57" s="27">
        <v>47837</v>
      </c>
      <c r="AG57" s="43">
        <v>20291220</v>
      </c>
      <c r="AH57" s="43">
        <v>20300320</v>
      </c>
      <c r="AI57" s="43">
        <v>20300320</v>
      </c>
      <c r="AJ57" s="45">
        <v>2.9745642933702278E-2</v>
      </c>
      <c r="AK57" s="49">
        <v>204000000</v>
      </c>
    </row>
    <row r="58" spans="1:37" x14ac:dyDescent="0.4">
      <c r="A58" s="21">
        <f t="shared" si="1"/>
        <v>58</v>
      </c>
      <c r="B58" s="27">
        <v>48178</v>
      </c>
      <c r="C58" s="27">
        <v>48204</v>
      </c>
      <c r="AG58" s="43">
        <v>20300320</v>
      </c>
      <c r="AH58" s="43">
        <v>20300620</v>
      </c>
      <c r="AI58" s="43">
        <v>20300620</v>
      </c>
      <c r="AJ58" s="45">
        <v>2.9721779603839406E-2</v>
      </c>
      <c r="AK58" s="49">
        <v>204000000</v>
      </c>
    </row>
    <row r="59" spans="1:37" x14ac:dyDescent="0.4">
      <c r="A59" s="21">
        <f t="shared" si="1"/>
        <v>59</v>
      </c>
      <c r="B59" s="27">
        <v>48542</v>
      </c>
      <c r="C59" s="27">
        <v>48568</v>
      </c>
      <c r="AG59" s="43">
        <v>20300620</v>
      </c>
      <c r="AH59" s="43">
        <v>20300920</v>
      </c>
      <c r="AI59" s="43">
        <v>20300920</v>
      </c>
      <c r="AJ59" s="45">
        <v>2.9684553473976305E-2</v>
      </c>
      <c r="AK59" s="49">
        <v>204000000</v>
      </c>
    </row>
    <row r="60" spans="1:37" x14ac:dyDescent="0.4">
      <c r="A60" s="21">
        <f t="shared" si="1"/>
        <v>60</v>
      </c>
      <c r="B60" s="27">
        <v>48907</v>
      </c>
      <c r="C60" s="27">
        <v>48933</v>
      </c>
      <c r="AG60" s="43">
        <v>20300920</v>
      </c>
      <c r="AH60" s="43">
        <v>20301220</v>
      </c>
      <c r="AI60" s="43">
        <v>20301220</v>
      </c>
      <c r="AJ60" s="45">
        <v>2.9641558242817705E-2</v>
      </c>
      <c r="AK60" s="49">
        <v>204000000</v>
      </c>
    </row>
    <row r="61" spans="1:37" x14ac:dyDescent="0.4">
      <c r="A61" s="21">
        <f t="shared" si="1"/>
        <v>61</v>
      </c>
      <c r="AG61" s="43">
        <v>20301220</v>
      </c>
      <c r="AH61" s="43">
        <v>20310320</v>
      </c>
      <c r="AI61" s="43">
        <v>20310320</v>
      </c>
      <c r="AJ61" s="45">
        <v>2.9578599378818744E-2</v>
      </c>
      <c r="AK61" s="49">
        <v>204000000</v>
      </c>
    </row>
    <row r="62" spans="1:37" x14ac:dyDescent="0.4">
      <c r="AG62" s="43">
        <v>20310320</v>
      </c>
      <c r="AH62" s="43">
        <v>20310620</v>
      </c>
      <c r="AI62" s="43">
        <v>20310620</v>
      </c>
      <c r="AJ62" s="45">
        <v>2.9515376473047916E-2</v>
      </c>
      <c r="AK62" s="49">
        <v>204000000</v>
      </c>
    </row>
    <row r="63" spans="1:37" x14ac:dyDescent="0.4">
      <c r="AG63" s="43">
        <v>20310620</v>
      </c>
      <c r="AH63" s="43">
        <v>20310922</v>
      </c>
      <c r="AI63" s="43">
        <v>20310922</v>
      </c>
      <c r="AJ63" s="45">
        <v>2.944229402823104E-2</v>
      </c>
      <c r="AK63" s="49">
        <v>204000000</v>
      </c>
    </row>
    <row r="64" spans="1:37" x14ac:dyDescent="0.4">
      <c r="AG64" s="43">
        <v>20310922</v>
      </c>
      <c r="AH64" s="43">
        <v>20311222</v>
      </c>
      <c r="AI64" s="43">
        <v>20311222</v>
      </c>
      <c r="AJ64" s="45">
        <v>2.9368312102074055E-2</v>
      </c>
      <c r="AK64" s="49">
        <v>204000000</v>
      </c>
    </row>
    <row r="65" spans="33:37" x14ac:dyDescent="0.4">
      <c r="AG65" s="43">
        <v>20311222</v>
      </c>
      <c r="AH65" s="43">
        <v>20320322</v>
      </c>
      <c r="AI65" s="43">
        <v>20320322</v>
      </c>
      <c r="AJ65" s="45">
        <v>2.928452863626502E-2</v>
      </c>
      <c r="AK65" s="49">
        <v>204000000</v>
      </c>
    </row>
    <row r="66" spans="33:37" x14ac:dyDescent="0.4">
      <c r="AG66" s="43">
        <v>20320322</v>
      </c>
      <c r="AH66" s="43">
        <v>20320621</v>
      </c>
      <c r="AI66" s="43">
        <v>20320621</v>
      </c>
      <c r="AJ66" s="45">
        <v>2.9196924624567293E-2</v>
      </c>
      <c r="AK66" s="49">
        <v>204000000</v>
      </c>
    </row>
    <row r="67" spans="33:37" x14ac:dyDescent="0.4">
      <c r="AG67" s="43">
        <v>20320621</v>
      </c>
      <c r="AH67" s="43">
        <v>20320922</v>
      </c>
      <c r="AI67" s="43">
        <v>20320922</v>
      </c>
      <c r="AJ67" s="45">
        <v>2.910267437927366E-2</v>
      </c>
      <c r="AK67" s="49">
        <v>204000000</v>
      </c>
    </row>
    <row r="68" spans="33:37" x14ac:dyDescent="0.4">
      <c r="AG68" s="43">
        <v>20320922</v>
      </c>
      <c r="AH68" s="43">
        <v>20321220</v>
      </c>
      <c r="AI68" s="43">
        <v>20321220</v>
      </c>
      <c r="AJ68" s="45">
        <v>2.8993498614367782E-2</v>
      </c>
      <c r="AK68" s="49">
        <v>204000000</v>
      </c>
    </row>
    <row r="69" spans="33:37" x14ac:dyDescent="0.4">
      <c r="AG69" s="43">
        <v>20321220</v>
      </c>
      <c r="AH69" s="43">
        <v>20330321</v>
      </c>
      <c r="AI69" s="43">
        <v>20330321</v>
      </c>
      <c r="AJ69" s="45">
        <v>2.8927884633495694E-2</v>
      </c>
      <c r="AK69" s="49">
        <v>204000000</v>
      </c>
    </row>
    <row r="70" spans="33:37" x14ac:dyDescent="0.4">
      <c r="AG70" s="43">
        <v>20330321</v>
      </c>
      <c r="AH70" s="43">
        <v>20330620</v>
      </c>
      <c r="AI70" s="43">
        <v>20330620</v>
      </c>
      <c r="AJ70" s="45">
        <v>2.8847958244409753E-2</v>
      </c>
      <c r="AK70" s="49">
        <v>204000000</v>
      </c>
    </row>
    <row r="71" spans="33:37" x14ac:dyDescent="0.4">
      <c r="AG71" s="43">
        <v>20330620</v>
      </c>
      <c r="AH71" s="43">
        <v>20330920</v>
      </c>
      <c r="AI71" s="43">
        <v>20330920</v>
      </c>
      <c r="AJ71" s="45">
        <v>2.8760689877116028E-2</v>
      </c>
      <c r="AK71" s="49">
        <v>204000000</v>
      </c>
    </row>
    <row r="72" spans="33:37" x14ac:dyDescent="0.4">
      <c r="AG72" s="43">
        <v>20330920</v>
      </c>
      <c r="AH72" s="43">
        <v>20331220</v>
      </c>
      <c r="AI72" s="43">
        <v>20331220</v>
      </c>
      <c r="AJ72" s="45">
        <v>2.8658479236316276E-2</v>
      </c>
      <c r="AK72" s="49">
        <v>204000000</v>
      </c>
    </row>
    <row r="73" spans="33:37" x14ac:dyDescent="0.4">
      <c r="AG73" s="43">
        <v>20331220</v>
      </c>
      <c r="AH73" s="43">
        <v>20340320</v>
      </c>
      <c r="AI73" s="43">
        <v>20340320</v>
      </c>
      <c r="AJ73" s="45">
        <v>2.8536823618596718E-2</v>
      </c>
      <c r="AK73" s="49">
        <v>204000000</v>
      </c>
    </row>
    <row r="74" spans="33:37" x14ac:dyDescent="0.4">
      <c r="AG74" s="43">
        <v>20340320</v>
      </c>
      <c r="AH74" s="43">
        <v>20340620</v>
      </c>
      <c r="AI74" s="43">
        <v>20340620</v>
      </c>
      <c r="AJ74" s="45">
        <v>2.8420646481040573E-2</v>
      </c>
      <c r="AK74" s="49">
        <v>204000000</v>
      </c>
    </row>
    <row r="75" spans="33:37" x14ac:dyDescent="0.4">
      <c r="AG75" s="43">
        <v>20340620</v>
      </c>
      <c r="AH75" s="43">
        <v>20340920</v>
      </c>
      <c r="AI75" s="43">
        <v>20340920</v>
      </c>
      <c r="AJ75" s="45">
        <v>2.8280147331041363E-2</v>
      </c>
      <c r="AK75" s="49">
        <v>204000000</v>
      </c>
    </row>
    <row r="76" spans="33:37" x14ac:dyDescent="0.4">
      <c r="AG76" s="43">
        <v>20340920</v>
      </c>
      <c r="AH76" s="43">
        <v>20341220</v>
      </c>
      <c r="AI76" s="43">
        <v>20341220</v>
      </c>
      <c r="AJ76" s="45">
        <v>2.8141888092851498E-2</v>
      </c>
      <c r="AK76" s="49">
        <v>204000000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2025-03-06T13:03:27Z</dcterms:modified>
</cp:coreProperties>
</file>