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81752AEA-0805-4F16-A5FC-988426287F0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<sst xmlns="http://schemas.openxmlformats.org/spreadsheetml/2006/main" count="122" uniqueCount="88">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</sst>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I9" sqref="I9:K9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45538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55"/>
      <c r="E14" s="55"/>
      <c r="G14" s="59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55"/>
      <c r="E15" s="55"/>
      <c r="G15" s="59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59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59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Y1" workbookViewId="0">
      <selection activeCell="O10" sqref="O10:P1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0" t="s">
        <v>30</v>
      </c>
      <c r="C3" s="110"/>
      <c r="D3" s="145">
        <v>45538</v>
      </c>
      <c r="E3" s="87"/>
      <c r="F3" s="69" t="s">
        <v>31</v>
      </c>
      <c r="G3" s="69"/>
      <c r="H3" s="87">
        <v>0</v>
      </c>
      <c r="I3" s="87"/>
      <c r="J3" s="69" t="s">
        <v>32</v>
      </c>
      <c r="K3" s="69"/>
      <c r="L3" s="146">
        <v>40000000000</v>
      </c>
      <c r="M3" s="146"/>
      <c r="O3" s="129" t="s">
        <v>50</v>
      </c>
      <c r="P3" s="130"/>
      <c r="Q3" s="130"/>
      <c r="R3" s="131"/>
      <c r="T3" s="121" t="s">
        <v>56</v>
      </c>
      <c r="U3" s="122"/>
      <c r="W3" s="112" t="s">
        <v>77</v>
      </c>
      <c r="X3" s="113"/>
      <c r="Y3" s="112" t="s">
        <v>78</v>
      </c>
      <c r="Z3" s="113"/>
      <c r="AB3" s="80" t="s">
        <v>66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2" t="s">
        <v>49</v>
      </c>
      <c r="P4" s="133"/>
      <c r="Q4" s="134">
        <v>43819</v>
      </c>
      <c r="R4" s="135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09" t="s">
        <v>51</v>
      </c>
      <c r="P5" s="140"/>
      <c r="Q5" s="141">
        <v>49298</v>
      </c>
      <c r="R5" s="142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38" t="s">
        <v>43</v>
      </c>
      <c r="P6" s="139"/>
      <c r="Q6" s="120">
        <v>1</v>
      </c>
      <c r="R6" s="71"/>
      <c r="W6" s="27">
        <v>44769</v>
      </c>
      <c r="X6" s="34">
        <v>3.6999999999999998E-2</v>
      </c>
      <c r="Y6" s="27">
        <v>44769</v>
      </c>
      <c r="Z6" s="36">
        <v>0.03</v>
      </c>
      <c r="AB6" s="69" t="s">
        <v>67</v>
      </c>
      <c r="AC6" s="69"/>
      <c r="AD6" s="87">
        <v>0</v>
      </c>
      <c r="AE6" s="87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86</v>
      </c>
      <c r="K7" s="69"/>
      <c r="L7" s="70">
        <v>0</v>
      </c>
      <c r="M7" s="71"/>
      <c r="O7" s="121" t="str">
        <f>IF(Q6&gt;0,"Phase2날짜","")</f>
        <v>Phase2날짜</v>
      </c>
      <c r="P7" s="122"/>
      <c r="Q7" s="136">
        <f>EDATE(Q4,84)</f>
        <v>46376</v>
      </c>
      <c r="R7" s="137"/>
      <c r="W7" s="27">
        <v>44815</v>
      </c>
      <c r="X7" s="34">
        <v>3.6999999999999998E-2</v>
      </c>
      <c r="Y7" s="27">
        <v>44815</v>
      </c>
      <c r="Z7" s="34">
        <v>0.03</v>
      </c>
      <c r="AB7" s="69" t="s">
        <v>80</v>
      </c>
      <c r="AC7" s="69"/>
      <c r="AD7" s="87">
        <v>0</v>
      </c>
      <c r="AE7" s="87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3" t="str">
        <f>"기초금리정보"</f>
        <v>기초금리정보</v>
      </c>
      <c r="C9" s="124"/>
      <c r="D9" s="51" t="s">
        <v>35</v>
      </c>
      <c r="E9" s="51"/>
      <c r="F9" s="70">
        <v>0</v>
      </c>
      <c r="G9" s="71"/>
      <c r="H9" s="23"/>
      <c r="I9" s="22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6" t="s">
        <v>53</v>
      </c>
      <c r="P9" s="96"/>
      <c r="Q9" s="96"/>
      <c r="R9" s="96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5"/>
      <c r="C10" s="126"/>
      <c r="D10" s="51" t="s">
        <v>36</v>
      </c>
      <c r="E10" s="91"/>
      <c r="F10" s="92">
        <v>1</v>
      </c>
      <c r="G10" s="93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87">
        <v>4</v>
      </c>
      <c r="M10" s="95"/>
      <c r="O10" s="96" t="s">
        <v>52</v>
      </c>
      <c r="P10" s="96"/>
      <c r="Q10" s="120">
        <v>4</v>
      </c>
      <c r="R10" s="71"/>
      <c r="AB10" s="109" t="s">
        <v>79</v>
      </c>
      <c r="AC10" s="110"/>
      <c r="AD10" s="111">
        <v>3626866115.7013407</v>
      </c>
      <c r="AE10" s="11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5"/>
      <c r="C11" s="126"/>
      <c r="D11" s="96" t="s">
        <v>37</v>
      </c>
      <c r="E11" s="96"/>
      <c r="F11" s="70">
        <v>0</v>
      </c>
      <c r="G11" s="71"/>
      <c r="H11" s="94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6" t="s">
        <v>54</v>
      </c>
      <c r="P11" s="96"/>
      <c r="Q11" s="120">
        <v>0</v>
      </c>
      <c r="R11" s="71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5"/>
      <c r="C12" s="126"/>
      <c r="D12" s="96" t="s">
        <v>38</v>
      </c>
      <c r="E12" s="96"/>
      <c r="F12" s="105">
        <v>1</v>
      </c>
      <c r="G12" s="106"/>
      <c r="H12" s="143" t="str">
        <f>"ex) Deposit 3M -&gt; 연 지급횟수= 4, 만기= 0.25 ||  ex2) CMT 5Y 연 지급횟수=2, 만기 5"</f>
        <v>ex) Deposit 3M -&gt; 연 지급횟수= 4, 만기= 0.25 ||  ex2) CMT 5Y 연 지급횟수=2, 만기 5</v>
      </c>
      <c r="I12" s="143"/>
      <c r="J12" s="143"/>
      <c r="K12" s="143"/>
      <c r="L12" s="143"/>
      <c r="M12" s="144"/>
      <c r="O12" s="121" t="s">
        <v>55</v>
      </c>
      <c r="P12" s="122"/>
      <c r="Q12" s="120">
        <v>1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5"/>
      <c r="C13" s="126"/>
      <c r="D13" s="96" t="s">
        <v>39</v>
      </c>
      <c r="E13" s="51"/>
      <c r="F13" s="97">
        <v>-1</v>
      </c>
      <c r="G13" s="98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99">
        <v>10</v>
      </c>
      <c r="M13" s="10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7"/>
      <c r="C14" s="128"/>
      <c r="D14" s="101" t="s">
        <v>40</v>
      </c>
      <c r="E14" s="101"/>
      <c r="F14" s="102">
        <v>1</v>
      </c>
      <c r="G14" s="103"/>
      <c r="H14" s="75"/>
      <c r="I14" s="75"/>
      <c r="J14" s="75" t="str">
        <f>IF(F11&gt;0,"만기2","")</f>
        <v/>
      </c>
      <c r="K14" s="75"/>
      <c r="L14" s="99">
        <v>5</v>
      </c>
      <c r="M14" s="100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07" t="s">
        <v>73</v>
      </c>
      <c r="AC15" s="108"/>
      <c r="AD15" s="108"/>
      <c r="AE15" s="108"/>
      <c r="AF15" s="108"/>
      <c r="AG15" s="107" t="s">
        <v>74</v>
      </c>
      <c r="AH15" s="108"/>
      <c r="AI15" s="108"/>
      <c r="AJ15" s="108"/>
      <c r="AK15" s="108"/>
    </row>
    <row r="16" spans="1:57" x14ac:dyDescent="0.4">
      <c r="A16" s="21">
        <f t="shared" si="1"/>
        <v>16</v>
      </c>
      <c r="B16" s="104" t="s">
        <v>41</v>
      </c>
      <c r="C16" s="104"/>
      <c r="D16" s="96" t="s">
        <v>81</v>
      </c>
      <c r="E16" s="96"/>
      <c r="F16" s="105">
        <v>-1E-4</v>
      </c>
      <c r="G16" s="10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-1 &lt; 1 x Rate(0.25Y) &lt; 1</v>
      </c>
      <c r="K16" s="74"/>
      <c r="L16" s="74"/>
      <c r="M16" s="74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4"/>
      <c r="C17" s="104"/>
      <c r="D17" s="96" t="s">
        <v>44</v>
      </c>
      <c r="E17" s="96"/>
      <c r="F17" s="105">
        <v>0</v>
      </c>
      <c r="G17" s="10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4"/>
      <c r="L17" s="74"/>
      <c r="M17" s="74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4"/>
      <c r="C18" s="104"/>
      <c r="D18" s="96" t="s">
        <v>45</v>
      </c>
      <c r="E18" s="96"/>
      <c r="F18" s="70">
        <v>1</v>
      </c>
      <c r="G18" s="71"/>
      <c r="H18" s="72"/>
      <c r="I18" s="73"/>
      <c r="J18" s="74"/>
      <c r="K18" s="74"/>
      <c r="L18" s="74"/>
      <c r="M18" s="74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4" t="s">
        <v>46</v>
      </c>
      <c r="C21" s="104"/>
      <c r="D21" s="96" t="s">
        <v>42</v>
      </c>
      <c r="E21" s="96"/>
      <c r="F21" s="105">
        <v>-1E-4</v>
      </c>
      <c r="G21" s="10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4"/>
      <c r="L21" s="74"/>
      <c r="M21" s="74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4"/>
      <c r="C22" s="104"/>
      <c r="D22" s="96" t="s">
        <v>44</v>
      </c>
      <c r="E22" s="96"/>
      <c r="F22" s="105">
        <v>0</v>
      </c>
      <c r="G22" s="106"/>
      <c r="H22" s="72"/>
      <c r="I22" s="73"/>
      <c r="J22" s="74"/>
      <c r="K22" s="74"/>
      <c r="L22" s="74"/>
      <c r="M22" s="74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4"/>
      <c r="C23" s="104"/>
      <c r="D23" s="96" t="s">
        <v>45</v>
      </c>
      <c r="E23" s="96"/>
      <c r="F23" s="70">
        <v>1</v>
      </c>
      <c r="G23" s="71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86</v>
      </c>
      <c r="K27" s="69"/>
      <c r="L27" s="70">
        <v>4</v>
      </c>
      <c r="M27" s="71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123" t="str">
        <f>"기초금리정보"</f>
        <v>기초금리정보</v>
      </c>
      <c r="C29" s="124"/>
      <c r="D29" s="51" t="s">
        <v>35</v>
      </c>
      <c r="E29" s="51"/>
      <c r="F29" s="70">
        <v>3</v>
      </c>
      <c r="G29" s="71"/>
      <c r="H29" s="23"/>
      <c r="I29" s="22"/>
      <c r="J29" s="88" t="str">
        <f>IF(OR(F30 = 0, F30 = 2, F30 = 4), "RefType = "&amp;F30&amp;" 이므로 Ref Swap 금리정보 사용안함", "사용")</f>
        <v>RefType = 0 이므로 Ref Swap 금리정보 사용안함</v>
      </c>
      <c r="K29" s="89"/>
      <c r="L29" s="89"/>
      <c r="M29" s="90"/>
      <c r="O29" s="96" t="s">
        <v>59</v>
      </c>
      <c r="P29" s="96"/>
      <c r="Q29" s="96"/>
      <c r="R29" s="96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125"/>
      <c r="C30" s="126"/>
      <c r="D30" s="51" t="s">
        <v>36</v>
      </c>
      <c r="E30" s="91"/>
      <c r="F30" s="92">
        <v>0</v>
      </c>
      <c r="G30" s="93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/>
      </c>
      <c r="K30" s="77"/>
      <c r="L30" s="87">
        <v>4</v>
      </c>
      <c r="M30" s="95"/>
      <c r="O30" s="96" t="s">
        <v>87</v>
      </c>
      <c r="P30" s="96"/>
      <c r="Q30" s="120">
        <v>4</v>
      </c>
      <c r="R30" s="71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125"/>
      <c r="C31" s="126"/>
      <c r="D31" s="96" t="s">
        <v>37</v>
      </c>
      <c r="E31" s="96"/>
      <c r="F31" s="70">
        <v>0</v>
      </c>
      <c r="G31" s="71"/>
      <c r="H31" s="94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6" t="s">
        <v>54</v>
      </c>
      <c r="P31" s="96"/>
      <c r="Q31" s="120">
        <v>0</v>
      </c>
      <c r="R31" s="71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125"/>
      <c r="C32" s="126"/>
      <c r="D32" s="96" t="s">
        <v>38</v>
      </c>
      <c r="E32" s="96"/>
      <c r="F32" s="105">
        <v>0.8</v>
      </c>
      <c r="G32" s="106"/>
      <c r="H32" s="143" t="str">
        <f>"ex) Deposit 3M -&gt; 연 지급횟수= 4, 만기= 0.25 ||  ex2) CMT 5Y 연 지급횟수=2, 만기 5"</f>
        <v>ex) Deposit 3M -&gt; 연 지급횟수= 4, 만기= 0.25 ||  ex2) CMT 5Y 연 지급횟수=2, 만기 5</v>
      </c>
      <c r="I32" s="143"/>
      <c r="J32" s="143"/>
      <c r="K32" s="143"/>
      <c r="L32" s="143"/>
      <c r="M32" s="144"/>
      <c r="O32" s="121" t="s">
        <v>55</v>
      </c>
      <c r="P32" s="122"/>
      <c r="Q32" s="120">
        <v>4</v>
      </c>
      <c r="R32" s="71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125"/>
      <c r="C33" s="126"/>
      <c r="D33" s="96" t="s">
        <v>39</v>
      </c>
      <c r="E33" s="51"/>
      <c r="F33" s="97">
        <v>-0.8</v>
      </c>
      <c r="G33" s="98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99">
        <v>10</v>
      </c>
      <c r="M33" s="100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127"/>
      <c r="C34" s="128"/>
      <c r="D34" s="101" t="s">
        <v>40</v>
      </c>
      <c r="E34" s="101"/>
      <c r="F34" s="102">
        <v>0</v>
      </c>
      <c r="G34" s="103"/>
      <c r="H34" s="75"/>
      <c r="I34" s="75"/>
      <c r="J34" s="75" t="str">
        <f>IF(F31&gt;0,"만기2","")</f>
        <v/>
      </c>
      <c r="K34" s="75"/>
      <c r="L34" s="99">
        <v>5</v>
      </c>
      <c r="M34" s="100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04" t="s">
        <v>41</v>
      </c>
      <c r="C36" s="104"/>
      <c r="D36" s="96" t="s">
        <v>42</v>
      </c>
      <c r="E36" s="96"/>
      <c r="F36" s="105">
        <v>2.0199999999999999E-2</v>
      </c>
      <c r="G36" s="10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0 x Rate(10Y) &lt; 0.8</v>
      </c>
      <c r="K36" s="74"/>
      <c r="L36" s="74"/>
      <c r="M36" s="74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04"/>
      <c r="C37" s="104"/>
      <c r="D37" s="96" t="s">
        <v>44</v>
      </c>
      <c r="E37" s="96"/>
      <c r="F37" s="105">
        <v>0</v>
      </c>
      <c r="G37" s="10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04"/>
      <c r="C38" s="104"/>
      <c r="D38" s="96" t="s">
        <v>45</v>
      </c>
      <c r="E38" s="96"/>
      <c r="F38" s="70">
        <v>0</v>
      </c>
      <c r="G38" s="71"/>
      <c r="H38" s="72"/>
      <c r="I38" s="73"/>
      <c r="J38" s="74"/>
      <c r="K38" s="74"/>
      <c r="L38" s="74"/>
      <c r="M38" s="74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04" t="s">
        <v>46</v>
      </c>
      <c r="C41" s="104"/>
      <c r="D41" s="96" t="s">
        <v>42</v>
      </c>
      <c r="E41" s="96"/>
      <c r="F41" s="105">
        <v>2.0199999999999999E-2</v>
      </c>
      <c r="G41" s="10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4"/>
      <c r="L41" s="74"/>
      <c r="M41" s="74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04"/>
      <c r="C42" s="104"/>
      <c r="D42" s="96" t="s">
        <v>44</v>
      </c>
      <c r="E42" s="96"/>
      <c r="F42" s="105">
        <v>0</v>
      </c>
      <c r="G42" s="106"/>
      <c r="H42" s="72"/>
      <c r="I42" s="73"/>
      <c r="J42" s="74"/>
      <c r="K42" s="74"/>
      <c r="L42" s="74"/>
      <c r="M42" s="74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04"/>
      <c r="C43" s="104"/>
      <c r="D43" s="96" t="s">
        <v>45</v>
      </c>
      <c r="E43" s="96"/>
      <c r="F43" s="70">
        <v>0</v>
      </c>
      <c r="G43" s="71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14" t="s">
        <v>61</v>
      </c>
      <c r="C45" s="115"/>
      <c r="D45" s="115"/>
      <c r="E45" s="115"/>
      <c r="F45" s="115"/>
      <c r="G45" s="116"/>
      <c r="AB45" s="41">
        <v>20261221</v>
      </c>
      <c r="AC45" s="42">
        <v>20271220</v>
      </c>
      <c r="AD45" s="42">
        <v>20271220</v>
      </c>
      <c r="AE45" s="44">
        <v>2.8061692061964072E-2</v>
      </c>
      <c r="AF45" s="48">
        <v>1115403387.4580739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17"/>
      <c r="C46" s="118"/>
      <c r="D46" s="118"/>
      <c r="E46" s="118"/>
      <c r="F46" s="118"/>
      <c r="G46" s="119"/>
      <c r="AB46" s="41">
        <v>20271220</v>
      </c>
      <c r="AC46" s="42">
        <v>20281220</v>
      </c>
      <c r="AD46" s="42">
        <v>20281220</v>
      </c>
      <c r="AE46" s="44">
        <v>2.8244664088454993E-2</v>
      </c>
      <c r="AF46" s="48">
        <v>1128870910.2876196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20281220</v>
      </c>
      <c r="AC47" s="42">
        <v>20291220</v>
      </c>
      <c r="AD47" s="42">
        <v>20291220</v>
      </c>
      <c r="AE47" s="44">
        <v>2.8761572001036306E-2</v>
      </c>
      <c r="AF47" s="48">
        <v>1146462880.0414522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20291220</v>
      </c>
      <c r="AC48" s="42">
        <v>20301220</v>
      </c>
      <c r="AD48" s="42">
        <v>20301220</v>
      </c>
      <c r="AE48" s="44">
        <v>2.875580399186305E-2</v>
      </c>
      <c r="AF48" s="48">
        <v>1146232159.6745219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20301220</v>
      </c>
      <c r="AC49" s="42">
        <v>20311222</v>
      </c>
      <c r="AD49" s="42">
        <v>20311222</v>
      </c>
      <c r="AE49" s="44">
        <v>2.9584052599903168E-2</v>
      </c>
      <c r="AF49" s="48">
        <v>1185824362.1002152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20311222</v>
      </c>
      <c r="AC50" s="42">
        <v>20321220</v>
      </c>
      <c r="AD50" s="42">
        <v>20321220</v>
      </c>
      <c r="AE50" s="44">
        <v>2.9960114908587254E-2</v>
      </c>
      <c r="AF50" s="48">
        <v>1191132254.983645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20321220</v>
      </c>
      <c r="AC51" s="42">
        <v>20331220</v>
      </c>
      <c r="AD51" s="42">
        <v>20331220</v>
      </c>
      <c r="AE51" s="44">
        <v>2.9446311049456608E-2</v>
      </c>
      <c r="AF51" s="48">
        <v>1173852441.9782643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20331220</v>
      </c>
      <c r="AC52" s="42">
        <v>20341220</v>
      </c>
      <c r="AD52" s="42">
        <v>20341220</v>
      </c>
      <c r="AE52" s="44">
        <v>3.0636631195195937E-2</v>
      </c>
      <c r="AF52" s="48">
        <v>1221465247.8078375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33:37" x14ac:dyDescent="0.4"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33:37" x14ac:dyDescent="0.4"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33:37" x14ac:dyDescent="0.4"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33:37" x14ac:dyDescent="0.4"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33:37" x14ac:dyDescent="0.4"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33:37" x14ac:dyDescent="0.4"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33:37" x14ac:dyDescent="0.4"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33:37" x14ac:dyDescent="0.4"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33:37" x14ac:dyDescent="0.4"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33:37" x14ac:dyDescent="0.4"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33:37" x14ac:dyDescent="0.4"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33:37" x14ac:dyDescent="0.4"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2025-11-23T12:38:14Z</dcterms:modified>
</cp:coreProperties>
</file>