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<sst xmlns="http://schemas.openxmlformats.org/spreadsheetml/2006/main" count="30" uniqueCount="30">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</sst>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Border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G16" sqref="G16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3" t="s">
        <v>29</v>
      </c>
      <c r="D2" s="14">
        <v>1</v>
      </c>
      <c r="F2" s="1"/>
      <c r="G2" s="1"/>
      <c r="I2" s="1"/>
      <c r="J2" s="31" t="s">
        <v>17</v>
      </c>
      <c r="K2" s="31"/>
      <c r="L2" s="31"/>
      <c r="M2" s="31"/>
      <c r="N2" s="1"/>
      <c r="O2" s="1"/>
    </row>
    <row r="3" spans="1:17" x14ac:dyDescent="0.4">
      <c r="B3" s="21" t="s">
        <v>0</v>
      </c>
      <c r="C3" s="21"/>
      <c r="D3" s="25">
        <v>45205</v>
      </c>
      <c r="E3" s="24"/>
      <c r="F3" s="21" t="s">
        <v>1</v>
      </c>
      <c r="G3" s="21"/>
      <c r="H3" s="20">
        <v>0</v>
      </c>
      <c r="I3" s="20"/>
      <c r="J3" s="21" t="s">
        <v>18</v>
      </c>
      <c r="K3" s="21"/>
      <c r="L3" s="20">
        <v>1</v>
      </c>
      <c r="M3" s="20"/>
      <c r="N3" s="1"/>
      <c r="O3" s="1"/>
    </row>
    <row r="4" spans="1:17" x14ac:dyDescent="0.4">
      <c r="B4" s="21" t="s">
        <v>3</v>
      </c>
      <c r="C4" s="21"/>
      <c r="D4" s="25">
        <v>47505</v>
      </c>
      <c r="E4" s="24"/>
      <c r="F4" s="21" t="s">
        <v>6</v>
      </c>
      <c r="G4" s="21"/>
      <c r="H4" s="24">
        <v>0</v>
      </c>
      <c r="I4" s="24"/>
      <c r="J4" s="22" t="s">
        <v>19</v>
      </c>
      <c r="K4" s="23"/>
      <c r="L4" s="32">
        <v>2.63E-2</v>
      </c>
      <c r="M4" s="32"/>
      <c r="N4" s="1"/>
      <c r="O4" s="1"/>
    </row>
    <row r="5" spans="1:17" x14ac:dyDescent="0.4">
      <c r="B5" s="21" t="s">
        <v>4</v>
      </c>
      <c r="C5" s="21"/>
      <c r="D5" s="25">
        <v>51158</v>
      </c>
      <c r="E5" s="24"/>
      <c r="F5" s="21" t="s">
        <v>8</v>
      </c>
      <c r="G5" s="21"/>
      <c r="H5" s="20">
        <v>1</v>
      </c>
      <c r="I5" s="20"/>
      <c r="L5" s="1"/>
      <c r="N5" s="1"/>
      <c r="O5" s="1"/>
    </row>
    <row r="6" spans="1:17" x14ac:dyDescent="0.4">
      <c r="B6" s="22" t="s">
        <v>2</v>
      </c>
      <c r="C6" s="23"/>
      <c r="D6" s="24">
        <v>0</v>
      </c>
      <c r="E6" s="24"/>
      <c r="F6" s="21" t="str">
        <f>IF(H5 = 1, "HolidayNation","Not Used")</f>
        <v>HolidayNation</v>
      </c>
      <c r="G6" s="21"/>
      <c r="H6" s="20">
        <v>0</v>
      </c>
      <c r="I6" s="20"/>
      <c r="J6" s="21" t="s">
        <v>24</v>
      </c>
      <c r="K6" s="21"/>
      <c r="L6" s="5">
        <f>COUNT(L7:L1048572)</f>
        <v>10</v>
      </c>
      <c r="N6" s="27" t="s">
        <v>20</v>
      </c>
      <c r="O6" s="27"/>
      <c r="P6" s="26">
        <v>45613.925787037035</v>
      </c>
      <c r="Q6" s="26"/>
    </row>
    <row r="7" spans="1:17" x14ac:dyDescent="0.4">
      <c r="B7" s="22" t="s">
        <v>5</v>
      </c>
      <c r="C7" s="23"/>
      <c r="D7" s="24">
        <v>4</v>
      </c>
      <c r="E7" s="24"/>
      <c r="F7" s="21" t="s">
        <v>15</v>
      </c>
      <c r="G7" s="21"/>
      <c r="H7" s="20">
        <v>0</v>
      </c>
      <c r="I7" s="20"/>
      <c r="J7" s="21" t="s">
        <v>23</v>
      </c>
      <c r="K7" s="21"/>
      <c r="L7" s="7">
        <v>47505</v>
      </c>
      <c r="N7" s="27" t="s">
        <v>21</v>
      </c>
      <c r="O7" s="27"/>
      <c r="P7" s="26">
        <v>45613.925810185188</v>
      </c>
      <c r="Q7" s="26"/>
    </row>
    <row r="8" spans="1:17" x14ac:dyDescent="0.4">
      <c r="B8" s="1"/>
      <c r="C8" s="1"/>
      <c r="F8" s="22" t="s">
        <v>10</v>
      </c>
      <c r="G8" s="23"/>
      <c r="H8" s="29">
        <v>2.0299999999999999E-2</v>
      </c>
      <c r="I8" s="29"/>
      <c r="L8" s="7">
        <v>47875</v>
      </c>
      <c r="N8" s="1"/>
      <c r="O8" s="1"/>
    </row>
    <row r="9" spans="1:17" x14ac:dyDescent="0.4">
      <c r="B9" s="22" t="s">
        <v>7</v>
      </c>
      <c r="C9" s="23"/>
      <c r="D9" s="24">
        <v>1</v>
      </c>
      <c r="E9" s="24"/>
      <c r="F9" s="22" t="s">
        <v>11</v>
      </c>
      <c r="G9" s="23"/>
      <c r="H9" s="30">
        <v>1</v>
      </c>
      <c r="I9" s="30"/>
      <c r="K9" s="1">
        <v>47505</v>
      </c>
      <c r="L9" s="7">
        <v>48235</v>
      </c>
      <c r="N9" s="27" t="s">
        <v>12</v>
      </c>
      <c r="O9" s="27"/>
      <c r="P9" s="33">
        <v>9.930182079364535E-3</v>
      </c>
      <c r="Q9" s="33"/>
    </row>
    <row r="10" spans="1:17" x14ac:dyDescent="0.4">
      <c r="B10" s="22" t="s">
        <v>25</v>
      </c>
      <c r="C10" s="23"/>
      <c r="D10" s="24">
        <v>1</v>
      </c>
      <c r="E10" s="24"/>
      <c r="F10" s="1"/>
      <c r="G10" s="1"/>
      <c r="I10" s="1"/>
      <c r="K10" s="1">
        <v>47875</v>
      </c>
      <c r="L10" s="7">
        <v>48603</v>
      </c>
      <c r="N10" s="27" t="s">
        <v>14</v>
      </c>
      <c r="O10" s="27"/>
      <c r="P10" s="34">
        <v>3.9967291747879767E-2</v>
      </c>
      <c r="Q10" s="34"/>
    </row>
    <row r="11" spans="1:17" x14ac:dyDescent="0.4">
      <c r="B11" s="28" t="s">
        <v>9</v>
      </c>
      <c r="C11" s="28"/>
      <c r="F11" s="28" t="s">
        <v>28</v>
      </c>
      <c r="G11" s="28"/>
      <c r="I11" s="28" t="str">
        <f>IF(H5=1,"NotUsed","Holiday")</f>
        <v>NotUsed</v>
      </c>
      <c r="K11" s="1">
        <v>48235</v>
      </c>
      <c r="L11" s="7">
        <v>48967</v>
      </c>
      <c r="N11" s="27" t="s">
        <v>13</v>
      </c>
      <c r="O11" s="27"/>
      <c r="P11" s="35">
        <v>0</v>
      </c>
      <c r="Q11" s="35"/>
    </row>
    <row r="12" spans="1:17" x14ac:dyDescent="0.4">
      <c r="B12" s="28"/>
      <c r="C12" s="28"/>
      <c r="F12" s="11" t="s">
        <v>27</v>
      </c>
      <c r="G12" s="11" t="s">
        <v>26</v>
      </c>
      <c r="I12" s="28"/>
      <c r="K12" s="1">
        <v>48603</v>
      </c>
      <c r="L12" s="7">
        <v>49331</v>
      </c>
      <c r="N12" s="27" t="s">
        <v>16</v>
      </c>
      <c r="O12" s="27"/>
      <c r="P12" s="36">
        <v>9.8297580181903235E-3</v>
      </c>
      <c r="Q12" s="36"/>
    </row>
    <row r="13" spans="1:17" x14ac:dyDescent="0.35">
      <c r="B13" s="15">
        <v>45209</v>
      </c>
      <c r="C13" s="17">
        <v>3.5263</v>
      </c>
      <c r="D13" s="1">
        <v>3.5263</v>
      </c>
      <c r="E13" s="8">
        <v>45236</v>
      </c>
      <c r="F13" s="15">
        <v>45570</v>
      </c>
      <c r="G13" s="12">
        <v>6.8900000000000003E-3</v>
      </c>
      <c r="H13" s="8">
        <v>45570</v>
      </c>
      <c r="I13" s="2">
        <v>43101</v>
      </c>
      <c r="K13" s="1">
        <v>48967</v>
      </c>
      <c r="L13" s="7">
        <v>49696</v>
      </c>
      <c r="N13" s="1"/>
      <c r="O13" s="1"/>
    </row>
    <row r="14" spans="1:17" x14ac:dyDescent="0.35">
      <c r="B14" s="15">
        <v>45210</v>
      </c>
      <c r="C14" s="17">
        <v>3.5270999999999999</v>
      </c>
      <c r="D14" s="1">
        <v>3.5270999999999999</v>
      </c>
      <c r="E14" s="8">
        <v>45297</v>
      </c>
      <c r="F14" s="15">
        <v>50791</v>
      </c>
      <c r="G14" s="12">
        <v>6.6411634802818302E-3</v>
      </c>
      <c r="H14" s="8">
        <v>50791</v>
      </c>
      <c r="I14" s="2">
        <v>43146</v>
      </c>
      <c r="K14" s="1">
        <v>49331</v>
      </c>
      <c r="L14" s="7">
        <v>50062</v>
      </c>
      <c r="N14" s="27" t="s">
        <v>22</v>
      </c>
      <c r="O14" s="27"/>
    </row>
    <row r="15" spans="1:17" x14ac:dyDescent="0.35">
      <c r="B15" s="15">
        <v>45301</v>
      </c>
      <c r="C15" s="17">
        <v>3.7902999999999998</v>
      </c>
      <c r="D15" s="1">
        <v>3.7902999999999998</v>
      </c>
      <c r="E15" s="8">
        <v>45390</v>
      </c>
      <c r="F15" s="15"/>
      <c r="G15" s="12"/>
      <c r="I15" s="2">
        <v>43147</v>
      </c>
      <c r="K15" s="1">
        <v>49696</v>
      </c>
      <c r="L15" s="7">
        <v>50427</v>
      </c>
    </row>
    <row r="16" spans="1:17" x14ac:dyDescent="0.35">
      <c r="B16" s="15">
        <v>45393</v>
      </c>
      <c r="C16" s="17">
        <v>3.8933</v>
      </c>
      <c r="D16" s="1">
        <v>3.8933</v>
      </c>
      <c r="E16" s="8">
        <v>45481</v>
      </c>
      <c r="F16" s="15"/>
      <c r="G16" s="12"/>
      <c r="I16" s="2">
        <v>43148</v>
      </c>
      <c r="K16" s="1">
        <v>50062</v>
      </c>
      <c r="L16" s="7">
        <v>50794</v>
      </c>
    </row>
    <row r="17" spans="2:11" x14ac:dyDescent="0.35">
      <c r="B17" s="15">
        <v>45483</v>
      </c>
      <c r="C17" s="17">
        <v>3.9302999999999999</v>
      </c>
      <c r="D17" s="1">
        <v>3.9302999999999999</v>
      </c>
      <c r="E17" s="8">
        <v>45572</v>
      </c>
      <c r="F17" s="15"/>
      <c r="G17" s="12"/>
      <c r="I17" s="2">
        <v>43160</v>
      </c>
      <c r="K17" s="1">
        <v>50427</v>
      </c>
    </row>
    <row r="18" spans="2:11" x14ac:dyDescent="0.35">
      <c r="B18" s="15">
        <v>45575</v>
      </c>
      <c r="C18" s="17">
        <v>3.9365999999999999</v>
      </c>
      <c r="D18" s="1">
        <v>3.9365999999999999</v>
      </c>
      <c r="E18" s="8">
        <v>45754</v>
      </c>
      <c r="F18" s="15"/>
      <c r="G18" s="12"/>
      <c r="I18" s="2">
        <v>43221</v>
      </c>
      <c r="K18" s="1">
        <v>50794</v>
      </c>
    </row>
    <row r="19" spans="2:11" x14ac:dyDescent="0.35">
      <c r="B19" s="15">
        <v>45757</v>
      </c>
      <c r="C19" s="17">
        <v>3.9529000000000001</v>
      </c>
      <c r="D19" s="1">
        <v>3.9529000000000001</v>
      </c>
      <c r="E19" s="8">
        <v>45940</v>
      </c>
      <c r="F19" s="15"/>
      <c r="G19" s="12"/>
      <c r="I19" s="2">
        <v>43227</v>
      </c>
    </row>
    <row r="20" spans="2:11" x14ac:dyDescent="0.35">
      <c r="B20" s="15">
        <v>45940</v>
      </c>
      <c r="C20" s="17">
        <v>3.9586000000000001</v>
      </c>
      <c r="D20" s="1">
        <v>3.9586000000000001</v>
      </c>
      <c r="E20" s="8">
        <v>46301</v>
      </c>
      <c r="F20" s="15"/>
      <c r="G20" s="12"/>
      <c r="I20" s="2">
        <v>43242</v>
      </c>
    </row>
    <row r="21" spans="2:11" x14ac:dyDescent="0.35">
      <c r="B21" s="15">
        <v>46307</v>
      </c>
      <c r="C21" s="17">
        <v>3.9590999999999998</v>
      </c>
      <c r="D21" s="1">
        <v>3.9590999999999998</v>
      </c>
      <c r="E21" s="8">
        <v>46666</v>
      </c>
      <c r="F21" s="15"/>
      <c r="G21" s="12"/>
      <c r="I21" s="2">
        <v>43257</v>
      </c>
    </row>
    <row r="22" spans="2:11" x14ac:dyDescent="0.35">
      <c r="B22" s="15">
        <v>46671</v>
      </c>
      <c r="C22" s="17">
        <v>3.9672999999999998</v>
      </c>
      <c r="D22" s="1">
        <v>3.9672999999999998</v>
      </c>
      <c r="E22" s="8">
        <v>47032</v>
      </c>
      <c r="F22" s="15"/>
      <c r="G22" s="12"/>
    </row>
    <row r="23" spans="2:11" x14ac:dyDescent="0.35">
      <c r="B23" s="15">
        <v>47036</v>
      </c>
      <c r="C23" s="17">
        <v>3.9701</v>
      </c>
      <c r="D23" s="1">
        <v>3.9701</v>
      </c>
      <c r="E23" s="8">
        <v>47763</v>
      </c>
      <c r="F23" s="15"/>
      <c r="G23" s="12"/>
    </row>
    <row r="24" spans="2:11" x14ac:dyDescent="0.35">
      <c r="B24" s="15">
        <v>47401</v>
      </c>
      <c r="C24" s="17">
        <v>3.9782999999999999</v>
      </c>
      <c r="D24" s="1">
        <v>3.9782999999999999</v>
      </c>
      <c r="E24" s="8">
        <v>48858</v>
      </c>
      <c r="F24" s="15"/>
      <c r="G24" s="12"/>
    </row>
    <row r="25" spans="2:11" x14ac:dyDescent="0.35">
      <c r="B25" s="15">
        <v>47766</v>
      </c>
      <c r="C25" s="17">
        <v>3.9838</v>
      </c>
      <c r="D25" s="1">
        <v>3.9838</v>
      </c>
      <c r="E25" s="8">
        <v>50791</v>
      </c>
      <c r="F25" s="15"/>
      <c r="G25" s="12"/>
    </row>
    <row r="26" spans="2:11" x14ac:dyDescent="0.35">
      <c r="B26" s="15">
        <v>48131</v>
      </c>
      <c r="C26" s="17">
        <v>3.9923000000000002</v>
      </c>
      <c r="D26" s="1">
        <v>3.9923000000000002</v>
      </c>
      <c r="F26" s="15"/>
      <c r="G26" s="12"/>
    </row>
    <row r="27" spans="2:11" x14ac:dyDescent="0.35">
      <c r="B27" s="15">
        <v>48498</v>
      </c>
      <c r="C27" s="17">
        <v>4.0037000000000003</v>
      </c>
      <c r="D27" s="1">
        <v>4.0037000000000003</v>
      </c>
      <c r="F27" s="15"/>
      <c r="G27" s="12"/>
    </row>
    <row r="28" spans="2:11" x14ac:dyDescent="0.35">
      <c r="B28" s="15">
        <v>48862</v>
      </c>
      <c r="C28" s="17">
        <v>4.0152999999999999</v>
      </c>
      <c r="D28" s="1">
        <v>4.0152999999999999</v>
      </c>
      <c r="F28" s="15"/>
      <c r="G28" s="12"/>
    </row>
    <row r="29" spans="2:11" x14ac:dyDescent="0.35">
      <c r="B29" s="15">
        <v>49592</v>
      </c>
      <c r="C29" s="17">
        <v>4.0266000000000002</v>
      </c>
      <c r="D29" s="1">
        <v>4.0266000000000002</v>
      </c>
      <c r="F29" s="15"/>
      <c r="G29" s="12"/>
    </row>
    <row r="30" spans="2:11" x14ac:dyDescent="0.35">
      <c r="B30" s="15">
        <v>50689</v>
      </c>
      <c r="C30" s="17">
        <v>4.0156000000000001</v>
      </c>
      <c r="D30" s="1">
        <v>4.0156000000000001</v>
      </c>
      <c r="F30" s="15"/>
      <c r="G30" s="12"/>
    </row>
    <row r="31" spans="2:11" x14ac:dyDescent="0.35">
      <c r="B31" s="15">
        <v>52516</v>
      </c>
      <c r="C31" s="17">
        <v>3.8306</v>
      </c>
      <c r="D31" s="1">
        <v>3.8306</v>
      </c>
      <c r="F31" s="15"/>
      <c r="G31" s="12"/>
    </row>
    <row r="32" spans="2:11" x14ac:dyDescent="0.35">
      <c r="B32" s="15">
        <v>54343</v>
      </c>
      <c r="C32" s="17">
        <v>3.6707000000000001</v>
      </c>
      <c r="D32" s="1">
        <v>3.6707000000000001</v>
      </c>
      <c r="F32" s="15"/>
      <c r="G32" s="12"/>
    </row>
    <row r="33" spans="2:7" x14ac:dyDescent="0.35">
      <c r="B33" s="15">
        <v>56167</v>
      </c>
      <c r="C33" s="17">
        <v>3.5825</v>
      </c>
      <c r="D33" s="1">
        <v>3.5825</v>
      </c>
      <c r="F33" s="15"/>
      <c r="G33" s="12"/>
    </row>
    <row r="34" spans="2:7" x14ac:dyDescent="0.4">
      <c r="F34" s="16"/>
      <c r="G34" s="3"/>
    </row>
    <row r="35" spans="2:7" x14ac:dyDescent="0.4">
      <c r="F35" s="16"/>
      <c r="G35" s="3"/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2025-01-27T07:52:58Z</dcterms:modified>
</cp:coreProperties>
</file>