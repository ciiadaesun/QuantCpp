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TwoCurveCallableSwap\"/>
    </mc:Choice>
  </mc:AlternateContent>
  <xr:revisionPtr revIDLastSave="0" documentId="13_ncr:1_{5AC01B18-68C0-4B48-8173-08CBD8E4C2E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커브정보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N70" i="1" l="1"/>
  <c r="H54" i="2" l="1"/>
  <c r="D54" i="2" s="1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 xr:uid="{00000000-0006-0000-0100-000004000000}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<sst xmlns="http://schemas.openxmlformats.org/spreadsheetml/2006/main" count="121" uniqueCount="85">
  <si>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</si>
  <si>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</si>
  <si>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</si>
  <si>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</si>
  <si>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</si>
  <si>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</si>
  <si>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</si>
  <si>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</si>
  <si>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</si>
  <si>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</si>
  <si>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</si>
  <si>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</si>
  <si>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</si>
  <si>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</si>
  <si>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</si>
  <si>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</si>
  <si>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</si>
  <si>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</si>
  <si>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</si>
  <si>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</si>
  <si>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</si>
  <si>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</si>
  <si>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</si>
  <si>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</si>
  <si>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</si>
  <si>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</si>
  <si>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</si>
  <si>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</si>
  <si>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</si>
  <si>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</si>
  <si>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</si>
  <si>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</si>
  <si>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</si>
  <si>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</si>
  <si>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</si>
  <si>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</si>
  <si>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</si>
  <si>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</si>
  <si>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</si>
  <si>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</si>
  <si>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</si>
  <si>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</si>
  <si>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</si>
  <si>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</si>
  <si>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</si>
  <si>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</si>
  <si>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</si>
  <si>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</si>
  <si>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</si>
  <si>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</si>
  <si>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</si>
  <si>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</si>
  <si>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</si>
  <si>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</si>
  <si>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</si>
  <si>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</si>
  <si>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</si>
  <si>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</si>
  <si>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</si>
  <si>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</si>
  <si>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</si>
  <si>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</si>
  <si>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</si>
  <si>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</si>
  <si>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</si>
  <si>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</si>
  <si>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</si>
  <si>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</si>
  <si>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</si>
  <si>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</si>
  <si>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</si>
  <si>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</si>
  <si>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</si>
  <si>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</si>
  <si>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</si>
  <si>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</si>
  <si>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</si>
  <si>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</si>
  <si>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</si>
  <si>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</si>
  <si>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</si>
  <si>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</si>
  <si>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</si>
  <si>
    <t>VolFlag</t>
    <phoneticPr fontId="2" type="noConversion"/>
  </si>
  <si>
    <t>VolFlag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</si>
</sst>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>
      <alignment vertical="center"/>
    </xf>
    <xf numFmtId="0" fontId="7" fillId="10" borderId="8" xfId="0" applyFont="1" applyFill="1" applyBorder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>
      <alignment vertical="center"/>
    </xf>
    <xf numFmtId="177" fontId="10" fillId="11" borderId="12" xfId="0" applyNumberFormat="1" applyFont="1" applyFill="1" applyBorder="1">
      <alignment vertical="center"/>
    </xf>
    <xf numFmtId="177" fontId="9" fillId="12" borderId="12" xfId="0" applyNumberFormat="1" applyFont="1" applyFill="1" applyBorder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>
      <alignment vertical="center"/>
    </xf>
    <xf numFmtId="177" fontId="7" fillId="13" borderId="12" xfId="0" applyNumberFormat="1" applyFont="1" applyFill="1" applyBorder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/>
    <xf numFmtId="177" fontId="9" fillId="12" borderId="3" xfId="0" applyNumberFormat="1" applyFont="1" applyFill="1" applyBorder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>
      <alignment vertical="center"/>
    </xf>
    <xf numFmtId="10" fontId="8" fillId="15" borderId="0" xfId="0" applyNumberFormat="1" applyFont="1" applyFill="1" applyAlignment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0" fillId="21" borderId="0" xfId="0" applyFill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wrapText="1"/>
    </xf>
    <xf numFmtId="49" fontId="10" fillId="8" borderId="0" xfId="0" applyNumberFormat="1" applyFont="1" applyFill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  <xf numFmtId="0" fontId="5" fillId="18" borderId="0" xfId="0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3"/>
  <sheetViews>
    <sheetView workbookViewId="0">
      <selection activeCell="L8" sqref="L8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51" t="s">
        <v>0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</row>
    <row r="3" spans="1:45" x14ac:dyDescent="0.4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</row>
    <row r="4" spans="1:45" x14ac:dyDescent="0.4">
      <c r="A4" s="1">
        <f>4</f>
        <v>4</v>
      </c>
      <c r="B4" s="52" t="s">
        <v>1</v>
      </c>
      <c r="C4" s="52"/>
      <c r="D4" s="53">
        <v>2</v>
      </c>
      <c r="E4" s="53"/>
    </row>
    <row r="5" spans="1:45" x14ac:dyDescent="0.4">
      <c r="A5" s="1">
        <f>A4+1</f>
        <v>5</v>
      </c>
      <c r="G5" s="54" t="s">
        <v>2</v>
      </c>
      <c r="H5" s="56" t="s">
        <v>46</v>
      </c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</row>
    <row r="6" spans="1:45" x14ac:dyDescent="0.4">
      <c r="A6" s="1">
        <f t="shared" ref="A6:A69" si="1">A5+1</f>
        <v>6</v>
      </c>
      <c r="B6" s="52" t="s">
        <v>3</v>
      </c>
      <c r="C6" s="52"/>
      <c r="D6" s="53">
        <v>1</v>
      </c>
      <c r="E6" s="53"/>
      <c r="G6" s="55"/>
      <c r="H6" s="57" t="s">
        <v>4</v>
      </c>
      <c r="I6" s="58"/>
      <c r="L6" s="61" t="s">
        <v>5</v>
      </c>
      <c r="M6" s="61"/>
      <c r="N6" s="61"/>
      <c r="Q6" s="61" t="s">
        <v>6</v>
      </c>
      <c r="R6" s="61"/>
      <c r="S6" s="61"/>
      <c r="V6" s="61" t="s">
        <v>7</v>
      </c>
      <c r="W6" s="61"/>
      <c r="X6" s="61"/>
    </row>
    <row r="7" spans="1:45" x14ac:dyDescent="0.4">
      <c r="A7" s="1">
        <f t="shared" si="1"/>
        <v>7</v>
      </c>
      <c r="B7" s="52" t="s">
        <v>8</v>
      </c>
      <c r="C7" s="52"/>
      <c r="D7" s="53">
        <v>0</v>
      </c>
      <c r="E7" s="53"/>
      <c r="G7" s="55"/>
      <c r="H7" s="59"/>
      <c r="I7" s="60"/>
      <c r="L7" s="61"/>
      <c r="M7" s="61"/>
      <c r="N7" s="61"/>
      <c r="Q7" s="61"/>
      <c r="R7" s="61"/>
      <c r="S7" s="61"/>
      <c r="V7" s="61"/>
      <c r="W7" s="61"/>
      <c r="X7" s="61"/>
    </row>
    <row r="8" spans="1:45" x14ac:dyDescent="0.4">
      <c r="A8" s="1">
        <f t="shared" si="1"/>
        <v>8</v>
      </c>
      <c r="B8" s="52" t="s">
        <v>9</v>
      </c>
      <c r="C8" s="52"/>
      <c r="D8" s="53">
        <v>0.01</v>
      </c>
      <c r="E8" s="53"/>
      <c r="G8" s="55"/>
      <c r="I8" s="2" t="s">
        <v>10</v>
      </c>
      <c r="V8" s="61" t="s">
        <v>11</v>
      </c>
      <c r="W8" s="61"/>
      <c r="X8" s="3">
        <v>3</v>
      </c>
    </row>
    <row r="9" spans="1:45" x14ac:dyDescent="0.4">
      <c r="A9" s="1">
        <f t="shared" si="1"/>
        <v>9</v>
      </c>
      <c r="G9" s="55"/>
      <c r="H9" s="2" t="s">
        <v>12</v>
      </c>
      <c r="I9" s="4">
        <v>2.0072668218916949E-2</v>
      </c>
      <c r="Q9" s="61" t="s">
        <v>13</v>
      </c>
      <c r="R9" s="61"/>
      <c r="S9" s="3">
        <v>3</v>
      </c>
      <c r="V9" s="62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5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63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5"/>
      <c r="H11" s="10">
        <v>1</v>
      </c>
      <c r="I11" s="11">
        <v>1.3932785765024193E-2</v>
      </c>
      <c r="J11" s="1">
        <v>6.5594015289577815E-3</v>
      </c>
      <c r="L11" s="12">
        <v>1</v>
      </c>
      <c r="M11" s="13">
        <v>2.7397260273972603E-3</v>
      </c>
      <c r="N11" s="14">
        <v>3.1519999999999992E-2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5"/>
      <c r="H12" s="10">
        <v>2</v>
      </c>
      <c r="I12" s="11">
        <v>1.231569344896368E-2</v>
      </c>
      <c r="J12" s="1">
        <v>5.8230479012307598E-3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64" t="s">
        <v>23</v>
      </c>
      <c r="E13" s="64"/>
      <c r="G13" s="55"/>
      <c r="H13" s="10">
        <v>3</v>
      </c>
      <c r="I13" s="11">
        <v>1.314442522490643E-2</v>
      </c>
      <c r="J13" s="1">
        <v>4.9461626800211995E-3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64"/>
      <c r="E14" s="64"/>
      <c r="G14" s="55"/>
      <c r="H14" s="10">
        <v>4</v>
      </c>
      <c r="I14" s="11">
        <v>1.2104811060832938E-2</v>
      </c>
      <c r="J14" s="1">
        <v>3.7345696160446442E-3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64"/>
      <c r="E15" s="64"/>
      <c r="G15" s="55"/>
      <c r="H15" s="10">
        <v>5</v>
      </c>
      <c r="I15" s="11">
        <v>1.3419875924836915E-2</v>
      </c>
      <c r="J15" s="1">
        <v>4.4454280811227868E-3</v>
      </c>
      <c r="L15" s="12">
        <f t="shared" si="2"/>
        <v>5</v>
      </c>
      <c r="M15" s="13">
        <v>1.5</v>
      </c>
      <c r="N15" s="14">
        <v>3.9999999999999994E-2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1.77E-2</v>
      </c>
      <c r="G16" s="55"/>
      <c r="H16" s="10">
        <v>7</v>
      </c>
      <c r="I16" s="11">
        <v>1.2523672405494943E-2</v>
      </c>
      <c r="J16" s="1">
        <v>3.8199530523313962E-3</v>
      </c>
      <c r="L16" s="12">
        <f t="shared" si="2"/>
        <v>6</v>
      </c>
      <c r="M16" s="13">
        <v>2</v>
      </c>
      <c r="N16" s="14">
        <v>4.222999999999999E-2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65">
        <v>45686.650081018517</v>
      </c>
      <c r="E17" s="65"/>
      <c r="G17" s="55"/>
      <c r="H17" s="10">
        <v>10</v>
      </c>
      <c r="I17" s="11">
        <v>1.1582491590793888E-2</v>
      </c>
      <c r="J17" s="1">
        <v>3.159422204856295E-3</v>
      </c>
      <c r="L17" s="12">
        <f t="shared" si="2"/>
        <v>7</v>
      </c>
      <c r="M17" s="13">
        <v>2</v>
      </c>
      <c r="N17" s="14">
        <v>4.222999999999999E-2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65">
        <v>45686.650081018517</v>
      </c>
      <c r="E18" s="65"/>
      <c r="G18" s="55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5"/>
      <c r="H19" s="10"/>
      <c r="I19" s="11"/>
      <c r="L19" s="12">
        <f t="shared" si="2"/>
        <v>9</v>
      </c>
      <c r="M19" s="13">
        <v>4</v>
      </c>
      <c r="N19" s="14">
        <v>4.3450000000000003E-2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5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5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5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B23" s="52" t="s">
        <v>83</v>
      </c>
      <c r="C23" s="52"/>
      <c r="D23" s="53">
        <v>0</v>
      </c>
      <c r="E23" s="53"/>
      <c r="G23" s="55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5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5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5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5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5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5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5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5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5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5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5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5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5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5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5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5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5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4" t="s">
        <v>25</v>
      </c>
      <c r="H55" s="56" t="s">
        <v>47</v>
      </c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</row>
    <row r="56" spans="1:40" x14ac:dyDescent="0.4">
      <c r="A56" s="1">
        <f t="shared" si="1"/>
        <v>56</v>
      </c>
      <c r="B56" s="52" t="s">
        <v>3</v>
      </c>
      <c r="C56" s="52"/>
      <c r="D56" s="53">
        <v>1</v>
      </c>
      <c r="E56" s="53"/>
      <c r="G56" s="55"/>
      <c r="H56" s="57" t="s">
        <v>26</v>
      </c>
      <c r="I56" s="58"/>
      <c r="L56" s="61" t="s">
        <v>27</v>
      </c>
      <c r="M56" s="61"/>
      <c r="N56" s="61"/>
      <c r="Q56" s="61" t="s">
        <v>6</v>
      </c>
      <c r="R56" s="61"/>
      <c r="S56" s="61"/>
      <c r="V56" s="61" t="s">
        <v>28</v>
      </c>
      <c r="W56" s="61"/>
      <c r="X56" s="61"/>
    </row>
    <row r="57" spans="1:40" x14ac:dyDescent="0.4">
      <c r="A57" s="1">
        <f t="shared" si="1"/>
        <v>57</v>
      </c>
      <c r="B57" s="52" t="s">
        <v>29</v>
      </c>
      <c r="C57" s="52"/>
      <c r="D57" s="53">
        <v>1</v>
      </c>
      <c r="E57" s="53"/>
      <c r="G57" s="55"/>
      <c r="H57" s="59"/>
      <c r="I57" s="60"/>
      <c r="L57" s="61"/>
      <c r="M57" s="61"/>
      <c r="N57" s="61"/>
      <c r="Q57" s="61"/>
      <c r="R57" s="61"/>
      <c r="S57" s="61"/>
      <c r="V57" s="61"/>
      <c r="W57" s="61"/>
      <c r="X57" s="61"/>
    </row>
    <row r="58" spans="1:40" x14ac:dyDescent="0.4">
      <c r="A58" s="1">
        <f t="shared" si="1"/>
        <v>58</v>
      </c>
      <c r="B58" s="52" t="s">
        <v>9</v>
      </c>
      <c r="C58" s="52"/>
      <c r="D58" s="53">
        <v>0.01</v>
      </c>
      <c r="E58" s="53"/>
      <c r="G58" s="55"/>
      <c r="I58" s="2" t="s">
        <v>10</v>
      </c>
      <c r="V58" s="61" t="s">
        <v>11</v>
      </c>
      <c r="W58" s="61"/>
      <c r="X58" s="3">
        <v>3</v>
      </c>
    </row>
    <row r="59" spans="1:40" x14ac:dyDescent="0.4">
      <c r="A59" s="1">
        <f t="shared" si="1"/>
        <v>59</v>
      </c>
      <c r="G59" s="55"/>
      <c r="H59" s="2" t="s">
        <v>12</v>
      </c>
      <c r="I59" s="4">
        <v>0.01</v>
      </c>
      <c r="Q59" s="61" t="s">
        <v>30</v>
      </c>
      <c r="R59" s="61"/>
      <c r="S59" s="3">
        <v>3</v>
      </c>
      <c r="V59" s="62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5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63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5"/>
      <c r="H61" s="10">
        <v>1</v>
      </c>
      <c r="I61" s="11">
        <v>1.3179794086105524E-2</v>
      </c>
      <c r="J61" s="1">
        <v>7.9480132039241695E-3</v>
      </c>
      <c r="L61" s="12">
        <v>1</v>
      </c>
      <c r="M61" s="13">
        <v>0.25</v>
      </c>
      <c r="N61" s="14">
        <v>4.2140000000000004E-2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0.29711575189940853</v>
      </c>
      <c r="X61" s="16">
        <v>0.30223277511673557</v>
      </c>
      <c r="Y61" s="16">
        <v>0.29785690951842136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5"/>
      <c r="H62" s="10">
        <v>2</v>
      </c>
      <c r="I62" s="11">
        <v>1.2003347093781683E-2</v>
      </c>
      <c r="J62" s="1">
        <v>6.8935927128934531E-3</v>
      </c>
      <c r="L62" s="12">
        <f>L61+1</f>
        <v>2</v>
      </c>
      <c r="M62" s="13">
        <v>0.5</v>
      </c>
      <c r="N62" s="14">
        <v>4.5100000000000001E-2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0.29731816815825485</v>
      </c>
      <c r="X62" s="16">
        <v>0.29715000560759469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64" t="s">
        <v>23</v>
      </c>
      <c r="E63" s="64"/>
      <c r="G63" s="55"/>
      <c r="H63" s="10">
        <v>3</v>
      </c>
      <c r="I63" s="11">
        <v>1.1763422778972925E-2</v>
      </c>
      <c r="J63" s="1">
        <v>5.728919982521256E-3</v>
      </c>
      <c r="L63" s="12">
        <f t="shared" ref="L63:L103" si="4">L62+1</f>
        <v>3</v>
      </c>
      <c r="M63" s="13">
        <v>1</v>
      </c>
      <c r="N63" s="14">
        <v>4.8210000000000003E-2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0.29724033204370953</v>
      </c>
      <c r="X63" s="16">
        <v>0.29716249592916422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64"/>
      <c r="E64" s="64"/>
      <c r="G64" s="55"/>
      <c r="H64" s="10">
        <v>4</v>
      </c>
      <c r="I64" s="11">
        <v>1.2245700586856338E-2</v>
      </c>
      <c r="J64" s="1">
        <v>4.1859844426167959E-3</v>
      </c>
      <c r="L64" s="12">
        <f t="shared" si="4"/>
        <v>4</v>
      </c>
      <c r="M64" s="13">
        <v>2</v>
      </c>
      <c r="N64" s="14">
        <v>4.7410000000000001E-2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64"/>
      <c r="E65" s="64"/>
      <c r="G65" s="55"/>
      <c r="H65" s="10">
        <v>5</v>
      </c>
      <c r="I65" s="11">
        <v>1.2995777704928289E-2</v>
      </c>
      <c r="J65" s="1">
        <v>4.9759111242057424E-3</v>
      </c>
      <c r="L65" s="12">
        <f t="shared" si="4"/>
        <v>5</v>
      </c>
      <c r="M65" s="13">
        <v>3</v>
      </c>
      <c r="N65" s="14">
        <v>4.727E-2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3.3799999999999997E-2</v>
      </c>
      <c r="G66" s="55"/>
      <c r="H66" s="10">
        <v>7</v>
      </c>
      <c r="I66" s="11">
        <v>1.3388249104175196E-2</v>
      </c>
      <c r="J66" s="1">
        <v>4.1755378054619983E-3</v>
      </c>
      <c r="L66" s="12">
        <f t="shared" si="4"/>
        <v>6</v>
      </c>
      <c r="M66" s="13">
        <v>5</v>
      </c>
      <c r="N66" s="14">
        <v>4.5089999999999998E-2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65">
        <v>45686.650081018517</v>
      </c>
      <c r="E67" s="65"/>
      <c r="G67" s="55"/>
      <c r="H67" s="10">
        <v>10</v>
      </c>
      <c r="I67" s="11">
        <v>1.5966173861409468E-2</v>
      </c>
      <c r="J67" s="1">
        <v>3.3345664623276776E-3</v>
      </c>
      <c r="L67" s="12">
        <f t="shared" si="4"/>
        <v>7</v>
      </c>
      <c r="M67" s="13">
        <v>7</v>
      </c>
      <c r="N67" s="14">
        <v>4.4120000000000006E-2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0.29168249543038094</v>
      </c>
      <c r="X67" s="16">
        <v>0.29002398274793367</v>
      </c>
      <c r="Y67" s="16">
        <v>0.28841324494216236</v>
      </c>
      <c r="Z67" s="16">
        <v>0.28657200821606188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65">
        <v>45686.650081018517</v>
      </c>
      <c r="E68" s="65"/>
      <c r="G68" s="55"/>
      <c r="H68" s="10"/>
      <c r="I68" s="11"/>
      <c r="L68" s="12">
        <f t="shared" si="4"/>
        <v>8</v>
      </c>
      <c r="M68" s="13">
        <v>10</v>
      </c>
      <c r="N68" s="14">
        <v>4.2840000000000003E-2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5"/>
      <c r="H69" s="10"/>
      <c r="I69" s="11"/>
      <c r="L69" s="12">
        <f t="shared" si="4"/>
        <v>9</v>
      </c>
      <c r="M69" s="13">
        <v>20</v>
      </c>
      <c r="N69" s="14">
        <v>4.5839999999999999E-2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5"/>
      <c r="H70" s="10"/>
      <c r="I70" s="11"/>
      <c r="L70" s="12">
        <f t="shared" si="4"/>
        <v>10</v>
      </c>
      <c r="M70" s="13">
        <v>30</v>
      </c>
      <c r="N70" s="14">
        <f>N69+0.001</f>
        <v>4.684E-2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5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5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B73" s="52" t="s">
        <v>84</v>
      </c>
      <c r="C73" s="52"/>
      <c r="D73" s="53">
        <v>0</v>
      </c>
      <c r="E73" s="53"/>
      <c r="G73" s="55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5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5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5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5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5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5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5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5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5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5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5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5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5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5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5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5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5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43">
    <mergeCell ref="B23:C23"/>
    <mergeCell ref="D23:E23"/>
    <mergeCell ref="B73:C73"/>
    <mergeCell ref="D73:E73"/>
    <mergeCell ref="D63:E65"/>
    <mergeCell ref="D67:E67"/>
    <mergeCell ref="D68:E68"/>
    <mergeCell ref="B58:C58"/>
    <mergeCell ref="D58:E58"/>
    <mergeCell ref="B56:C56"/>
    <mergeCell ref="D56:E56"/>
    <mergeCell ref="B57:C57"/>
    <mergeCell ref="D57:E57"/>
    <mergeCell ref="V58:W58"/>
    <mergeCell ref="Q59:R59"/>
    <mergeCell ref="V59:V60"/>
    <mergeCell ref="G55:G90"/>
    <mergeCell ref="H55:X55"/>
    <mergeCell ref="V56:X57"/>
    <mergeCell ref="H56:I57"/>
    <mergeCell ref="L56:N57"/>
    <mergeCell ref="Q56:S57"/>
    <mergeCell ref="Q9:R9"/>
    <mergeCell ref="V9:V10"/>
    <mergeCell ref="D13:E15"/>
    <mergeCell ref="D17:E17"/>
    <mergeCell ref="D18:E18"/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84"/>
  <sheetViews>
    <sheetView tabSelected="1" topLeftCell="M1" zoomScale="85" zoomScaleNormal="85" workbookViewId="0">
      <selection activeCell="Y23" sqref="Y23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B2" s="50">
        <v>1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68" t="s">
        <v>40</v>
      </c>
      <c r="C3" s="68"/>
      <c r="D3" s="69">
        <v>44848</v>
      </c>
      <c r="E3" s="70"/>
      <c r="F3" s="68" t="s">
        <v>41</v>
      </c>
      <c r="G3" s="68"/>
      <c r="H3" s="66">
        <v>0</v>
      </c>
      <c r="I3" s="66"/>
      <c r="J3" s="68" t="s">
        <v>42</v>
      </c>
      <c r="K3" s="68"/>
      <c r="L3" s="66">
        <v>0</v>
      </c>
      <c r="M3" s="66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5" t="s">
        <v>65</v>
      </c>
      <c r="C4" s="75"/>
      <c r="D4" s="75"/>
      <c r="E4" s="75"/>
      <c r="F4" s="75"/>
      <c r="G4" s="75"/>
      <c r="H4" s="75"/>
      <c r="I4" s="75"/>
      <c r="J4" s="75"/>
      <c r="K4" s="75"/>
      <c r="L4" s="29"/>
      <c r="M4" s="75" t="s">
        <v>66</v>
      </c>
      <c r="N4" s="75"/>
      <c r="O4" s="75"/>
      <c r="P4" s="75"/>
      <c r="Q4" s="75"/>
      <c r="R4" s="75"/>
      <c r="S4" s="75"/>
      <c r="T4" s="75"/>
      <c r="U4" s="75"/>
      <c r="V4" s="75"/>
      <c r="Z4" s="29"/>
      <c r="AA4" s="29"/>
      <c r="AC4" s="29"/>
      <c r="AD4" s="29"/>
    </row>
    <row r="5" spans="1:30" x14ac:dyDescent="0.4">
      <c r="A5" s="29">
        <f t="shared" si="3"/>
        <v>5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29"/>
      <c r="M5" s="75"/>
      <c r="N5" s="75"/>
      <c r="O5" s="75"/>
      <c r="P5" s="75"/>
      <c r="Q5" s="75"/>
      <c r="R5" s="75"/>
      <c r="S5" s="75"/>
      <c r="T5" s="75"/>
      <c r="U5" s="75"/>
      <c r="V5" s="75"/>
      <c r="Z5" s="29"/>
      <c r="AA5" s="29"/>
      <c r="AC5" s="29"/>
      <c r="AD5" s="29"/>
    </row>
    <row r="6" spans="1:30" x14ac:dyDescent="0.4">
      <c r="A6" s="29">
        <f t="shared" si="3"/>
        <v>6</v>
      </c>
      <c r="B6" s="52" t="s">
        <v>43</v>
      </c>
      <c r="C6" s="67"/>
      <c r="D6" s="66">
        <v>1</v>
      </c>
      <c r="E6" s="66"/>
      <c r="F6" s="52" t="s">
        <v>67</v>
      </c>
      <c r="G6" s="52"/>
      <c r="H6" s="52" t="s">
        <v>44</v>
      </c>
      <c r="I6" s="67"/>
      <c r="J6" s="66">
        <v>4</v>
      </c>
      <c r="K6" s="66"/>
      <c r="L6" s="29"/>
      <c r="M6" s="52" t="s">
        <v>43</v>
      </c>
      <c r="N6" s="67"/>
      <c r="O6" s="66">
        <v>1</v>
      </c>
      <c r="P6" s="66"/>
      <c r="Q6" s="52" t="s">
        <v>67</v>
      </c>
      <c r="R6" s="52"/>
      <c r="S6" s="52" t="s">
        <v>44</v>
      </c>
      <c r="T6" s="67"/>
      <c r="U6" s="66">
        <v>4</v>
      </c>
      <c r="V6" s="66"/>
      <c r="Z6" s="29"/>
      <c r="AA6" s="29"/>
      <c r="AC6" s="29"/>
      <c r="AD6" s="29"/>
    </row>
    <row r="7" spans="1:30" x14ac:dyDescent="0.4">
      <c r="A7" s="29">
        <f t="shared" si="3"/>
        <v>7</v>
      </c>
      <c r="D7" s="39">
        <f>D3+87</f>
        <v>44935</v>
      </c>
      <c r="E7" s="29"/>
      <c r="F7" s="52"/>
      <c r="G7" s="52"/>
      <c r="H7" s="52" t="s">
        <v>45</v>
      </c>
      <c r="I7" s="67"/>
      <c r="J7" s="66">
        <v>0.25</v>
      </c>
      <c r="K7" s="66"/>
      <c r="L7" s="29"/>
      <c r="M7" s="29"/>
      <c r="N7" s="29"/>
      <c r="O7" s="29"/>
      <c r="P7" s="29"/>
      <c r="Q7" s="52"/>
      <c r="R7" s="52"/>
      <c r="S7" s="52" t="s">
        <v>45</v>
      </c>
      <c r="T7" s="67"/>
      <c r="U7" s="66">
        <v>0.25</v>
      </c>
      <c r="V7" s="66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2" t="s">
        <v>82</v>
      </c>
      <c r="C9" s="67"/>
      <c r="D9" s="72">
        <v>0</v>
      </c>
      <c r="E9" s="72"/>
      <c r="F9" s="52" t="s">
        <v>69</v>
      </c>
      <c r="G9" s="67"/>
      <c r="H9" s="74">
        <v>0</v>
      </c>
      <c r="I9" s="74"/>
      <c r="J9" s="52" t="s">
        <v>70</v>
      </c>
      <c r="K9" s="67"/>
      <c r="L9" s="74">
        <v>0</v>
      </c>
      <c r="M9" s="74"/>
      <c r="N9" s="76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6"/>
      <c r="P9" s="76"/>
      <c r="Q9" s="76"/>
      <c r="R9" s="29"/>
      <c r="S9" s="29"/>
      <c r="T9" s="29"/>
      <c r="V9" s="32" t="s">
        <v>61</v>
      </c>
      <c r="W9" s="66">
        <v>1</v>
      </c>
      <c r="X9" s="66"/>
      <c r="Z9" s="29"/>
      <c r="AA9" s="29"/>
      <c r="AC9" s="29"/>
      <c r="AD9" s="29"/>
    </row>
    <row r="10" spans="1:30" x14ac:dyDescent="0.4">
      <c r="A10" s="29">
        <f t="shared" si="3"/>
        <v>10</v>
      </c>
      <c r="B10" s="52" t="s">
        <v>81</v>
      </c>
      <c r="C10" s="67"/>
      <c r="D10" s="72">
        <v>-0.12</v>
      </c>
      <c r="E10" s="72"/>
      <c r="F10" s="52" t="s">
        <v>68</v>
      </c>
      <c r="G10" s="67"/>
      <c r="H10" s="74">
        <v>200</v>
      </c>
      <c r="I10" s="74"/>
      <c r="J10" s="29"/>
      <c r="K10" s="29"/>
      <c r="L10" s="29"/>
      <c r="M10" s="29"/>
      <c r="N10" s="76"/>
      <c r="O10" s="76"/>
      <c r="P10" s="76"/>
      <c r="Q10" s="76"/>
      <c r="R10" s="29"/>
      <c r="S10" s="29"/>
      <c r="T10" s="29"/>
      <c r="V10" s="32" t="s">
        <v>62</v>
      </c>
      <c r="W10" s="66">
        <v>0</v>
      </c>
      <c r="X10" s="66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6"/>
      <c r="O11" s="76"/>
      <c r="P11" s="76"/>
      <c r="Q11" s="76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2" t="s">
        <v>48</v>
      </c>
      <c r="C12" s="67"/>
      <c r="E12" s="73" t="s">
        <v>54</v>
      </c>
      <c r="F12" s="73"/>
      <c r="G12" s="73"/>
      <c r="H12" s="73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7" t="str">
        <f>IF(D3&gt;E15, "확정된 기초금리 입력", "")</f>
        <v>확정된 기초금리 입력</v>
      </c>
      <c r="T12" s="77"/>
      <c r="V12" s="33" t="s">
        <v>64</v>
      </c>
      <c r="Z12" s="78" t="s">
        <v>71</v>
      </c>
      <c r="AA12" s="78"/>
      <c r="AB12" s="78"/>
      <c r="AC12" s="78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1" t="s">
        <v>55</v>
      </c>
      <c r="F13" s="71" t="s">
        <v>49</v>
      </c>
      <c r="G13" s="71" t="s">
        <v>50</v>
      </c>
      <c r="H13" s="71"/>
      <c r="I13" s="71" t="s">
        <v>53</v>
      </c>
      <c r="J13" s="71"/>
      <c r="K13" s="71" t="s">
        <v>58</v>
      </c>
      <c r="L13" s="71"/>
      <c r="M13" s="71" t="s">
        <v>59</v>
      </c>
      <c r="N13" s="71"/>
      <c r="O13" s="71" t="s">
        <v>56</v>
      </c>
      <c r="P13" s="71"/>
      <c r="Q13" s="71" t="s">
        <v>57</v>
      </c>
      <c r="R13" s="71"/>
      <c r="S13" s="71" t="s">
        <v>60</v>
      </c>
      <c r="T13" s="71"/>
      <c r="V13" s="71" t="s">
        <v>63</v>
      </c>
      <c r="Z13" s="84" t="s">
        <v>72</v>
      </c>
      <c r="AA13" s="85"/>
      <c r="AB13" s="86"/>
      <c r="AC13" s="86"/>
      <c r="AD13" s="29"/>
    </row>
    <row r="14" spans="1:30" x14ac:dyDescent="0.4">
      <c r="A14" s="29">
        <f t="shared" si="3"/>
        <v>14</v>
      </c>
      <c r="B14" s="30">
        <v>0.5</v>
      </c>
      <c r="C14" s="31">
        <v>0.24</v>
      </c>
      <c r="E14" s="71"/>
      <c r="F14" s="71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1"/>
      <c r="Z14" s="84" t="s">
        <v>73</v>
      </c>
      <c r="AA14" s="85"/>
      <c r="AB14" s="82">
        <v>2018.8941506977733</v>
      </c>
      <c r="AC14" s="82"/>
      <c r="AD14" s="29"/>
    </row>
    <row r="15" spans="1:30" x14ac:dyDescent="0.4">
      <c r="A15" s="29">
        <f t="shared" si="3"/>
        <v>15</v>
      </c>
      <c r="B15" s="30">
        <v>1</v>
      </c>
      <c r="C15" s="31">
        <v>0.24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3.9140000000000001E-2</v>
      </c>
      <c r="V15" s="35">
        <v>43187</v>
      </c>
      <c r="W15" s="39"/>
      <c r="Z15" s="83" t="s">
        <v>74</v>
      </c>
      <c r="AA15" s="83"/>
      <c r="AB15" s="82">
        <v>-2252.1991870007978</v>
      </c>
      <c r="AC15" s="82"/>
      <c r="AD15" s="29"/>
    </row>
    <row r="16" spans="1:30" x14ac:dyDescent="0.4">
      <c r="A16" s="29">
        <f t="shared" si="3"/>
        <v>16</v>
      </c>
      <c r="B16" s="30">
        <v>1.5</v>
      </c>
      <c r="C16" s="31">
        <v>0.24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3.9140000000000001E-2</v>
      </c>
      <c r="V16" s="35">
        <v>43278</v>
      </c>
      <c r="W16" s="39"/>
      <c r="Z16" s="83" t="s">
        <v>76</v>
      </c>
      <c r="AA16" s="83"/>
      <c r="AB16" s="82">
        <v>246.33151531763215</v>
      </c>
      <c r="AC16" s="82"/>
      <c r="AD16" s="29"/>
    </row>
    <row r="17" spans="1:30" x14ac:dyDescent="0.4">
      <c r="A17" s="29">
        <f t="shared" si="3"/>
        <v>17</v>
      </c>
      <c r="B17" s="30">
        <v>2</v>
      </c>
      <c r="C17" s="31">
        <v>0.24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3.9140000000000001E-2</v>
      </c>
      <c r="V17" s="35">
        <v>43370</v>
      </c>
      <c r="W17" s="39"/>
      <c r="Z17" s="83" t="s">
        <v>75</v>
      </c>
      <c r="AA17" s="83"/>
      <c r="AB17" s="82">
        <v>479.63655162065663</v>
      </c>
      <c r="AC17" s="82"/>
      <c r="AD17" s="29"/>
    </row>
    <row r="18" spans="1:30" x14ac:dyDescent="0.4">
      <c r="A18" s="29">
        <f t="shared" si="3"/>
        <v>18</v>
      </c>
      <c r="B18" s="30">
        <v>3</v>
      </c>
      <c r="C18" s="31">
        <v>0.24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3.9140000000000001E-2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0.24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3.9140000000000001E-2</v>
      </c>
      <c r="V19" s="35">
        <v>43552</v>
      </c>
      <c r="Z19" s="79" t="s">
        <v>77</v>
      </c>
      <c r="AA19" s="79"/>
      <c r="AC19" s="79" t="s">
        <v>77</v>
      </c>
      <c r="AD19" s="79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3.9140000000000001E-2</v>
      </c>
      <c r="V20" s="35">
        <v>43643</v>
      </c>
      <c r="Z20" s="80"/>
      <c r="AA20" s="80"/>
      <c r="AC20" s="80"/>
      <c r="AD20" s="80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3.9140000000000001E-2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3.9140000000000001E-2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3.9140000000000001E-2</v>
      </c>
      <c r="V23" s="35">
        <v>43918</v>
      </c>
      <c r="Z23" s="81" t="s">
        <v>80</v>
      </c>
      <c r="AA23" s="81"/>
      <c r="AC23" s="81" t="s">
        <v>80</v>
      </c>
      <c r="AD23" s="81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3.9140000000000001E-2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3.9140000000000001E-2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3.9140000000000001E-2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3.9140000000000001E-2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3.9140000000000001E-2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3.9140000000000001E-2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3.9140000000000001E-2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3.9140000000000001E-2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3.9140000000000001E-2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3.9140000000000001E-2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3.9140000000000001E-2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3.9140000000000001E-2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3.9140000000000001E-2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3.9140000000000001E-2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3.9140000000000001E-2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3.9140000000000001E-2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3.9140000000000001E-2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3.9140000000000001E-2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3.9140000000000001E-2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3.9140000000000001E-2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3.9140000000000001E-2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3.9140000000000001E-2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3.9140000000000001E-2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3.9140000000000001E-2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3.9140000000000001E-2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3.9140000000000001E-2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3.9140000000000001E-2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3.9140000000000001E-2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3.9140000000000001E-2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3.9140000000000001E-2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D54" s="29">
        <f>(H54-$D$3)/365</f>
        <v>5.2493150684931509</v>
      </c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3.9140000000000001E-2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  <mergeCell ref="Q13:R13"/>
    <mergeCell ref="S13:T13"/>
    <mergeCell ref="V13:V14"/>
    <mergeCell ref="W9:X9"/>
    <mergeCell ref="W10:X10"/>
    <mergeCell ref="N9:Q11"/>
    <mergeCell ref="S12:T12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J6:K6"/>
    <mergeCell ref="H7:I7"/>
    <mergeCell ref="J7:K7"/>
    <mergeCell ref="L3:M3"/>
    <mergeCell ref="B3:C3"/>
    <mergeCell ref="D3:E3"/>
    <mergeCell ref="F3:G3"/>
    <mergeCell ref="H3:I3"/>
    <mergeCell ref="J3:K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2023-03-26T08:29:54Z</dcterms:created>
  <dcterms:modified xsi:type="dcterms:W3CDTF">2025-11-23T12:57:40Z</dcterms:modified>
</cp:coreProperties>
</file>