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IR\BSCapFloor\"/>
    </mc:Choice>
  </mc:AlternateContent>
  <xr:revisionPtr revIDLastSave="0" documentId="13_ncr:1_{EB6109EA-760D-48AC-822D-2A06AE9509C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 s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<sst xmlns="http://schemas.openxmlformats.org/spreadsheetml/2006/main" count="24" uniqueCount="24">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</sst>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4" fontId="8" fillId="8" borderId="0" xfId="0" applyNumberFormat="1" applyFont="1" applyFill="1">
      <alignment vertical="center"/>
    </xf>
    <xf numFmtId="14" fontId="7" fillId="8" borderId="0" xfId="0" applyNumberFormat="1" applyFont="1" applyFill="1">
      <alignment vertical="center"/>
    </xf>
    <xf numFmtId="181" fontId="9" fillId="8" borderId="0" xfId="1" applyNumberFormat="1" applyFont="1" applyFill="1" applyBorder="1" applyAlignment="1"/>
    <xf numFmtId="181" fontId="0" fillId="8" borderId="0" xfId="1" applyNumberFormat="1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D6" sqref="D6:E6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2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23</v>
      </c>
      <c r="D2" s="1">
        <v>1</v>
      </c>
      <c r="F2" s="1"/>
      <c r="G2" s="1"/>
      <c r="I2" s="1"/>
      <c r="N2" s="1"/>
      <c r="O2" s="1"/>
    </row>
    <row r="3" spans="1:17" x14ac:dyDescent="0.4">
      <c r="B3" s="13" t="s">
        <v>0</v>
      </c>
      <c r="C3" s="13"/>
      <c r="D3" s="18">
        <v>45608</v>
      </c>
      <c r="E3" s="14"/>
      <c r="F3" s="13" t="s">
        <v>1</v>
      </c>
      <c r="G3" s="13"/>
      <c r="H3" s="14">
        <v>0</v>
      </c>
      <c r="I3" s="14"/>
      <c r="J3" s="15" t="s">
        <v>18</v>
      </c>
      <c r="K3" s="16"/>
      <c r="L3" s="17">
        <v>0</v>
      </c>
      <c r="M3" s="17"/>
      <c r="N3" s="1"/>
      <c r="O3" s="1"/>
    </row>
    <row r="4" spans="1:17" x14ac:dyDescent="0.4">
      <c r="B4" s="13" t="s">
        <v>14</v>
      </c>
      <c r="C4" s="13"/>
      <c r="D4" s="18">
        <f>D3+1</f>
        <v>45609</v>
      </c>
      <c r="E4" s="14"/>
      <c r="F4" s="13" t="s">
        <v>2</v>
      </c>
      <c r="G4" s="13"/>
      <c r="H4" s="14">
        <v>0</v>
      </c>
      <c r="I4" s="14"/>
      <c r="J4" s="13" t="s">
        <v>19</v>
      </c>
      <c r="K4" s="13"/>
      <c r="L4" s="14">
        <v>0</v>
      </c>
      <c r="M4" s="14"/>
      <c r="N4" s="1"/>
      <c r="O4" s="1"/>
    </row>
    <row r="5" spans="1:17" x14ac:dyDescent="0.4">
      <c r="B5" s="13" t="s">
        <v>15</v>
      </c>
      <c r="C5" s="13"/>
      <c r="D5" s="18">
        <f>EDATE(D4,12)</f>
        <v>45974</v>
      </c>
      <c r="E5" s="14"/>
      <c r="F5" s="13" t="s">
        <v>3</v>
      </c>
      <c r="G5" s="13"/>
      <c r="H5" s="14">
        <v>1</v>
      </c>
      <c r="I5" s="14"/>
      <c r="J5" s="13" t="s">
        <v>21</v>
      </c>
      <c r="K5" s="13"/>
      <c r="L5" s="14">
        <v>2</v>
      </c>
      <c r="M5" s="14"/>
      <c r="N5" s="1"/>
      <c r="O5" s="1"/>
    </row>
    <row r="6" spans="1:17" x14ac:dyDescent="0.4">
      <c r="B6" s="15" t="s">
        <v>4</v>
      </c>
      <c r="C6" s="16"/>
      <c r="D6" s="14">
        <v>0</v>
      </c>
      <c r="E6" s="14"/>
      <c r="F6" s="13" t="str">
        <f>IF(H5 = 1, "HolidayNation","Not Used")</f>
        <v>HolidayNation</v>
      </c>
      <c r="G6" s="13"/>
      <c r="H6" s="14">
        <v>0</v>
      </c>
      <c r="I6" s="14"/>
      <c r="N6" s="19" t="s">
        <v>5</v>
      </c>
      <c r="O6" s="19"/>
      <c r="P6" s="20">
        <v>45984.918958333335</v>
      </c>
      <c r="Q6" s="20"/>
    </row>
    <row r="7" spans="1:17" x14ac:dyDescent="0.4">
      <c r="B7" s="15" t="s">
        <v>6</v>
      </c>
      <c r="C7" s="16"/>
      <c r="D7" s="14">
        <v>4</v>
      </c>
      <c r="E7" s="14"/>
      <c r="F7" s="13" t="s">
        <v>7</v>
      </c>
      <c r="G7" s="13"/>
      <c r="H7" s="14">
        <v>0</v>
      </c>
      <c r="I7" s="14"/>
      <c r="N7" s="19" t="s">
        <v>8</v>
      </c>
      <c r="O7" s="19"/>
      <c r="P7" s="20">
        <v>45984.918958333335</v>
      </c>
      <c r="Q7" s="20"/>
    </row>
    <row r="8" spans="1:17" x14ac:dyDescent="0.4">
      <c r="B8" s="1"/>
      <c r="C8" s="1"/>
      <c r="F8" s="15" t="s">
        <v>9</v>
      </c>
      <c r="G8" s="16"/>
      <c r="H8" s="17">
        <v>3.1394999999999999E-2</v>
      </c>
      <c r="I8" s="17"/>
      <c r="N8" s="1"/>
      <c r="O8" s="1"/>
    </row>
    <row r="9" spans="1:17" x14ac:dyDescent="0.4">
      <c r="B9" s="15" t="s">
        <v>10</v>
      </c>
      <c r="C9" s="16"/>
      <c r="D9" s="14">
        <v>1</v>
      </c>
      <c r="E9" s="14"/>
      <c r="F9" s="15" t="s">
        <v>11</v>
      </c>
      <c r="G9" s="16"/>
      <c r="H9" s="22">
        <v>1</v>
      </c>
      <c r="I9" s="22"/>
      <c r="N9" s="19" t="s">
        <v>12</v>
      </c>
      <c r="O9" s="19"/>
      <c r="P9" s="21">
        <v>4.6891607785068991E-3</v>
      </c>
      <c r="Q9" s="21"/>
    </row>
    <row r="10" spans="1:17" x14ac:dyDescent="0.4">
      <c r="B10" s="15" t="s">
        <v>16</v>
      </c>
      <c r="C10" s="16"/>
      <c r="D10" s="14">
        <v>0</v>
      </c>
      <c r="E10" s="14"/>
      <c r="F10" s="13" t="s">
        <v>20</v>
      </c>
      <c r="G10" s="13"/>
      <c r="H10" s="14">
        <v>0</v>
      </c>
      <c r="I10" s="14"/>
      <c r="N10" s="19" t="s">
        <v>22</v>
      </c>
      <c r="O10" s="19"/>
      <c r="P10" s="21">
        <v>3.1399637339174696E-2</v>
      </c>
      <c r="Q10" s="21"/>
    </row>
    <row r="11" spans="1:17" x14ac:dyDescent="0.4">
      <c r="B11" s="24" t="s">
        <v>13</v>
      </c>
      <c r="C11" s="24"/>
      <c r="F11" s="24" t="s">
        <v>17</v>
      </c>
      <c r="G11" s="24"/>
      <c r="I11" s="24" t="str">
        <f>IF(H5=1,"NotUsed","Holiday")</f>
        <v>NotUsed</v>
      </c>
      <c r="N11" s="1"/>
      <c r="O11" s="1"/>
    </row>
    <row r="12" spans="1:17" x14ac:dyDescent="0.4">
      <c r="B12" s="24"/>
      <c r="C12" s="24"/>
      <c r="F12" s="24" t="str">
        <f>"볼 "&amp;IF(D9=0,"BS","Normal")</f>
        <v>볼 Normal</v>
      </c>
      <c r="G12" s="24"/>
      <c r="I12" s="24"/>
      <c r="N12" s="1"/>
      <c r="O12" s="1"/>
    </row>
    <row r="13" spans="1:17" x14ac:dyDescent="0.35">
      <c r="A13" s="2"/>
      <c r="B13" s="9">
        <v>45609</v>
      </c>
      <c r="C13" s="11">
        <v>3.2768999999999999</v>
      </c>
      <c r="D13" s="6"/>
      <c r="E13" s="8"/>
      <c r="F13" s="23">
        <v>2.1253000000000001E-2</v>
      </c>
      <c r="G13" s="23"/>
      <c r="I13" s="3">
        <v>43101</v>
      </c>
      <c r="N13" s="1"/>
      <c r="O13" s="1"/>
    </row>
    <row r="14" spans="1:17" x14ac:dyDescent="0.35">
      <c r="A14" s="2"/>
      <c r="B14" s="9">
        <v>45610</v>
      </c>
      <c r="C14" s="11">
        <v>3.2777000000000003</v>
      </c>
      <c r="D14" s="6"/>
      <c r="E14" s="8"/>
      <c r="F14" s="1"/>
      <c r="G14" s="1"/>
      <c r="I14" s="3">
        <v>43146</v>
      </c>
      <c r="N14" s="1"/>
      <c r="O14" s="1"/>
    </row>
    <row r="15" spans="1:17" x14ac:dyDescent="0.35">
      <c r="A15" s="2"/>
      <c r="B15" s="9">
        <v>45701</v>
      </c>
      <c r="C15" s="11">
        <v>3.4236000000000004</v>
      </c>
      <c r="D15" s="6"/>
      <c r="E15" s="8"/>
      <c r="F15" s="1"/>
      <c r="G15" s="1"/>
      <c r="I15" s="3">
        <v>43147</v>
      </c>
      <c r="N15" s="1"/>
      <c r="O15" s="1"/>
    </row>
    <row r="16" spans="1:17" x14ac:dyDescent="0.35">
      <c r="A16" s="2"/>
      <c r="B16" s="9">
        <v>45790</v>
      </c>
      <c r="C16" s="11">
        <v>3.3008000000000002</v>
      </c>
      <c r="D16" s="6"/>
      <c r="E16" s="8"/>
      <c r="F16" s="1"/>
      <c r="G16" s="1"/>
      <c r="I16" s="3">
        <v>43148</v>
      </c>
      <c r="N16" s="1"/>
      <c r="O16" s="1"/>
    </row>
    <row r="17" spans="1:15" x14ac:dyDescent="0.35">
      <c r="A17" s="2"/>
      <c r="B17" s="9">
        <v>45882</v>
      </c>
      <c r="C17" s="11">
        <v>3.2038000000000002</v>
      </c>
      <c r="D17" s="6"/>
      <c r="E17" s="8"/>
      <c r="F17" s="1"/>
      <c r="G17" s="1"/>
      <c r="I17" s="3">
        <v>43160</v>
      </c>
      <c r="N17" s="1"/>
      <c r="O17" s="1"/>
    </row>
    <row r="18" spans="1:15" x14ac:dyDescent="0.35">
      <c r="A18" s="2"/>
      <c r="B18" s="9">
        <v>45974</v>
      </c>
      <c r="C18" s="11">
        <v>3.1263999999999998</v>
      </c>
      <c r="D18" s="6"/>
      <c r="E18" s="8"/>
      <c r="F18" s="1"/>
      <c r="G18" s="1"/>
      <c r="I18" s="3">
        <v>43221</v>
      </c>
      <c r="N18" s="1"/>
      <c r="O18" s="1"/>
    </row>
    <row r="19" spans="1:15" x14ac:dyDescent="0.35">
      <c r="A19" s="2"/>
      <c r="B19" s="9">
        <v>46155</v>
      </c>
      <c r="C19" s="11">
        <v>3.0213000000000001</v>
      </c>
      <c r="D19" s="6"/>
      <c r="E19" s="8"/>
      <c r="F19" s="1"/>
      <c r="G19" s="1"/>
      <c r="I19" s="3">
        <v>43227</v>
      </c>
      <c r="N19" s="1"/>
      <c r="O19" s="1"/>
    </row>
    <row r="20" spans="1:15" x14ac:dyDescent="0.35">
      <c r="A20" s="2"/>
      <c r="B20" s="9">
        <v>46706</v>
      </c>
      <c r="C20" s="11">
        <v>2.9134000000000002</v>
      </c>
      <c r="D20" s="6"/>
      <c r="E20" s="8"/>
      <c r="F20" s="1"/>
      <c r="G20" s="1"/>
      <c r="I20" s="3">
        <v>43242</v>
      </c>
      <c r="N20" s="1"/>
      <c r="O20" s="1"/>
    </row>
    <row r="21" spans="1:15" x14ac:dyDescent="0.35">
      <c r="A21" s="2"/>
      <c r="B21" s="9">
        <v>47070</v>
      </c>
      <c r="C21" s="11">
        <v>2.8986999999999998</v>
      </c>
      <c r="D21" s="6"/>
      <c r="E21" s="8"/>
      <c r="F21" s="1"/>
      <c r="G21" s="1"/>
      <c r="I21" s="3">
        <v>43257</v>
      </c>
      <c r="N21" s="1"/>
      <c r="O21" s="1"/>
    </row>
    <row r="22" spans="1:15" x14ac:dyDescent="0.35">
      <c r="A22" s="2"/>
      <c r="B22" s="9">
        <v>47435</v>
      </c>
      <c r="C22" s="11">
        <v>2.8862000000000001</v>
      </c>
      <c r="D22" s="6"/>
      <c r="E22" s="8"/>
      <c r="F22" s="1"/>
      <c r="G22" s="1"/>
      <c r="N22" s="1"/>
      <c r="O22" s="1"/>
    </row>
    <row r="23" spans="1:15" x14ac:dyDescent="0.35">
      <c r="A23" s="2"/>
      <c r="B23" s="9">
        <v>47800</v>
      </c>
      <c r="C23" s="11">
        <v>2.8921000000000001</v>
      </c>
      <c r="D23" s="6"/>
      <c r="E23" s="8"/>
      <c r="F23" s="1"/>
      <c r="G23" s="1"/>
    </row>
    <row r="24" spans="1:15" x14ac:dyDescent="0.35">
      <c r="A24" s="2"/>
      <c r="B24" s="9">
        <v>48165</v>
      </c>
      <c r="C24" s="11">
        <v>2.8950999999999998</v>
      </c>
      <c r="D24" s="6"/>
      <c r="E24" s="8"/>
      <c r="F24" s="1"/>
      <c r="G24" s="1"/>
    </row>
    <row r="25" spans="1:15" x14ac:dyDescent="0.35">
      <c r="A25" s="2"/>
      <c r="B25" s="9">
        <v>48533</v>
      </c>
      <c r="C25" s="11">
        <v>2.9036</v>
      </c>
      <c r="D25" s="6"/>
      <c r="E25" s="8"/>
      <c r="F25" s="1"/>
      <c r="G25" s="1"/>
    </row>
    <row r="26" spans="1:15" x14ac:dyDescent="0.35">
      <c r="A26" s="2"/>
      <c r="B26" s="9"/>
      <c r="C26" s="11"/>
      <c r="D26" s="2"/>
      <c r="E26" s="8"/>
      <c r="F26" s="1"/>
      <c r="G26" s="1"/>
    </row>
    <row r="27" spans="1:15" x14ac:dyDescent="0.35">
      <c r="A27" s="2"/>
      <c r="B27" s="9"/>
      <c r="C27" s="11"/>
      <c r="D27" s="2"/>
      <c r="E27" s="8"/>
      <c r="F27" s="1"/>
      <c r="G27" s="1"/>
    </row>
    <row r="28" spans="1:15" x14ac:dyDescent="0.35">
      <c r="A28" s="2"/>
      <c r="B28" s="9"/>
      <c r="C28" s="11"/>
      <c r="D28" s="2"/>
      <c r="E28" s="8"/>
      <c r="F28" s="1"/>
      <c r="G28" s="1"/>
    </row>
    <row r="29" spans="1:15" x14ac:dyDescent="0.35">
      <c r="A29" s="2"/>
      <c r="B29" s="9"/>
      <c r="C29" s="11"/>
      <c r="D29" s="2"/>
      <c r="E29" s="8"/>
      <c r="F29" s="1"/>
      <c r="G29" s="1"/>
    </row>
    <row r="30" spans="1:15" x14ac:dyDescent="0.35">
      <c r="A30" s="2"/>
      <c r="B30" s="9"/>
      <c r="C30" s="11"/>
      <c r="D30" s="2"/>
      <c r="E30" s="8"/>
      <c r="F30" s="1"/>
      <c r="G30" s="1"/>
    </row>
    <row r="31" spans="1:15" x14ac:dyDescent="0.35">
      <c r="A31" s="2"/>
      <c r="B31" s="9"/>
      <c r="C31" s="11"/>
      <c r="D31" s="2"/>
      <c r="E31" s="8"/>
      <c r="F31" s="1"/>
      <c r="G31" s="1"/>
    </row>
    <row r="32" spans="1:15" x14ac:dyDescent="0.35">
      <c r="A32" s="2"/>
      <c r="B32" s="9"/>
      <c r="C32" s="11"/>
      <c r="D32" s="2"/>
      <c r="E32" s="8"/>
      <c r="F32" s="1"/>
      <c r="G32" s="1"/>
    </row>
    <row r="33" spans="1:7" x14ac:dyDescent="0.35">
      <c r="A33" s="2"/>
      <c r="B33" s="9"/>
      <c r="C33" s="11"/>
      <c r="D33" s="2"/>
      <c r="E33" s="8"/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F13:G13"/>
    <mergeCell ref="F12:G12"/>
    <mergeCell ref="F10:G10"/>
    <mergeCell ref="H10:I10"/>
    <mergeCell ref="B11:C12"/>
    <mergeCell ref="F11:G11"/>
    <mergeCell ref="I11:I12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N6:O6"/>
    <mergeCell ref="P6:Q6"/>
    <mergeCell ref="B7:C7"/>
    <mergeCell ref="D7:E7"/>
    <mergeCell ref="F7:G7"/>
    <mergeCell ref="H7:I7"/>
    <mergeCell ref="N7:O7"/>
    <mergeCell ref="P7:Q7"/>
    <mergeCell ref="F5:G5"/>
    <mergeCell ref="H5:I5"/>
    <mergeCell ref="B6:C6"/>
    <mergeCell ref="D6:E6"/>
    <mergeCell ref="F6:G6"/>
    <mergeCell ref="H6:I6"/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2023-12-12T03:19:45Z</dcterms:created>
  <dcterms:modified xsi:type="dcterms:W3CDTF">2025-11-23T13:03:19Z</dcterms:modified>
</cp:coreProperties>
</file>