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O12" i="1" l="1"/>
  <c r="O11" i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<sst xmlns="http://schemas.openxmlformats.org/spreadsheetml/2006/main" count="20" uniqueCount="19">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</sst>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Sheet1!$T$11:$T$31</c:f>
              <c:numCache>
                <c:formatCode>General</c:formatCode>
                <c:ptCount val="21"/>
                <c:pt idx="0">
                  <c:v>1.0958904109589041E-2</c:v>
                </c:pt>
                <c:pt idx="1">
                  <c:v>1.3698630136986301E-2</c:v>
                </c:pt>
                <c:pt idx="2">
                  <c:v>0.26301369863013696</c:v>
                </c:pt>
                <c:pt idx="3">
                  <c:v>0.51506849315068493</c:v>
                </c:pt>
                <c:pt idx="4">
                  <c:v>0.76712328767123283</c:v>
                </c:pt>
                <c:pt idx="5">
                  <c:v>1.0136986301369864</c:v>
                </c:pt>
                <c:pt idx="6">
                  <c:v>1.5178082191780822</c:v>
                </c:pt>
                <c:pt idx="7">
                  <c:v>2.0136986301369864</c:v>
                </c:pt>
                <c:pt idx="8">
                  <c:v>3.0136986301369864</c:v>
                </c:pt>
                <c:pt idx="9">
                  <c:v>4.0191780821917806</c:v>
                </c:pt>
                <c:pt idx="10">
                  <c:v>5.0164383561643833</c:v>
                </c:pt>
                <c:pt idx="11">
                  <c:v>6.0164383561643833</c:v>
                </c:pt>
                <c:pt idx="12">
                  <c:v>7.0164383561643833</c:v>
                </c:pt>
                <c:pt idx="13">
                  <c:v>8.0164383561643842</c:v>
                </c:pt>
                <c:pt idx="14">
                  <c:v>9.0191780821917806</c:v>
                </c:pt>
                <c:pt idx="15">
                  <c:v>10.021917808219179</c:v>
                </c:pt>
                <c:pt idx="16">
                  <c:v>12.019178082191781</c:v>
                </c:pt>
                <c:pt idx="17">
                  <c:v>15.027397260273972</c:v>
                </c:pt>
                <c:pt idx="18">
                  <c:v>20.024657534246575</c:v>
                </c:pt>
                <c:pt idx="19">
                  <c:v>25.030136986301368</c:v>
                </c:pt>
                <c:pt idx="20">
                  <c:v>30.032876712328768</c:v>
                </c:pt>
              </c:numCache>
            </c:numRef>
          </c:xVal>
          <c:yVal>
            <c:numRef>
              <c:f>Sheet1!$U$11:$U$31</c:f>
              <c:numCache>
                <c:formatCode>0.0000%</c:formatCode>
                <c:ptCount val="21"/>
                <c:pt idx="0">
                  <c:v>3.5113243298534082E-2</c:v>
                </c:pt>
                <c:pt idx="1">
                  <c:v>3.5115059303283687E-2</c:v>
                </c:pt>
                <c:pt idx="2">
                  <c:v>3.5332534790039068E-2</c:v>
                </c:pt>
                <c:pt idx="3">
                  <c:v>3.5727003479003899E-2</c:v>
                </c:pt>
                <c:pt idx="4">
                  <c:v>3.5804673767089845E-2</c:v>
                </c:pt>
                <c:pt idx="5">
                  <c:v>3.5633679199218747E-2</c:v>
                </c:pt>
                <c:pt idx="6">
                  <c:v>3.4683488464355455E-2</c:v>
                </c:pt>
                <c:pt idx="7">
                  <c:v>3.3372616577148441E-2</c:v>
                </c:pt>
                <c:pt idx="8">
                  <c:v>3.1954878234863274E-2</c:v>
                </c:pt>
                <c:pt idx="9">
                  <c:v>3.1271485900878915E-2</c:v>
                </c:pt>
                <c:pt idx="10">
                  <c:v>3.0840191650390633E-2</c:v>
                </c:pt>
                <c:pt idx="11">
                  <c:v>3.0721485900878909E-2</c:v>
                </c:pt>
                <c:pt idx="12">
                  <c:v>3.0652017211914066E-2</c:v>
                </c:pt>
                <c:pt idx="13">
                  <c:v>3.0661935424804693E-2</c:v>
                </c:pt>
                <c:pt idx="14">
                  <c:v>3.0669564819335943E-2</c:v>
                </c:pt>
                <c:pt idx="15">
                  <c:v>3.076134948730469E-2</c:v>
                </c:pt>
                <c:pt idx="16">
                  <c:v>3.1001785278320322E-2</c:v>
                </c:pt>
                <c:pt idx="17">
                  <c:v>3.0821267700195311E-2</c:v>
                </c:pt>
                <c:pt idx="18">
                  <c:v>2.9442031860351561E-2</c:v>
                </c:pt>
                <c:pt idx="19">
                  <c:v>2.7384649658203121E-2</c:v>
                </c:pt>
                <c:pt idx="20">
                  <c:v>2.7517019653320311E-2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22-4F1D-BB29-9993BDDFD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026632"/>
        <c:axId val="422027288"/>
      </c:scatterChart>
      <c:valAx>
        <c:axId val="42202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2027288"/>
        <c:crosses val="autoZero"/>
        <c:crossBetween val="midCat"/>
      </c:valAx>
      <c:valAx>
        <c:axId val="42202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2026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363220</xdr:colOff>
      <xdr:row>10</xdr:row>
      <xdr:rowOff>152400</xdr:rowOff>
    </xdr:from>
    <xdr:to>
      <xdr:col>31</xdr:col>
      <xdr:colOff>782320</xdr:colOff>
      <xdr:row>39</xdr:row>
      <xdr:rowOff>149860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L1" zoomScaleNormal="100" workbookViewId="0">
      <selection activeCell="Q18" sqref="Q18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38"/>
    <col min="12" max="12" width="10.5" style="41"/>
    <col min="13" max="13" width="10.5" style="30"/>
    <col min="14" max="15" width="10.5" style="33"/>
    <col min="16" max="16" width="10.5" style="46"/>
    <col min="17" max="17" width="12.3984375" style="32" bestFit="1" customWidth="1"/>
    <col min="18" max="18" width="10.5" style="47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55" t="s">
        <v>15</v>
      </c>
      <c r="J5" s="55"/>
      <c r="K5" s="26">
        <v>1</v>
      </c>
      <c r="L5" s="30"/>
      <c r="N5" s="1"/>
      <c r="O5" s="1"/>
      <c r="P5" s="1"/>
      <c r="Q5" s="30"/>
      <c r="R5" s="30"/>
      <c r="S5" s="30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0"/>
      <c r="S6" s="30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1</v>
      </c>
      <c r="G9" s="5"/>
      <c r="I9" s="53" t="str">
        <f>IF(H5=0, "개수", "")</f>
        <v>개수</v>
      </c>
      <c r="J9" s="54"/>
      <c r="K9" s="20">
        <f>COUNT(I11:I100)</f>
        <v>2</v>
      </c>
      <c r="L9" s="20"/>
      <c r="M9" s="21"/>
      <c r="N9" s="54" t="s">
        <v>2</v>
      </c>
      <c r="O9" s="54"/>
      <c r="P9" s="20">
        <f>COUNT(N11:N1048576)</f>
        <v>18</v>
      </c>
      <c r="Q9" s="20"/>
      <c r="R9" s="21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43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tr">
        <f>IF(H5=0,"스왑지급일","채권지급일")</f>
        <v>스왑지급일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45330</v>
      </c>
      <c r="Y10" s="3">
        <v>4</v>
      </c>
      <c r="Z10" s="3">
        <v>365</v>
      </c>
      <c r="AA10" s="49">
        <v>3.5974945432212163E-2</v>
      </c>
      <c r="AB10" s="49"/>
    </row>
    <row r="11" spans="1:32" ht="14.25" customHeight="1" x14ac:dyDescent="0.4">
      <c r="A11" s="1">
        <f t="shared" si="5"/>
        <v>11</v>
      </c>
      <c r="E11" s="6">
        <v>45054</v>
      </c>
      <c r="F11" s="15">
        <v>3.5119999999999998E-2</v>
      </c>
      <c r="G11" s="3">
        <v>365</v>
      </c>
      <c r="I11" s="24">
        <v>45054</v>
      </c>
      <c r="J11" s="25">
        <v>45055</v>
      </c>
      <c r="K11" s="25">
        <v>45055</v>
      </c>
      <c r="L11" s="44">
        <v>3.5124000000000002E-2</v>
      </c>
      <c r="M11" s="31">
        <v>365</v>
      </c>
      <c r="N11" s="33">
        <v>45238</v>
      </c>
      <c r="O11" s="33">
        <f>N11</f>
        <v>45238</v>
      </c>
      <c r="P11" s="45">
        <v>4</v>
      </c>
      <c r="Q11" s="32">
        <v>3.5900000000000001E-2</v>
      </c>
      <c r="R11" s="47">
        <v>365</v>
      </c>
      <c r="S11" s="19">
        <v>3.5119999999999998E-2</v>
      </c>
      <c r="T11" s="8">
        <v>1.0958904109589041E-2</v>
      </c>
      <c r="U11" s="19">
        <v>3.5113243298534082E-2</v>
      </c>
      <c r="V11" s="18">
        <v>0.99961527136076511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>
        <v>45054</v>
      </c>
      <c r="J12" s="25">
        <v>45146</v>
      </c>
      <c r="K12" s="25">
        <v>45146</v>
      </c>
      <c r="L12" s="40">
        <v>3.5499999999999997E-2</v>
      </c>
      <c r="M12" s="31">
        <v>365</v>
      </c>
      <c r="N12" s="33">
        <v>45330</v>
      </c>
      <c r="O12" s="33">
        <f t="shared" ref="O12" si="6">N12</f>
        <v>45330</v>
      </c>
      <c r="P12" s="45">
        <v>4</v>
      </c>
      <c r="Q12" s="32">
        <v>3.5975E-2</v>
      </c>
      <c r="R12" s="47">
        <v>365</v>
      </c>
      <c r="S12" s="19">
        <v>3.5124000000000002E-2</v>
      </c>
      <c r="T12" s="8">
        <v>1.3698630136986301E-2</v>
      </c>
      <c r="U12" s="19">
        <v>3.5115059303283687E-2</v>
      </c>
      <c r="V12" s="18">
        <v>0.99951908746588669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/>
      <c r="J13" s="25"/>
      <c r="K13" s="25"/>
      <c r="L13" s="40"/>
      <c r="M13" s="31"/>
      <c r="N13" s="33">
        <v>45420</v>
      </c>
      <c r="O13" s="33">
        <v>45420</v>
      </c>
      <c r="P13" s="45">
        <v>4</v>
      </c>
      <c r="Q13" s="32">
        <v>3.5799999999999998E-2</v>
      </c>
      <c r="R13" s="47">
        <v>365</v>
      </c>
      <c r="S13" s="19">
        <v>3.5499999999999997E-2</v>
      </c>
      <c r="T13" s="8">
        <v>0.26301369863013696</v>
      </c>
      <c r="U13" s="19">
        <v>3.5332534790039068E-2</v>
      </c>
      <c r="V13" s="18">
        <v>0.99075010527163809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/>
      <c r="J14" s="25"/>
      <c r="K14" s="25"/>
      <c r="L14" s="40"/>
      <c r="M14" s="31"/>
      <c r="N14" s="33">
        <v>45604</v>
      </c>
      <c r="O14" s="33">
        <v>45604</v>
      </c>
      <c r="P14" s="45">
        <v>4</v>
      </c>
      <c r="Q14" s="32">
        <v>3.4849999999999999E-2</v>
      </c>
      <c r="R14" s="47">
        <v>365</v>
      </c>
      <c r="S14" s="19">
        <v>3.5900000000000001E-2</v>
      </c>
      <c r="T14" s="8">
        <v>0.51506849315068493</v>
      </c>
      <c r="U14" s="19">
        <v>3.5727003479003899E-2</v>
      </c>
      <c r="V14" s="18">
        <v>0.98176642646160828</v>
      </c>
    </row>
    <row r="15" spans="1:32" ht="14.25" customHeight="1" x14ac:dyDescent="0.4">
      <c r="A15" s="1">
        <f t="shared" si="5"/>
        <v>15</v>
      </c>
      <c r="E15" s="6"/>
      <c r="F15" s="15"/>
      <c r="G15" s="3"/>
      <c r="I15" s="24"/>
      <c r="J15" s="25"/>
      <c r="K15" s="25"/>
      <c r="L15" s="40"/>
      <c r="M15" s="31"/>
      <c r="N15" s="33">
        <v>45785</v>
      </c>
      <c r="O15" s="33">
        <v>45785</v>
      </c>
      <c r="P15" s="45">
        <v>4</v>
      </c>
      <c r="Q15" s="32">
        <v>3.3550000000000003E-2</v>
      </c>
      <c r="R15" s="47">
        <v>365</v>
      </c>
      <c r="S15" s="19">
        <v>3.5975E-2</v>
      </c>
      <c r="T15" s="8">
        <v>0.76712328767123283</v>
      </c>
      <c r="U15" s="19">
        <v>3.5804673767089845E-2</v>
      </c>
      <c r="V15" s="18">
        <v>0.97290717803067717</v>
      </c>
    </row>
    <row r="16" spans="1:32" ht="14.25" customHeight="1" x14ac:dyDescent="0.4">
      <c r="A16" s="1">
        <f t="shared" si="5"/>
        <v>16</v>
      </c>
      <c r="E16" s="6"/>
      <c r="F16" s="15"/>
      <c r="G16" s="3"/>
      <c r="I16" s="24"/>
      <c r="J16" s="25"/>
      <c r="K16" s="25"/>
      <c r="L16" s="40"/>
      <c r="M16" s="31"/>
      <c r="N16" s="33">
        <v>46150</v>
      </c>
      <c r="O16" s="33">
        <v>46150</v>
      </c>
      <c r="P16" s="45">
        <v>4</v>
      </c>
      <c r="Q16" s="32">
        <v>3.2149999999999998E-2</v>
      </c>
      <c r="R16" s="47">
        <v>365</v>
      </c>
      <c r="S16" s="19">
        <v>3.5799999999999998E-2</v>
      </c>
      <c r="T16" s="8">
        <v>1.0136986301369864</v>
      </c>
      <c r="U16" s="19">
        <v>3.5633679199218747E-2</v>
      </c>
      <c r="V16" s="18">
        <v>0.96452279607774383</v>
      </c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37"/>
      <c r="L17" s="40"/>
      <c r="M17" s="31"/>
      <c r="N17" s="33">
        <v>46515</v>
      </c>
      <c r="O17" s="33">
        <v>46517</v>
      </c>
      <c r="P17" s="45">
        <v>4</v>
      </c>
      <c r="Q17" s="32">
        <v>3.1475000000000003E-2</v>
      </c>
      <c r="R17" s="47">
        <v>365</v>
      </c>
      <c r="S17" s="19">
        <v>3.4849999999999999E-2</v>
      </c>
      <c r="T17" s="8">
        <v>1.5178082191780822</v>
      </c>
      <c r="U17" s="19">
        <v>3.4683488464355455E-2</v>
      </c>
      <c r="V17" s="18">
        <v>0.94871875477226131</v>
      </c>
    </row>
    <row r="18" spans="1:22" ht="14.25" customHeight="1" x14ac:dyDescent="0.4">
      <c r="A18" s="1">
        <f t="shared" si="5"/>
        <v>18</v>
      </c>
      <c r="I18" s="28"/>
      <c r="M18" s="27"/>
      <c r="N18" s="33">
        <v>46881</v>
      </c>
      <c r="O18" s="33">
        <v>46881</v>
      </c>
      <c r="P18" s="45">
        <v>4</v>
      </c>
      <c r="Q18" s="32">
        <v>3.1050000000000001E-2</v>
      </c>
      <c r="R18" s="47">
        <v>365</v>
      </c>
      <c r="S18" s="19">
        <v>3.3550000000000003E-2</v>
      </c>
      <c r="T18" s="8">
        <v>2.0136986301369864</v>
      </c>
      <c r="U18" s="19">
        <v>3.3372616577148441E-2</v>
      </c>
      <c r="V18" s="18">
        <v>0.93500594419533678</v>
      </c>
    </row>
    <row r="19" spans="1:22" ht="14.25" customHeight="1" x14ac:dyDescent="0.4">
      <c r="A19" s="1">
        <f t="shared" si="5"/>
        <v>19</v>
      </c>
      <c r="I19" s="28"/>
      <c r="M19" s="27"/>
      <c r="N19" s="33">
        <v>47246</v>
      </c>
      <c r="O19" s="33">
        <v>47246</v>
      </c>
      <c r="P19" s="45">
        <v>4</v>
      </c>
      <c r="Q19" s="32">
        <v>3.0925000000000001E-2</v>
      </c>
      <c r="R19" s="47">
        <v>365</v>
      </c>
      <c r="S19" s="19">
        <v>3.2149999999999998E-2</v>
      </c>
      <c r="T19" s="8">
        <v>3.0136986301369864</v>
      </c>
      <c r="U19" s="19">
        <v>3.1954878234863274E-2</v>
      </c>
      <c r="V19" s="18">
        <v>0.90818936282036666</v>
      </c>
    </row>
    <row r="20" spans="1:22" ht="14.25" customHeight="1" x14ac:dyDescent="0.4">
      <c r="A20" s="1">
        <f t="shared" si="5"/>
        <v>20</v>
      </c>
      <c r="I20" s="28"/>
      <c r="M20" s="27"/>
      <c r="N20" s="33">
        <v>47611</v>
      </c>
      <c r="O20" s="33">
        <v>47611</v>
      </c>
      <c r="P20" s="45">
        <v>4</v>
      </c>
      <c r="Q20" s="32">
        <v>3.0849999999999999E-2</v>
      </c>
      <c r="R20" s="47">
        <v>365</v>
      </c>
      <c r="S20" s="19">
        <v>3.1475000000000003E-2</v>
      </c>
      <c r="T20" s="8">
        <v>4.0191780821917806</v>
      </c>
      <c r="U20" s="19">
        <v>3.1271485900878915E-2</v>
      </c>
      <c r="V20" s="18">
        <v>0.8818920076919009</v>
      </c>
    </row>
    <row r="21" spans="1:22" ht="14.25" customHeight="1" x14ac:dyDescent="0.4">
      <c r="A21" s="1">
        <f t="shared" si="5"/>
        <v>21</v>
      </c>
      <c r="I21" s="28"/>
      <c r="M21" s="27"/>
      <c r="N21" s="33">
        <v>47976</v>
      </c>
      <c r="O21" s="33">
        <v>47976</v>
      </c>
      <c r="P21" s="45">
        <v>4</v>
      </c>
      <c r="Q21" s="32">
        <v>3.0849999999999999E-2</v>
      </c>
      <c r="R21" s="47">
        <v>365</v>
      </c>
      <c r="S21" s="19">
        <v>3.1050000000000001E-2</v>
      </c>
      <c r="T21" s="8">
        <v>5.0164383561643833</v>
      </c>
      <c r="U21" s="19">
        <v>3.0840191650390633E-2</v>
      </c>
      <c r="V21" s="18">
        <v>0.85666535550035938</v>
      </c>
    </row>
    <row r="22" spans="1:22" ht="14.25" customHeight="1" x14ac:dyDescent="0.4">
      <c r="A22" s="1">
        <f t="shared" si="5"/>
        <v>22</v>
      </c>
      <c r="I22" s="28"/>
      <c r="M22" s="27"/>
      <c r="N22" s="33">
        <v>48342</v>
      </c>
      <c r="O22" s="33">
        <v>48342</v>
      </c>
      <c r="P22" s="45">
        <v>4</v>
      </c>
      <c r="Q22" s="32">
        <v>3.0849999999999999E-2</v>
      </c>
      <c r="R22" s="47">
        <v>365</v>
      </c>
      <c r="S22" s="19">
        <v>3.0925000000000001E-2</v>
      </c>
      <c r="T22" s="8">
        <v>6.0164383561643833</v>
      </c>
      <c r="U22" s="19">
        <v>3.0721485900878909E-2</v>
      </c>
      <c r="V22" s="18">
        <v>0.83124232001669718</v>
      </c>
    </row>
    <row r="23" spans="1:22" ht="14.25" customHeight="1" x14ac:dyDescent="0.4">
      <c r="A23" s="1">
        <f t="shared" si="5"/>
        <v>23</v>
      </c>
      <c r="I23" s="28"/>
      <c r="M23" s="27"/>
      <c r="N23" s="33">
        <v>48707</v>
      </c>
      <c r="O23" s="33">
        <v>48708</v>
      </c>
      <c r="P23" s="45">
        <v>4</v>
      </c>
      <c r="Q23" s="32">
        <v>3.0925000000000001E-2</v>
      </c>
      <c r="R23" s="47">
        <v>365</v>
      </c>
      <c r="S23" s="19">
        <v>3.0849999999999999E-2</v>
      </c>
      <c r="T23" s="8">
        <v>7.0164383561643833</v>
      </c>
      <c r="U23" s="19">
        <v>3.0652017211914066E-2</v>
      </c>
      <c r="V23" s="18">
        <v>0.80648660588615806</v>
      </c>
    </row>
    <row r="24" spans="1:22" ht="14.25" customHeight="1" x14ac:dyDescent="0.4">
      <c r="A24" s="1">
        <f t="shared" si="5"/>
        <v>24</v>
      </c>
      <c r="I24" s="28"/>
      <c r="M24" s="27"/>
      <c r="N24" s="33">
        <v>49437</v>
      </c>
      <c r="O24" s="33">
        <v>49437</v>
      </c>
      <c r="P24" s="45">
        <v>4</v>
      </c>
      <c r="Q24" s="32">
        <v>3.1125E-2</v>
      </c>
      <c r="R24" s="47">
        <v>365</v>
      </c>
      <c r="S24" s="19">
        <v>3.0849999999999999E-2</v>
      </c>
      <c r="T24" s="8">
        <v>8.0164383561643842</v>
      </c>
      <c r="U24" s="19">
        <v>3.0661935424804693E-2</v>
      </c>
      <c r="V24" s="18">
        <v>0.78207900415109133</v>
      </c>
    </row>
    <row r="25" spans="1:22" ht="14.25" customHeight="1" x14ac:dyDescent="0.4">
      <c r="A25" s="1">
        <f t="shared" si="5"/>
        <v>25</v>
      </c>
      <c r="I25" s="28"/>
      <c r="M25" s="27"/>
      <c r="N25" s="33">
        <v>50533</v>
      </c>
      <c r="O25" s="33">
        <v>50535</v>
      </c>
      <c r="P25" s="45">
        <v>4</v>
      </c>
      <c r="Q25" s="32">
        <v>3.0974999999999999E-2</v>
      </c>
      <c r="R25" s="47">
        <v>365</v>
      </c>
      <c r="S25" s="19">
        <v>3.0849999999999999E-2</v>
      </c>
      <c r="T25" s="8">
        <v>9.0191780821917806</v>
      </c>
      <c r="U25" s="19">
        <v>3.0669564819335943E-2</v>
      </c>
      <c r="V25" s="18">
        <v>0.75834696029344728</v>
      </c>
    </row>
    <row r="26" spans="1:22" ht="14.25" customHeight="1" x14ac:dyDescent="0.4">
      <c r="A26" s="1">
        <f t="shared" si="5"/>
        <v>26</v>
      </c>
      <c r="I26" s="28"/>
      <c r="M26" s="27"/>
      <c r="N26" s="33">
        <v>52359</v>
      </c>
      <c r="O26" s="33">
        <v>52359</v>
      </c>
      <c r="P26" s="45">
        <v>4</v>
      </c>
      <c r="Q26" s="32">
        <v>2.9874999999999999E-2</v>
      </c>
      <c r="R26" s="47">
        <v>365</v>
      </c>
      <c r="S26" s="19">
        <v>3.0925000000000001E-2</v>
      </c>
      <c r="T26" s="8">
        <v>10.021917808219179</v>
      </c>
      <c r="U26" s="19">
        <v>3.076134948730469E-2</v>
      </c>
      <c r="V26" s="18">
        <v>0.73470390135863195</v>
      </c>
    </row>
    <row r="27" spans="1:22" ht="14.25" customHeight="1" x14ac:dyDescent="0.4">
      <c r="A27" s="1">
        <f t="shared" si="5"/>
        <v>27</v>
      </c>
      <c r="I27" s="28"/>
      <c r="M27" s="27"/>
      <c r="N27" s="33">
        <v>54186</v>
      </c>
      <c r="O27" s="33">
        <v>54186</v>
      </c>
      <c r="P27" s="45">
        <v>4</v>
      </c>
      <c r="Q27" s="32">
        <v>2.8275000000000002E-2</v>
      </c>
      <c r="R27" s="47">
        <v>365</v>
      </c>
      <c r="S27" s="19">
        <v>3.1125E-2</v>
      </c>
      <c r="T27" s="8">
        <v>12.019178082191781</v>
      </c>
      <c r="U27" s="19">
        <v>3.1001785278320322E-2</v>
      </c>
      <c r="V27" s="18">
        <v>0.68892974614342462</v>
      </c>
    </row>
    <row r="28" spans="1:22" ht="14.25" customHeight="1" x14ac:dyDescent="0.4">
      <c r="A28" s="1">
        <f t="shared" si="5"/>
        <v>28</v>
      </c>
      <c r="I28" s="28"/>
      <c r="M28" s="27"/>
      <c r="N28" s="33">
        <v>56012</v>
      </c>
      <c r="O28" s="33">
        <v>56012</v>
      </c>
      <c r="P28" s="46">
        <v>4</v>
      </c>
      <c r="Q28" s="32">
        <v>2.8275000000000002E-2</v>
      </c>
      <c r="R28" s="47">
        <v>365</v>
      </c>
      <c r="S28" s="19">
        <v>3.0974999999999999E-2</v>
      </c>
      <c r="T28" s="8">
        <v>15.027397260273972</v>
      </c>
      <c r="U28" s="19">
        <v>3.0821267700195311E-2</v>
      </c>
      <c r="V28" s="18">
        <v>0.62928977688627508</v>
      </c>
    </row>
    <row r="29" spans="1:22" ht="14.25" customHeight="1" x14ac:dyDescent="0.4">
      <c r="A29" s="1">
        <f t="shared" si="5"/>
        <v>29</v>
      </c>
      <c r="I29" s="28"/>
      <c r="M29" s="27"/>
      <c r="S29" s="19">
        <v>2.9874999999999999E-2</v>
      </c>
      <c r="T29" s="8">
        <v>20.024657534246575</v>
      </c>
      <c r="U29" s="19">
        <v>2.9442031860351561E-2</v>
      </c>
      <c r="V29" s="18">
        <v>0.55456757941129931</v>
      </c>
    </row>
    <row r="30" spans="1:22" ht="14.25" customHeight="1" x14ac:dyDescent="0.4">
      <c r="A30" s="1">
        <f t="shared" si="5"/>
        <v>30</v>
      </c>
      <c r="I30" s="28"/>
      <c r="M30" s="27"/>
      <c r="S30" s="19">
        <v>2.8275000000000002E-2</v>
      </c>
      <c r="T30" s="8">
        <v>25.030136986301368</v>
      </c>
      <c r="U30" s="19">
        <v>2.7384649658203121E-2</v>
      </c>
      <c r="V30" s="18">
        <v>0.50386770660229385</v>
      </c>
    </row>
    <row r="31" spans="1:22" ht="14.25" customHeight="1" x14ac:dyDescent="0.4">
      <c r="A31" s="1">
        <f t="shared" si="5"/>
        <v>31</v>
      </c>
      <c r="I31" s="28"/>
      <c r="M31" s="27"/>
      <c r="S31" s="19">
        <v>2.8275000000000002E-2</v>
      </c>
      <c r="T31" s="8">
        <v>30.032876712328768</v>
      </c>
      <c r="U31" s="19">
        <v>2.7517019653320311E-2</v>
      </c>
      <c r="V31" s="18">
        <v>0.43761521523819003</v>
      </c>
    </row>
    <row r="32" spans="1:22" ht="14.25" customHeight="1" x14ac:dyDescent="0.4">
      <c r="A32" s="1">
        <f t="shared" si="5"/>
        <v>32</v>
      </c>
      <c r="I32" s="28"/>
      <c r="M32" s="27"/>
      <c r="V32" s="18"/>
    </row>
    <row r="33" spans="1:22" ht="14.25" customHeight="1" x14ac:dyDescent="0.4">
      <c r="A33" s="1">
        <f t="shared" si="5"/>
        <v>33</v>
      </c>
      <c r="I33" s="28"/>
      <c r="M33" s="27"/>
      <c r="V33" s="18"/>
    </row>
    <row r="34" spans="1:22" ht="14.25" customHeight="1" x14ac:dyDescent="0.4">
      <c r="A34" s="1">
        <f t="shared" si="5"/>
        <v>34</v>
      </c>
      <c r="I34" s="28"/>
      <c r="M34" s="27"/>
      <c r="V34" s="18"/>
    </row>
    <row r="35" spans="1:22" ht="14.25" customHeight="1" x14ac:dyDescent="0.4">
      <c r="A35" s="1">
        <f t="shared" si="5"/>
        <v>35</v>
      </c>
      <c r="I35" s="28"/>
      <c r="M35" s="27"/>
      <c r="V35" s="18"/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4"/>
      <c r="J53" s="35"/>
      <c r="K53" s="39"/>
      <c r="L53" s="42"/>
      <c r="M53" s="36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7">A65+1</f>
        <v>66</v>
      </c>
      <c r="V66" s="18"/>
    </row>
    <row r="67" spans="1:22" ht="14.25" customHeight="1" x14ac:dyDescent="0.4">
      <c r="A67" s="1">
        <f t="shared" si="7"/>
        <v>67</v>
      </c>
      <c r="V67" s="18"/>
    </row>
    <row r="68" spans="1:22" ht="14.25" customHeight="1" x14ac:dyDescent="0.4">
      <c r="A68" s="1">
        <f t="shared" si="7"/>
        <v>68</v>
      </c>
      <c r="V68" s="18"/>
    </row>
    <row r="69" spans="1:22" ht="14.25" customHeight="1" x14ac:dyDescent="0.4">
      <c r="A69" s="1">
        <f t="shared" si="7"/>
        <v>69</v>
      </c>
      <c r="V69" s="18"/>
    </row>
    <row r="70" spans="1:22" ht="14.25" customHeight="1" x14ac:dyDescent="0.4">
      <c r="A70" s="1">
        <f t="shared" si="7"/>
        <v>70</v>
      </c>
      <c r="V70" s="18"/>
    </row>
    <row r="71" spans="1:22" ht="14.25" customHeight="1" x14ac:dyDescent="0.4">
      <c r="A71" s="1">
        <f t="shared" si="7"/>
        <v>71</v>
      </c>
      <c r="V71" s="18"/>
    </row>
    <row r="72" spans="1:22" ht="14.25" customHeight="1" x14ac:dyDescent="0.4">
      <c r="A72" s="1">
        <f t="shared" si="7"/>
        <v>72</v>
      </c>
      <c r="V72" s="18"/>
    </row>
    <row r="73" spans="1:22" ht="14.25" customHeight="1" x14ac:dyDescent="0.4">
      <c r="A73" s="1">
        <f t="shared" si="7"/>
        <v>73</v>
      </c>
      <c r="V73" s="18"/>
    </row>
    <row r="74" spans="1:22" ht="14.25" customHeight="1" x14ac:dyDescent="0.4">
      <c r="A74" s="1">
        <f t="shared" si="7"/>
        <v>74</v>
      </c>
      <c r="V74" s="18"/>
    </row>
    <row r="75" spans="1:22" ht="14.25" customHeight="1" x14ac:dyDescent="0.4">
      <c r="A75" s="1">
        <f t="shared" si="7"/>
        <v>75</v>
      </c>
      <c r="V75" s="18"/>
    </row>
    <row r="76" spans="1:22" ht="14.25" customHeight="1" x14ac:dyDescent="0.4">
      <c r="A76" s="1">
        <f t="shared" si="7"/>
        <v>76</v>
      </c>
      <c r="V76" s="18"/>
    </row>
    <row r="77" spans="1:22" ht="14.25" customHeight="1" x14ac:dyDescent="0.4">
      <c r="A77" s="1">
        <f t="shared" si="7"/>
        <v>77</v>
      </c>
      <c r="V77" s="18"/>
    </row>
    <row r="78" spans="1:22" ht="14.25" customHeight="1" x14ac:dyDescent="0.4">
      <c r="A78" s="1">
        <f t="shared" si="7"/>
        <v>78</v>
      </c>
      <c r="V78" s="18"/>
    </row>
    <row r="79" spans="1:22" ht="14.25" customHeight="1" x14ac:dyDescent="0.4">
      <c r="A79" s="1">
        <f t="shared" si="7"/>
        <v>79</v>
      </c>
      <c r="V79" s="18"/>
    </row>
    <row r="80" spans="1:22" ht="14.25" customHeight="1" x14ac:dyDescent="0.4">
      <c r="A80" s="1">
        <f t="shared" si="7"/>
        <v>80</v>
      </c>
      <c r="V80" s="18"/>
    </row>
    <row r="81" spans="1:22" ht="14.25" customHeight="1" x14ac:dyDescent="0.4">
      <c r="A81" s="1">
        <f t="shared" si="7"/>
        <v>81</v>
      </c>
      <c r="V81" s="18"/>
    </row>
    <row r="82" spans="1:22" ht="14.25" customHeight="1" x14ac:dyDescent="0.4">
      <c r="A82" s="1">
        <f t="shared" si="7"/>
        <v>82</v>
      </c>
      <c r="V82" s="18"/>
    </row>
    <row r="83" spans="1:22" ht="14.25" customHeight="1" x14ac:dyDescent="0.4">
      <c r="A83" s="1">
        <f t="shared" si="7"/>
        <v>83</v>
      </c>
      <c r="V83" s="18"/>
    </row>
    <row r="84" spans="1:22" ht="14.25" customHeight="1" x14ac:dyDescent="0.4">
      <c r="A84" s="1">
        <f t="shared" si="7"/>
        <v>84</v>
      </c>
      <c r="V84" s="18"/>
    </row>
    <row r="85" spans="1:22" ht="14.25" customHeight="1" x14ac:dyDescent="0.4">
      <c r="A85" s="1">
        <f t="shared" si="7"/>
        <v>85</v>
      </c>
      <c r="V85" s="18"/>
    </row>
    <row r="86" spans="1:22" ht="14.25" customHeight="1" x14ac:dyDescent="0.4">
      <c r="A86" s="1">
        <f t="shared" si="7"/>
        <v>86</v>
      </c>
      <c r="V86" s="18"/>
    </row>
    <row r="87" spans="1:22" ht="14.25" customHeight="1" x14ac:dyDescent="0.4">
      <c r="A87" s="1">
        <f t="shared" si="7"/>
        <v>87</v>
      </c>
      <c r="V87" s="18"/>
    </row>
    <row r="88" spans="1:22" ht="14.25" customHeight="1" x14ac:dyDescent="0.4">
      <c r="A88" s="1">
        <f t="shared" si="7"/>
        <v>88</v>
      </c>
    </row>
    <row r="89" spans="1:22" ht="14.25" customHeight="1" x14ac:dyDescent="0.4">
      <c r="A89" s="1">
        <f t="shared" si="7"/>
        <v>89</v>
      </c>
    </row>
    <row r="90" spans="1:22" ht="14.25" customHeight="1" x14ac:dyDescent="0.4">
      <c r="A90" s="1">
        <f t="shared" si="7"/>
        <v>90</v>
      </c>
    </row>
    <row r="91" spans="1:22" ht="14.25" customHeight="1" x14ac:dyDescent="0.4">
      <c r="A91" s="1">
        <f t="shared" si="7"/>
        <v>91</v>
      </c>
    </row>
    <row r="92" spans="1:22" ht="14.25" customHeight="1" x14ac:dyDescent="0.4">
      <c r="A92" s="1">
        <f t="shared" si="7"/>
        <v>92</v>
      </c>
    </row>
    <row r="93" spans="1:22" ht="14.25" customHeight="1" x14ac:dyDescent="0.4">
      <c r="A93" s="1">
        <f t="shared" si="7"/>
        <v>93</v>
      </c>
    </row>
    <row r="94" spans="1:22" ht="14.25" customHeight="1" x14ac:dyDescent="0.4">
      <c r="A94" s="1">
        <f t="shared" si="7"/>
        <v>94</v>
      </c>
    </row>
    <row r="95" spans="1:22" ht="14.25" customHeight="1" x14ac:dyDescent="0.4">
      <c r="A95" s="1">
        <f t="shared" si="7"/>
        <v>95</v>
      </c>
    </row>
    <row r="96" spans="1:22" ht="14.25" customHeight="1" x14ac:dyDescent="0.4">
      <c r="A96" s="1">
        <f t="shared" si="7"/>
        <v>96</v>
      </c>
    </row>
    <row r="97" spans="1:1" ht="14.25" customHeight="1" x14ac:dyDescent="0.4">
      <c r="A97" s="1">
        <f t="shared" si="7"/>
        <v>97</v>
      </c>
    </row>
    <row r="98" spans="1:1" ht="14.25" customHeight="1" x14ac:dyDescent="0.4">
      <c r="A98" s="1">
        <f t="shared" si="7"/>
        <v>98</v>
      </c>
    </row>
    <row r="99" spans="1:1" ht="14.25" customHeight="1" x14ac:dyDescent="0.4">
      <c r="A99" s="1">
        <f t="shared" si="7"/>
        <v>99</v>
      </c>
    </row>
    <row r="100" spans="1:1" ht="14.25" customHeight="1" x14ac:dyDescent="0.4">
      <c r="A100" s="1">
        <f t="shared" si="7"/>
        <v>100</v>
      </c>
    </row>
    <row r="101" spans="1:1" ht="14.25" customHeight="1" x14ac:dyDescent="0.4">
      <c r="A101" s="1">
        <f t="shared" si="7"/>
        <v>101</v>
      </c>
    </row>
    <row r="102" spans="1:1" ht="14.25" customHeight="1" x14ac:dyDescent="0.4">
      <c r="A102" s="1">
        <f t="shared" si="7"/>
        <v>102</v>
      </c>
    </row>
    <row r="103" spans="1:1" ht="14.25" customHeight="1" x14ac:dyDescent="0.4">
      <c r="A103" s="1">
        <f t="shared" si="7"/>
        <v>103</v>
      </c>
    </row>
    <row r="104" spans="1:1" ht="14.25" customHeight="1" x14ac:dyDescent="0.4">
      <c r="A104" s="1">
        <f t="shared" si="7"/>
        <v>104</v>
      </c>
    </row>
    <row r="105" spans="1:1" ht="14.25" customHeight="1" x14ac:dyDescent="0.4">
      <c r="A105" s="1">
        <f t="shared" si="7"/>
        <v>105</v>
      </c>
    </row>
    <row r="106" spans="1:1" ht="14.25" customHeight="1" x14ac:dyDescent="0.4">
      <c r="A106" s="1">
        <f t="shared" si="7"/>
        <v>106</v>
      </c>
    </row>
    <row r="107" spans="1:1" ht="14.25" customHeight="1" x14ac:dyDescent="0.4">
      <c r="A107" s="1">
        <f t="shared" si="7"/>
        <v>107</v>
      </c>
    </row>
    <row r="108" spans="1:1" ht="14.25" customHeight="1" x14ac:dyDescent="0.4">
      <c r="A108" s="1">
        <f t="shared" si="7"/>
        <v>108</v>
      </c>
    </row>
    <row r="109" spans="1:1" ht="14.25" customHeight="1" x14ac:dyDescent="0.4">
      <c r="A109" s="1">
        <f t="shared" si="7"/>
        <v>109</v>
      </c>
    </row>
    <row r="110" spans="1:1" ht="14.25" customHeight="1" x14ac:dyDescent="0.4">
      <c r="A110" s="1">
        <f t="shared" si="7"/>
        <v>110</v>
      </c>
    </row>
    <row r="111" spans="1:1" ht="14.25" customHeight="1" x14ac:dyDescent="0.4">
      <c r="A111" s="1">
        <f t="shared" si="7"/>
        <v>111</v>
      </c>
    </row>
    <row r="112" spans="1:1" ht="14.25" customHeight="1" x14ac:dyDescent="0.4">
      <c r="A112" s="1">
        <f t="shared" si="7"/>
        <v>112</v>
      </c>
    </row>
    <row r="113" spans="1:1" ht="14.25" customHeight="1" x14ac:dyDescent="0.4">
      <c r="A113" s="1">
        <f t="shared" si="7"/>
        <v>113</v>
      </c>
    </row>
    <row r="114" spans="1:1" ht="14.25" customHeight="1" x14ac:dyDescent="0.4">
      <c r="A114" s="1">
        <f t="shared" si="7"/>
        <v>114</v>
      </c>
    </row>
    <row r="115" spans="1:1" ht="14.25" customHeight="1" x14ac:dyDescent="0.4">
      <c r="A115" s="1">
        <f t="shared" si="7"/>
        <v>115</v>
      </c>
    </row>
    <row r="116" spans="1:1" ht="14.25" customHeight="1" x14ac:dyDescent="0.4">
      <c r="A116" s="1">
        <f t="shared" si="7"/>
        <v>116</v>
      </c>
    </row>
    <row r="117" spans="1:1" ht="14.25" customHeight="1" x14ac:dyDescent="0.4">
      <c r="A117" s="1">
        <f t="shared" si="7"/>
        <v>117</v>
      </c>
    </row>
    <row r="118" spans="1:1" ht="14.25" customHeight="1" x14ac:dyDescent="0.4">
      <c r="A118" s="1">
        <f t="shared" si="7"/>
        <v>118</v>
      </c>
    </row>
    <row r="119" spans="1:1" ht="14.25" customHeight="1" x14ac:dyDescent="0.4">
      <c r="A119" s="1">
        <f t="shared" si="7"/>
        <v>119</v>
      </c>
    </row>
    <row r="120" spans="1:1" ht="14.25" customHeight="1" x14ac:dyDescent="0.4">
      <c r="A120" s="1">
        <f t="shared" si="7"/>
        <v>120</v>
      </c>
    </row>
    <row r="121" spans="1:1" ht="14.25" customHeight="1" x14ac:dyDescent="0.4">
      <c r="A121" s="1">
        <f t="shared" si="7"/>
        <v>121</v>
      </c>
    </row>
    <row r="122" spans="1:1" ht="14.25" customHeight="1" x14ac:dyDescent="0.4">
      <c r="A122" s="1">
        <f t="shared" si="7"/>
        <v>122</v>
      </c>
    </row>
    <row r="123" spans="1:1" ht="14.25" customHeight="1" x14ac:dyDescent="0.4">
      <c r="A123" s="1">
        <f t="shared" si="7"/>
        <v>123</v>
      </c>
    </row>
    <row r="124" spans="1:1" ht="14.25" customHeight="1" x14ac:dyDescent="0.4">
      <c r="A124" s="1">
        <f t="shared" si="7"/>
        <v>124</v>
      </c>
    </row>
    <row r="125" spans="1:1" ht="14.25" customHeight="1" x14ac:dyDescent="0.4">
      <c r="A125" s="1">
        <f t="shared" si="7"/>
        <v>125</v>
      </c>
    </row>
    <row r="126" spans="1:1" ht="14.25" customHeight="1" x14ac:dyDescent="0.4">
      <c r="A126" s="1">
        <f t="shared" si="7"/>
        <v>126</v>
      </c>
    </row>
    <row r="127" spans="1:1" ht="14.25" customHeight="1" x14ac:dyDescent="0.4">
      <c r="A127" s="1">
        <f t="shared" si="7"/>
        <v>127</v>
      </c>
    </row>
    <row r="128" spans="1:1" ht="14.25" customHeight="1" x14ac:dyDescent="0.4">
      <c r="A128" s="1">
        <f t="shared" si="7"/>
        <v>128</v>
      </c>
    </row>
    <row r="129" spans="1:1" ht="14.25" customHeight="1" x14ac:dyDescent="0.4">
      <c r="A129" s="1">
        <f t="shared" si="7"/>
        <v>129</v>
      </c>
    </row>
    <row r="130" spans="1:1" ht="14.25" customHeight="1" x14ac:dyDescent="0.4">
      <c r="A130" s="1">
        <f t="shared" ref="A130:A131" si="8">A129+1</f>
        <v>130</v>
      </c>
    </row>
    <row r="131" spans="1:1" ht="14.25" customHeight="1" x14ac:dyDescent="0.4">
      <c r="A131" s="1">
        <f t="shared" si="8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2023-05-29T14:49:28Z</dcterms:modified>
</cp:coreProperties>
</file>