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ZeroCurveMaker\"/>
    </mc:Choice>
  </mc:AlternateContent>
  <bookViews>
    <workbookView xWindow="0" yWindow="0" windowWidth="23040" windowHeight="9108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9" i="1" l="1"/>
  <c r="K9" i="1" l="1"/>
  <c r="X10" i="1" l="1"/>
  <c r="I8" i="1"/>
  <c r="L10" i="1" l="1"/>
  <c r="K10" i="1"/>
  <c r="J10" i="1"/>
  <c r="I10" i="1"/>
  <c r="I9" i="1"/>
  <c r="F10" i="1"/>
  <c r="P10" i="1"/>
  <c r="N10" i="1"/>
  <c r="N8" i="1"/>
  <c r="D8" i="1"/>
  <c r="D6" i="1"/>
  <c r="AF1" i="1" l="1"/>
  <c r="AE1" i="1"/>
  <c r="AD1" i="1"/>
  <c r="AC1" i="1"/>
  <c r="AB1" i="1"/>
  <c r="AA1" i="1"/>
  <c r="A44" i="1" l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W1" i="1" l="1"/>
  <c r="X1" i="1" s="1"/>
  <c r="Y1" i="1" s="1"/>
  <c r="Z1" i="1" s="1"/>
  <c r="A28" i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27" i="1"/>
  <c r="T1" i="1" l="1"/>
  <c r="U1" i="1" s="1"/>
  <c r="V1" i="1" s="1"/>
  <c r="S1" i="1"/>
  <c r="R1" i="1"/>
  <c r="B1" i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A2" i="1"/>
  <c r="A3" i="1" s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P9" i="1" l="1"/>
</calcChain>
</file>

<file path=xl/comments1.xml><?xml version="1.0" encoding="utf-8"?>
<comments xmlns="http://schemas.openxmlformats.org/spreadsheetml/2006/main">
  <authors>
    <author>DAESUN IM</author>
  </authors>
  <commentList>
    <comment ref="G4" authorId="0" shapeId="0">
      <text>
        <r>
          <rPr>
            <b/>
            <sz val="9"/>
            <color indexed="81"/>
            <rFont val="Tahoma"/>
            <family val="2"/>
          </rPr>
          <t>0:Linear interp
1:Linear Interp Extrap
2:Cubic</t>
        </r>
      </text>
    </comment>
    <comment ref="G5" authorId="0" shapeId="0">
      <text>
        <r>
          <rPr>
            <b/>
            <sz val="9"/>
            <color indexed="81"/>
            <rFont val="Tahoma"/>
            <family val="2"/>
          </rPr>
          <t>0: Swap</t>
        </r>
        <r>
          <rPr>
            <b/>
            <sz val="9"/>
            <color indexed="81"/>
            <rFont val="돋움"/>
            <family val="3"/>
            <charset val="129"/>
          </rPr>
          <t xml:space="preserve">시장정보
</t>
        </r>
        <r>
          <rPr>
            <b/>
            <sz val="9"/>
            <color indexed="81"/>
            <rFont val="Tahoma"/>
            <family val="2"/>
          </rPr>
          <t>1: Bond</t>
        </r>
        <r>
          <rPr>
            <b/>
            <sz val="9"/>
            <color indexed="81"/>
            <rFont val="돋움"/>
            <family val="3"/>
            <charset val="129"/>
          </rPr>
          <t xml:space="preserve">시장정보
</t>
        </r>
      </text>
    </comment>
    <comment ref="I5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공식사용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해찾기
</t>
        </r>
      </text>
    </comment>
  </commentList>
</comments>
</file>

<file path=xl/sharedStrings.xml><?xml version="1.0" encoding="utf-8"?>
<sst xmlns="http://schemas.openxmlformats.org/spreadsheetml/2006/main" count="20" uniqueCount="18">
  <si>
    <t>연이자횟수</t>
    <phoneticPr fontId="1" type="noConversion"/>
  </si>
  <si>
    <t>개수</t>
    <phoneticPr fontId="1" type="noConversion"/>
  </si>
  <si>
    <t>개수</t>
    <phoneticPr fontId="1" type="noConversion"/>
  </si>
  <si>
    <t>평가일자</t>
    <phoneticPr fontId="1" type="noConversion"/>
  </si>
  <si>
    <t>만기</t>
    <phoneticPr fontId="1" type="noConversion"/>
  </si>
  <si>
    <t>1Y Convention</t>
    <phoneticPr fontId="1" type="noConversion"/>
  </si>
  <si>
    <t>스왑만기일</t>
    <phoneticPr fontId="1" type="noConversion"/>
  </si>
  <si>
    <t>Term</t>
    <phoneticPr fontId="1" type="noConversion"/>
  </si>
  <si>
    <t>스왑금리</t>
    <phoneticPr fontId="1" type="noConversion"/>
  </si>
  <si>
    <t>ResultZeroCurve</t>
    <phoneticPr fontId="1" type="noConversion"/>
  </si>
  <si>
    <t>ZeroRate</t>
    <phoneticPr fontId="1" type="noConversion"/>
  </si>
  <si>
    <t>Error</t>
    <phoneticPr fontId="1" type="noConversion"/>
  </si>
  <si>
    <t>MarketData</t>
    <phoneticPr fontId="1" type="noConversion"/>
  </si>
  <si>
    <t>DF</t>
    <phoneticPr fontId="1" type="noConversion"/>
  </si>
  <si>
    <t>Interp</t>
    <phoneticPr fontId="1" type="noConversion"/>
  </si>
  <si>
    <t>Swap Discount 계산방법</t>
    <phoneticPr fontId="1" type="noConversion"/>
  </si>
  <si>
    <t>1Y Conv</t>
    <phoneticPr fontId="1" type="noConversion"/>
  </si>
  <si>
    <t>MarketRate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</si>
</sst>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76" formatCode="0.00_);[Red]\(0.00\)"/>
    <numFmt numFmtId="177" formatCode="0.0000%"/>
    <numFmt numFmtId="178" formatCode="0.000000"/>
    <numFmt numFmtId="179" formatCode="0.00000%"/>
  </numFmts>
  <fonts count="1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</font>
  </fonts>
  <fills count="13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>
      <alignment vertical="center"/>
    </xf>
    <xf numFmtId="9" fontId="10" fillId="0" borderId="0" applyFont="0" applyFill="0" applyBorder="0" applyAlignment="0" applyProtection="0">
      <alignment vertical="center"/>
    </xf>
  </cellStyleXfs>
  <cellXfs count="33">
    <xf numFmtId="0" fontId="0" fillId="0" borderId="0" xfId="0">
      <alignment vertical="center"/>
    </xf>
    <xf numFmtId="0" fontId="3" fillId="2" borderId="0" xfId="0" applyFont="1" applyFill="1">
      <alignment vertical="center"/>
    </xf>
    <xf numFmtId="0" fontId="3" fillId="4" borderId="0" xfId="0" applyFont="1" applyFill="1">
      <alignment vertical="center"/>
    </xf>
    <xf numFmtId="0" fontId="3" fillId="3" borderId="0" xfId="0" applyFont="1" applyFill="1">
      <alignment vertical="center"/>
    </xf>
    <xf numFmtId="0" fontId="2" fillId="5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14" fontId="3" fillId="3" borderId="0" xfId="0" applyNumberFormat="1" applyFont="1" applyFill="1">
      <alignment vertical="center"/>
    </xf>
    <xf numFmtId="14" fontId="3" fillId="4" borderId="0" xfId="0" applyNumberFormat="1" applyFont="1" applyFill="1">
      <alignment vertical="center"/>
    </xf>
    <xf numFmtId="0" fontId="3" fillId="9" borderId="0" xfId="0" applyFont="1" applyFill="1">
      <alignment vertical="center"/>
    </xf>
    <xf numFmtId="14" fontId="3" fillId="2" borderId="0" xfId="0" applyNumberFormat="1" applyFont="1" applyFill="1">
      <alignment vertical="center"/>
    </xf>
    <xf numFmtId="0" fontId="8" fillId="6" borderId="0" xfId="0" applyFont="1" applyFill="1">
      <alignment vertical="center"/>
    </xf>
    <xf numFmtId="0" fontId="3" fillId="4" borderId="0" xfId="0" applyFont="1" applyFill="1" applyAlignment="1">
      <alignment horizontal="center" vertical="center"/>
    </xf>
    <xf numFmtId="0" fontId="7" fillId="8" borderId="0" xfId="0" applyFont="1" applyFill="1" applyAlignment="1">
      <alignment horizontal="center" vertical="center"/>
    </xf>
    <xf numFmtId="176" fontId="8" fillId="10" borderId="1" xfId="0" applyNumberFormat="1" applyFont="1" applyFill="1" applyBorder="1" applyAlignment="1">
      <alignment vertical="center"/>
    </xf>
    <xf numFmtId="0" fontId="0" fillId="11" borderId="0" xfId="0" applyFill="1">
      <alignment vertical="center"/>
    </xf>
    <xf numFmtId="0" fontId="2" fillId="2" borderId="0" xfId="0" applyFont="1" applyFill="1" applyAlignment="1">
      <alignment horizontal="center" vertical="center"/>
    </xf>
    <xf numFmtId="0" fontId="8" fillId="2" borderId="0" xfId="0" applyFont="1" applyFill="1" applyAlignment="1">
      <alignment vertical="center"/>
    </xf>
    <xf numFmtId="177" fontId="3" fillId="3" borderId="0" xfId="1" applyNumberFormat="1" applyFont="1" applyFill="1">
      <alignment vertical="center"/>
    </xf>
    <xf numFmtId="177" fontId="3" fillId="2" borderId="0" xfId="1" applyNumberFormat="1" applyFont="1" applyFill="1">
      <alignment vertical="center"/>
    </xf>
    <xf numFmtId="178" fontId="3" fillId="2" borderId="0" xfId="0" applyNumberFormat="1" applyFont="1" applyFill="1">
      <alignment vertical="center"/>
    </xf>
    <xf numFmtId="179" fontId="3" fillId="9" borderId="0" xfId="1" applyNumberFormat="1" applyFont="1" applyFill="1">
      <alignment vertical="center"/>
    </xf>
    <xf numFmtId="0" fontId="3" fillId="12" borderId="0" xfId="0" applyFont="1" applyFill="1">
      <alignment vertical="center"/>
    </xf>
    <xf numFmtId="14" fontId="3" fillId="12" borderId="0" xfId="0" applyNumberFormat="1" applyFont="1" applyFill="1">
      <alignment vertical="center"/>
    </xf>
    <xf numFmtId="179" fontId="3" fillId="12" borderId="0" xfId="1" applyNumberFormat="1" applyFont="1" applyFill="1">
      <alignment vertical="center"/>
    </xf>
    <xf numFmtId="178" fontId="3" fillId="9" borderId="0" xfId="0" applyNumberFormat="1" applyFont="1" applyFill="1">
      <alignment vertical="center"/>
    </xf>
    <xf numFmtId="177" fontId="3" fillId="9" borderId="0" xfId="1" applyNumberFormat="1" applyFont="1" applyFill="1">
      <alignment vertical="center"/>
    </xf>
    <xf numFmtId="49" fontId="9" fillId="7" borderId="0" xfId="0" applyNumberFormat="1" applyFont="1" applyFill="1" applyBorder="1" applyAlignment="1">
      <alignment horizontal="center" vertical="center" wrapText="1"/>
    </xf>
    <xf numFmtId="179" fontId="3" fillId="9" borderId="0" xfId="1" applyNumberFormat="1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8" fillId="5" borderId="0" xfId="0" applyFont="1" applyFill="1" applyAlignment="1">
      <alignment horizontal="center" vertical="center"/>
    </xf>
    <xf numFmtId="0" fontId="8" fillId="7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8" fillId="6" borderId="0" xfId="0" applyFont="1" applyFill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Sheet1!$U$10</c:f>
              <c:strCache>
                <c:ptCount val="1"/>
                <c:pt idx="0">
                  <c:v>ZeroRate</c:v>
                </c:pt>
              </c:strCache>
            </c:strRef>
          </c:tx>
          <c:spPr>
            <a:ln w="635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Sheet1!$T$11:$T$26</c:f>
              <c:numCache>
                <c:formatCode>General</c:formatCode>
                <c:ptCount val="16"/>
                <c:pt idx="0">
                  <c:v>2.7397260273972603E-3</c:v>
                </c:pt>
                <c:pt idx="1">
                  <c:v>9.5890410958904104E-2</c:v>
                </c:pt>
                <c:pt idx="2">
                  <c:v>0.25205479452054796</c:v>
                </c:pt>
                <c:pt idx="3">
                  <c:v>0.50410958904109593</c:v>
                </c:pt>
                <c:pt idx="4">
                  <c:v>0.75342465753424659</c:v>
                </c:pt>
                <c:pt idx="5">
                  <c:v>1</c:v>
                </c:pt>
                <c:pt idx="6">
                  <c:v>1.5041095890410958</c:v>
                </c:pt>
                <c:pt idx="7">
                  <c:v>2.0027397260273974</c:v>
                </c:pt>
                <c:pt idx="8">
                  <c:v>3.0027397260273974</c:v>
                </c:pt>
                <c:pt idx="9">
                  <c:v>4.0027397260273974</c:v>
                </c:pt>
                <c:pt idx="10">
                  <c:v>5.0027397260273974</c:v>
                </c:pt>
                <c:pt idx="11">
                  <c:v>6.0054794520547947</c:v>
                </c:pt>
                <c:pt idx="12">
                  <c:v>7.0054794520547947</c:v>
                </c:pt>
                <c:pt idx="13">
                  <c:v>8.0054794520547947</c:v>
                </c:pt>
                <c:pt idx="14">
                  <c:v>9.0054794520547947</c:v>
                </c:pt>
                <c:pt idx="15">
                  <c:v>10.008219178082191</c:v>
                </c:pt>
              </c:numCache>
            </c:numRef>
          </c:xVal>
          <c:yVal>
            <c:numRef>
              <c:f>Sheet1!$U$11:$U$26</c:f>
              <c:numCache>
                <c:formatCode>0.00000%</c:formatCode>
                <c:ptCount val="16"/>
                <c:pt idx="0">
                  <c:v>3.916442653510576E-2</c:v>
                </c:pt>
                <c:pt idx="1">
                  <c:v>4.3910204453635346E-2</c:v>
                </c:pt>
                <c:pt idx="2">
                  <c:v>5.9422895877575696E-2</c:v>
                </c:pt>
                <c:pt idx="3">
                  <c:v>7.2715401189270987E-2</c:v>
                </c:pt>
                <c:pt idx="4">
                  <c:v>7.8777049144192174E-2</c:v>
                </c:pt>
                <c:pt idx="5">
                  <c:v>8.299411720715931E-2</c:v>
                </c:pt>
                <c:pt idx="6">
                  <c:v>8.4169140109450383E-2</c:v>
                </c:pt>
                <c:pt idx="7">
                  <c:v>8.4542906570434548E-2</c:v>
                </c:pt>
                <c:pt idx="8">
                  <c:v>8.370659340362549E-2</c:v>
                </c:pt>
                <c:pt idx="9">
                  <c:v>8.2836392021179206E-2</c:v>
                </c:pt>
                <c:pt idx="10">
                  <c:v>8.1901137161254897E-2</c:v>
                </c:pt>
                <c:pt idx="11">
                  <c:v>8.199357566833497E-2</c:v>
                </c:pt>
                <c:pt idx="12">
                  <c:v>8.2204923484802239E-2</c:v>
                </c:pt>
                <c:pt idx="13">
                  <c:v>8.1276110458374032E-2</c:v>
                </c:pt>
                <c:pt idx="14">
                  <c:v>8.2438697433471694E-2</c:v>
                </c:pt>
                <c:pt idx="15">
                  <c:v>8.2803682760620098E-2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C4-48C3-A9BE-10A306C3CB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010536"/>
        <c:axId val="370010864"/>
      </c:scatterChart>
      <c:valAx>
        <c:axId val="370010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70010864"/>
        <c:crosses val="autoZero"/>
        <c:crossBetween val="midCat"/>
      </c:valAx>
      <c:valAx>
        <c:axId val="370010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700105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350520</xdr:colOff>
          <xdr:row>3</xdr:row>
          <xdr:rowOff>68580</xdr:rowOff>
        </xdr:from>
        <xdr:to>
          <xdr:col>20</xdr:col>
          <xdr:colOff>388620</xdr:colOff>
          <xdr:row>6</xdr:row>
          <xdr:rowOff>68580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Curve생성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312420</xdr:colOff>
          <xdr:row>3</xdr:row>
          <xdr:rowOff>121920</xdr:rowOff>
        </xdr:from>
        <xdr:to>
          <xdr:col>27</xdr:col>
          <xdr:colOff>457200</xdr:colOff>
          <xdr:row>6</xdr:row>
          <xdr:rowOff>144780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SwapRate검증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508000</xdr:colOff>
      <xdr:row>10</xdr:row>
      <xdr:rowOff>152400</xdr:rowOff>
    </xdr:from>
    <xdr:to>
      <xdr:col>32</xdr:col>
      <xdr:colOff>127000</xdr:colOff>
      <xdr:row>39</xdr:row>
      <xdr:rowOff>149860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F254"/>
  <sheetViews>
    <sheetView tabSelected="1" topLeftCell="N1" zoomScale="115" zoomScaleNormal="115" workbookViewId="0">
      <selection activeCell="S8" sqref="S8:V9"/>
    </sheetView>
  </sheetViews>
  <sheetFormatPr defaultColWidth="10.5" defaultRowHeight="14.25" customHeight="1" x14ac:dyDescent="0.4"/>
  <cols>
    <col min="1" max="1" width="10.5" style="1"/>
    <col min="2" max="3" width="0" style="1" hidden="1" customWidth="1"/>
    <col min="4" max="4" width="10.5" style="1"/>
    <col min="5" max="5" width="10.5" style="9"/>
    <col min="6" max="6" width="10.5" style="18"/>
    <col min="7" max="8" width="10.5" style="1"/>
    <col min="9" max="10" width="10.5" style="9"/>
    <col min="11" max="11" width="10.5" style="18"/>
    <col min="12" max="13" width="10.5" style="1"/>
    <col min="14" max="14" width="10.5" style="22"/>
    <col min="15" max="15" width="10.5" style="21"/>
    <col min="16" max="16" width="10.5" style="23"/>
    <col min="17" max="17" width="10.5" style="21"/>
    <col min="18" max="18" width="10.5" style="1" customWidth="1"/>
    <col min="19" max="19" width="10.5" style="25"/>
    <col min="20" max="20" width="10.5" style="8"/>
    <col min="21" max="21" width="10.5" style="20"/>
    <col min="22" max="22" width="10.5" style="19"/>
    <col min="23" max="16384" width="10.5" style="1"/>
  </cols>
  <sheetData>
    <row r="1" spans="1:32" ht="14.25" customHeight="1" x14ac:dyDescent="0.4">
      <c r="A1" s="1">
        <v>1</v>
      </c>
      <c r="B1" s="1">
        <f>A1+1</f>
        <v>2</v>
      </c>
      <c r="C1" s="1">
        <f>B1+1</f>
        <v>3</v>
      </c>
      <c r="D1" s="1">
        <f t="shared" ref="D1:V1" si="0">C1+1</f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 t="shared" si="0"/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ref="W1" si="1">V1+1</f>
        <v>23</v>
      </c>
      <c r="X1" s="1">
        <f t="shared" ref="X1" si="2">W1+1</f>
        <v>24</v>
      </c>
      <c r="Y1" s="1">
        <f t="shared" ref="Y1" si="3">X1+1</f>
        <v>25</v>
      </c>
      <c r="Z1" s="1">
        <f t="shared" ref="Z1:AF1" si="4">Y1+1</f>
        <v>26</v>
      </c>
      <c r="AA1" s="1">
        <f t="shared" si="4"/>
        <v>27</v>
      </c>
      <c r="AB1" s="1">
        <f t="shared" si="4"/>
        <v>28</v>
      </c>
      <c r="AC1" s="1">
        <f t="shared" si="4"/>
        <v>29</v>
      </c>
      <c r="AD1" s="1">
        <f t="shared" si="4"/>
        <v>30</v>
      </c>
      <c r="AE1" s="1">
        <f t="shared" si="4"/>
        <v>31</v>
      </c>
      <c r="AF1" s="1">
        <f t="shared" si="4"/>
        <v>32</v>
      </c>
    </row>
    <row r="2" spans="1:32" ht="14.25" customHeight="1" x14ac:dyDescent="0.4">
      <c r="A2" s="1">
        <f t="shared" ref="A2:A65" si="5">A1+1</f>
        <v>2</v>
      </c>
      <c r="E2" s="1"/>
      <c r="F2" s="1"/>
      <c r="I2" s="1"/>
      <c r="J2" s="1"/>
      <c r="K2" s="1"/>
      <c r="N2" s="1"/>
      <c r="O2" s="1"/>
      <c r="P2" s="1"/>
      <c r="Q2" s="1"/>
      <c r="S2" s="1"/>
      <c r="T2" s="1"/>
      <c r="U2" s="1"/>
      <c r="V2" s="1"/>
    </row>
    <row r="3" spans="1:32" ht="14.25" customHeight="1" x14ac:dyDescent="0.4">
      <c r="A3" s="1">
        <f t="shared" si="5"/>
        <v>3</v>
      </c>
      <c r="E3" s="1"/>
      <c r="F3" s="1"/>
      <c r="I3" s="1"/>
      <c r="J3" s="1"/>
      <c r="K3" s="1"/>
      <c r="N3" s="1"/>
      <c r="O3" s="1"/>
      <c r="P3" s="1"/>
      <c r="Q3" s="1"/>
      <c r="S3" s="1"/>
      <c r="T3" s="1"/>
      <c r="U3" s="1"/>
      <c r="V3" s="1"/>
    </row>
    <row r="4" spans="1:32" ht="14.25" customHeight="1" x14ac:dyDescent="0.4">
      <c r="A4" s="1">
        <f t="shared" si="5"/>
        <v>4</v>
      </c>
      <c r="E4" s="1"/>
      <c r="F4" s="1"/>
      <c r="G4" s="10" t="s">
        <v>14</v>
      </c>
      <c r="H4" s="3">
        <v>0</v>
      </c>
      <c r="I4" s="1"/>
      <c r="J4" s="1"/>
      <c r="K4" s="1"/>
      <c r="N4" s="1"/>
      <c r="O4" s="1"/>
      <c r="P4" s="1"/>
      <c r="Q4" s="1"/>
      <c r="S4" s="1"/>
      <c r="T4" s="1"/>
      <c r="U4" s="1"/>
      <c r="V4" s="1"/>
      <c r="W4" s="13" t="s">
        <v>11</v>
      </c>
      <c r="X4" s="26"/>
      <c r="Y4" s="26"/>
    </row>
    <row r="5" spans="1:32" ht="14.25" customHeight="1" x14ac:dyDescent="0.4">
      <c r="A5" s="1">
        <f t="shared" si="5"/>
        <v>5</v>
      </c>
      <c r="D5" s="10" t="s">
        <v>3</v>
      </c>
      <c r="E5" s="7">
        <v>44630</v>
      </c>
      <c r="F5" s="1"/>
      <c r="G5" s="10" t="s">
        <v>12</v>
      </c>
      <c r="H5" s="3">
        <v>0</v>
      </c>
      <c r="I5" s="32" t="s">
        <v>15</v>
      </c>
      <c r="J5" s="32"/>
      <c r="K5" s="3">
        <v>1</v>
      </c>
      <c r="N5" s="1"/>
      <c r="O5" s="1"/>
      <c r="P5" s="1"/>
      <c r="Q5" s="1"/>
      <c r="S5" s="1"/>
      <c r="T5" s="1"/>
      <c r="U5" s="1"/>
      <c r="V5" s="1"/>
      <c r="W5" s="14"/>
      <c r="X5" s="26"/>
      <c r="Y5" s="26"/>
    </row>
    <row r="6" spans="1:32" ht="14.25" customHeight="1" x14ac:dyDescent="0.4">
      <c r="A6" s="1">
        <f t="shared" si="5"/>
        <v>6</v>
      </c>
      <c r="D6" s="29" t="str">
        <f>IF(H5=0, "MMF, IRForward, Swap Market", "Bond Market")</f>
        <v>MMF, IRForward, Swap Market</v>
      </c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S6" s="1"/>
      <c r="T6" s="1"/>
      <c r="U6" s="1"/>
      <c r="V6" s="1"/>
      <c r="W6" s="14"/>
      <c r="X6" s="26"/>
      <c r="Y6" s="26"/>
    </row>
    <row r="7" spans="1:32" ht="14.25" customHeight="1" x14ac:dyDescent="0.4">
      <c r="A7" s="1">
        <f t="shared" si="5"/>
        <v>7</v>
      </c>
      <c r="E7" s="1"/>
      <c r="F7" s="1"/>
      <c r="I7" s="1"/>
      <c r="J7" s="1"/>
      <c r="K7" s="1"/>
      <c r="N7" s="1"/>
      <c r="O7" s="1"/>
      <c r="P7" s="1"/>
      <c r="Q7" s="1"/>
      <c r="S7" s="1"/>
      <c r="T7" s="1"/>
      <c r="U7" s="1"/>
      <c r="V7" s="1"/>
    </row>
    <row r="8" spans="1:32" ht="14.25" customHeight="1" x14ac:dyDescent="0.4">
      <c r="A8" s="1">
        <f t="shared" si="5"/>
        <v>8</v>
      </c>
      <c r="D8" s="29" t="str">
        <f>IF(H5=0, "콜금리/CD", "CP/Short Term Bond")</f>
        <v>콜금리/CD</v>
      </c>
      <c r="E8" s="29"/>
      <c r="F8" s="29"/>
      <c r="G8" s="29"/>
      <c r="I8" s="29" t="str">
        <f>IF(H5=0, "IR Futures", "MarketData 1일 때 입력안함")</f>
        <v>IR Futures</v>
      </c>
      <c r="J8" s="29"/>
      <c r="K8" s="29"/>
      <c r="L8" s="29"/>
      <c r="N8" s="29" t="str">
        <f>IF(H5=0, "IR Swap","Coupon Bond")</f>
        <v>IR Swap</v>
      </c>
      <c r="O8" s="29"/>
      <c r="P8" s="29"/>
      <c r="Q8" s="29"/>
      <c r="R8" s="16"/>
      <c r="S8" s="30" t="s">
        <v>9</v>
      </c>
      <c r="T8" s="30"/>
      <c r="U8" s="30"/>
      <c r="V8" s="30"/>
    </row>
    <row r="9" spans="1:32" ht="14.25" customHeight="1" x14ac:dyDescent="0.4">
      <c r="A9" s="1">
        <f t="shared" si="5"/>
        <v>9</v>
      </c>
      <c r="D9" s="31" t="s">
        <v>1</v>
      </c>
      <c r="E9" s="31"/>
      <c r="F9" s="4">
        <f>COUNT(E11:E100)</f>
        <v>7</v>
      </c>
      <c r="G9" s="5"/>
      <c r="I9" s="31" t="str">
        <f>IF(H5=0, "개수", "")</f>
        <v>개수</v>
      </c>
      <c r="J9" s="31"/>
      <c r="K9" s="4">
        <f>COUNT(I11:I100)</f>
        <v>0</v>
      </c>
      <c r="L9" s="5"/>
      <c r="N9" s="31" t="s">
        <v>2</v>
      </c>
      <c r="O9" s="31"/>
      <c r="P9" s="4">
        <f>COUNT(N11:N1048576)</f>
        <v>9</v>
      </c>
      <c r="Q9" s="5"/>
      <c r="R9" s="15"/>
      <c r="S9" s="30"/>
      <c r="T9" s="30"/>
      <c r="U9" s="30"/>
      <c r="V9" s="30"/>
      <c r="X9" s="2" t="s">
        <v>6</v>
      </c>
      <c r="Y9" s="2" t="s">
        <v>0</v>
      </c>
      <c r="Z9" s="2" t="s">
        <v>5</v>
      </c>
      <c r="AA9" s="28" t="s">
        <v>8</v>
      </c>
      <c r="AB9" s="28"/>
    </row>
    <row r="10" spans="1:32" ht="14.25" customHeight="1" x14ac:dyDescent="0.4">
      <c r="A10" s="1">
        <f t="shared" si="5"/>
        <v>10</v>
      </c>
      <c r="E10" s="11" t="s">
        <v>4</v>
      </c>
      <c r="F10" s="11" t="str">
        <f>IF(H5=0, "Rate", "YTM")</f>
        <v>Rate</v>
      </c>
      <c r="G10" s="11" t="s">
        <v>5</v>
      </c>
      <c r="I10" s="11" t="str">
        <f>IF(H5=0, "Forward Start", "")</f>
        <v>Forward Start</v>
      </c>
      <c r="J10" s="11" t="str">
        <f>IF(H5=0, "Forward End", "")</f>
        <v>Forward End</v>
      </c>
      <c r="K10" s="11" t="str">
        <f>IF(H5=0, "Rate", "")</f>
        <v>Rate</v>
      </c>
      <c r="L10" s="11" t="str">
        <f>IF(H5=0, "1Y Convention", "")</f>
        <v>1Y Convention</v>
      </c>
      <c r="N10" s="11" t="str">
        <f>IF(H5=0,"스왑만기","채권만기")</f>
        <v>스왑만기</v>
      </c>
      <c r="O10" s="11" t="s">
        <v>0</v>
      </c>
      <c r="P10" s="11" t="str">
        <f>IF(H5=0,"스왑금리","YTM")</f>
        <v>스왑금리</v>
      </c>
      <c r="Q10" s="11" t="s">
        <v>16</v>
      </c>
      <c r="S10" s="12" t="s">
        <v>17</v>
      </c>
      <c r="T10" s="12" t="s">
        <v>7</v>
      </c>
      <c r="U10" s="12" t="s">
        <v>10</v>
      </c>
      <c r="V10" s="12" t="s">
        <v>13</v>
      </c>
      <c r="X10" s="6">
        <f>N12</f>
        <v>45726</v>
      </c>
      <c r="Y10" s="3">
        <v>4</v>
      </c>
      <c r="Z10" s="3">
        <v>360</v>
      </c>
      <c r="AA10" s="27">
        <v>8.3349802935949902E-2</v>
      </c>
      <c r="AB10" s="27"/>
    </row>
    <row r="11" spans="1:32" ht="14.25" customHeight="1" x14ac:dyDescent="0.4">
      <c r="A11" s="1">
        <f t="shared" si="5"/>
        <v>11</v>
      </c>
      <c r="E11" s="6">
        <v>44631</v>
      </c>
      <c r="F11" s="17">
        <v>3.8629999999999998E-2</v>
      </c>
      <c r="G11" s="3">
        <v>360</v>
      </c>
      <c r="I11" s="6"/>
      <c r="J11" s="6"/>
      <c r="K11" s="17"/>
      <c r="L11" s="3"/>
      <c r="N11" s="22">
        <v>45361</v>
      </c>
      <c r="O11" s="21">
        <v>4</v>
      </c>
      <c r="P11" s="23">
        <v>8.405E-2</v>
      </c>
      <c r="Q11" s="21">
        <v>360</v>
      </c>
      <c r="S11" s="25">
        <v>3.8629999999999998E-2</v>
      </c>
      <c r="T11" s="8">
        <v>2.7397260273972603E-3</v>
      </c>
      <c r="U11" s="20">
        <v>3.916442653510576E-2</v>
      </c>
      <c r="V11" s="24">
        <v>0.9998927059576912</v>
      </c>
    </row>
    <row r="12" spans="1:32" ht="14.25" customHeight="1" x14ac:dyDescent="0.4">
      <c r="A12" s="1">
        <f t="shared" si="5"/>
        <v>12</v>
      </c>
      <c r="E12" s="6">
        <v>44665</v>
      </c>
      <c r="F12" s="17">
        <v>4.3400000000000001E-2</v>
      </c>
      <c r="G12" s="3">
        <v>360</v>
      </c>
      <c r="I12" s="6"/>
      <c r="J12" s="6"/>
      <c r="K12" s="17"/>
      <c r="L12" s="3"/>
      <c r="N12" s="22">
        <v>45726</v>
      </c>
      <c r="O12" s="21">
        <v>4</v>
      </c>
      <c r="P12" s="23">
        <v>8.3349800000000002E-2</v>
      </c>
      <c r="Q12" s="21">
        <v>360</v>
      </c>
      <c r="S12" s="25">
        <v>4.3400000000000001E-2</v>
      </c>
      <c r="T12" s="8">
        <v>9.5890410958904104E-2</v>
      </c>
      <c r="U12" s="20">
        <v>4.3910204453635346E-2</v>
      </c>
      <c r="V12" s="24">
        <v>0.99579828446084429</v>
      </c>
    </row>
    <row r="13" spans="1:32" ht="14.25" customHeight="1" x14ac:dyDescent="0.4">
      <c r="A13" s="1">
        <f t="shared" si="5"/>
        <v>13</v>
      </c>
      <c r="E13" s="6">
        <v>44722</v>
      </c>
      <c r="F13" s="17">
        <v>5.9049999999999998E-2</v>
      </c>
      <c r="G13" s="3">
        <v>360</v>
      </c>
      <c r="I13" s="6"/>
      <c r="J13" s="6"/>
      <c r="K13" s="17"/>
      <c r="L13" s="3"/>
      <c r="N13" s="22">
        <v>46091</v>
      </c>
      <c r="O13" s="21">
        <v>4</v>
      </c>
      <c r="P13" s="23">
        <v>8.2600000000000007E-2</v>
      </c>
      <c r="Q13" s="21">
        <v>360</v>
      </c>
      <c r="S13" s="25">
        <v>5.9049999999999998E-2</v>
      </c>
      <c r="T13" s="8">
        <v>0.25205479452054796</v>
      </c>
      <c r="U13" s="20">
        <v>5.9422895877575696E-2</v>
      </c>
      <c r="V13" s="24">
        <v>0.98513378390433692</v>
      </c>
    </row>
    <row r="14" spans="1:32" ht="14.25" customHeight="1" x14ac:dyDescent="0.4">
      <c r="A14" s="1">
        <f t="shared" si="5"/>
        <v>14</v>
      </c>
      <c r="E14" s="6">
        <v>44814</v>
      </c>
      <c r="F14" s="17">
        <v>7.3050000000000004E-2</v>
      </c>
      <c r="G14" s="3">
        <v>360</v>
      </c>
      <c r="I14" s="6"/>
      <c r="J14" s="6"/>
      <c r="K14" s="17"/>
      <c r="L14" s="3"/>
      <c r="N14" s="22">
        <v>46456</v>
      </c>
      <c r="O14" s="21">
        <v>4</v>
      </c>
      <c r="P14" s="23">
        <v>8.1799999999999998E-2</v>
      </c>
      <c r="Q14" s="21">
        <v>360</v>
      </c>
      <c r="S14" s="25">
        <v>7.3050000000000004E-2</v>
      </c>
      <c r="T14" s="8">
        <v>0.50410958904109593</v>
      </c>
      <c r="U14" s="20">
        <v>7.2715401189270987E-2</v>
      </c>
      <c r="V14" s="24">
        <v>0.9640071850668861</v>
      </c>
    </row>
    <row r="15" spans="1:32" ht="14.25" customHeight="1" x14ac:dyDescent="0.4">
      <c r="A15" s="1">
        <f t="shared" si="5"/>
        <v>15</v>
      </c>
      <c r="E15" s="6">
        <v>44905</v>
      </c>
      <c r="F15" s="17">
        <v>8.0049999999999996E-2</v>
      </c>
      <c r="G15" s="3">
        <v>360</v>
      </c>
      <c r="I15" s="6"/>
      <c r="J15" s="6"/>
      <c r="K15" s="17"/>
      <c r="L15" s="3"/>
      <c r="N15" s="22">
        <v>46822</v>
      </c>
      <c r="O15" s="21">
        <v>4</v>
      </c>
      <c r="P15" s="23">
        <v>8.1850000000000006E-2</v>
      </c>
      <c r="Q15" s="21">
        <v>360</v>
      </c>
      <c r="S15" s="25">
        <v>8.0049999999999996E-2</v>
      </c>
      <c r="T15" s="8">
        <v>0.75342465753424659</v>
      </c>
      <c r="U15" s="20">
        <v>7.8777049144192174E-2</v>
      </c>
      <c r="V15" s="24">
        <v>0.94237445641681739</v>
      </c>
    </row>
    <row r="16" spans="1:32" ht="14.25" customHeight="1" x14ac:dyDescent="0.4">
      <c r="A16" s="1">
        <f t="shared" si="5"/>
        <v>16</v>
      </c>
      <c r="E16" s="6">
        <v>44995</v>
      </c>
      <c r="F16" s="17">
        <v>8.5349999999999995E-2</v>
      </c>
      <c r="G16" s="3">
        <v>360</v>
      </c>
      <c r="I16" s="6"/>
      <c r="J16" s="6"/>
      <c r="K16" s="17"/>
      <c r="L16" s="3"/>
      <c r="N16" s="22">
        <v>47187</v>
      </c>
      <c r="O16" s="21">
        <v>4</v>
      </c>
      <c r="P16" s="23">
        <v>8.1998000000000001E-2</v>
      </c>
      <c r="Q16" s="21">
        <v>360</v>
      </c>
      <c r="S16" s="25">
        <v>8.5349999999999995E-2</v>
      </c>
      <c r="T16" s="8">
        <v>1</v>
      </c>
      <c r="U16" s="20">
        <v>8.299411720715931E-2</v>
      </c>
      <c r="V16" s="24">
        <v>0.92035656147118994</v>
      </c>
    </row>
    <row r="17" spans="1:22" ht="14.25" customHeight="1" x14ac:dyDescent="0.4">
      <c r="A17" s="1">
        <f t="shared" si="5"/>
        <v>17</v>
      </c>
      <c r="E17" s="6">
        <v>45179</v>
      </c>
      <c r="F17" s="17">
        <v>8.8499999999999995E-2</v>
      </c>
      <c r="G17" s="3">
        <v>360</v>
      </c>
      <c r="I17" s="6"/>
      <c r="J17" s="6"/>
      <c r="K17" s="17"/>
      <c r="L17" s="3"/>
      <c r="N17" s="22">
        <v>47552</v>
      </c>
      <c r="O17" s="21">
        <v>4</v>
      </c>
      <c r="P17" s="23">
        <v>8.1299999999999997E-2</v>
      </c>
      <c r="Q17" s="21">
        <v>360</v>
      </c>
      <c r="S17" s="25">
        <v>8.8499999999999995E-2</v>
      </c>
      <c r="T17" s="8">
        <v>1.5041095890410958</v>
      </c>
      <c r="U17" s="20">
        <v>8.4169140109450383E-2</v>
      </c>
      <c r="V17" s="24">
        <v>0.88108637950593072</v>
      </c>
    </row>
    <row r="18" spans="1:22" ht="14.25" customHeight="1" x14ac:dyDescent="0.4">
      <c r="A18" s="1">
        <f t="shared" si="5"/>
        <v>18</v>
      </c>
      <c r="N18" s="22">
        <v>47917</v>
      </c>
      <c r="O18" s="21">
        <v>4</v>
      </c>
      <c r="P18" s="23">
        <v>8.2100000000000006E-2</v>
      </c>
      <c r="Q18" s="21">
        <v>360</v>
      </c>
      <c r="S18" s="25">
        <v>8.405E-2</v>
      </c>
      <c r="T18" s="8">
        <v>2.0027397260273974</v>
      </c>
      <c r="U18" s="20">
        <v>8.4542906570434548E-2</v>
      </c>
      <c r="V18" s="24">
        <v>0.84424086709982227</v>
      </c>
    </row>
    <row r="19" spans="1:22" ht="14.25" customHeight="1" x14ac:dyDescent="0.4">
      <c r="A19" s="1">
        <f t="shared" si="5"/>
        <v>19</v>
      </c>
      <c r="N19" s="22">
        <v>48283</v>
      </c>
      <c r="O19" s="21">
        <v>4</v>
      </c>
      <c r="P19" s="23">
        <v>8.2349400000000003E-2</v>
      </c>
      <c r="Q19" s="21">
        <v>360</v>
      </c>
      <c r="S19" s="25">
        <v>8.3349800000000002E-2</v>
      </c>
      <c r="T19" s="8">
        <v>3.0027397260273974</v>
      </c>
      <c r="U19" s="20">
        <v>8.370659340362549E-2</v>
      </c>
      <c r="V19" s="24">
        <v>0.7777508009747286</v>
      </c>
    </row>
    <row r="20" spans="1:22" ht="14.25" customHeight="1" x14ac:dyDescent="0.4">
      <c r="A20" s="1">
        <f t="shared" si="5"/>
        <v>20</v>
      </c>
      <c r="S20" s="25">
        <v>8.2600000000000007E-2</v>
      </c>
      <c r="T20" s="8">
        <v>4.0027397260273974</v>
      </c>
      <c r="U20" s="20">
        <v>8.2836392021179206E-2</v>
      </c>
      <c r="V20" s="24">
        <v>0.71779410197983684</v>
      </c>
    </row>
    <row r="21" spans="1:22" ht="14.25" customHeight="1" x14ac:dyDescent="0.4">
      <c r="A21" s="1">
        <f t="shared" si="5"/>
        <v>21</v>
      </c>
      <c r="S21" s="25">
        <v>8.1799999999999998E-2</v>
      </c>
      <c r="T21" s="8">
        <v>5.0027397260273974</v>
      </c>
      <c r="U21" s="20">
        <v>8.1901137161254897E-2</v>
      </c>
      <c r="V21" s="24">
        <v>0.66382941177945154</v>
      </c>
    </row>
    <row r="22" spans="1:22" ht="14.25" customHeight="1" x14ac:dyDescent="0.4">
      <c r="A22" s="1">
        <f t="shared" si="5"/>
        <v>22</v>
      </c>
      <c r="L22" s="9"/>
      <c r="S22" s="25">
        <v>8.1850000000000006E-2</v>
      </c>
      <c r="T22" s="8">
        <v>6.0054794520547947</v>
      </c>
      <c r="U22" s="20">
        <v>8.199357566833497E-2</v>
      </c>
      <c r="V22" s="24">
        <v>0.61115129373391341</v>
      </c>
    </row>
    <row r="23" spans="1:22" ht="14.25" customHeight="1" x14ac:dyDescent="0.4">
      <c r="A23" s="1">
        <f t="shared" si="5"/>
        <v>23</v>
      </c>
      <c r="L23" s="9"/>
      <c r="S23" s="25">
        <v>8.1998000000000001E-2</v>
      </c>
      <c r="T23" s="8">
        <v>7.0054794520547947</v>
      </c>
      <c r="U23" s="20">
        <v>8.2204923484802239E-2</v>
      </c>
      <c r="V23" s="24">
        <v>0.56220715020580758</v>
      </c>
    </row>
    <row r="24" spans="1:22" ht="14.25" customHeight="1" x14ac:dyDescent="0.4">
      <c r="A24" s="1">
        <f t="shared" si="5"/>
        <v>24</v>
      </c>
      <c r="L24" s="9"/>
      <c r="S24" s="25">
        <v>8.1299999999999997E-2</v>
      </c>
      <c r="T24" s="8">
        <v>8.0054794520547947</v>
      </c>
      <c r="U24" s="20">
        <v>8.1276110458374032E-2</v>
      </c>
      <c r="V24" s="24">
        <v>0.52170434929347853</v>
      </c>
    </row>
    <row r="25" spans="1:22" ht="14.25" customHeight="1" x14ac:dyDescent="0.4">
      <c r="A25" s="1">
        <f t="shared" si="5"/>
        <v>25</v>
      </c>
      <c r="L25" s="9"/>
      <c r="S25" s="25">
        <v>8.2100000000000006E-2</v>
      </c>
      <c r="T25" s="8">
        <v>9.0054794520547947</v>
      </c>
      <c r="U25" s="20">
        <v>8.2438697433471694E-2</v>
      </c>
      <c r="V25" s="24">
        <v>0.4759702171164692</v>
      </c>
    </row>
    <row r="26" spans="1:22" ht="14.25" customHeight="1" x14ac:dyDescent="0.4">
      <c r="A26" s="1">
        <f t="shared" si="5"/>
        <v>26</v>
      </c>
      <c r="L26" s="9"/>
      <c r="S26" s="25">
        <v>8.2349400000000003E-2</v>
      </c>
      <c r="T26" s="8">
        <v>10.008219178082191</v>
      </c>
      <c r="U26" s="20">
        <v>8.2803682760620098E-2</v>
      </c>
      <c r="V26" s="24">
        <v>0.43660891941242569</v>
      </c>
    </row>
    <row r="27" spans="1:22" ht="14.25" customHeight="1" x14ac:dyDescent="0.4">
      <c r="A27" s="1">
        <f t="shared" si="5"/>
        <v>27</v>
      </c>
      <c r="L27" s="9"/>
      <c r="V27" s="24"/>
    </row>
    <row r="28" spans="1:22" ht="14.25" customHeight="1" x14ac:dyDescent="0.4">
      <c r="A28" s="1">
        <f t="shared" si="5"/>
        <v>28</v>
      </c>
      <c r="L28" s="9"/>
      <c r="V28" s="24"/>
    </row>
    <row r="29" spans="1:22" ht="14.25" customHeight="1" x14ac:dyDescent="0.4">
      <c r="A29" s="1">
        <f t="shared" si="5"/>
        <v>29</v>
      </c>
      <c r="L29" s="9"/>
      <c r="V29" s="24"/>
    </row>
    <row r="30" spans="1:22" ht="14.25" customHeight="1" x14ac:dyDescent="0.4">
      <c r="A30" s="1">
        <f t="shared" si="5"/>
        <v>30</v>
      </c>
      <c r="L30" s="9"/>
      <c r="V30" s="24"/>
    </row>
    <row r="31" spans="1:22" ht="14.25" customHeight="1" x14ac:dyDescent="0.4">
      <c r="A31" s="1">
        <f t="shared" si="5"/>
        <v>31</v>
      </c>
      <c r="L31" s="9"/>
      <c r="V31" s="24"/>
    </row>
    <row r="32" spans="1:22" ht="14.25" customHeight="1" x14ac:dyDescent="0.4">
      <c r="A32" s="1">
        <f t="shared" si="5"/>
        <v>32</v>
      </c>
      <c r="L32" s="9"/>
      <c r="V32" s="24"/>
    </row>
    <row r="33" spans="1:22" ht="14.25" customHeight="1" x14ac:dyDescent="0.4">
      <c r="A33" s="1">
        <f t="shared" si="5"/>
        <v>33</v>
      </c>
      <c r="L33" s="9"/>
      <c r="V33" s="24"/>
    </row>
    <row r="34" spans="1:22" ht="14.25" customHeight="1" x14ac:dyDescent="0.4">
      <c r="A34" s="1">
        <f t="shared" si="5"/>
        <v>34</v>
      </c>
      <c r="L34" s="9"/>
      <c r="V34" s="24"/>
    </row>
    <row r="35" spans="1:22" ht="14.25" customHeight="1" x14ac:dyDescent="0.4">
      <c r="A35" s="1">
        <f t="shared" si="5"/>
        <v>35</v>
      </c>
      <c r="L35" s="9"/>
      <c r="V35" s="24"/>
    </row>
    <row r="36" spans="1:22" ht="14.25" customHeight="1" x14ac:dyDescent="0.4">
      <c r="A36" s="1">
        <f t="shared" si="5"/>
        <v>36</v>
      </c>
      <c r="L36" s="9"/>
      <c r="V36" s="24"/>
    </row>
    <row r="37" spans="1:22" ht="14.25" customHeight="1" x14ac:dyDescent="0.4">
      <c r="A37" s="1">
        <f t="shared" si="5"/>
        <v>37</v>
      </c>
      <c r="L37" s="9"/>
      <c r="V37" s="24"/>
    </row>
    <row r="38" spans="1:22" ht="14.25" customHeight="1" x14ac:dyDescent="0.4">
      <c r="A38" s="1">
        <f t="shared" si="5"/>
        <v>38</v>
      </c>
      <c r="L38" s="9"/>
      <c r="V38" s="24"/>
    </row>
    <row r="39" spans="1:22" ht="14.25" customHeight="1" x14ac:dyDescent="0.4">
      <c r="A39" s="1">
        <f t="shared" si="5"/>
        <v>39</v>
      </c>
      <c r="L39" s="9"/>
      <c r="V39" s="24"/>
    </row>
    <row r="40" spans="1:22" ht="14.25" customHeight="1" x14ac:dyDescent="0.4">
      <c r="A40" s="1">
        <f t="shared" si="5"/>
        <v>40</v>
      </c>
      <c r="L40" s="9"/>
      <c r="V40" s="24"/>
    </row>
    <row r="41" spans="1:22" ht="14.25" customHeight="1" x14ac:dyDescent="0.4">
      <c r="A41" s="1">
        <f t="shared" si="5"/>
        <v>41</v>
      </c>
      <c r="L41" s="9"/>
      <c r="V41" s="24"/>
    </row>
    <row r="42" spans="1:22" ht="14.25" customHeight="1" x14ac:dyDescent="0.4">
      <c r="A42" s="1">
        <f t="shared" si="5"/>
        <v>42</v>
      </c>
      <c r="L42" s="9"/>
      <c r="V42" s="24"/>
    </row>
    <row r="43" spans="1:22" ht="14.25" customHeight="1" x14ac:dyDescent="0.4">
      <c r="A43" s="1">
        <f t="shared" si="5"/>
        <v>43</v>
      </c>
      <c r="L43" s="9"/>
      <c r="V43" s="24"/>
    </row>
    <row r="44" spans="1:22" ht="14.25" customHeight="1" x14ac:dyDescent="0.4">
      <c r="A44" s="1">
        <f t="shared" si="5"/>
        <v>44</v>
      </c>
      <c r="L44" s="9"/>
      <c r="V44" s="24"/>
    </row>
    <row r="45" spans="1:22" ht="14.25" customHeight="1" x14ac:dyDescent="0.4">
      <c r="A45" s="1">
        <f t="shared" si="5"/>
        <v>45</v>
      </c>
      <c r="L45" s="9"/>
      <c r="V45" s="24"/>
    </row>
    <row r="46" spans="1:22" ht="14.25" customHeight="1" x14ac:dyDescent="0.4">
      <c r="A46" s="1">
        <f t="shared" si="5"/>
        <v>46</v>
      </c>
      <c r="L46" s="9"/>
      <c r="V46" s="24"/>
    </row>
    <row r="47" spans="1:22" ht="14.25" customHeight="1" x14ac:dyDescent="0.4">
      <c r="A47" s="1">
        <f t="shared" si="5"/>
        <v>47</v>
      </c>
      <c r="L47" s="9"/>
      <c r="V47" s="24"/>
    </row>
    <row r="48" spans="1:22" ht="14.25" customHeight="1" x14ac:dyDescent="0.4">
      <c r="A48" s="1">
        <f t="shared" si="5"/>
        <v>48</v>
      </c>
      <c r="L48" s="9"/>
      <c r="V48" s="24"/>
    </row>
    <row r="49" spans="1:22" ht="14.25" customHeight="1" x14ac:dyDescent="0.4">
      <c r="A49" s="1">
        <f t="shared" si="5"/>
        <v>49</v>
      </c>
      <c r="L49" s="9"/>
      <c r="V49" s="24"/>
    </row>
    <row r="50" spans="1:22" ht="14.25" customHeight="1" x14ac:dyDescent="0.4">
      <c r="A50" s="1">
        <f t="shared" si="5"/>
        <v>50</v>
      </c>
      <c r="L50" s="9"/>
      <c r="V50" s="24"/>
    </row>
    <row r="51" spans="1:22" ht="14.25" customHeight="1" x14ac:dyDescent="0.4">
      <c r="A51" s="1">
        <f t="shared" si="5"/>
        <v>51</v>
      </c>
      <c r="L51" s="9"/>
      <c r="V51" s="24"/>
    </row>
    <row r="52" spans="1:22" ht="14.25" customHeight="1" x14ac:dyDescent="0.4">
      <c r="A52" s="1">
        <f t="shared" si="5"/>
        <v>52</v>
      </c>
      <c r="L52" s="9"/>
      <c r="V52" s="24"/>
    </row>
    <row r="53" spans="1:22" ht="14.25" customHeight="1" x14ac:dyDescent="0.4">
      <c r="A53" s="1">
        <f t="shared" si="5"/>
        <v>53</v>
      </c>
      <c r="L53" s="9"/>
      <c r="V53" s="24"/>
    </row>
    <row r="54" spans="1:22" ht="14.25" customHeight="1" x14ac:dyDescent="0.4">
      <c r="A54" s="1">
        <f t="shared" si="5"/>
        <v>54</v>
      </c>
      <c r="L54" s="9"/>
      <c r="V54" s="24"/>
    </row>
    <row r="55" spans="1:22" ht="14.25" customHeight="1" x14ac:dyDescent="0.4">
      <c r="A55" s="1">
        <f t="shared" si="5"/>
        <v>55</v>
      </c>
      <c r="L55" s="9"/>
      <c r="V55" s="24"/>
    </row>
    <row r="56" spans="1:22" ht="14.25" customHeight="1" x14ac:dyDescent="0.4">
      <c r="A56" s="1">
        <f t="shared" si="5"/>
        <v>56</v>
      </c>
      <c r="L56" s="9"/>
      <c r="V56" s="24"/>
    </row>
    <row r="57" spans="1:22" ht="14.25" customHeight="1" x14ac:dyDescent="0.4">
      <c r="A57" s="1">
        <f t="shared" si="5"/>
        <v>57</v>
      </c>
      <c r="L57" s="9"/>
      <c r="V57" s="24"/>
    </row>
    <row r="58" spans="1:22" ht="14.25" customHeight="1" x14ac:dyDescent="0.4">
      <c r="A58" s="1">
        <f t="shared" si="5"/>
        <v>58</v>
      </c>
      <c r="L58" s="9"/>
      <c r="V58" s="24"/>
    </row>
    <row r="59" spans="1:22" ht="14.25" customHeight="1" x14ac:dyDescent="0.4">
      <c r="A59" s="1">
        <f t="shared" si="5"/>
        <v>59</v>
      </c>
      <c r="L59" s="9"/>
      <c r="V59" s="24"/>
    </row>
    <row r="60" spans="1:22" ht="14.25" customHeight="1" x14ac:dyDescent="0.4">
      <c r="A60" s="1">
        <f t="shared" si="5"/>
        <v>60</v>
      </c>
      <c r="L60" s="9"/>
      <c r="V60" s="24"/>
    </row>
    <row r="61" spans="1:22" ht="14.25" customHeight="1" x14ac:dyDescent="0.4">
      <c r="A61" s="1">
        <f t="shared" si="5"/>
        <v>61</v>
      </c>
      <c r="L61" s="9"/>
      <c r="V61" s="24"/>
    </row>
    <row r="62" spans="1:22" ht="14.25" customHeight="1" x14ac:dyDescent="0.4">
      <c r="A62" s="1">
        <f t="shared" si="5"/>
        <v>62</v>
      </c>
      <c r="L62" s="9"/>
      <c r="V62" s="24"/>
    </row>
    <row r="63" spans="1:22" ht="14.25" customHeight="1" x14ac:dyDescent="0.4">
      <c r="A63" s="1">
        <f t="shared" si="5"/>
        <v>63</v>
      </c>
      <c r="L63" s="9"/>
      <c r="V63" s="24"/>
    </row>
    <row r="64" spans="1:22" ht="14.25" customHeight="1" x14ac:dyDescent="0.4">
      <c r="A64" s="1">
        <f t="shared" si="5"/>
        <v>64</v>
      </c>
      <c r="L64" s="9"/>
      <c r="V64" s="24"/>
    </row>
    <row r="65" spans="1:22" ht="14.25" customHeight="1" x14ac:dyDescent="0.4">
      <c r="A65" s="1">
        <f t="shared" si="5"/>
        <v>65</v>
      </c>
      <c r="L65" s="9"/>
      <c r="V65" s="24"/>
    </row>
    <row r="66" spans="1:22" ht="14.25" customHeight="1" x14ac:dyDescent="0.4">
      <c r="A66" s="1">
        <f t="shared" ref="A66:A129" si="6">A65+1</f>
        <v>66</v>
      </c>
      <c r="L66" s="9"/>
      <c r="V66" s="24"/>
    </row>
    <row r="67" spans="1:22" ht="14.25" customHeight="1" x14ac:dyDescent="0.4">
      <c r="A67" s="1">
        <f t="shared" si="6"/>
        <v>67</v>
      </c>
      <c r="L67" s="9"/>
      <c r="V67" s="24"/>
    </row>
    <row r="68" spans="1:22" ht="14.25" customHeight="1" x14ac:dyDescent="0.4">
      <c r="A68" s="1">
        <f t="shared" si="6"/>
        <v>68</v>
      </c>
      <c r="L68" s="9"/>
      <c r="V68" s="24"/>
    </row>
    <row r="69" spans="1:22" ht="14.25" customHeight="1" x14ac:dyDescent="0.4">
      <c r="A69" s="1">
        <f t="shared" si="6"/>
        <v>69</v>
      </c>
      <c r="L69" s="9"/>
      <c r="V69" s="24"/>
    </row>
    <row r="70" spans="1:22" ht="14.25" customHeight="1" x14ac:dyDescent="0.4">
      <c r="A70" s="1">
        <f t="shared" si="6"/>
        <v>70</v>
      </c>
      <c r="L70" s="9"/>
      <c r="V70" s="24"/>
    </row>
    <row r="71" spans="1:22" ht="14.25" customHeight="1" x14ac:dyDescent="0.4">
      <c r="A71" s="1">
        <f t="shared" si="6"/>
        <v>71</v>
      </c>
      <c r="L71" s="9"/>
      <c r="V71" s="24"/>
    </row>
    <row r="72" spans="1:22" ht="14.25" customHeight="1" x14ac:dyDescent="0.4">
      <c r="A72" s="1">
        <f t="shared" si="6"/>
        <v>72</v>
      </c>
      <c r="L72" s="9"/>
      <c r="V72" s="24"/>
    </row>
    <row r="73" spans="1:22" ht="14.25" customHeight="1" x14ac:dyDescent="0.4">
      <c r="A73" s="1">
        <f t="shared" si="6"/>
        <v>73</v>
      </c>
      <c r="L73" s="9"/>
      <c r="V73" s="24"/>
    </row>
    <row r="74" spans="1:22" ht="14.25" customHeight="1" x14ac:dyDescent="0.4">
      <c r="A74" s="1">
        <f t="shared" si="6"/>
        <v>74</v>
      </c>
      <c r="L74" s="9"/>
      <c r="V74" s="24"/>
    </row>
    <row r="75" spans="1:22" ht="14.25" customHeight="1" x14ac:dyDescent="0.4">
      <c r="A75" s="1">
        <f t="shared" si="6"/>
        <v>75</v>
      </c>
      <c r="L75" s="9"/>
      <c r="V75" s="24"/>
    </row>
    <row r="76" spans="1:22" ht="14.25" customHeight="1" x14ac:dyDescent="0.4">
      <c r="A76" s="1">
        <f t="shared" si="6"/>
        <v>76</v>
      </c>
      <c r="L76" s="9"/>
      <c r="V76" s="24"/>
    </row>
    <row r="77" spans="1:22" ht="14.25" customHeight="1" x14ac:dyDescent="0.4">
      <c r="A77" s="1">
        <f t="shared" si="6"/>
        <v>77</v>
      </c>
      <c r="L77" s="9"/>
      <c r="V77" s="24"/>
    </row>
    <row r="78" spans="1:22" ht="14.25" customHeight="1" x14ac:dyDescent="0.4">
      <c r="A78" s="1">
        <f t="shared" si="6"/>
        <v>78</v>
      </c>
      <c r="L78" s="9"/>
      <c r="V78" s="24"/>
    </row>
    <row r="79" spans="1:22" ht="14.25" customHeight="1" x14ac:dyDescent="0.4">
      <c r="A79" s="1">
        <f t="shared" si="6"/>
        <v>79</v>
      </c>
      <c r="L79" s="9"/>
      <c r="V79" s="24"/>
    </row>
    <row r="80" spans="1:22" ht="14.25" customHeight="1" x14ac:dyDescent="0.4">
      <c r="A80" s="1">
        <f t="shared" si="6"/>
        <v>80</v>
      </c>
      <c r="L80" s="9"/>
      <c r="V80" s="24"/>
    </row>
    <row r="81" spans="1:22" ht="14.25" customHeight="1" x14ac:dyDescent="0.4">
      <c r="A81" s="1">
        <f t="shared" si="6"/>
        <v>81</v>
      </c>
      <c r="L81" s="9"/>
      <c r="V81" s="24"/>
    </row>
    <row r="82" spans="1:22" ht="14.25" customHeight="1" x14ac:dyDescent="0.4">
      <c r="A82" s="1">
        <f t="shared" si="6"/>
        <v>82</v>
      </c>
      <c r="L82" s="9"/>
      <c r="V82" s="24"/>
    </row>
    <row r="83" spans="1:22" ht="14.25" customHeight="1" x14ac:dyDescent="0.4">
      <c r="A83" s="1">
        <f t="shared" si="6"/>
        <v>83</v>
      </c>
      <c r="L83" s="9"/>
      <c r="V83" s="24"/>
    </row>
    <row r="84" spans="1:22" ht="14.25" customHeight="1" x14ac:dyDescent="0.4">
      <c r="A84" s="1">
        <f t="shared" si="6"/>
        <v>84</v>
      </c>
      <c r="L84" s="9"/>
      <c r="V84" s="24"/>
    </row>
    <row r="85" spans="1:22" ht="14.25" customHeight="1" x14ac:dyDescent="0.4">
      <c r="A85" s="1">
        <f t="shared" si="6"/>
        <v>85</v>
      </c>
      <c r="L85" s="9"/>
      <c r="V85" s="24"/>
    </row>
    <row r="86" spans="1:22" ht="14.25" customHeight="1" x14ac:dyDescent="0.4">
      <c r="A86" s="1">
        <f t="shared" si="6"/>
        <v>86</v>
      </c>
      <c r="L86" s="9"/>
      <c r="V86" s="24"/>
    </row>
    <row r="87" spans="1:22" ht="14.25" customHeight="1" x14ac:dyDescent="0.4">
      <c r="A87" s="1">
        <f t="shared" si="6"/>
        <v>87</v>
      </c>
      <c r="L87" s="9"/>
      <c r="V87" s="24"/>
    </row>
    <row r="88" spans="1:22" ht="14.25" customHeight="1" x14ac:dyDescent="0.4">
      <c r="A88" s="1">
        <f t="shared" si="6"/>
        <v>88</v>
      </c>
      <c r="L88" s="9"/>
    </row>
    <row r="89" spans="1:22" ht="14.25" customHeight="1" x14ac:dyDescent="0.4">
      <c r="A89" s="1">
        <f t="shared" si="6"/>
        <v>89</v>
      </c>
      <c r="L89" s="9"/>
    </row>
    <row r="90" spans="1:22" ht="14.25" customHeight="1" x14ac:dyDescent="0.4">
      <c r="A90" s="1">
        <f t="shared" si="6"/>
        <v>90</v>
      </c>
      <c r="L90" s="9"/>
    </row>
    <row r="91" spans="1:22" ht="14.25" customHeight="1" x14ac:dyDescent="0.4">
      <c r="A91" s="1">
        <f t="shared" si="6"/>
        <v>91</v>
      </c>
      <c r="L91" s="9"/>
    </row>
    <row r="92" spans="1:22" ht="14.25" customHeight="1" x14ac:dyDescent="0.4">
      <c r="A92" s="1">
        <f t="shared" si="6"/>
        <v>92</v>
      </c>
      <c r="L92" s="9"/>
    </row>
    <row r="93" spans="1:22" ht="14.25" customHeight="1" x14ac:dyDescent="0.4">
      <c r="A93" s="1">
        <f t="shared" si="6"/>
        <v>93</v>
      </c>
      <c r="L93" s="9"/>
    </row>
    <row r="94" spans="1:22" ht="14.25" customHeight="1" x14ac:dyDescent="0.4">
      <c r="A94" s="1">
        <f t="shared" si="6"/>
        <v>94</v>
      </c>
      <c r="L94" s="9"/>
    </row>
    <row r="95" spans="1:22" ht="14.25" customHeight="1" x14ac:dyDescent="0.4">
      <c r="A95" s="1">
        <f t="shared" si="6"/>
        <v>95</v>
      </c>
      <c r="L95" s="9"/>
    </row>
    <row r="96" spans="1:22" ht="14.25" customHeight="1" x14ac:dyDescent="0.4">
      <c r="A96" s="1">
        <f t="shared" si="6"/>
        <v>96</v>
      </c>
      <c r="L96" s="9"/>
    </row>
    <row r="97" spans="1:12" ht="14.25" customHeight="1" x14ac:dyDescent="0.4">
      <c r="A97" s="1">
        <f t="shared" si="6"/>
        <v>97</v>
      </c>
      <c r="L97" s="9"/>
    </row>
    <row r="98" spans="1:12" ht="14.25" customHeight="1" x14ac:dyDescent="0.4">
      <c r="A98" s="1">
        <f t="shared" si="6"/>
        <v>98</v>
      </c>
      <c r="L98" s="9"/>
    </row>
    <row r="99" spans="1:12" ht="14.25" customHeight="1" x14ac:dyDescent="0.4">
      <c r="A99" s="1">
        <f t="shared" si="6"/>
        <v>99</v>
      </c>
      <c r="L99" s="9"/>
    </row>
    <row r="100" spans="1:12" ht="14.25" customHeight="1" x14ac:dyDescent="0.4">
      <c r="A100" s="1">
        <f t="shared" si="6"/>
        <v>100</v>
      </c>
      <c r="L100" s="9"/>
    </row>
    <row r="101" spans="1:12" ht="14.25" customHeight="1" x14ac:dyDescent="0.4">
      <c r="A101" s="1">
        <f t="shared" si="6"/>
        <v>101</v>
      </c>
      <c r="L101" s="9"/>
    </row>
    <row r="102" spans="1:12" ht="14.25" customHeight="1" x14ac:dyDescent="0.4">
      <c r="A102" s="1">
        <f t="shared" si="6"/>
        <v>102</v>
      </c>
      <c r="L102" s="9"/>
    </row>
    <row r="103" spans="1:12" ht="14.25" customHeight="1" x14ac:dyDescent="0.4">
      <c r="A103" s="1">
        <f t="shared" si="6"/>
        <v>103</v>
      </c>
      <c r="L103" s="9"/>
    </row>
    <row r="104" spans="1:12" ht="14.25" customHeight="1" x14ac:dyDescent="0.4">
      <c r="A104" s="1">
        <f t="shared" si="6"/>
        <v>104</v>
      </c>
      <c r="L104" s="9"/>
    </row>
    <row r="105" spans="1:12" ht="14.25" customHeight="1" x14ac:dyDescent="0.4">
      <c r="A105" s="1">
        <f t="shared" si="6"/>
        <v>105</v>
      </c>
      <c r="L105" s="9"/>
    </row>
    <row r="106" spans="1:12" ht="14.25" customHeight="1" x14ac:dyDescent="0.4">
      <c r="A106" s="1">
        <f t="shared" si="6"/>
        <v>106</v>
      </c>
      <c r="L106" s="9"/>
    </row>
    <row r="107" spans="1:12" ht="14.25" customHeight="1" x14ac:dyDescent="0.4">
      <c r="A107" s="1">
        <f t="shared" si="6"/>
        <v>107</v>
      </c>
      <c r="L107" s="9"/>
    </row>
    <row r="108" spans="1:12" ht="14.25" customHeight="1" x14ac:dyDescent="0.4">
      <c r="A108" s="1">
        <f t="shared" si="6"/>
        <v>108</v>
      </c>
      <c r="L108" s="9"/>
    </row>
    <row r="109" spans="1:12" ht="14.25" customHeight="1" x14ac:dyDescent="0.4">
      <c r="A109" s="1">
        <f t="shared" si="6"/>
        <v>109</v>
      </c>
      <c r="L109" s="9"/>
    </row>
    <row r="110" spans="1:12" ht="14.25" customHeight="1" x14ac:dyDescent="0.4">
      <c r="A110" s="1">
        <f t="shared" si="6"/>
        <v>110</v>
      </c>
      <c r="L110" s="9"/>
    </row>
    <row r="111" spans="1:12" ht="14.25" customHeight="1" x14ac:dyDescent="0.4">
      <c r="A111" s="1">
        <f t="shared" si="6"/>
        <v>111</v>
      </c>
      <c r="L111" s="9"/>
    </row>
    <row r="112" spans="1:12" ht="14.25" customHeight="1" x14ac:dyDescent="0.4">
      <c r="A112" s="1">
        <f t="shared" si="6"/>
        <v>112</v>
      </c>
      <c r="L112" s="9"/>
    </row>
    <row r="113" spans="1:12" ht="14.25" customHeight="1" x14ac:dyDescent="0.4">
      <c r="A113" s="1">
        <f t="shared" si="6"/>
        <v>113</v>
      </c>
      <c r="L113" s="9"/>
    </row>
    <row r="114" spans="1:12" ht="14.25" customHeight="1" x14ac:dyDescent="0.4">
      <c r="A114" s="1">
        <f t="shared" si="6"/>
        <v>114</v>
      </c>
      <c r="L114" s="9"/>
    </row>
    <row r="115" spans="1:12" ht="14.25" customHeight="1" x14ac:dyDescent="0.4">
      <c r="A115" s="1">
        <f t="shared" si="6"/>
        <v>115</v>
      </c>
      <c r="L115" s="9"/>
    </row>
    <row r="116" spans="1:12" ht="14.25" customHeight="1" x14ac:dyDescent="0.4">
      <c r="A116" s="1">
        <f t="shared" si="6"/>
        <v>116</v>
      </c>
      <c r="L116" s="9"/>
    </row>
    <row r="117" spans="1:12" ht="14.25" customHeight="1" x14ac:dyDescent="0.4">
      <c r="A117" s="1">
        <f t="shared" si="6"/>
        <v>117</v>
      </c>
      <c r="L117" s="9"/>
    </row>
    <row r="118" spans="1:12" ht="14.25" customHeight="1" x14ac:dyDescent="0.4">
      <c r="A118" s="1">
        <f t="shared" si="6"/>
        <v>118</v>
      </c>
      <c r="L118" s="9"/>
    </row>
    <row r="119" spans="1:12" ht="14.25" customHeight="1" x14ac:dyDescent="0.4">
      <c r="A119" s="1">
        <f t="shared" si="6"/>
        <v>119</v>
      </c>
      <c r="L119" s="9"/>
    </row>
    <row r="120" spans="1:12" ht="14.25" customHeight="1" x14ac:dyDescent="0.4">
      <c r="A120" s="1">
        <f t="shared" si="6"/>
        <v>120</v>
      </c>
      <c r="L120" s="9"/>
    </row>
    <row r="121" spans="1:12" ht="14.25" customHeight="1" x14ac:dyDescent="0.4">
      <c r="A121" s="1">
        <f t="shared" si="6"/>
        <v>121</v>
      </c>
      <c r="L121" s="9"/>
    </row>
    <row r="122" spans="1:12" ht="14.25" customHeight="1" x14ac:dyDescent="0.4">
      <c r="A122" s="1">
        <f t="shared" si="6"/>
        <v>122</v>
      </c>
      <c r="L122" s="9"/>
    </row>
    <row r="123" spans="1:12" ht="14.25" customHeight="1" x14ac:dyDescent="0.4">
      <c r="A123" s="1">
        <f t="shared" si="6"/>
        <v>123</v>
      </c>
      <c r="L123" s="9"/>
    </row>
    <row r="124" spans="1:12" ht="14.25" customHeight="1" x14ac:dyDescent="0.4">
      <c r="A124" s="1">
        <f t="shared" si="6"/>
        <v>124</v>
      </c>
      <c r="L124" s="9"/>
    </row>
    <row r="125" spans="1:12" ht="14.25" customHeight="1" x14ac:dyDescent="0.4">
      <c r="A125" s="1">
        <f t="shared" si="6"/>
        <v>125</v>
      </c>
      <c r="L125" s="9"/>
    </row>
    <row r="126" spans="1:12" ht="14.25" customHeight="1" x14ac:dyDescent="0.4">
      <c r="A126" s="1">
        <f t="shared" si="6"/>
        <v>126</v>
      </c>
      <c r="L126" s="9"/>
    </row>
    <row r="127" spans="1:12" ht="14.25" customHeight="1" x14ac:dyDescent="0.4">
      <c r="A127" s="1">
        <f t="shared" si="6"/>
        <v>127</v>
      </c>
      <c r="L127" s="9"/>
    </row>
    <row r="128" spans="1:12" ht="14.25" customHeight="1" x14ac:dyDescent="0.4">
      <c r="A128" s="1">
        <f t="shared" si="6"/>
        <v>128</v>
      </c>
      <c r="L128" s="9"/>
    </row>
    <row r="129" spans="1:12" ht="14.25" customHeight="1" x14ac:dyDescent="0.4">
      <c r="A129" s="1">
        <f t="shared" si="6"/>
        <v>129</v>
      </c>
      <c r="L129" s="9"/>
    </row>
    <row r="130" spans="1:12" ht="14.25" customHeight="1" x14ac:dyDescent="0.4">
      <c r="A130" s="1">
        <f t="shared" ref="A130:A131" si="7">A129+1</f>
        <v>130</v>
      </c>
      <c r="L130" s="9"/>
    </row>
    <row r="131" spans="1:12" ht="14.25" customHeight="1" x14ac:dyDescent="0.4">
      <c r="A131" s="1">
        <f t="shared" si="7"/>
        <v>131</v>
      </c>
      <c r="L131" s="9"/>
    </row>
    <row r="132" spans="1:12" ht="14.25" customHeight="1" x14ac:dyDescent="0.4">
      <c r="L132" s="9"/>
    </row>
    <row r="133" spans="1:12" ht="14.25" customHeight="1" x14ac:dyDescent="0.4">
      <c r="L133" s="9"/>
    </row>
    <row r="134" spans="1:12" ht="14.25" customHeight="1" x14ac:dyDescent="0.4">
      <c r="L134" s="9"/>
    </row>
    <row r="135" spans="1:12" ht="14.25" customHeight="1" x14ac:dyDescent="0.4">
      <c r="L135" s="9"/>
    </row>
    <row r="136" spans="1:12" ht="14.25" customHeight="1" x14ac:dyDescent="0.4">
      <c r="L136" s="9"/>
    </row>
    <row r="137" spans="1:12" ht="14.25" customHeight="1" x14ac:dyDescent="0.4">
      <c r="L137" s="9"/>
    </row>
    <row r="138" spans="1:12" ht="14.25" customHeight="1" x14ac:dyDescent="0.4">
      <c r="L138" s="9"/>
    </row>
    <row r="139" spans="1:12" ht="14.25" customHeight="1" x14ac:dyDescent="0.4">
      <c r="L139" s="9"/>
    </row>
    <row r="140" spans="1:12" ht="14.25" customHeight="1" x14ac:dyDescent="0.4">
      <c r="L140" s="9"/>
    </row>
    <row r="141" spans="1:12" ht="14.25" customHeight="1" x14ac:dyDescent="0.4">
      <c r="L141" s="9"/>
    </row>
    <row r="142" spans="1:12" ht="14.25" customHeight="1" x14ac:dyDescent="0.4">
      <c r="L142" s="9"/>
    </row>
    <row r="143" spans="1:12" ht="14.25" customHeight="1" x14ac:dyDescent="0.4">
      <c r="L143" s="9"/>
    </row>
    <row r="144" spans="1:12" ht="14.25" customHeight="1" x14ac:dyDescent="0.4">
      <c r="L144" s="9"/>
    </row>
    <row r="145" spans="12:12" ht="14.25" customHeight="1" x14ac:dyDescent="0.4">
      <c r="L145" s="9"/>
    </row>
    <row r="146" spans="12:12" ht="14.25" customHeight="1" x14ac:dyDescent="0.4">
      <c r="L146" s="9"/>
    </row>
    <row r="147" spans="12:12" ht="14.25" customHeight="1" x14ac:dyDescent="0.4">
      <c r="L147" s="9"/>
    </row>
    <row r="148" spans="12:12" ht="14.25" customHeight="1" x14ac:dyDescent="0.4">
      <c r="L148" s="9"/>
    </row>
    <row r="149" spans="12:12" ht="14.25" customHeight="1" x14ac:dyDescent="0.4">
      <c r="L149" s="9"/>
    </row>
    <row r="150" spans="12:12" ht="14.25" customHeight="1" x14ac:dyDescent="0.4">
      <c r="L150" s="9"/>
    </row>
    <row r="151" spans="12:12" ht="14.25" customHeight="1" x14ac:dyDescent="0.4">
      <c r="L151" s="9"/>
    </row>
    <row r="152" spans="12:12" ht="14.25" customHeight="1" x14ac:dyDescent="0.4">
      <c r="L152" s="9"/>
    </row>
    <row r="153" spans="12:12" ht="14.25" customHeight="1" x14ac:dyDescent="0.4">
      <c r="L153" s="9"/>
    </row>
    <row r="154" spans="12:12" ht="14.25" customHeight="1" x14ac:dyDescent="0.4">
      <c r="L154" s="9"/>
    </row>
    <row r="155" spans="12:12" ht="14.25" customHeight="1" x14ac:dyDescent="0.4">
      <c r="L155" s="9"/>
    </row>
    <row r="156" spans="12:12" ht="14.25" customHeight="1" x14ac:dyDescent="0.4">
      <c r="L156" s="9"/>
    </row>
    <row r="157" spans="12:12" ht="14.25" customHeight="1" x14ac:dyDescent="0.4">
      <c r="L157" s="9"/>
    </row>
    <row r="158" spans="12:12" ht="14.25" customHeight="1" x14ac:dyDescent="0.4">
      <c r="L158" s="9"/>
    </row>
    <row r="159" spans="12:12" ht="14.25" customHeight="1" x14ac:dyDescent="0.4">
      <c r="L159" s="9"/>
    </row>
    <row r="160" spans="12:12" ht="14.25" customHeight="1" x14ac:dyDescent="0.4">
      <c r="L160" s="9"/>
    </row>
    <row r="161" spans="12:12" ht="14.25" customHeight="1" x14ac:dyDescent="0.4">
      <c r="L161" s="9"/>
    </row>
    <row r="162" spans="12:12" ht="14.25" customHeight="1" x14ac:dyDescent="0.4">
      <c r="L162" s="9"/>
    </row>
    <row r="163" spans="12:12" ht="14.25" customHeight="1" x14ac:dyDescent="0.4">
      <c r="L163" s="9"/>
    </row>
    <row r="164" spans="12:12" ht="14.25" customHeight="1" x14ac:dyDescent="0.4">
      <c r="L164" s="9"/>
    </row>
    <row r="165" spans="12:12" ht="14.25" customHeight="1" x14ac:dyDescent="0.4">
      <c r="L165" s="9"/>
    </row>
    <row r="166" spans="12:12" ht="14.25" customHeight="1" x14ac:dyDescent="0.4">
      <c r="L166" s="9"/>
    </row>
    <row r="167" spans="12:12" ht="14.25" customHeight="1" x14ac:dyDescent="0.4">
      <c r="L167" s="9"/>
    </row>
    <row r="168" spans="12:12" ht="14.25" customHeight="1" x14ac:dyDescent="0.4">
      <c r="L168" s="9"/>
    </row>
    <row r="169" spans="12:12" ht="14.25" customHeight="1" x14ac:dyDescent="0.4">
      <c r="L169" s="9"/>
    </row>
    <row r="170" spans="12:12" ht="14.25" customHeight="1" x14ac:dyDescent="0.4">
      <c r="L170" s="9"/>
    </row>
    <row r="171" spans="12:12" ht="14.25" customHeight="1" x14ac:dyDescent="0.4">
      <c r="L171" s="9"/>
    </row>
    <row r="172" spans="12:12" ht="14.25" customHeight="1" x14ac:dyDescent="0.4">
      <c r="L172" s="9"/>
    </row>
    <row r="173" spans="12:12" ht="14.25" customHeight="1" x14ac:dyDescent="0.4">
      <c r="L173" s="9"/>
    </row>
    <row r="174" spans="12:12" ht="14.25" customHeight="1" x14ac:dyDescent="0.4">
      <c r="L174" s="9"/>
    </row>
    <row r="175" spans="12:12" ht="14.25" customHeight="1" x14ac:dyDescent="0.4">
      <c r="L175" s="9"/>
    </row>
    <row r="176" spans="12:12" ht="14.25" customHeight="1" x14ac:dyDescent="0.4">
      <c r="L176" s="9"/>
    </row>
    <row r="177" spans="12:12" ht="14.25" customHeight="1" x14ac:dyDescent="0.4">
      <c r="L177" s="9"/>
    </row>
    <row r="178" spans="12:12" ht="14.25" customHeight="1" x14ac:dyDescent="0.4">
      <c r="L178" s="9"/>
    </row>
    <row r="179" spans="12:12" ht="14.25" customHeight="1" x14ac:dyDescent="0.4">
      <c r="L179" s="9"/>
    </row>
    <row r="180" spans="12:12" ht="14.25" customHeight="1" x14ac:dyDescent="0.4">
      <c r="L180" s="9"/>
    </row>
    <row r="181" spans="12:12" ht="14.25" customHeight="1" x14ac:dyDescent="0.4">
      <c r="L181" s="9"/>
    </row>
    <row r="182" spans="12:12" ht="14.25" customHeight="1" x14ac:dyDescent="0.4">
      <c r="L182" s="9"/>
    </row>
    <row r="183" spans="12:12" ht="14.25" customHeight="1" x14ac:dyDescent="0.4">
      <c r="L183" s="9"/>
    </row>
    <row r="184" spans="12:12" ht="14.25" customHeight="1" x14ac:dyDescent="0.4">
      <c r="L184" s="9"/>
    </row>
    <row r="185" spans="12:12" ht="14.25" customHeight="1" x14ac:dyDescent="0.4">
      <c r="L185" s="9"/>
    </row>
    <row r="186" spans="12:12" ht="14.25" customHeight="1" x14ac:dyDescent="0.4">
      <c r="L186" s="9"/>
    </row>
    <row r="187" spans="12:12" ht="14.25" customHeight="1" x14ac:dyDescent="0.4">
      <c r="L187" s="9"/>
    </row>
    <row r="188" spans="12:12" ht="14.25" customHeight="1" x14ac:dyDescent="0.4">
      <c r="L188" s="9"/>
    </row>
    <row r="189" spans="12:12" ht="14.25" customHeight="1" x14ac:dyDescent="0.4">
      <c r="L189" s="9"/>
    </row>
    <row r="190" spans="12:12" ht="14.25" customHeight="1" x14ac:dyDescent="0.4">
      <c r="L190" s="9"/>
    </row>
    <row r="191" spans="12:12" ht="14.25" customHeight="1" x14ac:dyDescent="0.4">
      <c r="L191" s="9"/>
    </row>
    <row r="192" spans="12:12" ht="14.25" customHeight="1" x14ac:dyDescent="0.4">
      <c r="L192" s="9"/>
    </row>
    <row r="193" spans="12:12" ht="14.25" customHeight="1" x14ac:dyDescent="0.4">
      <c r="L193" s="9"/>
    </row>
    <row r="194" spans="12:12" ht="14.25" customHeight="1" x14ac:dyDescent="0.4">
      <c r="L194" s="9"/>
    </row>
    <row r="195" spans="12:12" ht="14.25" customHeight="1" x14ac:dyDescent="0.4">
      <c r="L195" s="9"/>
    </row>
    <row r="196" spans="12:12" ht="14.25" customHeight="1" x14ac:dyDescent="0.4">
      <c r="L196" s="9"/>
    </row>
    <row r="197" spans="12:12" ht="14.25" customHeight="1" x14ac:dyDescent="0.4">
      <c r="L197" s="9"/>
    </row>
    <row r="198" spans="12:12" ht="14.25" customHeight="1" x14ac:dyDescent="0.4">
      <c r="L198" s="9"/>
    </row>
    <row r="199" spans="12:12" ht="14.25" customHeight="1" x14ac:dyDescent="0.4">
      <c r="L199" s="9"/>
    </row>
    <row r="200" spans="12:12" ht="14.25" customHeight="1" x14ac:dyDescent="0.4">
      <c r="L200" s="9"/>
    </row>
    <row r="201" spans="12:12" ht="14.25" customHeight="1" x14ac:dyDescent="0.4">
      <c r="L201" s="9"/>
    </row>
    <row r="202" spans="12:12" ht="14.25" customHeight="1" x14ac:dyDescent="0.4">
      <c r="L202" s="9"/>
    </row>
    <row r="203" spans="12:12" ht="14.25" customHeight="1" x14ac:dyDescent="0.4">
      <c r="L203" s="9"/>
    </row>
    <row r="204" spans="12:12" ht="14.25" customHeight="1" x14ac:dyDescent="0.4">
      <c r="L204" s="9"/>
    </row>
    <row r="205" spans="12:12" ht="14.25" customHeight="1" x14ac:dyDescent="0.4">
      <c r="L205" s="9"/>
    </row>
    <row r="206" spans="12:12" ht="14.25" customHeight="1" x14ac:dyDescent="0.4">
      <c r="L206" s="9"/>
    </row>
    <row r="207" spans="12:12" ht="14.25" customHeight="1" x14ac:dyDescent="0.4">
      <c r="L207" s="9"/>
    </row>
    <row r="208" spans="12:12" ht="14.25" customHeight="1" x14ac:dyDescent="0.4">
      <c r="L208" s="9"/>
    </row>
    <row r="209" spans="12:12" ht="14.25" customHeight="1" x14ac:dyDescent="0.4">
      <c r="L209" s="9"/>
    </row>
    <row r="210" spans="12:12" ht="14.25" customHeight="1" x14ac:dyDescent="0.4">
      <c r="L210" s="9"/>
    </row>
    <row r="211" spans="12:12" ht="14.25" customHeight="1" x14ac:dyDescent="0.4">
      <c r="L211" s="9"/>
    </row>
    <row r="212" spans="12:12" ht="14.25" customHeight="1" x14ac:dyDescent="0.4">
      <c r="L212" s="9"/>
    </row>
    <row r="213" spans="12:12" ht="14.25" customHeight="1" x14ac:dyDescent="0.4">
      <c r="L213" s="9"/>
    </row>
    <row r="214" spans="12:12" ht="14.25" customHeight="1" x14ac:dyDescent="0.4">
      <c r="L214" s="9"/>
    </row>
    <row r="215" spans="12:12" ht="14.25" customHeight="1" x14ac:dyDescent="0.4">
      <c r="L215" s="9"/>
    </row>
    <row r="216" spans="12:12" ht="14.25" customHeight="1" x14ac:dyDescent="0.4">
      <c r="L216" s="9"/>
    </row>
    <row r="217" spans="12:12" ht="14.25" customHeight="1" x14ac:dyDescent="0.4">
      <c r="L217" s="9"/>
    </row>
    <row r="218" spans="12:12" ht="14.25" customHeight="1" x14ac:dyDescent="0.4">
      <c r="L218" s="9"/>
    </row>
    <row r="219" spans="12:12" ht="14.25" customHeight="1" x14ac:dyDescent="0.4">
      <c r="L219" s="9"/>
    </row>
    <row r="220" spans="12:12" ht="14.25" customHeight="1" x14ac:dyDescent="0.4">
      <c r="L220" s="9"/>
    </row>
    <row r="221" spans="12:12" ht="14.25" customHeight="1" x14ac:dyDescent="0.4">
      <c r="L221" s="9"/>
    </row>
    <row r="222" spans="12:12" ht="14.25" customHeight="1" x14ac:dyDescent="0.4">
      <c r="L222" s="9"/>
    </row>
    <row r="223" spans="12:12" ht="14.25" customHeight="1" x14ac:dyDescent="0.4">
      <c r="L223" s="9"/>
    </row>
    <row r="224" spans="12:12" ht="14.25" customHeight="1" x14ac:dyDescent="0.4">
      <c r="L224" s="9"/>
    </row>
    <row r="225" spans="12:12" ht="14.25" customHeight="1" x14ac:dyDescent="0.4">
      <c r="L225" s="9"/>
    </row>
    <row r="226" spans="12:12" ht="14.25" customHeight="1" x14ac:dyDescent="0.4">
      <c r="L226" s="9"/>
    </row>
    <row r="227" spans="12:12" ht="14.25" customHeight="1" x14ac:dyDescent="0.4">
      <c r="L227" s="9"/>
    </row>
    <row r="228" spans="12:12" ht="14.25" customHeight="1" x14ac:dyDescent="0.4">
      <c r="L228" s="9"/>
    </row>
    <row r="229" spans="12:12" ht="14.25" customHeight="1" x14ac:dyDescent="0.4">
      <c r="L229" s="9"/>
    </row>
    <row r="230" spans="12:12" ht="14.25" customHeight="1" x14ac:dyDescent="0.4">
      <c r="L230" s="9"/>
    </row>
    <row r="231" spans="12:12" ht="14.25" customHeight="1" x14ac:dyDescent="0.4">
      <c r="L231" s="9"/>
    </row>
    <row r="232" spans="12:12" ht="14.25" customHeight="1" x14ac:dyDescent="0.4">
      <c r="L232" s="9"/>
    </row>
    <row r="233" spans="12:12" ht="14.25" customHeight="1" x14ac:dyDescent="0.4">
      <c r="L233" s="9"/>
    </row>
    <row r="234" spans="12:12" ht="14.25" customHeight="1" x14ac:dyDescent="0.4">
      <c r="L234" s="9"/>
    </row>
    <row r="235" spans="12:12" ht="14.25" customHeight="1" x14ac:dyDescent="0.4">
      <c r="L235" s="9"/>
    </row>
    <row r="236" spans="12:12" ht="14.25" customHeight="1" x14ac:dyDescent="0.4">
      <c r="L236" s="9"/>
    </row>
    <row r="237" spans="12:12" ht="14.25" customHeight="1" x14ac:dyDescent="0.4">
      <c r="L237" s="9"/>
    </row>
    <row r="238" spans="12:12" ht="14.25" customHeight="1" x14ac:dyDescent="0.4">
      <c r="L238" s="9"/>
    </row>
    <row r="239" spans="12:12" ht="14.25" customHeight="1" x14ac:dyDescent="0.4">
      <c r="L239" s="9"/>
    </row>
    <row r="240" spans="12:12" ht="14.25" customHeight="1" x14ac:dyDescent="0.4">
      <c r="L240" s="9"/>
    </row>
    <row r="241" spans="12:12" ht="14.25" customHeight="1" x14ac:dyDescent="0.4">
      <c r="L241" s="9"/>
    </row>
    <row r="242" spans="12:12" ht="14.25" customHeight="1" x14ac:dyDescent="0.4">
      <c r="L242" s="9"/>
    </row>
    <row r="243" spans="12:12" ht="14.25" customHeight="1" x14ac:dyDescent="0.4">
      <c r="L243" s="9"/>
    </row>
    <row r="244" spans="12:12" ht="14.25" customHeight="1" x14ac:dyDescent="0.4">
      <c r="L244" s="9"/>
    </row>
    <row r="245" spans="12:12" ht="14.25" customHeight="1" x14ac:dyDescent="0.4">
      <c r="L245" s="9"/>
    </row>
    <row r="246" spans="12:12" ht="14.25" customHeight="1" x14ac:dyDescent="0.4">
      <c r="L246" s="9"/>
    </row>
    <row r="247" spans="12:12" ht="14.25" customHeight="1" x14ac:dyDescent="0.4">
      <c r="L247" s="9"/>
    </row>
    <row r="248" spans="12:12" ht="14.25" customHeight="1" x14ac:dyDescent="0.4">
      <c r="L248" s="9"/>
    </row>
    <row r="249" spans="12:12" ht="14.25" customHeight="1" x14ac:dyDescent="0.4">
      <c r="L249" s="9"/>
    </row>
    <row r="250" spans="12:12" ht="14.25" customHeight="1" x14ac:dyDescent="0.4">
      <c r="L250" s="9"/>
    </row>
    <row r="251" spans="12:12" ht="14.25" customHeight="1" x14ac:dyDescent="0.4">
      <c r="L251" s="9"/>
    </row>
    <row r="252" spans="12:12" ht="14.25" customHeight="1" x14ac:dyDescent="0.4">
      <c r="L252" s="9"/>
    </row>
    <row r="253" spans="12:12" ht="14.25" customHeight="1" x14ac:dyDescent="0.4">
      <c r="L253" s="9"/>
    </row>
    <row r="254" spans="12:12" ht="14.25" customHeight="1" x14ac:dyDescent="0.4">
      <c r="L254" s="9"/>
    </row>
  </sheetData>
  <mergeCells count="12">
    <mergeCell ref="X4:Y6"/>
    <mergeCell ref="AA10:AB10"/>
    <mergeCell ref="AA9:AB9"/>
    <mergeCell ref="D8:G8"/>
    <mergeCell ref="I8:L8"/>
    <mergeCell ref="N8:Q8"/>
    <mergeCell ref="D9:E9"/>
    <mergeCell ref="I9:J9"/>
    <mergeCell ref="N9:O9"/>
    <mergeCell ref="D6:Q6"/>
    <mergeCell ref="I5:J5"/>
    <mergeCell ref="S8:V9"/>
  </mergeCells>
  <phoneticPr fontId="1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ZeroMake">
                <anchor moveWithCells="1" sizeWithCells="1">
                  <from>
                    <xdr:col>19</xdr:col>
                    <xdr:colOff>350520</xdr:colOff>
                    <xdr:row>3</xdr:row>
                    <xdr:rowOff>68580</xdr:rowOff>
                  </from>
                  <to>
                    <xdr:col>20</xdr:col>
                    <xdr:colOff>388620</xdr:colOff>
                    <xdr:row>6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heet1.CalcRate">
                <anchor moveWithCells="1" sizeWithCells="1">
                  <from>
                    <xdr:col>26</xdr:col>
                    <xdr:colOff>312420</xdr:colOff>
                    <xdr:row>3</xdr:row>
                    <xdr:rowOff>121920</xdr:rowOff>
                  </from>
                  <to>
                    <xdr:col>27</xdr:col>
                    <xdr:colOff>457200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2021-12-10T06:20:02Z</dcterms:created>
  <dcterms:modified xsi:type="dcterms:W3CDTF">2023-05-03T12:30:57Z</dcterms:modified>
</cp:coreProperties>
</file>