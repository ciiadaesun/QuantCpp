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1" l="1"/>
  <c r="J11" i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<sst xmlns="http://schemas.openxmlformats.org/spreadsheetml/2006/main" count="21" uniqueCount="20">
  <si>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</si>
  <si>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</si>
  <si>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</si>
  <si>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</si>
  <si>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</si>
  <si>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</si>
  <si>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</si>
  <si>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</si>
  <si>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</si>
  <si>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</si>
  <si>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</si>
  <si>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</si>
  <si>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</si>
  <si>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</si>
  <si>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</si>
  <si>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</si>
  <si>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</si>
  <si>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</si>
  <si>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</si>
  <si>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스왑지급일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</si>
</sst>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00%"/>
    <numFmt numFmtId="178" formatCode="0.000000"/>
    <numFmt numFmtId="179" formatCode="0.0000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0" fontId="3" fillId="12" borderId="6" xfId="0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79" fontId="3" fillId="3" borderId="0" xfId="1" applyNumberFormat="1" applyFont="1" applyFill="1" applyBorder="1">
      <alignment vertical="center"/>
    </xf>
    <xf numFmtId="179" fontId="3" fillId="2" borderId="0" xfId="1" applyNumberFormat="1" applyFont="1" applyFill="1" applyBorder="1">
      <alignment vertical="center"/>
    </xf>
    <xf numFmtId="179" fontId="3" fillId="2" borderId="8" xfId="1" applyNumberFormat="1" applyFont="1" applyFill="1" applyBorder="1">
      <alignment vertical="center"/>
    </xf>
    <xf numFmtId="0" fontId="3" fillId="4" borderId="10" xfId="0" applyFont="1" applyFill="1" applyBorder="1" applyAlignment="1">
      <alignment horizontal="center" vertical="center"/>
    </xf>
    <xf numFmtId="179" fontId="3" fillId="3" borderId="0" xfId="1" applyNumberFormat="1" applyFont="1" applyFill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Sheet1!$T$11:$T$13</c:f>
              <c:numCache>
                <c:formatCode>General</c:formatCode>
                <c:ptCount val="3"/>
                <c:pt idx="0">
                  <c:v>2.7397260273972603E-3</c:v>
                </c:pt>
                <c:pt idx="1">
                  <c:v>3.5616438356164383E-2</c:v>
                </c:pt>
                <c:pt idx="2">
                  <c:v>2.0136986301369864</c:v>
                </c:pt>
              </c:numCache>
            </c:numRef>
          </c:xVal>
          <c:yVal>
            <c:numRef>
              <c:f>Sheet1!$U$11:$U$13</c:f>
              <c:numCache>
                <c:formatCode>0.0000%</c:formatCode>
                <c:ptCount val="3"/>
                <c:pt idx="0">
                  <c:v>4.876479786873706E-2</c:v>
                </c:pt>
                <c:pt idx="1">
                  <c:v>5.0723281860351563E-2</c:v>
                </c:pt>
                <c:pt idx="2">
                  <c:v>5.3960079956054681E-2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7A-4B64-BA2C-9502B4B8E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779280"/>
        <c:axId val="514785512"/>
      </c:scatterChart>
      <c:valAx>
        <c:axId val="514779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4785512"/>
        <c:crosses val="autoZero"/>
        <c:crossBetween val="midCat"/>
      </c:valAx>
      <c:valAx>
        <c:axId val="51478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4779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topLeftCell="G1" zoomScaleNormal="100" workbookViewId="0">
      <selection activeCell="L20" sqref="L20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29"/>
    <col min="11" max="11" width="10.5" style="40"/>
    <col min="12" max="12" width="10.5" style="43"/>
    <col min="13" max="13" width="10.5" style="30"/>
    <col min="14" max="14" width="10.5" style="35"/>
    <col min="15" max="15" width="10.5" style="32"/>
    <col min="16" max="16" width="10.5" style="33"/>
    <col min="17" max="17" width="10.5" style="32"/>
    <col min="18" max="18" width="10.5" style="34" customWidth="1"/>
    <col min="19" max="19" width="10.5" style="19"/>
    <col min="20" max="20" width="10.5" style="8"/>
    <col min="21" max="21" width="10.5" style="19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0">
        <f t="shared" si="0"/>
        <v>9</v>
      </c>
      <c r="J1" s="30">
        <f t="shared" si="0"/>
        <v>10</v>
      </c>
      <c r="K1" s="30">
        <f t="shared" si="0"/>
        <v>11</v>
      </c>
      <c r="L1" s="30">
        <f t="shared" si="0"/>
        <v>12</v>
      </c>
      <c r="M1" s="30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0">
        <f t="shared" si="0"/>
        <v>17</v>
      </c>
      <c r="R1" s="30">
        <f t="shared" si="0"/>
        <v>18</v>
      </c>
      <c r="S1" s="30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0"/>
      <c r="J2" s="30"/>
      <c r="K2" s="30"/>
      <c r="L2" s="30"/>
      <c r="N2" s="1"/>
      <c r="O2" s="1"/>
      <c r="P2" s="1"/>
      <c r="Q2" s="30"/>
      <c r="R2" s="30"/>
      <c r="S2" s="30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0"/>
      <c r="J3" s="30"/>
      <c r="K3" s="30"/>
      <c r="L3" s="30"/>
      <c r="N3" s="1"/>
      <c r="O3" s="1"/>
      <c r="P3" s="1"/>
      <c r="Q3" s="30"/>
      <c r="R3" s="30"/>
      <c r="S3" s="30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0"/>
      <c r="J4" s="30"/>
      <c r="K4" s="30"/>
      <c r="L4" s="30"/>
      <c r="N4" s="1"/>
      <c r="O4" s="1"/>
      <c r="P4" s="1"/>
      <c r="Q4" s="30"/>
      <c r="R4" s="30"/>
      <c r="S4" s="30"/>
      <c r="T4" s="1"/>
      <c r="U4" s="1"/>
      <c r="V4" s="1"/>
      <c r="W4" s="13" t="s">
        <v>11</v>
      </c>
      <c r="X4" s="47"/>
      <c r="Y4" s="47"/>
    </row>
    <row r="5" spans="1:32" ht="14.25" customHeight="1" x14ac:dyDescent="0.4">
      <c r="A5" s="1">
        <f t="shared" si="5"/>
        <v>5</v>
      </c>
      <c r="D5" s="10" t="s">
        <v>3</v>
      </c>
      <c r="E5" s="7">
        <v>45050</v>
      </c>
      <c r="F5" s="1"/>
      <c r="G5" s="10" t="s">
        <v>12</v>
      </c>
      <c r="H5" s="3">
        <v>0</v>
      </c>
      <c r="I5" s="54" t="s">
        <v>15</v>
      </c>
      <c r="J5" s="54"/>
      <c r="K5" s="26">
        <v>1</v>
      </c>
      <c r="L5" s="30"/>
      <c r="N5" s="1"/>
      <c r="O5" s="1"/>
      <c r="P5" s="1"/>
      <c r="Q5" s="30"/>
      <c r="R5" s="30"/>
      <c r="S5" s="30"/>
      <c r="T5" s="1"/>
      <c r="U5" s="1"/>
      <c r="V5" s="1"/>
      <c r="W5" s="14"/>
      <c r="X5" s="47"/>
      <c r="Y5" s="47"/>
    </row>
    <row r="6" spans="1:32" ht="14.25" customHeight="1" x14ac:dyDescent="0.4">
      <c r="A6" s="1">
        <f t="shared" si="5"/>
        <v>6</v>
      </c>
      <c r="D6" s="50" t="str">
        <f>IF(H5=0, "MMF, IRForward, Swap Market", "Bond Market")</f>
        <v>MMF, IRForward, Swap Market</v>
      </c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30"/>
      <c r="S6" s="30"/>
      <c r="T6" s="1"/>
      <c r="U6" s="1"/>
      <c r="V6" s="1"/>
      <c r="W6" s="14"/>
      <c r="X6" s="47"/>
      <c r="Y6" s="47"/>
    </row>
    <row r="7" spans="1:32" ht="14.25" customHeight="1" thickBot="1" x14ac:dyDescent="0.45">
      <c r="A7" s="1">
        <f t="shared" si="5"/>
        <v>7</v>
      </c>
      <c r="E7" s="1"/>
      <c r="F7" s="1"/>
      <c r="I7" s="30"/>
      <c r="J7" s="30"/>
      <c r="K7" s="30"/>
      <c r="L7" s="30"/>
      <c r="N7" s="30"/>
      <c r="O7" s="30"/>
      <c r="P7" s="30"/>
      <c r="Q7" s="30"/>
      <c r="R7" s="30"/>
      <c r="S7" s="30"/>
      <c r="T7" s="1"/>
      <c r="U7" s="1"/>
      <c r="V7" s="1"/>
    </row>
    <row r="8" spans="1:32" ht="14.25" customHeight="1" x14ac:dyDescent="0.4">
      <c r="A8" s="1">
        <f t="shared" si="5"/>
        <v>8</v>
      </c>
      <c r="D8" s="50" t="str">
        <f>IF(H5=0, "콜금리/CD", "CP/Short Term Bond")</f>
        <v>콜금리/CD</v>
      </c>
      <c r="E8" s="50"/>
      <c r="F8" s="50"/>
      <c r="G8" s="50"/>
      <c r="I8" s="57" t="str">
        <f>IF(H5=0, "IR Futures", "MarketData 1일 때 입력안함")</f>
        <v>IR Futures</v>
      </c>
      <c r="J8" s="58"/>
      <c r="K8" s="58"/>
      <c r="L8" s="58"/>
      <c r="M8" s="59"/>
      <c r="N8" s="57" t="str">
        <f>IF(H5=0, "IR Swap","Coupon Bond")</f>
        <v>IR Swap</v>
      </c>
      <c r="O8" s="58"/>
      <c r="P8" s="58"/>
      <c r="Q8" s="58"/>
      <c r="R8" s="59"/>
      <c r="S8" s="55" t="s">
        <v>9</v>
      </c>
      <c r="T8" s="56"/>
      <c r="U8" s="56"/>
      <c r="V8" s="56"/>
    </row>
    <row r="9" spans="1:32" ht="14.25" customHeight="1" x14ac:dyDescent="0.4">
      <c r="A9" s="1">
        <f t="shared" si="5"/>
        <v>9</v>
      </c>
      <c r="D9" s="51" t="s">
        <v>1</v>
      </c>
      <c r="E9" s="51"/>
      <c r="F9" s="4">
        <f>COUNT(E11:E100)</f>
        <v>1</v>
      </c>
      <c r="G9" s="5"/>
      <c r="I9" s="52" t="str">
        <f>IF(H5=0, "개수", "")</f>
        <v>개수</v>
      </c>
      <c r="J9" s="53"/>
      <c r="K9" s="20">
        <f>COUNT(I11:I100)</f>
        <v>1</v>
      </c>
      <c r="L9" s="20"/>
      <c r="M9" s="21"/>
      <c r="N9" s="53" t="s">
        <v>2</v>
      </c>
      <c r="O9" s="53"/>
      <c r="P9" s="20">
        <f>COUNT(N11:N1048576)</f>
        <v>1</v>
      </c>
      <c r="Q9" s="20"/>
      <c r="R9" s="21"/>
      <c r="S9" s="55"/>
      <c r="T9" s="56"/>
      <c r="U9" s="56"/>
      <c r="V9" s="56"/>
      <c r="X9" s="2" t="s">
        <v>6</v>
      </c>
      <c r="Y9" s="2" t="s">
        <v>0</v>
      </c>
      <c r="Z9" s="2" t="s">
        <v>5</v>
      </c>
      <c r="AA9" s="49" t="s">
        <v>8</v>
      </c>
      <c r="AB9" s="49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45" t="str">
        <f>IF(H5=0, "Forward Start", "")</f>
        <v>Forward Start</v>
      </c>
      <c r="J10" s="22" t="str">
        <f>IF(H5=0, "Forward End", "")</f>
        <v>Forward End</v>
      </c>
      <c r="K10" s="22" t="str">
        <f>IF(H5=0, "PayDate", "")</f>
        <v>PayDate</v>
      </c>
      <c r="L10" s="22" t="str">
        <f>IF(H5=0, "Rate", "")</f>
        <v>Rate</v>
      </c>
      <c r="M10" s="23" t="str">
        <f>IF(H5=0, "1Y Convention", "")</f>
        <v>1Y Convention</v>
      </c>
      <c r="N10" s="22" t="str">
        <f>IF(H5=0,"스왑만기","채권만기")</f>
        <v>스왑만기</v>
      </c>
      <c r="O10" s="22" t="s">
        <v>19</v>
      </c>
      <c r="P10" s="22" t="s">
        <v>18</v>
      </c>
      <c r="Q10" s="22" t="str">
        <f>IF(H5=0,"스왑금리","YTM")</f>
        <v>스왑금리</v>
      </c>
      <c r="R10" s="23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0</v>
      </c>
      <c r="Y10" s="3">
        <v>4</v>
      </c>
      <c r="Z10" s="3">
        <v>360</v>
      </c>
      <c r="AA10" s="48">
        <v>8.3349802935949902E-2</v>
      </c>
      <c r="AB10" s="48"/>
    </row>
    <row r="11" spans="1:32" ht="14.25" customHeight="1" x14ac:dyDescent="0.4">
      <c r="A11" s="1">
        <f t="shared" si="5"/>
        <v>11</v>
      </c>
      <c r="E11" s="6">
        <v>45051</v>
      </c>
      <c r="F11" s="15">
        <v>4.8099999999999997E-2</v>
      </c>
      <c r="G11" s="3">
        <v>360</v>
      </c>
      <c r="I11" s="24">
        <v>45054</v>
      </c>
      <c r="J11" s="25">
        <f>I11+7</f>
        <v>45061</v>
      </c>
      <c r="K11" s="25">
        <f>J11+2</f>
        <v>45063</v>
      </c>
      <c r="L11" s="46">
        <v>5.0375000000000003E-2</v>
      </c>
      <c r="M11" s="31">
        <v>360</v>
      </c>
      <c r="N11" s="35">
        <v>45785</v>
      </c>
      <c r="O11" s="35">
        <v>45785</v>
      </c>
      <c r="P11" s="32">
        <v>4</v>
      </c>
      <c r="Q11" s="33">
        <v>5.355E-2</v>
      </c>
      <c r="R11" s="34">
        <v>360</v>
      </c>
      <c r="S11" s="19">
        <v>4.8099999999999997E-2</v>
      </c>
      <c r="T11" s="8">
        <v>2.7397260273972603E-3</v>
      </c>
      <c r="U11" s="19">
        <v>4.876479786873706E-2</v>
      </c>
      <c r="V11" s="18">
        <v>0.99986640673843286</v>
      </c>
    </row>
    <row r="12" spans="1:32" ht="14.25" customHeight="1" x14ac:dyDescent="0.4">
      <c r="A12" s="1">
        <f t="shared" si="5"/>
        <v>12</v>
      </c>
      <c r="E12" s="6"/>
      <c r="F12" s="15"/>
      <c r="G12" s="3"/>
      <c r="I12" s="24"/>
      <c r="J12" s="25"/>
      <c r="K12" s="25"/>
      <c r="L12" s="42"/>
      <c r="M12" s="31"/>
      <c r="O12" s="35"/>
      <c r="P12" s="32"/>
      <c r="Q12" s="33"/>
      <c r="S12" s="19">
        <v>5.0375000000000003E-2</v>
      </c>
      <c r="T12" s="8">
        <v>3.5616438356164383E-2</v>
      </c>
      <c r="U12" s="19">
        <v>5.0723281860351563E-2</v>
      </c>
      <c r="V12" s="18">
        <v>0.99819504824655969</v>
      </c>
    </row>
    <row r="13" spans="1:32" ht="14.25" customHeight="1" x14ac:dyDescent="0.4">
      <c r="A13" s="1">
        <f t="shared" si="5"/>
        <v>13</v>
      </c>
      <c r="E13" s="6"/>
      <c r="F13" s="15"/>
      <c r="G13" s="3"/>
      <c r="I13" s="24"/>
      <c r="J13" s="25"/>
      <c r="K13" s="25"/>
      <c r="L13" s="42"/>
      <c r="M13" s="31"/>
      <c r="O13" s="35"/>
      <c r="P13" s="32"/>
      <c r="Q13" s="33"/>
      <c r="S13" s="19">
        <v>5.355E-2</v>
      </c>
      <c r="T13" s="8">
        <v>2.0136986301369864</v>
      </c>
      <c r="U13" s="19">
        <v>5.3960079956054681E-2</v>
      </c>
      <c r="V13" s="18">
        <v>0.89703595053728002</v>
      </c>
    </row>
    <row r="14" spans="1:32" ht="14.25" customHeight="1" x14ac:dyDescent="0.4">
      <c r="A14" s="1">
        <f t="shared" si="5"/>
        <v>14</v>
      </c>
      <c r="E14" s="6"/>
      <c r="F14" s="15"/>
      <c r="G14" s="3"/>
      <c r="I14" s="24"/>
      <c r="J14" s="25"/>
      <c r="K14" s="25"/>
      <c r="L14" s="42"/>
      <c r="M14" s="31"/>
      <c r="O14" s="35"/>
      <c r="P14" s="32"/>
      <c r="Q14" s="33"/>
      <c r="V14" s="18"/>
    </row>
    <row r="15" spans="1:32" ht="14.25" customHeight="1" x14ac:dyDescent="0.4">
      <c r="A15" s="1">
        <f t="shared" si="5"/>
        <v>15</v>
      </c>
      <c r="E15" s="6"/>
      <c r="F15" s="15"/>
      <c r="G15" s="3"/>
      <c r="I15" s="24"/>
      <c r="J15" s="25"/>
      <c r="K15" s="25"/>
      <c r="L15" s="42"/>
      <c r="M15" s="31"/>
      <c r="O15" s="35"/>
      <c r="P15" s="32"/>
      <c r="Q15" s="33"/>
      <c r="V15" s="18"/>
    </row>
    <row r="16" spans="1:32" ht="14.25" customHeight="1" x14ac:dyDescent="0.4">
      <c r="A16" s="1">
        <f t="shared" si="5"/>
        <v>16</v>
      </c>
      <c r="E16" s="6"/>
      <c r="F16" s="15"/>
      <c r="G16" s="3"/>
      <c r="I16" s="24"/>
      <c r="J16" s="25"/>
      <c r="K16" s="25"/>
      <c r="L16" s="42"/>
      <c r="M16" s="31"/>
      <c r="O16" s="35"/>
      <c r="P16" s="32"/>
      <c r="Q16" s="33"/>
      <c r="V16" s="18"/>
    </row>
    <row r="17" spans="1:22" ht="14.25" customHeight="1" x14ac:dyDescent="0.4">
      <c r="A17" s="1">
        <f t="shared" si="5"/>
        <v>17</v>
      </c>
      <c r="E17" s="6"/>
      <c r="F17" s="15"/>
      <c r="G17" s="3"/>
      <c r="I17" s="24"/>
      <c r="J17" s="25"/>
      <c r="K17" s="39"/>
      <c r="L17" s="42"/>
      <c r="M17" s="31"/>
      <c r="O17" s="35"/>
      <c r="P17" s="32"/>
      <c r="Q17" s="33"/>
      <c r="V17" s="18"/>
    </row>
    <row r="18" spans="1:22" ht="14.25" customHeight="1" x14ac:dyDescent="0.4">
      <c r="A18" s="1">
        <f t="shared" si="5"/>
        <v>18</v>
      </c>
      <c r="I18" s="28"/>
      <c r="M18" s="27"/>
      <c r="O18" s="35"/>
      <c r="P18" s="32"/>
      <c r="Q18" s="33"/>
      <c r="V18" s="18"/>
    </row>
    <row r="19" spans="1:22" ht="14.25" customHeight="1" x14ac:dyDescent="0.4">
      <c r="A19" s="1">
        <f t="shared" si="5"/>
        <v>19</v>
      </c>
      <c r="I19" s="28"/>
      <c r="M19" s="27"/>
      <c r="O19" s="35"/>
      <c r="P19" s="32"/>
      <c r="Q19" s="33"/>
      <c r="V19" s="18"/>
    </row>
    <row r="20" spans="1:22" ht="14.25" customHeight="1" x14ac:dyDescent="0.4">
      <c r="A20" s="1">
        <f t="shared" si="5"/>
        <v>20</v>
      </c>
      <c r="I20" s="28"/>
      <c r="M20" s="27"/>
      <c r="V20" s="18"/>
    </row>
    <row r="21" spans="1:22" ht="14.25" customHeight="1" x14ac:dyDescent="0.4">
      <c r="A21" s="1">
        <f t="shared" si="5"/>
        <v>21</v>
      </c>
      <c r="I21" s="28"/>
      <c r="M21" s="27"/>
      <c r="V21" s="18"/>
    </row>
    <row r="22" spans="1:22" ht="14.25" customHeight="1" x14ac:dyDescent="0.4">
      <c r="A22" s="1">
        <f t="shared" si="5"/>
        <v>22</v>
      </c>
      <c r="I22" s="28"/>
      <c r="M22" s="27"/>
      <c r="V22" s="18"/>
    </row>
    <row r="23" spans="1:22" ht="14.25" customHeight="1" x14ac:dyDescent="0.4">
      <c r="A23" s="1">
        <f t="shared" si="5"/>
        <v>23</v>
      </c>
      <c r="I23" s="28"/>
      <c r="M23" s="27"/>
      <c r="V23" s="18"/>
    </row>
    <row r="24" spans="1:22" ht="14.25" customHeight="1" x14ac:dyDescent="0.4">
      <c r="A24" s="1">
        <f t="shared" si="5"/>
        <v>24</v>
      </c>
      <c r="I24" s="28"/>
      <c r="M24" s="27"/>
      <c r="V24" s="18"/>
    </row>
    <row r="25" spans="1:22" ht="14.25" customHeight="1" x14ac:dyDescent="0.4">
      <c r="A25" s="1">
        <f t="shared" si="5"/>
        <v>25</v>
      </c>
      <c r="I25" s="28"/>
      <c r="M25" s="27"/>
      <c r="V25" s="18"/>
    </row>
    <row r="26" spans="1:22" ht="14.25" customHeight="1" x14ac:dyDescent="0.4">
      <c r="A26" s="1">
        <f t="shared" si="5"/>
        <v>26</v>
      </c>
      <c r="I26" s="28"/>
      <c r="M26" s="27"/>
      <c r="V26" s="18"/>
    </row>
    <row r="27" spans="1:22" ht="14.25" customHeight="1" x14ac:dyDescent="0.4">
      <c r="A27" s="1">
        <f t="shared" si="5"/>
        <v>27</v>
      </c>
      <c r="I27" s="28"/>
      <c r="M27" s="27"/>
      <c r="V27" s="18"/>
    </row>
    <row r="28" spans="1:22" ht="14.25" customHeight="1" x14ac:dyDescent="0.4">
      <c r="A28" s="1">
        <f t="shared" si="5"/>
        <v>28</v>
      </c>
      <c r="I28" s="28"/>
      <c r="M28" s="27"/>
      <c r="V28" s="18"/>
    </row>
    <row r="29" spans="1:22" ht="14.25" customHeight="1" x14ac:dyDescent="0.4">
      <c r="A29" s="1">
        <f t="shared" si="5"/>
        <v>29</v>
      </c>
      <c r="I29" s="28"/>
      <c r="M29" s="27"/>
      <c r="V29" s="18"/>
    </row>
    <row r="30" spans="1:22" ht="14.25" customHeight="1" x14ac:dyDescent="0.4">
      <c r="A30" s="1">
        <f t="shared" si="5"/>
        <v>30</v>
      </c>
      <c r="I30" s="28"/>
      <c r="M30" s="27"/>
      <c r="V30" s="18"/>
    </row>
    <row r="31" spans="1:22" ht="14.25" customHeight="1" x14ac:dyDescent="0.4">
      <c r="A31" s="1">
        <f t="shared" si="5"/>
        <v>31</v>
      </c>
      <c r="I31" s="28"/>
      <c r="M31" s="27"/>
      <c r="V31" s="18"/>
    </row>
    <row r="32" spans="1:22" ht="14.25" customHeight="1" x14ac:dyDescent="0.4">
      <c r="A32" s="1">
        <f t="shared" si="5"/>
        <v>32</v>
      </c>
      <c r="I32" s="28"/>
      <c r="M32" s="27"/>
      <c r="V32" s="18"/>
    </row>
    <row r="33" spans="1:22" ht="14.25" customHeight="1" x14ac:dyDescent="0.4">
      <c r="A33" s="1">
        <f t="shared" si="5"/>
        <v>33</v>
      </c>
      <c r="I33" s="28"/>
      <c r="M33" s="27"/>
      <c r="V33" s="18"/>
    </row>
    <row r="34" spans="1:22" ht="14.25" customHeight="1" x14ac:dyDescent="0.4">
      <c r="A34" s="1">
        <f t="shared" si="5"/>
        <v>34</v>
      </c>
      <c r="I34" s="28"/>
      <c r="M34" s="27"/>
      <c r="V34" s="18"/>
    </row>
    <row r="35" spans="1:22" ht="14.25" customHeight="1" x14ac:dyDescent="0.4">
      <c r="A35" s="1">
        <f t="shared" si="5"/>
        <v>35</v>
      </c>
      <c r="I35" s="28"/>
      <c r="M35" s="27"/>
      <c r="V35" s="18"/>
    </row>
    <row r="36" spans="1:22" ht="14.25" customHeight="1" x14ac:dyDescent="0.4">
      <c r="A36" s="1">
        <f t="shared" si="5"/>
        <v>36</v>
      </c>
      <c r="I36" s="28"/>
      <c r="M36" s="27"/>
      <c r="V36" s="18"/>
    </row>
    <row r="37" spans="1:22" ht="14.25" customHeight="1" x14ac:dyDescent="0.4">
      <c r="A37" s="1">
        <f t="shared" si="5"/>
        <v>37</v>
      </c>
      <c r="I37" s="28"/>
      <c r="M37" s="27"/>
      <c r="V37" s="18"/>
    </row>
    <row r="38" spans="1:22" ht="14.25" customHeight="1" x14ac:dyDescent="0.4">
      <c r="A38" s="1">
        <f t="shared" si="5"/>
        <v>38</v>
      </c>
      <c r="I38" s="28"/>
      <c r="M38" s="27"/>
      <c r="V38" s="18"/>
    </row>
    <row r="39" spans="1:22" ht="14.25" customHeight="1" x14ac:dyDescent="0.4">
      <c r="A39" s="1">
        <f t="shared" si="5"/>
        <v>39</v>
      </c>
      <c r="I39" s="28"/>
      <c r="M39" s="27"/>
      <c r="V39" s="18"/>
    </row>
    <row r="40" spans="1:22" ht="14.25" customHeight="1" x14ac:dyDescent="0.4">
      <c r="A40" s="1">
        <f t="shared" si="5"/>
        <v>40</v>
      </c>
      <c r="I40" s="28"/>
      <c r="M40" s="27"/>
      <c r="V40" s="18"/>
    </row>
    <row r="41" spans="1:22" ht="14.25" customHeight="1" x14ac:dyDescent="0.4">
      <c r="A41" s="1">
        <f t="shared" si="5"/>
        <v>41</v>
      </c>
      <c r="I41" s="28"/>
      <c r="M41" s="27"/>
      <c r="V41" s="18"/>
    </row>
    <row r="42" spans="1:22" ht="14.25" customHeight="1" x14ac:dyDescent="0.4">
      <c r="A42" s="1">
        <f t="shared" si="5"/>
        <v>42</v>
      </c>
      <c r="I42" s="28"/>
      <c r="M42" s="27"/>
      <c r="V42" s="18"/>
    </row>
    <row r="43" spans="1:22" ht="14.25" customHeight="1" x14ac:dyDescent="0.4">
      <c r="A43" s="1">
        <f t="shared" si="5"/>
        <v>43</v>
      </c>
      <c r="I43" s="28"/>
      <c r="M43" s="27"/>
      <c r="V43" s="18"/>
    </row>
    <row r="44" spans="1:22" ht="14.25" customHeight="1" x14ac:dyDescent="0.4">
      <c r="A44" s="1">
        <f t="shared" si="5"/>
        <v>44</v>
      </c>
      <c r="I44" s="28"/>
      <c r="M44" s="27"/>
      <c r="V44" s="18"/>
    </row>
    <row r="45" spans="1:22" ht="14.25" customHeight="1" x14ac:dyDescent="0.4">
      <c r="A45" s="1">
        <f t="shared" si="5"/>
        <v>45</v>
      </c>
      <c r="I45" s="28"/>
      <c r="M45" s="27"/>
      <c r="V45" s="18"/>
    </row>
    <row r="46" spans="1:22" ht="14.25" customHeight="1" x14ac:dyDescent="0.4">
      <c r="A46" s="1">
        <f t="shared" si="5"/>
        <v>46</v>
      </c>
      <c r="I46" s="28"/>
      <c r="M46" s="27"/>
      <c r="V46" s="18"/>
    </row>
    <row r="47" spans="1:22" ht="14.25" customHeight="1" x14ac:dyDescent="0.4">
      <c r="A47" s="1">
        <f t="shared" si="5"/>
        <v>47</v>
      </c>
      <c r="I47" s="28"/>
      <c r="M47" s="27"/>
      <c r="V47" s="18"/>
    </row>
    <row r="48" spans="1:22" ht="14.25" customHeight="1" x14ac:dyDescent="0.4">
      <c r="A48" s="1">
        <f t="shared" si="5"/>
        <v>48</v>
      </c>
      <c r="I48" s="28"/>
      <c r="M48" s="27"/>
      <c r="V48" s="18"/>
    </row>
    <row r="49" spans="1:22" ht="14.25" customHeight="1" x14ac:dyDescent="0.4">
      <c r="A49" s="1">
        <f t="shared" si="5"/>
        <v>49</v>
      </c>
      <c r="I49" s="28"/>
      <c r="M49" s="27"/>
      <c r="V49" s="18"/>
    </row>
    <row r="50" spans="1:22" ht="14.25" customHeight="1" x14ac:dyDescent="0.4">
      <c r="A50" s="1">
        <f t="shared" si="5"/>
        <v>50</v>
      </c>
      <c r="I50" s="28"/>
      <c r="M50" s="27"/>
      <c r="V50" s="18"/>
    </row>
    <row r="51" spans="1:22" ht="14.25" customHeight="1" x14ac:dyDescent="0.4">
      <c r="A51" s="1">
        <f t="shared" si="5"/>
        <v>51</v>
      </c>
      <c r="I51" s="28"/>
      <c r="M51" s="27"/>
      <c r="V51" s="18"/>
    </row>
    <row r="52" spans="1:22" ht="14.25" customHeight="1" x14ac:dyDescent="0.4">
      <c r="A52" s="1">
        <f t="shared" si="5"/>
        <v>52</v>
      </c>
      <c r="I52" s="28"/>
      <c r="M52" s="27"/>
      <c r="V52" s="18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8"/>
    </row>
    <row r="54" spans="1:22" ht="14.25" customHeight="1" x14ac:dyDescent="0.4">
      <c r="A54" s="1">
        <f t="shared" si="5"/>
        <v>54</v>
      </c>
      <c r="V54" s="18"/>
    </row>
    <row r="55" spans="1:22" ht="14.25" customHeight="1" x14ac:dyDescent="0.4">
      <c r="A55" s="1">
        <f t="shared" si="5"/>
        <v>55</v>
      </c>
      <c r="V55" s="18"/>
    </row>
    <row r="56" spans="1:22" ht="14.25" customHeight="1" x14ac:dyDescent="0.4">
      <c r="A56" s="1">
        <f t="shared" si="5"/>
        <v>56</v>
      </c>
      <c r="V56" s="18"/>
    </row>
    <row r="57" spans="1:22" ht="14.25" customHeight="1" x14ac:dyDescent="0.4">
      <c r="A57" s="1">
        <f t="shared" si="5"/>
        <v>57</v>
      </c>
      <c r="V57" s="18"/>
    </row>
    <row r="58" spans="1:22" ht="14.25" customHeight="1" x14ac:dyDescent="0.4">
      <c r="A58" s="1">
        <f t="shared" si="5"/>
        <v>58</v>
      </c>
      <c r="V58" s="18"/>
    </row>
    <row r="59" spans="1:22" ht="14.25" customHeight="1" x14ac:dyDescent="0.4">
      <c r="A59" s="1">
        <f t="shared" si="5"/>
        <v>59</v>
      </c>
      <c r="V59" s="18"/>
    </row>
    <row r="60" spans="1:22" ht="14.25" customHeight="1" x14ac:dyDescent="0.4">
      <c r="A60" s="1">
        <f t="shared" si="5"/>
        <v>60</v>
      </c>
      <c r="V60" s="18"/>
    </row>
    <row r="61" spans="1:22" ht="14.25" customHeight="1" x14ac:dyDescent="0.4">
      <c r="A61" s="1">
        <f t="shared" si="5"/>
        <v>61</v>
      </c>
      <c r="V61" s="18"/>
    </row>
    <row r="62" spans="1:22" ht="14.25" customHeight="1" x14ac:dyDescent="0.4">
      <c r="A62" s="1">
        <f t="shared" si="5"/>
        <v>62</v>
      </c>
      <c r="V62" s="18"/>
    </row>
    <row r="63" spans="1:22" ht="14.25" customHeight="1" x14ac:dyDescent="0.4">
      <c r="A63" s="1">
        <f t="shared" si="5"/>
        <v>63</v>
      </c>
      <c r="V63" s="18"/>
    </row>
    <row r="64" spans="1:22" ht="14.25" customHeight="1" x14ac:dyDescent="0.4">
      <c r="A64" s="1">
        <f t="shared" si="5"/>
        <v>64</v>
      </c>
      <c r="V64" s="18"/>
    </row>
    <row r="65" spans="1:22" ht="14.25" customHeight="1" x14ac:dyDescent="0.4">
      <c r="A65" s="1">
        <f t="shared" si="5"/>
        <v>65</v>
      </c>
      <c r="V65" s="18"/>
    </row>
    <row r="66" spans="1:22" ht="14.25" customHeight="1" x14ac:dyDescent="0.4">
      <c r="A66" s="1">
        <f t="shared" ref="A66:A129" si="6">A65+1</f>
        <v>66</v>
      </c>
      <c r="V66" s="18"/>
    </row>
    <row r="67" spans="1:22" ht="14.25" customHeight="1" x14ac:dyDescent="0.4">
      <c r="A67" s="1">
        <f t="shared" si="6"/>
        <v>67</v>
      </c>
      <c r="V67" s="18"/>
    </row>
    <row r="68" spans="1:22" ht="14.25" customHeight="1" x14ac:dyDescent="0.4">
      <c r="A68" s="1">
        <f t="shared" si="6"/>
        <v>68</v>
      </c>
      <c r="V68" s="18"/>
    </row>
    <row r="69" spans="1:22" ht="14.25" customHeight="1" x14ac:dyDescent="0.4">
      <c r="A69" s="1">
        <f t="shared" si="6"/>
        <v>69</v>
      </c>
      <c r="V69" s="18"/>
    </row>
    <row r="70" spans="1:22" ht="14.25" customHeight="1" x14ac:dyDescent="0.4">
      <c r="A70" s="1">
        <f t="shared" si="6"/>
        <v>70</v>
      </c>
      <c r="V70" s="18"/>
    </row>
    <row r="71" spans="1:22" ht="14.25" customHeight="1" x14ac:dyDescent="0.4">
      <c r="A71" s="1">
        <f t="shared" si="6"/>
        <v>71</v>
      </c>
      <c r="V71" s="18"/>
    </row>
    <row r="72" spans="1:22" ht="14.25" customHeight="1" x14ac:dyDescent="0.4">
      <c r="A72" s="1">
        <f t="shared" si="6"/>
        <v>72</v>
      </c>
      <c r="V72" s="18"/>
    </row>
    <row r="73" spans="1:22" ht="14.25" customHeight="1" x14ac:dyDescent="0.4">
      <c r="A73" s="1">
        <f t="shared" si="6"/>
        <v>73</v>
      </c>
      <c r="V73" s="18"/>
    </row>
    <row r="74" spans="1:22" ht="14.25" customHeight="1" x14ac:dyDescent="0.4">
      <c r="A74" s="1">
        <f t="shared" si="6"/>
        <v>74</v>
      </c>
      <c r="V74" s="18"/>
    </row>
    <row r="75" spans="1:22" ht="14.25" customHeight="1" x14ac:dyDescent="0.4">
      <c r="A75" s="1">
        <f t="shared" si="6"/>
        <v>75</v>
      </c>
      <c r="V75" s="18"/>
    </row>
    <row r="76" spans="1:22" ht="14.25" customHeight="1" x14ac:dyDescent="0.4">
      <c r="A76" s="1">
        <f t="shared" si="6"/>
        <v>76</v>
      </c>
      <c r="V76" s="18"/>
    </row>
    <row r="77" spans="1:22" ht="14.25" customHeight="1" x14ac:dyDescent="0.4">
      <c r="A77" s="1">
        <f t="shared" si="6"/>
        <v>77</v>
      </c>
      <c r="V77" s="18"/>
    </row>
    <row r="78" spans="1:22" ht="14.25" customHeight="1" x14ac:dyDescent="0.4">
      <c r="A78" s="1">
        <f t="shared" si="6"/>
        <v>78</v>
      </c>
      <c r="V78" s="18"/>
    </row>
    <row r="79" spans="1:22" ht="14.25" customHeight="1" x14ac:dyDescent="0.4">
      <c r="A79" s="1">
        <f t="shared" si="6"/>
        <v>79</v>
      </c>
      <c r="V79" s="18"/>
    </row>
    <row r="80" spans="1:22" ht="14.25" customHeight="1" x14ac:dyDescent="0.4">
      <c r="A80" s="1">
        <f t="shared" si="6"/>
        <v>80</v>
      </c>
      <c r="V80" s="18"/>
    </row>
    <row r="81" spans="1:22" ht="14.25" customHeight="1" x14ac:dyDescent="0.4">
      <c r="A81" s="1">
        <f t="shared" si="6"/>
        <v>81</v>
      </c>
      <c r="V81" s="18"/>
    </row>
    <row r="82" spans="1:22" ht="14.25" customHeight="1" x14ac:dyDescent="0.4">
      <c r="A82" s="1">
        <f t="shared" si="6"/>
        <v>82</v>
      </c>
      <c r="V82" s="18"/>
    </row>
    <row r="83" spans="1:22" ht="14.25" customHeight="1" x14ac:dyDescent="0.4">
      <c r="A83" s="1">
        <f t="shared" si="6"/>
        <v>83</v>
      </c>
      <c r="V83" s="18"/>
    </row>
    <row r="84" spans="1:22" ht="14.25" customHeight="1" x14ac:dyDescent="0.4">
      <c r="A84" s="1">
        <f t="shared" si="6"/>
        <v>84</v>
      </c>
      <c r="V84" s="18"/>
    </row>
    <row r="85" spans="1:22" ht="14.25" customHeight="1" x14ac:dyDescent="0.4">
      <c r="A85" s="1">
        <f t="shared" si="6"/>
        <v>85</v>
      </c>
      <c r="V85" s="18"/>
    </row>
    <row r="86" spans="1:22" ht="14.25" customHeight="1" x14ac:dyDescent="0.4">
      <c r="A86" s="1">
        <f t="shared" si="6"/>
        <v>86</v>
      </c>
      <c r="V86" s="18"/>
    </row>
    <row r="87" spans="1:22" ht="14.25" customHeight="1" x14ac:dyDescent="0.4">
      <c r="A87" s="1">
        <f t="shared" si="6"/>
        <v>87</v>
      </c>
      <c r="V87" s="18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2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2023-05-21T13:48:05Z</dcterms:modified>
</cp:coreProperties>
</file>