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ZeroCurveMak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0" i="1" l="1"/>
  <c r="Q10" i="1" l="1"/>
  <c r="K10" i="1"/>
  <c r="L10" i="1"/>
  <c r="M10" i="1"/>
  <c r="F9" i="1" l="1"/>
  <c r="K9" i="1" l="1"/>
  <c r="X10" i="1" l="1"/>
  <c r="I8" i="1"/>
  <c r="J10" i="1" l="1"/>
  <c r="I10" i="1"/>
  <c r="I9" i="1"/>
  <c r="F10" i="1"/>
  <c r="N10" i="1"/>
  <c r="N8" i="1"/>
  <c r="D8" i="1"/>
  <c r="D6" i="1"/>
  <c r="AF1" i="1" l="1"/>
  <c r="AE1" i="1"/>
  <c r="AD1" i="1"/>
  <c r="AC1" i="1"/>
  <c r="AB1" i="1"/>
  <c r="AA1" i="1"/>
  <c r="A44" i="1" l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W1" i="1" l="1"/>
  <c r="X1" i="1" s="1"/>
  <c r="Y1" i="1" s="1"/>
  <c r="Z1" i="1" s="1"/>
  <c r="A28" i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27" i="1"/>
  <c r="T1" i="1" l="1"/>
  <c r="U1" i="1" s="1"/>
  <c r="V1" i="1" s="1"/>
  <c r="S1" i="1"/>
  <c r="R1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P9" i="1" l="1"/>
</calcChain>
</file>

<file path=xl/comments1.xml><?xml version="1.0" encoding="utf-8"?>
<comments xmlns="http://schemas.openxmlformats.org/spreadsheetml/2006/main">
  <authors>
    <author>DAESUN IM</author>
  </authors>
  <commentList>
    <comment ref="G4" authorId="0" shapeId="0">
      <text>
        <r>
          <rPr>
            <b/>
            <sz val="9"/>
            <color indexed="81"/>
            <rFont val="Tahoma"/>
            <family val="2"/>
          </rPr>
          <t>0:Linear interp
1:Linear Interp Extrap
2:Cubic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0: Swap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  <r>
          <rPr>
            <b/>
            <sz val="9"/>
            <color indexed="81"/>
            <rFont val="Tahoma"/>
            <family val="2"/>
          </rPr>
          <t>1: Bond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공식사용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해찾기
</t>
        </r>
      </text>
    </comment>
  </commentList>
</comments>
</file>

<file path=xl/sharedStrings.xml><?xml version="1.0" encoding="utf-8"?>
<sst xmlns="http://schemas.openxmlformats.org/spreadsheetml/2006/main" count="20" uniqueCount="19">
  <si>
    <t>연이자횟수</t>
    <phoneticPr fontId="1" type="noConversion"/>
  </si>
  <si>
    <t>개수</t>
    <phoneticPr fontId="1" type="noConversion"/>
  </si>
  <si>
    <t>개수</t>
    <phoneticPr fontId="1" type="noConversion"/>
  </si>
  <si>
    <t>평가일자</t>
    <phoneticPr fontId="1" type="noConversion"/>
  </si>
  <si>
    <t>만기</t>
    <phoneticPr fontId="1" type="noConversion"/>
  </si>
  <si>
    <t>1Y Convention</t>
    <phoneticPr fontId="1" type="noConversion"/>
  </si>
  <si>
    <t>스왑만기일</t>
    <phoneticPr fontId="1" type="noConversion"/>
  </si>
  <si>
    <t>Term</t>
    <phoneticPr fontId="1" type="noConversion"/>
  </si>
  <si>
    <t>스왑금리</t>
    <phoneticPr fontId="1" type="noConversion"/>
  </si>
  <si>
    <t>ResultZeroCurve</t>
    <phoneticPr fontId="1" type="noConversion"/>
  </si>
  <si>
    <t>ZeroRate</t>
    <phoneticPr fontId="1" type="noConversion"/>
  </si>
  <si>
    <t>Error</t>
    <phoneticPr fontId="1" type="noConversion"/>
  </si>
  <si>
    <t>MarketData</t>
    <phoneticPr fontId="1" type="noConversion"/>
  </si>
  <si>
    <t>DF</t>
    <phoneticPr fontId="1" type="noConversion"/>
  </si>
  <si>
    <t>Interp</t>
    <phoneticPr fontId="1" type="noConversion"/>
  </si>
  <si>
    <t>Swap Discount 계산방법</t>
    <phoneticPr fontId="1" type="noConversion"/>
  </si>
  <si>
    <t>1Y Conv</t>
    <phoneticPr fontId="1" type="noConversion"/>
  </si>
  <si>
    <t>MarketRate</t>
    <phoneticPr fontId="1" type="noConversion"/>
  </si>
  <si>
    <t>연이자횟수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</si>
</sst>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_);[Red]\(0.00\)"/>
    <numFmt numFmtId="177" formatCode="0.0000%"/>
    <numFmt numFmtId="178" formatCode="0.000000"/>
    <numFmt numFmtId="179" formatCode="0.00000%"/>
    <numFmt numFmtId="180" formatCode="0_);[Red]\(0\)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0" fillId="0" borderId="0" applyFon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4" borderId="0" xfId="0" applyFont="1" applyFill="1">
      <alignment vertical="center"/>
    </xf>
    <xf numFmtId="0" fontId="3" fillId="3" borderId="0" xfId="0" applyFont="1" applyFill="1">
      <alignment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4" fontId="3" fillId="3" borderId="0" xfId="0" applyNumberFormat="1" applyFont="1" applyFill="1">
      <alignment vertical="center"/>
    </xf>
    <xf numFmtId="14" fontId="3" fillId="4" borderId="0" xfId="0" applyNumberFormat="1" applyFont="1" applyFill="1">
      <alignment vertical="center"/>
    </xf>
    <xf numFmtId="0" fontId="3" fillId="9" borderId="0" xfId="0" applyFont="1" applyFill="1">
      <alignment vertical="center"/>
    </xf>
    <xf numFmtId="14" fontId="3" fillId="2" borderId="0" xfId="0" applyNumberFormat="1" applyFont="1" applyFill="1">
      <alignment vertical="center"/>
    </xf>
    <xf numFmtId="0" fontId="8" fillId="6" borderId="0" xfId="0" applyFont="1" applyFill="1">
      <alignment vertical="center"/>
    </xf>
    <xf numFmtId="0" fontId="3" fillId="4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176" fontId="8" fillId="10" borderId="1" xfId="0" applyNumberFormat="1" applyFont="1" applyFill="1" applyBorder="1" applyAlignment="1">
      <alignment vertical="center"/>
    </xf>
    <xf numFmtId="0" fontId="0" fillId="11" borderId="0" xfId="0" applyFill="1">
      <alignment vertical="center"/>
    </xf>
    <xf numFmtId="177" fontId="3" fillId="3" borderId="0" xfId="1" applyNumberFormat="1" applyFont="1" applyFill="1">
      <alignment vertical="center"/>
    </xf>
    <xf numFmtId="177" fontId="3" fillId="2" borderId="0" xfId="1" applyNumberFormat="1" applyFont="1" applyFill="1">
      <alignment vertical="center"/>
    </xf>
    <xf numFmtId="178" fontId="3" fillId="2" borderId="0" xfId="0" applyNumberFormat="1" applyFont="1" applyFill="1">
      <alignment vertical="center"/>
    </xf>
    <xf numFmtId="179" fontId="3" fillId="9" borderId="0" xfId="1" applyNumberFormat="1" applyFont="1" applyFill="1">
      <alignment vertical="center"/>
    </xf>
    <xf numFmtId="178" fontId="3" fillId="9" borderId="0" xfId="0" applyNumberFormat="1" applyFont="1" applyFill="1">
      <alignment vertical="center"/>
    </xf>
    <xf numFmtId="177" fontId="3" fillId="9" borderId="0" xfId="1" applyNumberFormat="1" applyFont="1" applyFill="1">
      <alignment vertical="center"/>
    </xf>
    <xf numFmtId="0" fontId="2" fillId="5" borderId="0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14" fontId="3" fillId="3" borderId="5" xfId="0" applyNumberFormat="1" applyFont="1" applyFill="1" applyBorder="1">
      <alignment vertical="center"/>
    </xf>
    <xf numFmtId="14" fontId="3" fillId="3" borderId="0" xfId="0" applyNumberFormat="1" applyFont="1" applyFill="1" applyBorder="1">
      <alignment vertical="center"/>
    </xf>
    <xf numFmtId="0" fontId="3" fillId="3" borderId="0" xfId="0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3" fillId="2" borderId="5" xfId="0" applyNumberFormat="1" applyFont="1" applyFill="1" applyBorder="1">
      <alignment vertical="center"/>
    </xf>
    <xf numFmtId="14" fontId="3" fillId="2" borderId="0" xfId="0" applyNumberFormat="1" applyFont="1" applyFill="1" applyBorder="1">
      <alignment vertical="center"/>
    </xf>
    <xf numFmtId="0" fontId="3" fillId="2" borderId="0" xfId="0" applyFont="1" applyFill="1" applyBorder="1">
      <alignment vertical="center"/>
    </xf>
    <xf numFmtId="0" fontId="3" fillId="3" borderId="6" xfId="0" applyFont="1" applyFill="1" applyBorder="1">
      <alignment vertical="center"/>
    </xf>
    <xf numFmtId="179" fontId="3" fillId="12" borderId="0" xfId="1" applyNumberFormat="1" applyFont="1" applyFill="1" applyBorder="1">
      <alignment vertical="center"/>
    </xf>
    <xf numFmtId="14" fontId="3" fillId="12" borderId="0" xfId="0" applyNumberFormat="1" applyFont="1" applyFill="1" applyBorder="1">
      <alignment vertical="center"/>
    </xf>
    <xf numFmtId="14" fontId="3" fillId="2" borderId="7" xfId="0" applyNumberFormat="1" applyFont="1" applyFill="1" applyBorder="1">
      <alignment vertical="center"/>
    </xf>
    <xf numFmtId="14" fontId="3" fillId="2" borderId="8" xfId="0" applyNumberFormat="1" applyFont="1" applyFill="1" applyBorder="1">
      <alignment vertical="center"/>
    </xf>
    <xf numFmtId="0" fontId="3" fillId="2" borderId="9" xfId="0" applyFont="1" applyFill="1" applyBorder="1">
      <alignment vertical="center"/>
    </xf>
    <xf numFmtId="14" fontId="3" fillId="3" borderId="0" xfId="1" applyNumberFormat="1" applyFont="1" applyFill="1" applyBorder="1">
      <alignment vertical="center"/>
    </xf>
    <xf numFmtId="14" fontId="3" fillId="2" borderId="0" xfId="1" applyNumberFormat="1" applyFont="1" applyFill="1" applyBorder="1">
      <alignment vertical="center"/>
    </xf>
    <xf numFmtId="14" fontId="3" fillId="2" borderId="8" xfId="1" applyNumberFormat="1" applyFont="1" applyFill="1" applyBorder="1">
      <alignment vertical="center"/>
    </xf>
    <xf numFmtId="10" fontId="3" fillId="3" borderId="0" xfId="1" applyNumberFormat="1" applyFont="1" applyFill="1" applyBorder="1">
      <alignment vertical="center"/>
    </xf>
    <xf numFmtId="10" fontId="3" fillId="2" borderId="0" xfId="1" applyNumberFormat="1" applyFont="1" applyFill="1" applyBorder="1">
      <alignment vertical="center"/>
    </xf>
    <xf numFmtId="10" fontId="3" fillId="2" borderId="8" xfId="1" applyNumberFormat="1" applyFont="1" applyFill="1" applyBorder="1">
      <alignment vertical="center"/>
    </xf>
    <xf numFmtId="180" fontId="3" fillId="12" borderId="0" xfId="0" applyNumberFormat="1" applyFont="1" applyFill="1" applyBorder="1">
      <alignment vertical="center"/>
    </xf>
    <xf numFmtId="180" fontId="3" fillId="12" borderId="0" xfId="1" applyNumberFormat="1" applyFont="1" applyFill="1" applyBorder="1">
      <alignment vertical="center"/>
    </xf>
    <xf numFmtId="180" fontId="3" fillId="12" borderId="6" xfId="0" applyNumberFormat="1" applyFont="1" applyFill="1" applyBorder="1">
      <alignment vertical="center"/>
    </xf>
    <xf numFmtId="49" fontId="9" fillId="7" borderId="0" xfId="0" applyNumberFormat="1" applyFont="1" applyFill="1" applyBorder="1" applyAlignment="1">
      <alignment horizontal="center" vertical="center" wrapText="1"/>
    </xf>
    <xf numFmtId="179" fontId="3" fillId="9" borderId="0" xfId="1" applyNumberFormat="1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8" fillId="6" borderId="0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Sheet1!$U$10</c:f>
              <c:strCache>
                <c:ptCount val="1"/>
                <c:pt idx="0">
                  <c:v>ZeroRate</c:v>
                </c:pt>
              </c:strCache>
            </c:strRef>
          </c:tx>
          <c:spPr>
            <a:ln w="635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Sheet1!$T$11:$T$26</c:f>
              <c:numCache>
                <c:formatCode>General</c:formatCode>
                <c:ptCount val="16"/>
                <c:pt idx="0">
                  <c:v>2.7397260273972603E-3</c:v>
                </c:pt>
                <c:pt idx="1">
                  <c:v>9.5890410958904104E-2</c:v>
                </c:pt>
                <c:pt idx="2">
                  <c:v>0.25205479452054796</c:v>
                </c:pt>
                <c:pt idx="3">
                  <c:v>0.50410958904109593</c:v>
                </c:pt>
                <c:pt idx="4">
                  <c:v>0.75342465753424659</c:v>
                </c:pt>
                <c:pt idx="5">
                  <c:v>1</c:v>
                </c:pt>
                <c:pt idx="6">
                  <c:v>1.5041095890410958</c:v>
                </c:pt>
                <c:pt idx="7">
                  <c:v>2.0027397260273974</c:v>
                </c:pt>
                <c:pt idx="8">
                  <c:v>3.0027397260273974</c:v>
                </c:pt>
                <c:pt idx="9">
                  <c:v>4.0027397260273974</c:v>
                </c:pt>
                <c:pt idx="10">
                  <c:v>5.0027397260273974</c:v>
                </c:pt>
                <c:pt idx="11">
                  <c:v>6.0054794520547947</c:v>
                </c:pt>
                <c:pt idx="12">
                  <c:v>7.0054794520547947</c:v>
                </c:pt>
                <c:pt idx="13">
                  <c:v>8.0054794520547947</c:v>
                </c:pt>
                <c:pt idx="14">
                  <c:v>9.0054794520547947</c:v>
                </c:pt>
                <c:pt idx="15">
                  <c:v>10.008219178082191</c:v>
                </c:pt>
              </c:numCache>
            </c:numRef>
          </c:xVal>
          <c:yVal>
            <c:numRef>
              <c:f>Sheet1!$U$11:$U$26</c:f>
              <c:numCache>
                <c:formatCode>0.00000%</c:formatCode>
                <c:ptCount val="16"/>
                <c:pt idx="0">
                  <c:v>3.916442653510576E-2</c:v>
                </c:pt>
                <c:pt idx="1">
                  <c:v>4.3910204453635346E-2</c:v>
                </c:pt>
                <c:pt idx="2">
                  <c:v>5.9422895877575696E-2</c:v>
                </c:pt>
                <c:pt idx="3">
                  <c:v>7.2715401189270987E-2</c:v>
                </c:pt>
                <c:pt idx="4">
                  <c:v>7.8777049144192174E-2</c:v>
                </c:pt>
                <c:pt idx="5">
                  <c:v>8.299411720715931E-2</c:v>
                </c:pt>
                <c:pt idx="6">
                  <c:v>8.4169140109450383E-2</c:v>
                </c:pt>
                <c:pt idx="7">
                  <c:v>8.4541523742675762E-2</c:v>
                </c:pt>
                <c:pt idx="8">
                  <c:v>8.3706664929199232E-2</c:v>
                </c:pt>
                <c:pt idx="9">
                  <c:v>8.2836511230468757E-2</c:v>
                </c:pt>
                <c:pt idx="10">
                  <c:v>8.1901280212402353E-2</c:v>
                </c:pt>
                <c:pt idx="11">
                  <c:v>8.1993623352050793E-2</c:v>
                </c:pt>
                <c:pt idx="12">
                  <c:v>8.2204375122070322E-2</c:v>
                </c:pt>
                <c:pt idx="13">
                  <c:v>8.1275967407226563E-2</c:v>
                </c:pt>
                <c:pt idx="14">
                  <c:v>8.2438745117187517E-2</c:v>
                </c:pt>
                <c:pt idx="15">
                  <c:v>8.2803730444335921E-2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04-455D-A686-BA23C7DF1C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408928"/>
        <c:axId val="521409256"/>
      </c:scatterChart>
      <c:valAx>
        <c:axId val="521408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21409256"/>
        <c:crosses val="autoZero"/>
        <c:crossBetween val="midCat"/>
      </c:valAx>
      <c:valAx>
        <c:axId val="521409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21408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350520</xdr:colOff>
          <xdr:row>3</xdr:row>
          <xdr:rowOff>68580</xdr:rowOff>
        </xdr:from>
        <xdr:to>
          <xdr:col>20</xdr:col>
          <xdr:colOff>388620</xdr:colOff>
          <xdr:row>6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Curve생성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312420</xdr:colOff>
          <xdr:row>3</xdr:row>
          <xdr:rowOff>121920</xdr:rowOff>
        </xdr:from>
        <xdr:to>
          <xdr:col>27</xdr:col>
          <xdr:colOff>457200</xdr:colOff>
          <xdr:row>6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SwapRate검증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508000</xdr:colOff>
      <xdr:row>10</xdr:row>
      <xdr:rowOff>152400</xdr:rowOff>
    </xdr:from>
    <xdr:to>
      <xdr:col>32</xdr:col>
      <xdr:colOff>127000</xdr:colOff>
      <xdr:row>39</xdr:row>
      <xdr:rowOff>149860</xdr:rowOff>
    </xdr:to>
    <xdr:graphicFrame macro="">
      <xdr:nvGraphicFramePr>
        <xdr:cNvPr id="7" name="차트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131"/>
  <sheetViews>
    <sheetView tabSelected="1" topLeftCell="K1" zoomScale="115" zoomScaleNormal="115" workbookViewId="0">
      <selection activeCell="I12" sqref="I12"/>
    </sheetView>
  </sheetViews>
  <sheetFormatPr defaultColWidth="10.5" defaultRowHeight="14.25" customHeight="1" x14ac:dyDescent="0.4"/>
  <cols>
    <col min="1" max="1" width="10.5" style="1"/>
    <col min="2" max="3" width="0" style="1" hidden="1" customWidth="1"/>
    <col min="4" max="4" width="10.5" style="1"/>
    <col min="5" max="5" width="10.5" style="9"/>
    <col min="6" max="6" width="10.5" style="16"/>
    <col min="7" max="8" width="10.5" style="1"/>
    <col min="9" max="10" width="10.5" style="31"/>
    <col min="11" max="11" width="10.5" style="40"/>
    <col min="12" max="12" width="10.5" style="43"/>
    <col min="13" max="13" width="10.5" style="32"/>
    <col min="14" max="15" width="10.5" style="35"/>
    <col min="16" max="16" width="10.5" style="46"/>
    <col min="17" max="17" width="10.5" style="34"/>
    <col min="18" max="18" width="10.5" style="47" customWidth="1"/>
    <col min="19" max="19" width="10.5" style="20"/>
    <col min="20" max="20" width="10.5" style="8"/>
    <col min="21" max="21" width="10.5" style="18"/>
    <col min="22" max="22" width="10.5" style="17"/>
    <col min="23" max="16384" width="10.5" style="1"/>
  </cols>
  <sheetData>
    <row r="1" spans="1:32" ht="14.25" customHeight="1" x14ac:dyDescent="0.4">
      <c r="A1" s="1">
        <v>1</v>
      </c>
      <c r="B1" s="1">
        <f>A1+1</f>
        <v>2</v>
      </c>
      <c r="C1" s="1">
        <f>B1+1</f>
        <v>3</v>
      </c>
      <c r="D1" s="1">
        <f t="shared" ref="D1:V1" si="0">C1+1</f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32">
        <f t="shared" si="0"/>
        <v>9</v>
      </c>
      <c r="J1" s="32">
        <f t="shared" si="0"/>
        <v>10</v>
      </c>
      <c r="K1" s="32">
        <f t="shared" si="0"/>
        <v>11</v>
      </c>
      <c r="L1" s="32">
        <f t="shared" si="0"/>
        <v>12</v>
      </c>
      <c r="M1" s="32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32">
        <f t="shared" si="0"/>
        <v>17</v>
      </c>
      <c r="R1" s="32">
        <f t="shared" si="0"/>
        <v>18</v>
      </c>
      <c r="S1" s="32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ref="W1" si="1">V1+1</f>
        <v>23</v>
      </c>
      <c r="X1" s="1">
        <f t="shared" ref="X1" si="2">W1+1</f>
        <v>24</v>
      </c>
      <c r="Y1" s="1">
        <f t="shared" ref="Y1" si="3">X1+1</f>
        <v>25</v>
      </c>
      <c r="Z1" s="1">
        <f t="shared" ref="Z1:AF1" si="4">Y1+1</f>
        <v>26</v>
      </c>
      <c r="AA1" s="1">
        <f t="shared" si="4"/>
        <v>27</v>
      </c>
      <c r="AB1" s="1">
        <f t="shared" si="4"/>
        <v>28</v>
      </c>
      <c r="AC1" s="1">
        <f t="shared" si="4"/>
        <v>29</v>
      </c>
      <c r="AD1" s="1">
        <f t="shared" si="4"/>
        <v>30</v>
      </c>
      <c r="AE1" s="1">
        <f t="shared" si="4"/>
        <v>31</v>
      </c>
      <c r="AF1" s="1">
        <f t="shared" si="4"/>
        <v>32</v>
      </c>
    </row>
    <row r="2" spans="1:32" ht="14.25" customHeight="1" x14ac:dyDescent="0.4">
      <c r="A2" s="1">
        <f t="shared" ref="A2:A65" si="5">A1+1</f>
        <v>2</v>
      </c>
      <c r="D2" s="1">
        <v>1</v>
      </c>
      <c r="E2" s="1"/>
      <c r="F2" s="1"/>
      <c r="I2" s="32"/>
      <c r="J2" s="32"/>
      <c r="K2" s="32"/>
      <c r="L2" s="32"/>
      <c r="N2" s="1"/>
      <c r="O2" s="1"/>
      <c r="P2" s="1"/>
      <c r="Q2" s="32"/>
      <c r="R2" s="32"/>
      <c r="S2" s="32"/>
      <c r="T2" s="1"/>
      <c r="U2" s="1"/>
      <c r="V2" s="1"/>
    </row>
    <row r="3" spans="1:32" ht="14.25" customHeight="1" x14ac:dyDescent="0.4">
      <c r="A3" s="1">
        <f t="shared" si="5"/>
        <v>3</v>
      </c>
      <c r="E3" s="1"/>
      <c r="F3" s="1"/>
      <c r="I3" s="32"/>
      <c r="J3" s="32"/>
      <c r="K3" s="32"/>
      <c r="L3" s="32"/>
      <c r="N3" s="1"/>
      <c r="O3" s="1"/>
      <c r="P3" s="1"/>
      <c r="Q3" s="32"/>
      <c r="R3" s="32"/>
      <c r="S3" s="32"/>
      <c r="T3" s="1"/>
      <c r="U3" s="1"/>
      <c r="V3" s="1"/>
    </row>
    <row r="4" spans="1:32" ht="14.25" customHeight="1" x14ac:dyDescent="0.4">
      <c r="A4" s="1">
        <f t="shared" si="5"/>
        <v>4</v>
      </c>
      <c r="E4" s="1"/>
      <c r="F4" s="1"/>
      <c r="G4" s="10" t="s">
        <v>14</v>
      </c>
      <c r="H4" s="3">
        <v>0</v>
      </c>
      <c r="I4" s="32"/>
      <c r="J4" s="32"/>
      <c r="K4" s="32"/>
      <c r="L4" s="32"/>
      <c r="N4" s="1"/>
      <c r="O4" s="1"/>
      <c r="P4" s="1"/>
      <c r="Q4" s="32"/>
      <c r="R4" s="32"/>
      <c r="S4" s="32"/>
      <c r="T4" s="1"/>
      <c r="U4" s="1"/>
      <c r="V4" s="1"/>
      <c r="W4" s="13" t="s">
        <v>11</v>
      </c>
      <c r="X4" s="48"/>
      <c r="Y4" s="48"/>
    </row>
    <row r="5" spans="1:32" ht="14.25" customHeight="1" x14ac:dyDescent="0.4">
      <c r="A5" s="1">
        <f t="shared" si="5"/>
        <v>5</v>
      </c>
      <c r="D5" s="10" t="s">
        <v>3</v>
      </c>
      <c r="E5" s="7">
        <v>44630</v>
      </c>
      <c r="F5" s="1"/>
      <c r="G5" s="10" t="s">
        <v>12</v>
      </c>
      <c r="H5" s="3">
        <v>0</v>
      </c>
      <c r="I5" s="55" t="s">
        <v>15</v>
      </c>
      <c r="J5" s="55"/>
      <c r="K5" s="28">
        <v>1</v>
      </c>
      <c r="L5" s="32"/>
      <c r="N5" s="1"/>
      <c r="O5" s="1"/>
      <c r="P5" s="1"/>
      <c r="Q5" s="32"/>
      <c r="R5" s="32"/>
      <c r="S5" s="32"/>
      <c r="T5" s="1"/>
      <c r="U5" s="1"/>
      <c r="V5" s="1"/>
      <c r="W5" s="14"/>
      <c r="X5" s="48"/>
      <c r="Y5" s="48"/>
    </row>
    <row r="6" spans="1:32" ht="14.25" customHeight="1" x14ac:dyDescent="0.4">
      <c r="A6" s="1">
        <f t="shared" si="5"/>
        <v>6</v>
      </c>
      <c r="D6" s="51" t="str">
        <f>IF(H5=0, "MMF, IRForward, Swap Market", "Bond Market")</f>
        <v>MMF, IRForward, Swap Market</v>
      </c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32"/>
      <c r="S6" s="32"/>
      <c r="T6" s="1"/>
      <c r="U6" s="1"/>
      <c r="V6" s="1"/>
      <c r="W6" s="14"/>
      <c r="X6" s="48"/>
      <c r="Y6" s="48"/>
    </row>
    <row r="7" spans="1:32" ht="14.25" customHeight="1" thickBot="1" x14ac:dyDescent="0.45">
      <c r="A7" s="1">
        <f t="shared" si="5"/>
        <v>7</v>
      </c>
      <c r="E7" s="1"/>
      <c r="F7" s="1"/>
      <c r="I7" s="32"/>
      <c r="J7" s="32"/>
      <c r="K7" s="32"/>
      <c r="L7" s="32"/>
      <c r="N7" s="32"/>
      <c r="O7" s="32"/>
      <c r="P7" s="32"/>
      <c r="Q7" s="32"/>
      <c r="R7" s="32"/>
      <c r="S7" s="32"/>
      <c r="T7" s="1"/>
      <c r="U7" s="1"/>
      <c r="V7" s="1"/>
    </row>
    <row r="8" spans="1:32" ht="14.25" customHeight="1" x14ac:dyDescent="0.4">
      <c r="A8" s="1">
        <f t="shared" si="5"/>
        <v>8</v>
      </c>
      <c r="D8" s="51" t="str">
        <f>IF(H5=0, "콜금리/CD", "CP/Short Term Bond")</f>
        <v>콜금리/CD</v>
      </c>
      <c r="E8" s="51"/>
      <c r="F8" s="51"/>
      <c r="G8" s="51"/>
      <c r="I8" s="58" t="str">
        <f>IF(H5=0, "IR Futures", "MarketData 1일 때 입력안함")</f>
        <v>IR Futures</v>
      </c>
      <c r="J8" s="59"/>
      <c r="K8" s="59"/>
      <c r="L8" s="59"/>
      <c r="M8" s="60"/>
      <c r="N8" s="58" t="str">
        <f>IF(H5=0, "IR Swap","Coupon Bond")</f>
        <v>IR Swap</v>
      </c>
      <c r="O8" s="59"/>
      <c r="P8" s="59"/>
      <c r="Q8" s="59"/>
      <c r="R8" s="60"/>
      <c r="S8" s="56" t="s">
        <v>9</v>
      </c>
      <c r="T8" s="57"/>
      <c r="U8" s="57"/>
      <c r="V8" s="57"/>
    </row>
    <row r="9" spans="1:32" ht="14.25" customHeight="1" x14ac:dyDescent="0.4">
      <c r="A9" s="1">
        <f t="shared" si="5"/>
        <v>9</v>
      </c>
      <c r="D9" s="52" t="s">
        <v>1</v>
      </c>
      <c r="E9" s="52"/>
      <c r="F9" s="4">
        <f>COUNT(E11:E100)</f>
        <v>7</v>
      </c>
      <c r="G9" s="5"/>
      <c r="I9" s="53" t="str">
        <f>IF(H5=0, "개수", "")</f>
        <v>개수</v>
      </c>
      <c r="J9" s="54"/>
      <c r="K9" s="21">
        <f>COUNT(I11:I100)</f>
        <v>0</v>
      </c>
      <c r="L9" s="21"/>
      <c r="M9" s="22"/>
      <c r="N9" s="54" t="s">
        <v>2</v>
      </c>
      <c r="O9" s="54"/>
      <c r="P9" s="21">
        <f>COUNT(N11:N1048576)</f>
        <v>9</v>
      </c>
      <c r="Q9" s="21"/>
      <c r="R9" s="22"/>
      <c r="S9" s="56"/>
      <c r="T9" s="57"/>
      <c r="U9" s="57"/>
      <c r="V9" s="57"/>
      <c r="X9" s="2" t="s">
        <v>6</v>
      </c>
      <c r="Y9" s="2" t="s">
        <v>0</v>
      </c>
      <c r="Z9" s="2" t="s">
        <v>5</v>
      </c>
      <c r="AA9" s="50" t="s">
        <v>8</v>
      </c>
      <c r="AB9" s="50"/>
    </row>
    <row r="10" spans="1:32" ht="14.25" customHeight="1" x14ac:dyDescent="0.4">
      <c r="A10" s="1">
        <f t="shared" si="5"/>
        <v>10</v>
      </c>
      <c r="E10" s="11" t="s">
        <v>4</v>
      </c>
      <c r="F10" s="11" t="str">
        <f>IF(H5=0, "Rate", "YTM")</f>
        <v>Rate</v>
      </c>
      <c r="G10" s="11" t="s">
        <v>5</v>
      </c>
      <c r="I10" s="23" t="str">
        <f>IF(H5=0, "Forward Start", "")</f>
        <v>Forward Start</v>
      </c>
      <c r="J10" s="24" t="str">
        <f>IF(H5=0, "Forward End", "")</f>
        <v>Forward End</v>
      </c>
      <c r="K10" s="24" t="str">
        <f>IF(H5=0, "PayDate", "")</f>
        <v>PayDate</v>
      </c>
      <c r="L10" s="24" t="str">
        <f>IF(H5=0, "Rate", "")</f>
        <v>Rate</v>
      </c>
      <c r="M10" s="25" t="str">
        <f>IF(H5=0, "1Y Convention", "")</f>
        <v>1Y Convention</v>
      </c>
      <c r="N10" s="24" t="str">
        <f>IF(H5=0,"스왑만기","채권만기")</f>
        <v>스왑만기</v>
      </c>
      <c r="O10" s="24" t="str">
        <f>IF(H5=0,"스왑지급일","채권지급일")</f>
        <v>스왑지급일</v>
      </c>
      <c r="P10" s="24" t="s">
        <v>18</v>
      </c>
      <c r="Q10" s="24" t="str">
        <f>IF(H5=0,"스왑금리","YTM")</f>
        <v>스왑금리</v>
      </c>
      <c r="R10" s="25" t="s">
        <v>16</v>
      </c>
      <c r="S10" s="12" t="s">
        <v>17</v>
      </c>
      <c r="T10" s="12" t="s">
        <v>7</v>
      </c>
      <c r="U10" s="12" t="s">
        <v>10</v>
      </c>
      <c r="V10" s="12" t="s">
        <v>13</v>
      </c>
      <c r="X10" s="6">
        <f>N12</f>
        <v>45726</v>
      </c>
      <c r="Y10" s="3">
        <v>4</v>
      </c>
      <c r="Z10" s="3">
        <v>360</v>
      </c>
      <c r="AA10" s="49">
        <v>8.2155394667057652E-2</v>
      </c>
      <c r="AB10" s="49"/>
    </row>
    <row r="11" spans="1:32" ht="14.25" customHeight="1" x14ac:dyDescent="0.4">
      <c r="A11" s="1">
        <f t="shared" si="5"/>
        <v>11</v>
      </c>
      <c r="E11" s="6">
        <v>44631</v>
      </c>
      <c r="F11" s="15">
        <v>3.8629999999999998E-2</v>
      </c>
      <c r="G11" s="3">
        <v>360</v>
      </c>
      <c r="I11" s="26"/>
      <c r="J11" s="27"/>
      <c r="K11" s="39"/>
      <c r="L11" s="42"/>
      <c r="M11" s="33"/>
      <c r="N11" s="35">
        <v>45361</v>
      </c>
      <c r="O11" s="35">
        <v>45361</v>
      </c>
      <c r="P11" s="45">
        <v>4</v>
      </c>
      <c r="Q11" s="34">
        <v>8.405E-2</v>
      </c>
      <c r="R11" s="47">
        <v>360</v>
      </c>
      <c r="S11" s="20">
        <v>3.8629999999999998E-2</v>
      </c>
      <c r="T11" s="8">
        <v>2.7397260273972603E-3</v>
      </c>
      <c r="U11" s="18">
        <v>3.916442653510576E-2</v>
      </c>
      <c r="V11" s="19">
        <v>0.9998927059576912</v>
      </c>
    </row>
    <row r="12" spans="1:32" ht="14.25" customHeight="1" x14ac:dyDescent="0.4">
      <c r="A12" s="1">
        <f t="shared" si="5"/>
        <v>12</v>
      </c>
      <c r="E12" s="6">
        <v>44665</v>
      </c>
      <c r="F12" s="15">
        <v>4.3400000000000001E-2</v>
      </c>
      <c r="G12" s="3">
        <v>360</v>
      </c>
      <c r="I12" s="26"/>
      <c r="J12" s="27"/>
      <c r="K12" s="39"/>
      <c r="L12" s="42"/>
      <c r="M12" s="33"/>
      <c r="N12" s="35">
        <v>45726</v>
      </c>
      <c r="O12" s="35">
        <v>45726</v>
      </c>
      <c r="P12" s="45">
        <v>4</v>
      </c>
      <c r="Q12" s="34">
        <v>8.3349800000000002E-2</v>
      </c>
      <c r="R12" s="47">
        <v>360</v>
      </c>
      <c r="S12" s="20">
        <v>4.3400000000000001E-2</v>
      </c>
      <c r="T12" s="8">
        <v>9.5890410958904104E-2</v>
      </c>
      <c r="U12" s="18">
        <v>4.3910204453635346E-2</v>
      </c>
      <c r="V12" s="19">
        <v>0.99579828446084429</v>
      </c>
    </row>
    <row r="13" spans="1:32" ht="14.25" customHeight="1" x14ac:dyDescent="0.4">
      <c r="A13" s="1">
        <f t="shared" si="5"/>
        <v>13</v>
      </c>
      <c r="E13" s="6">
        <v>44722</v>
      </c>
      <c r="F13" s="15">
        <v>5.9049999999999998E-2</v>
      </c>
      <c r="G13" s="3">
        <v>360</v>
      </c>
      <c r="I13" s="26"/>
      <c r="J13" s="27"/>
      <c r="K13" s="39"/>
      <c r="L13" s="42"/>
      <c r="M13" s="33"/>
      <c r="N13" s="35">
        <v>46091</v>
      </c>
      <c r="O13" s="35">
        <v>46091</v>
      </c>
      <c r="P13" s="45">
        <v>4</v>
      </c>
      <c r="Q13" s="34">
        <v>8.2600000000000007E-2</v>
      </c>
      <c r="R13" s="47">
        <v>360</v>
      </c>
      <c r="S13" s="20">
        <v>5.9049999999999998E-2</v>
      </c>
      <c r="T13" s="8">
        <v>0.25205479452054796</v>
      </c>
      <c r="U13" s="18">
        <v>5.9422895877575696E-2</v>
      </c>
      <c r="V13" s="19">
        <v>0.98513378390433692</v>
      </c>
    </row>
    <row r="14" spans="1:32" ht="14.25" customHeight="1" x14ac:dyDescent="0.4">
      <c r="A14" s="1">
        <f t="shared" si="5"/>
        <v>14</v>
      </c>
      <c r="E14" s="6">
        <v>44814</v>
      </c>
      <c r="F14" s="15">
        <v>7.3050000000000004E-2</v>
      </c>
      <c r="G14" s="3">
        <v>360</v>
      </c>
      <c r="I14" s="26"/>
      <c r="J14" s="27"/>
      <c r="K14" s="39"/>
      <c r="L14" s="42"/>
      <c r="M14" s="33"/>
      <c r="N14" s="35">
        <v>46456</v>
      </c>
      <c r="O14" s="35">
        <v>46456</v>
      </c>
      <c r="P14" s="45">
        <v>4</v>
      </c>
      <c r="Q14" s="34">
        <v>8.1799999999999998E-2</v>
      </c>
      <c r="R14" s="47">
        <v>360</v>
      </c>
      <c r="S14" s="20">
        <v>7.3050000000000004E-2</v>
      </c>
      <c r="T14" s="8">
        <v>0.50410958904109593</v>
      </c>
      <c r="U14" s="18">
        <v>7.2715401189270987E-2</v>
      </c>
      <c r="V14" s="19">
        <v>0.9640071850668861</v>
      </c>
    </row>
    <row r="15" spans="1:32" ht="14.25" customHeight="1" x14ac:dyDescent="0.4">
      <c r="A15" s="1">
        <f t="shared" si="5"/>
        <v>15</v>
      </c>
      <c r="E15" s="6">
        <v>44905</v>
      </c>
      <c r="F15" s="15">
        <v>8.0049999999999996E-2</v>
      </c>
      <c r="G15" s="3">
        <v>360</v>
      </c>
      <c r="I15" s="26"/>
      <c r="J15" s="27"/>
      <c r="K15" s="39"/>
      <c r="L15" s="42"/>
      <c r="M15" s="33"/>
      <c r="N15" s="35">
        <v>46822</v>
      </c>
      <c r="O15" s="35">
        <v>46822</v>
      </c>
      <c r="P15" s="45">
        <v>4</v>
      </c>
      <c r="Q15" s="34">
        <v>8.1850000000000006E-2</v>
      </c>
      <c r="R15" s="47">
        <v>360</v>
      </c>
      <c r="S15" s="20">
        <v>8.0049999999999996E-2</v>
      </c>
      <c r="T15" s="8">
        <v>0.75342465753424659</v>
      </c>
      <c r="U15" s="18">
        <v>7.8777049144192174E-2</v>
      </c>
      <c r="V15" s="19">
        <v>0.94237445641681739</v>
      </c>
    </row>
    <row r="16" spans="1:32" ht="14.25" customHeight="1" x14ac:dyDescent="0.4">
      <c r="A16" s="1">
        <f t="shared" si="5"/>
        <v>16</v>
      </c>
      <c r="E16" s="6">
        <v>44995</v>
      </c>
      <c r="F16" s="15">
        <v>8.5349999999999995E-2</v>
      </c>
      <c r="G16" s="3">
        <v>360</v>
      </c>
      <c r="I16" s="26"/>
      <c r="J16" s="27"/>
      <c r="K16" s="39"/>
      <c r="L16" s="42"/>
      <c r="M16" s="33"/>
      <c r="N16" s="35">
        <v>47187</v>
      </c>
      <c r="O16" s="35">
        <v>47187</v>
      </c>
      <c r="P16" s="45">
        <v>4</v>
      </c>
      <c r="Q16" s="34">
        <v>8.1998000000000001E-2</v>
      </c>
      <c r="R16" s="47">
        <v>360</v>
      </c>
      <c r="S16" s="20">
        <v>8.5349999999999995E-2</v>
      </c>
      <c r="T16" s="8">
        <v>1</v>
      </c>
      <c r="U16" s="18">
        <v>8.299411720715931E-2</v>
      </c>
      <c r="V16" s="19">
        <v>0.92035656147118994</v>
      </c>
    </row>
    <row r="17" spans="1:22" ht="14.25" customHeight="1" x14ac:dyDescent="0.4">
      <c r="A17" s="1">
        <f t="shared" si="5"/>
        <v>17</v>
      </c>
      <c r="E17" s="6">
        <v>45179</v>
      </c>
      <c r="F17" s="15">
        <v>8.8499999999999995E-2</v>
      </c>
      <c r="G17" s="3">
        <v>360</v>
      </c>
      <c r="I17" s="26"/>
      <c r="J17" s="27"/>
      <c r="K17" s="39"/>
      <c r="L17" s="42"/>
      <c r="M17" s="33"/>
      <c r="N17" s="35">
        <v>47552</v>
      </c>
      <c r="O17" s="35">
        <v>47552</v>
      </c>
      <c r="P17" s="45">
        <v>4</v>
      </c>
      <c r="Q17" s="34">
        <v>8.1299999999999997E-2</v>
      </c>
      <c r="R17" s="47">
        <v>360</v>
      </c>
      <c r="S17" s="20">
        <v>8.8499999999999995E-2</v>
      </c>
      <c r="T17" s="8">
        <v>1.5041095890410958</v>
      </c>
      <c r="U17" s="18">
        <v>8.4169140109450383E-2</v>
      </c>
      <c r="V17" s="19">
        <v>0.88108637950593072</v>
      </c>
    </row>
    <row r="18" spans="1:22" ht="14.25" customHeight="1" x14ac:dyDescent="0.4">
      <c r="A18" s="1">
        <f t="shared" si="5"/>
        <v>18</v>
      </c>
      <c r="I18" s="30"/>
      <c r="M18" s="29"/>
      <c r="N18" s="35">
        <v>47917</v>
      </c>
      <c r="O18" s="35">
        <v>47917</v>
      </c>
      <c r="P18" s="45">
        <v>4</v>
      </c>
      <c r="Q18" s="34">
        <v>8.2100000000000006E-2</v>
      </c>
      <c r="R18" s="47">
        <v>360</v>
      </c>
      <c r="S18" s="20">
        <v>8.405E-2</v>
      </c>
      <c r="T18" s="8">
        <v>2.0027397260273974</v>
      </c>
      <c r="U18" s="18">
        <v>8.4541523742675762E-2</v>
      </c>
      <c r="V18" s="19">
        <v>0.8442432051809371</v>
      </c>
    </row>
    <row r="19" spans="1:22" ht="14.25" customHeight="1" x14ac:dyDescent="0.4">
      <c r="A19" s="1">
        <f t="shared" si="5"/>
        <v>19</v>
      </c>
      <c r="I19" s="30"/>
      <c r="M19" s="29"/>
      <c r="N19" s="35">
        <v>48283</v>
      </c>
      <c r="O19" s="35">
        <v>48283</v>
      </c>
      <c r="P19" s="45">
        <v>4</v>
      </c>
      <c r="Q19" s="34">
        <v>8.2349400000000003E-2</v>
      </c>
      <c r="R19" s="47">
        <v>360</v>
      </c>
      <c r="S19" s="20">
        <v>8.3349800000000002E-2</v>
      </c>
      <c r="T19" s="8">
        <v>3.0027397260273974</v>
      </c>
      <c r="U19" s="18">
        <v>8.3706664929199232E-2</v>
      </c>
      <c r="V19" s="19">
        <v>0.77775063393512134</v>
      </c>
    </row>
    <row r="20" spans="1:22" ht="14.25" customHeight="1" x14ac:dyDescent="0.4">
      <c r="A20" s="1">
        <f t="shared" si="5"/>
        <v>20</v>
      </c>
      <c r="I20" s="30"/>
      <c r="M20" s="29"/>
      <c r="S20" s="20">
        <v>8.2600000000000007E-2</v>
      </c>
      <c r="T20" s="8">
        <v>4.0027397260273974</v>
      </c>
      <c r="U20" s="18">
        <v>8.2836511230468757E-2</v>
      </c>
      <c r="V20" s="19">
        <v>0.71779375947458668</v>
      </c>
    </row>
    <row r="21" spans="1:22" ht="14.25" customHeight="1" x14ac:dyDescent="0.4">
      <c r="A21" s="1">
        <f t="shared" si="5"/>
        <v>21</v>
      </c>
      <c r="I21" s="30"/>
      <c r="M21" s="29"/>
      <c r="S21" s="20">
        <v>8.1799999999999998E-2</v>
      </c>
      <c r="T21" s="8">
        <v>5.0027397260273974</v>
      </c>
      <c r="U21" s="18">
        <v>8.1901280212402353E-2</v>
      </c>
      <c r="V21" s="19">
        <v>0.66382893671165755</v>
      </c>
    </row>
    <row r="22" spans="1:22" ht="14.25" customHeight="1" x14ac:dyDescent="0.4">
      <c r="A22" s="1">
        <f t="shared" si="5"/>
        <v>22</v>
      </c>
      <c r="I22" s="30"/>
      <c r="M22" s="29"/>
      <c r="S22" s="20">
        <v>8.1850000000000006E-2</v>
      </c>
      <c r="T22" s="8">
        <v>6.0054794520547947</v>
      </c>
      <c r="U22" s="18">
        <v>8.1993623352050793E-2</v>
      </c>
      <c r="V22" s="19">
        <v>0.61115111872246874</v>
      </c>
    </row>
    <row r="23" spans="1:22" ht="14.25" customHeight="1" x14ac:dyDescent="0.4">
      <c r="A23" s="1">
        <f t="shared" si="5"/>
        <v>23</v>
      </c>
      <c r="I23" s="30"/>
      <c r="M23" s="29"/>
      <c r="S23" s="20">
        <v>8.1998000000000001E-2</v>
      </c>
      <c r="T23" s="8">
        <v>7.0054794520547947</v>
      </c>
      <c r="U23" s="18">
        <v>8.2204375122070322E-2</v>
      </c>
      <c r="V23" s="19">
        <v>0.56220930995337659</v>
      </c>
    </row>
    <row r="24" spans="1:22" ht="14.25" customHeight="1" x14ac:dyDescent="0.4">
      <c r="A24" s="1">
        <f t="shared" si="5"/>
        <v>24</v>
      </c>
      <c r="I24" s="30"/>
      <c r="M24" s="29"/>
      <c r="S24" s="20">
        <v>8.1299999999999997E-2</v>
      </c>
      <c r="T24" s="8">
        <v>8.0054794520547947</v>
      </c>
      <c r="U24" s="18">
        <v>8.1275967407226563E-2</v>
      </c>
      <c r="V24" s="19">
        <v>0.52170494674600076</v>
      </c>
    </row>
    <row r="25" spans="1:22" ht="14.25" customHeight="1" x14ac:dyDescent="0.4">
      <c r="A25" s="1">
        <f t="shared" si="5"/>
        <v>25</v>
      </c>
      <c r="I25" s="30"/>
      <c r="M25" s="29"/>
      <c r="S25" s="20">
        <v>8.2100000000000006E-2</v>
      </c>
      <c r="T25" s="8">
        <v>9.0054794520547947</v>
      </c>
      <c r="U25" s="18">
        <v>8.2438745117187517E-2</v>
      </c>
      <c r="V25" s="19">
        <v>0.47597001272789413</v>
      </c>
    </row>
    <row r="26" spans="1:22" ht="14.25" customHeight="1" x14ac:dyDescent="0.4">
      <c r="A26" s="1">
        <f t="shared" si="5"/>
        <v>26</v>
      </c>
      <c r="I26" s="30"/>
      <c r="M26" s="29"/>
      <c r="S26" s="20">
        <v>8.2349400000000003E-2</v>
      </c>
      <c r="T26" s="8">
        <v>10.008219178082191</v>
      </c>
      <c r="U26" s="18">
        <v>8.2803730444335921E-2</v>
      </c>
      <c r="V26" s="19">
        <v>0.43660871105000287</v>
      </c>
    </row>
    <row r="27" spans="1:22" ht="14.25" customHeight="1" x14ac:dyDescent="0.4">
      <c r="A27" s="1">
        <f t="shared" si="5"/>
        <v>27</v>
      </c>
      <c r="I27" s="30"/>
      <c r="M27" s="29"/>
      <c r="V27" s="19"/>
    </row>
    <row r="28" spans="1:22" ht="14.25" customHeight="1" x14ac:dyDescent="0.4">
      <c r="A28" s="1">
        <f t="shared" si="5"/>
        <v>28</v>
      </c>
      <c r="I28" s="30"/>
      <c r="M28" s="29"/>
      <c r="V28" s="19"/>
    </row>
    <row r="29" spans="1:22" ht="14.25" customHeight="1" x14ac:dyDescent="0.4">
      <c r="A29" s="1">
        <f t="shared" si="5"/>
        <v>29</v>
      </c>
      <c r="I29" s="30"/>
      <c r="M29" s="29"/>
      <c r="V29" s="19"/>
    </row>
    <row r="30" spans="1:22" ht="14.25" customHeight="1" x14ac:dyDescent="0.4">
      <c r="A30" s="1">
        <f t="shared" si="5"/>
        <v>30</v>
      </c>
      <c r="I30" s="30"/>
      <c r="M30" s="29"/>
      <c r="V30" s="19"/>
    </row>
    <row r="31" spans="1:22" ht="14.25" customHeight="1" x14ac:dyDescent="0.4">
      <c r="A31" s="1">
        <f t="shared" si="5"/>
        <v>31</v>
      </c>
      <c r="I31" s="30"/>
      <c r="M31" s="29"/>
      <c r="V31" s="19"/>
    </row>
    <row r="32" spans="1:22" ht="14.25" customHeight="1" x14ac:dyDescent="0.4">
      <c r="A32" s="1">
        <f t="shared" si="5"/>
        <v>32</v>
      </c>
      <c r="I32" s="30"/>
      <c r="M32" s="29"/>
      <c r="V32" s="19"/>
    </row>
    <row r="33" spans="1:22" ht="14.25" customHeight="1" x14ac:dyDescent="0.4">
      <c r="A33" s="1">
        <f t="shared" si="5"/>
        <v>33</v>
      </c>
      <c r="I33" s="30"/>
      <c r="M33" s="29"/>
      <c r="V33" s="19"/>
    </row>
    <row r="34" spans="1:22" ht="14.25" customHeight="1" x14ac:dyDescent="0.4">
      <c r="A34" s="1">
        <f t="shared" si="5"/>
        <v>34</v>
      </c>
      <c r="I34" s="30"/>
      <c r="M34" s="29"/>
      <c r="V34" s="19"/>
    </row>
    <row r="35" spans="1:22" ht="14.25" customHeight="1" x14ac:dyDescent="0.4">
      <c r="A35" s="1">
        <f t="shared" si="5"/>
        <v>35</v>
      </c>
      <c r="I35" s="30"/>
      <c r="M35" s="29"/>
      <c r="V35" s="19"/>
    </row>
    <row r="36" spans="1:22" ht="14.25" customHeight="1" x14ac:dyDescent="0.4">
      <c r="A36" s="1">
        <f t="shared" si="5"/>
        <v>36</v>
      </c>
      <c r="I36" s="30"/>
      <c r="M36" s="29"/>
      <c r="V36" s="19"/>
    </row>
    <row r="37" spans="1:22" ht="14.25" customHeight="1" x14ac:dyDescent="0.4">
      <c r="A37" s="1">
        <f t="shared" si="5"/>
        <v>37</v>
      </c>
      <c r="I37" s="30"/>
      <c r="M37" s="29"/>
      <c r="V37" s="19"/>
    </row>
    <row r="38" spans="1:22" ht="14.25" customHeight="1" x14ac:dyDescent="0.4">
      <c r="A38" s="1">
        <f t="shared" si="5"/>
        <v>38</v>
      </c>
      <c r="I38" s="30"/>
      <c r="M38" s="29"/>
      <c r="V38" s="19"/>
    </row>
    <row r="39" spans="1:22" ht="14.25" customHeight="1" x14ac:dyDescent="0.4">
      <c r="A39" s="1">
        <f t="shared" si="5"/>
        <v>39</v>
      </c>
      <c r="I39" s="30"/>
      <c r="M39" s="29"/>
      <c r="V39" s="19"/>
    </row>
    <row r="40" spans="1:22" ht="14.25" customHeight="1" x14ac:dyDescent="0.4">
      <c r="A40" s="1">
        <f t="shared" si="5"/>
        <v>40</v>
      </c>
      <c r="I40" s="30"/>
      <c r="M40" s="29"/>
      <c r="V40" s="19"/>
    </row>
    <row r="41" spans="1:22" ht="14.25" customHeight="1" x14ac:dyDescent="0.4">
      <c r="A41" s="1">
        <f t="shared" si="5"/>
        <v>41</v>
      </c>
      <c r="I41" s="30"/>
      <c r="M41" s="29"/>
      <c r="V41" s="19"/>
    </row>
    <row r="42" spans="1:22" ht="14.25" customHeight="1" x14ac:dyDescent="0.4">
      <c r="A42" s="1">
        <f t="shared" si="5"/>
        <v>42</v>
      </c>
      <c r="I42" s="30"/>
      <c r="M42" s="29"/>
      <c r="V42" s="19"/>
    </row>
    <row r="43" spans="1:22" ht="14.25" customHeight="1" x14ac:dyDescent="0.4">
      <c r="A43" s="1">
        <f t="shared" si="5"/>
        <v>43</v>
      </c>
      <c r="I43" s="30"/>
      <c r="M43" s="29"/>
      <c r="V43" s="19"/>
    </row>
    <row r="44" spans="1:22" ht="14.25" customHeight="1" x14ac:dyDescent="0.4">
      <c r="A44" s="1">
        <f t="shared" si="5"/>
        <v>44</v>
      </c>
      <c r="I44" s="30"/>
      <c r="M44" s="29"/>
      <c r="V44" s="19"/>
    </row>
    <row r="45" spans="1:22" ht="14.25" customHeight="1" x14ac:dyDescent="0.4">
      <c r="A45" s="1">
        <f t="shared" si="5"/>
        <v>45</v>
      </c>
      <c r="I45" s="30"/>
      <c r="M45" s="29"/>
      <c r="V45" s="19"/>
    </row>
    <row r="46" spans="1:22" ht="14.25" customHeight="1" x14ac:dyDescent="0.4">
      <c r="A46" s="1">
        <f t="shared" si="5"/>
        <v>46</v>
      </c>
      <c r="I46" s="30"/>
      <c r="M46" s="29"/>
      <c r="V46" s="19"/>
    </row>
    <row r="47" spans="1:22" ht="14.25" customHeight="1" x14ac:dyDescent="0.4">
      <c r="A47" s="1">
        <f t="shared" si="5"/>
        <v>47</v>
      </c>
      <c r="I47" s="30"/>
      <c r="M47" s="29"/>
      <c r="V47" s="19"/>
    </row>
    <row r="48" spans="1:22" ht="14.25" customHeight="1" x14ac:dyDescent="0.4">
      <c r="A48" s="1">
        <f t="shared" si="5"/>
        <v>48</v>
      </c>
      <c r="I48" s="30"/>
      <c r="M48" s="29"/>
      <c r="V48" s="19"/>
    </row>
    <row r="49" spans="1:22" ht="14.25" customHeight="1" x14ac:dyDescent="0.4">
      <c r="A49" s="1">
        <f t="shared" si="5"/>
        <v>49</v>
      </c>
      <c r="I49" s="30"/>
      <c r="M49" s="29"/>
      <c r="V49" s="19"/>
    </row>
    <row r="50" spans="1:22" ht="14.25" customHeight="1" x14ac:dyDescent="0.4">
      <c r="A50" s="1">
        <f t="shared" si="5"/>
        <v>50</v>
      </c>
      <c r="I50" s="30"/>
      <c r="M50" s="29"/>
      <c r="V50" s="19"/>
    </row>
    <row r="51" spans="1:22" ht="14.25" customHeight="1" x14ac:dyDescent="0.4">
      <c r="A51" s="1">
        <f t="shared" si="5"/>
        <v>51</v>
      </c>
      <c r="I51" s="30"/>
      <c r="M51" s="29"/>
      <c r="V51" s="19"/>
    </row>
    <row r="52" spans="1:22" ht="14.25" customHeight="1" x14ac:dyDescent="0.4">
      <c r="A52" s="1">
        <f t="shared" si="5"/>
        <v>52</v>
      </c>
      <c r="I52" s="30"/>
      <c r="M52" s="29"/>
      <c r="V52" s="19"/>
    </row>
    <row r="53" spans="1:22" ht="14.25" customHeight="1" thickBot="1" x14ac:dyDescent="0.45">
      <c r="A53" s="1">
        <f t="shared" si="5"/>
        <v>53</v>
      </c>
      <c r="I53" s="36"/>
      <c r="J53" s="37"/>
      <c r="K53" s="41"/>
      <c r="L53" s="44"/>
      <c r="M53" s="38"/>
      <c r="V53" s="19"/>
    </row>
    <row r="54" spans="1:22" ht="14.25" customHeight="1" x14ac:dyDescent="0.4">
      <c r="A54" s="1">
        <f t="shared" si="5"/>
        <v>54</v>
      </c>
      <c r="V54" s="19"/>
    </row>
    <row r="55" spans="1:22" ht="14.25" customHeight="1" x14ac:dyDescent="0.4">
      <c r="A55" s="1">
        <f t="shared" si="5"/>
        <v>55</v>
      </c>
      <c r="V55" s="19"/>
    </row>
    <row r="56" spans="1:22" ht="14.25" customHeight="1" x14ac:dyDescent="0.4">
      <c r="A56" s="1">
        <f t="shared" si="5"/>
        <v>56</v>
      </c>
      <c r="V56" s="19"/>
    </row>
    <row r="57" spans="1:22" ht="14.25" customHeight="1" x14ac:dyDescent="0.4">
      <c r="A57" s="1">
        <f t="shared" si="5"/>
        <v>57</v>
      </c>
      <c r="V57" s="19"/>
    </row>
    <row r="58" spans="1:22" ht="14.25" customHeight="1" x14ac:dyDescent="0.4">
      <c r="A58" s="1">
        <f t="shared" si="5"/>
        <v>58</v>
      </c>
      <c r="V58" s="19"/>
    </row>
    <row r="59" spans="1:22" ht="14.25" customHeight="1" x14ac:dyDescent="0.4">
      <c r="A59" s="1">
        <f t="shared" si="5"/>
        <v>59</v>
      </c>
      <c r="V59" s="19"/>
    </row>
    <row r="60" spans="1:22" ht="14.25" customHeight="1" x14ac:dyDescent="0.4">
      <c r="A60" s="1">
        <f t="shared" si="5"/>
        <v>60</v>
      </c>
      <c r="V60" s="19"/>
    </row>
    <row r="61" spans="1:22" ht="14.25" customHeight="1" x14ac:dyDescent="0.4">
      <c r="A61" s="1">
        <f t="shared" si="5"/>
        <v>61</v>
      </c>
      <c r="V61" s="19"/>
    </row>
    <row r="62" spans="1:22" ht="14.25" customHeight="1" x14ac:dyDescent="0.4">
      <c r="A62" s="1">
        <f t="shared" si="5"/>
        <v>62</v>
      </c>
      <c r="V62" s="19"/>
    </row>
    <row r="63" spans="1:22" ht="14.25" customHeight="1" x14ac:dyDescent="0.4">
      <c r="A63" s="1">
        <f t="shared" si="5"/>
        <v>63</v>
      </c>
      <c r="V63" s="19"/>
    </row>
    <row r="64" spans="1:22" ht="14.25" customHeight="1" x14ac:dyDescent="0.4">
      <c r="A64" s="1">
        <f t="shared" si="5"/>
        <v>64</v>
      </c>
      <c r="V64" s="19"/>
    </row>
    <row r="65" spans="1:22" ht="14.25" customHeight="1" x14ac:dyDescent="0.4">
      <c r="A65" s="1">
        <f t="shared" si="5"/>
        <v>65</v>
      </c>
      <c r="V65" s="19"/>
    </row>
    <row r="66" spans="1:22" ht="14.25" customHeight="1" x14ac:dyDescent="0.4">
      <c r="A66" s="1">
        <f t="shared" ref="A66:A129" si="6">A65+1</f>
        <v>66</v>
      </c>
      <c r="V66" s="19"/>
    </row>
    <row r="67" spans="1:22" ht="14.25" customHeight="1" x14ac:dyDescent="0.4">
      <c r="A67" s="1">
        <f t="shared" si="6"/>
        <v>67</v>
      </c>
      <c r="V67" s="19"/>
    </row>
    <row r="68" spans="1:22" ht="14.25" customHeight="1" x14ac:dyDescent="0.4">
      <c r="A68" s="1">
        <f t="shared" si="6"/>
        <v>68</v>
      </c>
      <c r="V68" s="19"/>
    </row>
    <row r="69" spans="1:22" ht="14.25" customHeight="1" x14ac:dyDescent="0.4">
      <c r="A69" s="1">
        <f t="shared" si="6"/>
        <v>69</v>
      </c>
      <c r="V69" s="19"/>
    </row>
    <row r="70" spans="1:22" ht="14.25" customHeight="1" x14ac:dyDescent="0.4">
      <c r="A70" s="1">
        <f t="shared" si="6"/>
        <v>70</v>
      </c>
      <c r="V70" s="19"/>
    </row>
    <row r="71" spans="1:22" ht="14.25" customHeight="1" x14ac:dyDescent="0.4">
      <c r="A71" s="1">
        <f t="shared" si="6"/>
        <v>71</v>
      </c>
      <c r="V71" s="19"/>
    </row>
    <row r="72" spans="1:22" ht="14.25" customHeight="1" x14ac:dyDescent="0.4">
      <c r="A72" s="1">
        <f t="shared" si="6"/>
        <v>72</v>
      </c>
      <c r="V72" s="19"/>
    </row>
    <row r="73" spans="1:22" ht="14.25" customHeight="1" x14ac:dyDescent="0.4">
      <c r="A73" s="1">
        <f t="shared" si="6"/>
        <v>73</v>
      </c>
      <c r="V73" s="19"/>
    </row>
    <row r="74" spans="1:22" ht="14.25" customHeight="1" x14ac:dyDescent="0.4">
      <c r="A74" s="1">
        <f t="shared" si="6"/>
        <v>74</v>
      </c>
      <c r="V74" s="19"/>
    </row>
    <row r="75" spans="1:22" ht="14.25" customHeight="1" x14ac:dyDescent="0.4">
      <c r="A75" s="1">
        <f t="shared" si="6"/>
        <v>75</v>
      </c>
      <c r="V75" s="19"/>
    </row>
    <row r="76" spans="1:22" ht="14.25" customHeight="1" x14ac:dyDescent="0.4">
      <c r="A76" s="1">
        <f t="shared" si="6"/>
        <v>76</v>
      </c>
      <c r="V76" s="19"/>
    </row>
    <row r="77" spans="1:22" ht="14.25" customHeight="1" x14ac:dyDescent="0.4">
      <c r="A77" s="1">
        <f t="shared" si="6"/>
        <v>77</v>
      </c>
      <c r="V77" s="19"/>
    </row>
    <row r="78" spans="1:22" ht="14.25" customHeight="1" x14ac:dyDescent="0.4">
      <c r="A78" s="1">
        <f t="shared" si="6"/>
        <v>78</v>
      </c>
      <c r="V78" s="19"/>
    </row>
    <row r="79" spans="1:22" ht="14.25" customHeight="1" x14ac:dyDescent="0.4">
      <c r="A79" s="1">
        <f t="shared" si="6"/>
        <v>79</v>
      </c>
      <c r="V79" s="19"/>
    </row>
    <row r="80" spans="1:22" ht="14.25" customHeight="1" x14ac:dyDescent="0.4">
      <c r="A80" s="1">
        <f t="shared" si="6"/>
        <v>80</v>
      </c>
      <c r="V80" s="19"/>
    </row>
    <row r="81" spans="1:22" ht="14.25" customHeight="1" x14ac:dyDescent="0.4">
      <c r="A81" s="1">
        <f t="shared" si="6"/>
        <v>81</v>
      </c>
      <c r="V81" s="19"/>
    </row>
    <row r="82" spans="1:22" ht="14.25" customHeight="1" x14ac:dyDescent="0.4">
      <c r="A82" s="1">
        <f t="shared" si="6"/>
        <v>82</v>
      </c>
      <c r="V82" s="19"/>
    </row>
    <row r="83" spans="1:22" ht="14.25" customHeight="1" x14ac:dyDescent="0.4">
      <c r="A83" s="1">
        <f t="shared" si="6"/>
        <v>83</v>
      </c>
      <c r="V83" s="19"/>
    </row>
    <row r="84" spans="1:22" ht="14.25" customHeight="1" x14ac:dyDescent="0.4">
      <c r="A84" s="1">
        <f t="shared" si="6"/>
        <v>84</v>
      </c>
      <c r="V84" s="19"/>
    </row>
    <row r="85" spans="1:22" ht="14.25" customHeight="1" x14ac:dyDescent="0.4">
      <c r="A85" s="1">
        <f t="shared" si="6"/>
        <v>85</v>
      </c>
      <c r="V85" s="19"/>
    </row>
    <row r="86" spans="1:22" ht="14.25" customHeight="1" x14ac:dyDescent="0.4">
      <c r="A86" s="1">
        <f t="shared" si="6"/>
        <v>86</v>
      </c>
      <c r="V86" s="19"/>
    </row>
    <row r="87" spans="1:22" ht="14.25" customHeight="1" x14ac:dyDescent="0.4">
      <c r="A87" s="1">
        <f t="shared" si="6"/>
        <v>87</v>
      </c>
      <c r="V87" s="19"/>
    </row>
    <row r="88" spans="1:22" ht="14.25" customHeight="1" x14ac:dyDescent="0.4">
      <c r="A88" s="1">
        <f t="shared" si="6"/>
        <v>88</v>
      </c>
    </row>
    <row r="89" spans="1:22" ht="14.25" customHeight="1" x14ac:dyDescent="0.4">
      <c r="A89" s="1">
        <f t="shared" si="6"/>
        <v>89</v>
      </c>
    </row>
    <row r="90" spans="1:22" ht="14.25" customHeight="1" x14ac:dyDescent="0.4">
      <c r="A90" s="1">
        <f t="shared" si="6"/>
        <v>90</v>
      </c>
    </row>
    <row r="91" spans="1:22" ht="14.25" customHeight="1" x14ac:dyDescent="0.4">
      <c r="A91" s="1">
        <f t="shared" si="6"/>
        <v>91</v>
      </c>
    </row>
    <row r="92" spans="1:22" ht="14.25" customHeight="1" x14ac:dyDescent="0.4">
      <c r="A92" s="1">
        <f t="shared" si="6"/>
        <v>92</v>
      </c>
    </row>
    <row r="93" spans="1:22" ht="14.25" customHeight="1" x14ac:dyDescent="0.4">
      <c r="A93" s="1">
        <f t="shared" si="6"/>
        <v>93</v>
      </c>
    </row>
    <row r="94" spans="1:22" ht="14.25" customHeight="1" x14ac:dyDescent="0.4">
      <c r="A94" s="1">
        <f t="shared" si="6"/>
        <v>94</v>
      </c>
    </row>
    <row r="95" spans="1:22" ht="14.25" customHeight="1" x14ac:dyDescent="0.4">
      <c r="A95" s="1">
        <f t="shared" si="6"/>
        <v>95</v>
      </c>
    </row>
    <row r="96" spans="1:22" ht="14.25" customHeight="1" x14ac:dyDescent="0.4">
      <c r="A96" s="1">
        <f t="shared" si="6"/>
        <v>96</v>
      </c>
    </row>
    <row r="97" spans="1:1" ht="14.25" customHeight="1" x14ac:dyDescent="0.4">
      <c r="A97" s="1">
        <f t="shared" si="6"/>
        <v>97</v>
      </c>
    </row>
    <row r="98" spans="1:1" ht="14.25" customHeight="1" x14ac:dyDescent="0.4">
      <c r="A98" s="1">
        <f t="shared" si="6"/>
        <v>98</v>
      </c>
    </row>
    <row r="99" spans="1:1" ht="14.25" customHeight="1" x14ac:dyDescent="0.4">
      <c r="A99" s="1">
        <f t="shared" si="6"/>
        <v>99</v>
      </c>
    </row>
    <row r="100" spans="1:1" ht="14.25" customHeight="1" x14ac:dyDescent="0.4">
      <c r="A100" s="1">
        <f t="shared" si="6"/>
        <v>100</v>
      </c>
    </row>
    <row r="101" spans="1:1" ht="14.25" customHeight="1" x14ac:dyDescent="0.4">
      <c r="A101" s="1">
        <f t="shared" si="6"/>
        <v>101</v>
      </c>
    </row>
    <row r="102" spans="1:1" ht="14.25" customHeight="1" x14ac:dyDescent="0.4">
      <c r="A102" s="1">
        <f t="shared" si="6"/>
        <v>102</v>
      </c>
    </row>
    <row r="103" spans="1:1" ht="14.25" customHeight="1" x14ac:dyDescent="0.4">
      <c r="A103" s="1">
        <f t="shared" si="6"/>
        <v>103</v>
      </c>
    </row>
    <row r="104" spans="1:1" ht="14.25" customHeight="1" x14ac:dyDescent="0.4">
      <c r="A104" s="1">
        <f t="shared" si="6"/>
        <v>104</v>
      </c>
    </row>
    <row r="105" spans="1:1" ht="14.25" customHeight="1" x14ac:dyDescent="0.4">
      <c r="A105" s="1">
        <f t="shared" si="6"/>
        <v>105</v>
      </c>
    </row>
    <row r="106" spans="1:1" ht="14.25" customHeight="1" x14ac:dyDescent="0.4">
      <c r="A106" s="1">
        <f t="shared" si="6"/>
        <v>106</v>
      </c>
    </row>
    <row r="107" spans="1:1" ht="14.25" customHeight="1" x14ac:dyDescent="0.4">
      <c r="A107" s="1">
        <f t="shared" si="6"/>
        <v>107</v>
      </c>
    </row>
    <row r="108" spans="1:1" ht="14.25" customHeight="1" x14ac:dyDescent="0.4">
      <c r="A108" s="1">
        <f t="shared" si="6"/>
        <v>108</v>
      </c>
    </row>
    <row r="109" spans="1:1" ht="14.25" customHeight="1" x14ac:dyDescent="0.4">
      <c r="A109" s="1">
        <f t="shared" si="6"/>
        <v>109</v>
      </c>
    </row>
    <row r="110" spans="1:1" ht="14.25" customHeight="1" x14ac:dyDescent="0.4">
      <c r="A110" s="1">
        <f t="shared" si="6"/>
        <v>110</v>
      </c>
    </row>
    <row r="111" spans="1:1" ht="14.25" customHeight="1" x14ac:dyDescent="0.4">
      <c r="A111" s="1">
        <f t="shared" si="6"/>
        <v>111</v>
      </c>
    </row>
    <row r="112" spans="1:1" ht="14.25" customHeight="1" x14ac:dyDescent="0.4">
      <c r="A112" s="1">
        <f t="shared" si="6"/>
        <v>112</v>
      </c>
    </row>
    <row r="113" spans="1:1" ht="14.25" customHeight="1" x14ac:dyDescent="0.4">
      <c r="A113" s="1">
        <f t="shared" si="6"/>
        <v>113</v>
      </c>
    </row>
    <row r="114" spans="1:1" ht="14.25" customHeight="1" x14ac:dyDescent="0.4">
      <c r="A114" s="1">
        <f t="shared" si="6"/>
        <v>114</v>
      </c>
    </row>
    <row r="115" spans="1:1" ht="14.25" customHeight="1" x14ac:dyDescent="0.4">
      <c r="A115" s="1">
        <f t="shared" si="6"/>
        <v>115</v>
      </c>
    </row>
    <row r="116" spans="1:1" ht="14.25" customHeight="1" x14ac:dyDescent="0.4">
      <c r="A116" s="1">
        <f t="shared" si="6"/>
        <v>116</v>
      </c>
    </row>
    <row r="117" spans="1:1" ht="14.25" customHeight="1" x14ac:dyDescent="0.4">
      <c r="A117" s="1">
        <f t="shared" si="6"/>
        <v>117</v>
      </c>
    </row>
    <row r="118" spans="1:1" ht="14.25" customHeight="1" x14ac:dyDescent="0.4">
      <c r="A118" s="1">
        <f t="shared" si="6"/>
        <v>118</v>
      </c>
    </row>
    <row r="119" spans="1:1" ht="14.25" customHeight="1" x14ac:dyDescent="0.4">
      <c r="A119" s="1">
        <f t="shared" si="6"/>
        <v>119</v>
      </c>
    </row>
    <row r="120" spans="1:1" ht="14.25" customHeight="1" x14ac:dyDescent="0.4">
      <c r="A120" s="1">
        <f t="shared" si="6"/>
        <v>120</v>
      </c>
    </row>
    <row r="121" spans="1:1" ht="14.25" customHeight="1" x14ac:dyDescent="0.4">
      <c r="A121" s="1">
        <f t="shared" si="6"/>
        <v>121</v>
      </c>
    </row>
    <row r="122" spans="1:1" ht="14.25" customHeight="1" x14ac:dyDescent="0.4">
      <c r="A122" s="1">
        <f t="shared" si="6"/>
        <v>122</v>
      </c>
    </row>
    <row r="123" spans="1:1" ht="14.25" customHeight="1" x14ac:dyDescent="0.4">
      <c r="A123" s="1">
        <f t="shared" si="6"/>
        <v>123</v>
      </c>
    </row>
    <row r="124" spans="1:1" ht="14.25" customHeight="1" x14ac:dyDescent="0.4">
      <c r="A124" s="1">
        <f t="shared" si="6"/>
        <v>124</v>
      </c>
    </row>
    <row r="125" spans="1:1" ht="14.25" customHeight="1" x14ac:dyDescent="0.4">
      <c r="A125" s="1">
        <f t="shared" si="6"/>
        <v>125</v>
      </c>
    </row>
    <row r="126" spans="1:1" ht="14.25" customHeight="1" x14ac:dyDescent="0.4">
      <c r="A126" s="1">
        <f t="shared" si="6"/>
        <v>126</v>
      </c>
    </row>
    <row r="127" spans="1:1" ht="14.25" customHeight="1" x14ac:dyDescent="0.4">
      <c r="A127" s="1">
        <f t="shared" si="6"/>
        <v>127</v>
      </c>
    </row>
    <row r="128" spans="1:1" ht="14.25" customHeight="1" x14ac:dyDescent="0.4">
      <c r="A128" s="1">
        <f t="shared" si="6"/>
        <v>128</v>
      </c>
    </row>
    <row r="129" spans="1:1" ht="14.25" customHeight="1" x14ac:dyDescent="0.4">
      <c r="A129" s="1">
        <f t="shared" si="6"/>
        <v>129</v>
      </c>
    </row>
    <row r="130" spans="1:1" ht="14.25" customHeight="1" x14ac:dyDescent="0.4">
      <c r="A130" s="1">
        <f t="shared" ref="A130:A131" si="7">A129+1</f>
        <v>130</v>
      </c>
    </row>
    <row r="131" spans="1:1" ht="14.25" customHeight="1" x14ac:dyDescent="0.4">
      <c r="A131" s="1">
        <f t="shared" si="7"/>
        <v>131</v>
      </c>
    </row>
  </sheetData>
  <mergeCells count="12">
    <mergeCell ref="X4:Y6"/>
    <mergeCell ref="AA10:AB10"/>
    <mergeCell ref="AA9:AB9"/>
    <mergeCell ref="D8:G8"/>
    <mergeCell ref="D9:E9"/>
    <mergeCell ref="I9:J9"/>
    <mergeCell ref="N9:O9"/>
    <mergeCell ref="D6:Q6"/>
    <mergeCell ref="I5:J5"/>
    <mergeCell ref="S8:V9"/>
    <mergeCell ref="I8:M8"/>
    <mergeCell ref="N8:R8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ZeroMake">
                <anchor moveWithCells="1" sizeWithCells="1">
                  <from>
                    <xdr:col>19</xdr:col>
                    <xdr:colOff>350520</xdr:colOff>
                    <xdr:row>3</xdr:row>
                    <xdr:rowOff>68580</xdr:rowOff>
                  </from>
                  <to>
                    <xdr:col>20</xdr:col>
                    <xdr:colOff>388620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alcRate">
                <anchor moveWithCells="1" sizeWithCells="1">
                  <from>
                    <xdr:col>26</xdr:col>
                    <xdr:colOff>312420</xdr:colOff>
                    <xdr:row>3</xdr:row>
                    <xdr:rowOff>121920</xdr:rowOff>
                  </from>
                  <to>
                    <xdr:col>27</xdr:col>
                    <xdr:colOff>457200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2021-12-10T06:20:02Z</dcterms:created>
  <dcterms:modified xsi:type="dcterms:W3CDTF">2023-05-25T01:43:48Z</dcterms:modified>
</cp:coreProperties>
</file>