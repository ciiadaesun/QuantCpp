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X10" i="1" l="1"/>
  <c r="K9" i="1"/>
  <c r="N12" i="1" l="1"/>
  <c r="N13" i="1" l="1"/>
  <c r="N14" i="1" s="1"/>
  <c r="N15" i="1" s="1"/>
  <c r="N16" i="1" s="1"/>
  <c r="N17" i="1" s="1"/>
  <c r="N18" i="1" s="1"/>
  <c r="N19" i="1" s="1"/>
  <c r="N11" i="1"/>
  <c r="E16" i="1"/>
  <c r="E15" i="1"/>
  <c r="E14" i="1"/>
  <c r="E13" i="1"/>
  <c r="E12" i="1"/>
  <c r="E11" i="1"/>
  <c r="I8" i="1"/>
  <c r="L10" i="1" l="1"/>
  <c r="K10" i="1"/>
  <c r="J10" i="1"/>
  <c r="I10" i="1"/>
  <c r="I9" i="1"/>
  <c r="F10" i="1"/>
  <c r="P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<sst xmlns="http://schemas.openxmlformats.org/spreadsheetml/2006/main" count="20" uniqueCount="18">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</sst>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0" fontId="3" fillId="12" borderId="0" xfId="0" applyFont="1" applyFill="1">
      <alignment vertical="center"/>
    </xf>
    <xf numFmtId="14" fontId="3" fillId="12" borderId="0" xfId="0" applyNumberFormat="1" applyFont="1" applyFill="1">
      <alignment vertical="center"/>
    </xf>
    <xf numFmtId="179" fontId="3" fillId="12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Sheet1!$T$11:$T$25</c:f>
              <c:numCache>
                <c:formatCode>General</c:formatCode>
                <c:ptCount val="15"/>
                <c:pt idx="0">
                  <c:v>1.9178082191780823E-2</c:v>
                </c:pt>
                <c:pt idx="1">
                  <c:v>8.4931506849315067E-2</c:v>
                </c:pt>
                <c:pt idx="2">
                  <c:v>0.16164383561643836</c:v>
                </c:pt>
                <c:pt idx="3">
                  <c:v>0.24657534246575341</c:v>
                </c:pt>
                <c:pt idx="4">
                  <c:v>0.49589041095890413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4.0027397260273974</c:v>
                </c:pt>
                <c:pt idx="9">
                  <c:v>5.0027397260273974</c:v>
                </c:pt>
                <c:pt idx="10">
                  <c:v>6.0027397260273974</c:v>
                </c:pt>
                <c:pt idx="11">
                  <c:v>7.0027397260273974</c:v>
                </c:pt>
                <c:pt idx="12">
                  <c:v>8.0054794520547947</c:v>
                </c:pt>
                <c:pt idx="13">
                  <c:v>9.0054794520547947</c:v>
                </c:pt>
                <c:pt idx="14">
                  <c:v>10.005479452054795</c:v>
                </c:pt>
              </c:numCache>
            </c:numRef>
          </c:xVal>
          <c:yVal>
            <c:numRef>
              <c:f>Sheet1!$U$11:$U$25</c:f>
              <c:numCache>
                <c:formatCode>0.00000%</c:formatCode>
                <c:ptCount val="15"/>
                <c:pt idx="0">
                  <c:v>0.10409602414132132</c:v>
                </c:pt>
                <c:pt idx="1">
                  <c:v>0.10423722797964782</c:v>
                </c:pt>
                <c:pt idx="2">
                  <c:v>0.10421722443875864</c:v>
                </c:pt>
                <c:pt idx="3">
                  <c:v>0.10385871598047858</c:v>
                </c:pt>
                <c:pt idx="4">
                  <c:v>0.10254782869914594</c:v>
                </c:pt>
                <c:pt idx="5">
                  <c:v>9.6899824739959298E-2</c:v>
                </c:pt>
                <c:pt idx="6">
                  <c:v>9.1226082611083975E-2</c:v>
                </c:pt>
                <c:pt idx="7">
                  <c:v>8.7916896247863779E-2</c:v>
                </c:pt>
                <c:pt idx="8">
                  <c:v>8.5735874366760251E-2</c:v>
                </c:pt>
                <c:pt idx="9">
                  <c:v>8.4446340942382792E-2</c:v>
                </c:pt>
                <c:pt idx="10">
                  <c:v>8.3204879951477045E-2</c:v>
                </c:pt>
                <c:pt idx="11">
                  <c:v>8.2145418357849109E-2</c:v>
                </c:pt>
                <c:pt idx="12">
                  <c:v>8.1038964462280261E-2</c:v>
                </c:pt>
                <c:pt idx="13">
                  <c:v>8.0146267318725581E-2</c:v>
                </c:pt>
                <c:pt idx="14">
                  <c:v>7.961343708038332E-2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E-4134-86A4-14237ACAD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616200"/>
        <c:axId val="423616528"/>
      </c:scatterChart>
      <c:valAx>
        <c:axId val="423616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3616528"/>
        <c:crosses val="autoZero"/>
        <c:crossBetween val="midCat"/>
      </c:valAx>
      <c:valAx>
        <c:axId val="4236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3616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topLeftCell="O1" zoomScale="115" zoomScaleNormal="115" workbookViewId="0">
      <selection activeCell="S8" sqref="S8:V9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8"/>
    <col min="7" max="8" width="10.5" style="1"/>
    <col min="9" max="10" width="10.5" style="9"/>
    <col min="11" max="11" width="10.5" style="18"/>
    <col min="12" max="13" width="10.5" style="1"/>
    <col min="14" max="14" width="10.5" style="22"/>
    <col min="15" max="15" width="10.5" style="21"/>
    <col min="16" max="16" width="10.5" style="23"/>
    <col min="17" max="17" width="10.5" style="21"/>
    <col min="18" max="18" width="10.5" style="1" customWidth="1"/>
    <col min="19" max="19" width="10.5" style="25"/>
    <col min="20" max="20" width="10.5" style="8"/>
    <col min="21" max="21" width="10.5" style="20"/>
    <col min="22" max="22" width="10.5" style="19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1"/>
      <c r="J2" s="1"/>
      <c r="K2" s="1"/>
      <c r="N2" s="1"/>
      <c r="O2" s="1"/>
      <c r="P2" s="1"/>
      <c r="Q2" s="1"/>
      <c r="S2" s="1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1"/>
      <c r="J3" s="1"/>
      <c r="K3" s="1"/>
      <c r="N3" s="1"/>
      <c r="O3" s="1"/>
      <c r="P3" s="1"/>
      <c r="Q3" s="1"/>
      <c r="S3" s="1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1"/>
      <c r="J4" s="1"/>
      <c r="K4" s="1"/>
      <c r="N4" s="1"/>
      <c r="O4" s="1"/>
      <c r="P4" s="1"/>
      <c r="Q4" s="1"/>
      <c r="S4" s="1"/>
      <c r="T4" s="1"/>
      <c r="U4" s="1"/>
      <c r="V4" s="1"/>
      <c r="W4" s="13" t="s">
        <v>11</v>
      </c>
      <c r="X4" s="26"/>
      <c r="Y4" s="26"/>
    </row>
    <row r="5" spans="1:32" ht="14.25" customHeight="1" x14ac:dyDescent="0.4">
      <c r="A5" s="1">
        <f t="shared" si="5"/>
        <v>5</v>
      </c>
      <c r="D5" s="10" t="s">
        <v>3</v>
      </c>
      <c r="E5" s="7">
        <v>42751</v>
      </c>
      <c r="F5" s="1"/>
      <c r="G5" s="10" t="s">
        <v>12</v>
      </c>
      <c r="H5" s="3">
        <v>0</v>
      </c>
      <c r="I5" s="31" t="s">
        <v>15</v>
      </c>
      <c r="J5" s="31"/>
      <c r="K5" s="3">
        <v>1</v>
      </c>
      <c r="N5" s="1"/>
      <c r="O5" s="1"/>
      <c r="P5" s="1"/>
      <c r="Q5" s="1"/>
      <c r="S5" s="1"/>
      <c r="T5" s="1"/>
      <c r="U5" s="1"/>
      <c r="V5" s="1"/>
      <c r="W5" s="14"/>
      <c r="X5" s="26"/>
      <c r="Y5" s="26"/>
    </row>
    <row r="6" spans="1:32" ht="14.25" customHeight="1" x14ac:dyDescent="0.4">
      <c r="A6" s="1">
        <f t="shared" si="5"/>
        <v>6</v>
      </c>
      <c r="D6" s="29" t="str">
        <f>IF(H5=0, "MMF, IRForward, Swap Market", "Bond Market")</f>
        <v>MMF, IRForward, Swap Market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S6" s="1"/>
      <c r="T6" s="1"/>
      <c r="U6" s="1"/>
      <c r="V6" s="1"/>
      <c r="W6" s="14"/>
      <c r="X6" s="26"/>
      <c r="Y6" s="26"/>
    </row>
    <row r="7" spans="1:32" ht="14.25" customHeight="1" x14ac:dyDescent="0.4">
      <c r="A7" s="1">
        <f t="shared" si="5"/>
        <v>7</v>
      </c>
      <c r="E7" s="1"/>
      <c r="F7" s="1"/>
      <c r="I7" s="1"/>
      <c r="J7" s="1"/>
      <c r="K7" s="1"/>
      <c r="N7" s="1"/>
      <c r="O7" s="1"/>
      <c r="P7" s="1"/>
      <c r="Q7" s="1"/>
      <c r="S7" s="1"/>
      <c r="T7" s="1"/>
      <c r="U7" s="1"/>
      <c r="V7" s="1"/>
    </row>
    <row r="8" spans="1:32" ht="14.25" customHeight="1" x14ac:dyDescent="0.4">
      <c r="A8" s="1">
        <f t="shared" si="5"/>
        <v>8</v>
      </c>
      <c r="D8" s="29" t="str">
        <f>IF(H5=0, "콜금리/CD", "CP/Short Term Bond")</f>
        <v>콜금리/CD</v>
      </c>
      <c r="E8" s="29"/>
      <c r="F8" s="29"/>
      <c r="G8" s="29"/>
      <c r="I8" s="29" t="str">
        <f>IF(H5=0, "IR Futures", "MarketData 1일 때 입력안함")</f>
        <v>IR Futures</v>
      </c>
      <c r="J8" s="29"/>
      <c r="K8" s="29"/>
      <c r="L8" s="29"/>
      <c r="N8" s="29" t="str">
        <f>IF(H5=0, "IR Swap","Coupon Bond")</f>
        <v>IR Swap</v>
      </c>
      <c r="O8" s="29"/>
      <c r="P8" s="29"/>
      <c r="Q8" s="29"/>
      <c r="R8" s="16"/>
      <c r="S8" s="32" t="s">
        <v>9</v>
      </c>
      <c r="T8" s="32"/>
      <c r="U8" s="32"/>
      <c r="V8" s="32"/>
    </row>
    <row r="9" spans="1:32" ht="14.25" customHeight="1" x14ac:dyDescent="0.4">
      <c r="A9" s="1">
        <f t="shared" si="5"/>
        <v>9</v>
      </c>
      <c r="D9" s="30" t="s">
        <v>1</v>
      </c>
      <c r="E9" s="30"/>
      <c r="F9" s="4">
        <f>COUNT(E11:E100)</f>
        <v>6</v>
      </c>
      <c r="G9" s="5"/>
      <c r="I9" s="30" t="str">
        <f>IF(H5=0, "개수", "")</f>
        <v>개수</v>
      </c>
      <c r="J9" s="30"/>
      <c r="K9" s="4">
        <f>COUNT(I11:I100)</f>
        <v>0</v>
      </c>
      <c r="L9" s="5"/>
      <c r="N9" s="30" t="s">
        <v>2</v>
      </c>
      <c r="O9" s="30"/>
      <c r="P9" s="4">
        <f>COUNT(N11:N1048576)</f>
        <v>9</v>
      </c>
      <c r="Q9" s="5"/>
      <c r="R9" s="15"/>
      <c r="S9" s="32"/>
      <c r="T9" s="32"/>
      <c r="U9" s="32"/>
      <c r="V9" s="32"/>
      <c r="X9" s="2" t="s">
        <v>6</v>
      </c>
      <c r="Y9" s="2" t="s">
        <v>0</v>
      </c>
      <c r="Z9" s="2" t="s">
        <v>5</v>
      </c>
      <c r="AA9" s="28" t="s">
        <v>8</v>
      </c>
      <c r="AB9" s="28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43846</v>
      </c>
      <c r="Y10" s="3">
        <v>1</v>
      </c>
      <c r="Z10" s="3">
        <v>365</v>
      </c>
      <c r="AA10" s="27">
        <v>9.2400001487270289E-2</v>
      </c>
      <c r="AB10" s="27"/>
    </row>
    <row r="11" spans="1:32" ht="14.25" customHeight="1" x14ac:dyDescent="0.4">
      <c r="A11" s="1">
        <f t="shared" si="5"/>
        <v>11</v>
      </c>
      <c r="E11" s="6">
        <f>E5+7</f>
        <v>42758</v>
      </c>
      <c r="F11" s="17">
        <v>0.1042</v>
      </c>
      <c r="G11" s="3">
        <v>365</v>
      </c>
      <c r="I11" s="6"/>
      <c r="J11" s="6"/>
      <c r="K11" s="17"/>
      <c r="L11" s="3"/>
      <c r="N11" s="22">
        <f>E5+365+365</f>
        <v>43481</v>
      </c>
      <c r="O11" s="21">
        <v>1</v>
      </c>
      <c r="P11" s="23">
        <v>9.5799999999999996E-2</v>
      </c>
      <c r="Q11" s="21">
        <v>365</v>
      </c>
      <c r="S11" s="25">
        <v>0.1042</v>
      </c>
      <c r="T11" s="8">
        <v>1.9178082191780823E-2</v>
      </c>
      <c r="U11" s="20">
        <v>0.10409602414132132</v>
      </c>
      <c r="V11" s="24">
        <v>0.9980056292986017</v>
      </c>
    </row>
    <row r="12" spans="1:32" ht="14.25" customHeight="1" x14ac:dyDescent="0.4">
      <c r="A12" s="1">
        <f t="shared" si="5"/>
        <v>12</v>
      </c>
      <c r="E12" s="6">
        <f>E5+31</f>
        <v>42782</v>
      </c>
      <c r="F12" s="17">
        <v>0.1047</v>
      </c>
      <c r="G12" s="3">
        <v>365</v>
      </c>
      <c r="I12" s="6"/>
      <c r="J12" s="6"/>
      <c r="K12" s="17"/>
      <c r="L12" s="3"/>
      <c r="N12" s="22">
        <f>N11+365</f>
        <v>43846</v>
      </c>
      <c r="O12" s="21">
        <v>1</v>
      </c>
      <c r="P12" s="23">
        <v>9.2399999999999996E-2</v>
      </c>
      <c r="Q12" s="21">
        <v>365</v>
      </c>
      <c r="S12" s="25">
        <v>0.1047</v>
      </c>
      <c r="T12" s="8">
        <v>8.4931506849315067E-2</v>
      </c>
      <c r="U12" s="20">
        <v>0.10423722797964782</v>
      </c>
      <c r="V12" s="24">
        <v>0.99118604779363351</v>
      </c>
    </row>
    <row r="13" spans="1:32" ht="14.25" customHeight="1" x14ac:dyDescent="0.4">
      <c r="A13" s="1">
        <f t="shared" si="5"/>
        <v>13</v>
      </c>
      <c r="E13" s="6">
        <f>E5+59</f>
        <v>42810</v>
      </c>
      <c r="F13" s="17">
        <v>0.1051</v>
      </c>
      <c r="G13" s="3">
        <v>365</v>
      </c>
      <c r="I13" s="6"/>
      <c r="J13" s="6"/>
      <c r="K13" s="17"/>
      <c r="L13" s="3"/>
      <c r="N13" s="22">
        <f>N12+366</f>
        <v>44212</v>
      </c>
      <c r="O13" s="21">
        <v>1</v>
      </c>
      <c r="P13" s="23">
        <v>9.0200000000000002E-2</v>
      </c>
      <c r="Q13" s="21">
        <v>365</v>
      </c>
      <c r="S13" s="25">
        <v>0.1051</v>
      </c>
      <c r="T13" s="8">
        <v>0.16164383561643836</v>
      </c>
      <c r="U13" s="20">
        <v>0.10421722443875864</v>
      </c>
      <c r="V13" s="24">
        <v>0.98329502972649052</v>
      </c>
    </row>
    <row r="14" spans="1:32" ht="14.25" customHeight="1" x14ac:dyDescent="0.4">
      <c r="A14" s="1">
        <f t="shared" si="5"/>
        <v>14</v>
      </c>
      <c r="E14" s="6">
        <f>E5+90</f>
        <v>42841</v>
      </c>
      <c r="F14" s="17">
        <v>0.1052</v>
      </c>
      <c r="G14" s="3">
        <v>365</v>
      </c>
      <c r="I14" s="6"/>
      <c r="J14" s="6"/>
      <c r="K14" s="17"/>
      <c r="L14" s="3"/>
      <c r="N14" s="22">
        <f>EDATE(N13,12)</f>
        <v>44577</v>
      </c>
      <c r="O14" s="21">
        <v>1</v>
      </c>
      <c r="P14" s="23">
        <v>8.8900000000000007E-2</v>
      </c>
      <c r="Q14" s="21">
        <v>365</v>
      </c>
      <c r="S14" s="25">
        <v>0.1052</v>
      </c>
      <c r="T14" s="8">
        <v>0.24657534246575341</v>
      </c>
      <c r="U14" s="20">
        <v>0.10385871598047858</v>
      </c>
      <c r="V14" s="24">
        <v>0.97471613061730245</v>
      </c>
    </row>
    <row r="15" spans="1:32" ht="14.25" customHeight="1" x14ac:dyDescent="0.4">
      <c r="A15" s="1">
        <f t="shared" si="5"/>
        <v>15</v>
      </c>
      <c r="E15" s="6">
        <f>E5+181</f>
        <v>42932</v>
      </c>
      <c r="F15" s="17">
        <v>0.1052</v>
      </c>
      <c r="G15" s="3">
        <v>365</v>
      </c>
      <c r="I15" s="6"/>
      <c r="J15" s="6"/>
      <c r="K15" s="17"/>
      <c r="L15" s="3"/>
      <c r="N15" s="22">
        <f t="shared" ref="N15:N19" si="6">EDATE(N14,12)</f>
        <v>44942</v>
      </c>
      <c r="O15" s="21">
        <v>1</v>
      </c>
      <c r="P15" s="23">
        <v>8.77E-2</v>
      </c>
      <c r="Q15" s="21">
        <v>365</v>
      </c>
      <c r="S15" s="25">
        <v>0.1052</v>
      </c>
      <c r="T15" s="8">
        <v>0.49589041095890413</v>
      </c>
      <c r="U15" s="20">
        <v>0.10254782869914594</v>
      </c>
      <c r="V15" s="24">
        <v>0.95041886130967201</v>
      </c>
    </row>
    <row r="16" spans="1:32" ht="14.25" customHeight="1" x14ac:dyDescent="0.4">
      <c r="A16" s="1">
        <f t="shared" si="5"/>
        <v>16</v>
      </c>
      <c r="E16" s="6">
        <f>E5+365</f>
        <v>43116</v>
      </c>
      <c r="F16" s="17">
        <v>0.10174999999999999</v>
      </c>
      <c r="G16" s="3">
        <v>365</v>
      </c>
      <c r="I16" s="6"/>
      <c r="J16" s="6"/>
      <c r="K16" s="17"/>
      <c r="L16" s="3"/>
      <c r="N16" s="22">
        <f t="shared" si="6"/>
        <v>45307</v>
      </c>
      <c r="O16" s="21">
        <v>1</v>
      </c>
      <c r="P16" s="23">
        <v>8.6699999999999999E-2</v>
      </c>
      <c r="Q16" s="21">
        <v>365</v>
      </c>
      <c r="S16" s="25">
        <v>0.10174999999999999</v>
      </c>
      <c r="T16" s="8">
        <v>1</v>
      </c>
      <c r="U16" s="20">
        <v>9.6899824739959298E-2</v>
      </c>
      <c r="V16" s="24">
        <v>0.90764692534604041</v>
      </c>
    </row>
    <row r="17" spans="1:22" ht="14.25" customHeight="1" x14ac:dyDescent="0.4">
      <c r="A17" s="1">
        <f t="shared" si="5"/>
        <v>17</v>
      </c>
      <c r="E17" s="6"/>
      <c r="F17" s="17"/>
      <c r="G17" s="3"/>
      <c r="I17" s="6"/>
      <c r="J17" s="6"/>
      <c r="K17" s="17"/>
      <c r="L17" s="3"/>
      <c r="N17" s="22">
        <f t="shared" si="6"/>
        <v>45673</v>
      </c>
      <c r="O17" s="21">
        <v>1</v>
      </c>
      <c r="P17" s="23">
        <v>8.5699999999999998E-2</v>
      </c>
      <c r="Q17" s="21">
        <v>365</v>
      </c>
      <c r="S17" s="25">
        <v>9.5799999999999996E-2</v>
      </c>
      <c r="T17" s="8">
        <v>2</v>
      </c>
      <c r="U17" s="20">
        <v>9.1226082611083975E-2</v>
      </c>
      <c r="V17" s="24">
        <v>0.83322450008391347</v>
      </c>
    </row>
    <row r="18" spans="1:22" ht="14.25" customHeight="1" x14ac:dyDescent="0.4">
      <c r="A18" s="1">
        <f t="shared" si="5"/>
        <v>18</v>
      </c>
      <c r="N18" s="22">
        <f t="shared" si="6"/>
        <v>46038</v>
      </c>
      <c r="O18" s="21">
        <v>1</v>
      </c>
      <c r="P18" s="23">
        <v>8.4900000000000003E-2</v>
      </c>
      <c r="Q18" s="21">
        <v>365</v>
      </c>
      <c r="S18" s="25">
        <v>9.2399999999999996E-2</v>
      </c>
      <c r="T18" s="8">
        <v>3</v>
      </c>
      <c r="U18" s="20">
        <v>8.7916896247863779E-2</v>
      </c>
      <c r="V18" s="24">
        <v>0.76816502797387121</v>
      </c>
    </row>
    <row r="19" spans="1:22" ht="14.25" customHeight="1" x14ac:dyDescent="0.4">
      <c r="A19" s="1">
        <f t="shared" si="5"/>
        <v>19</v>
      </c>
      <c r="N19" s="22">
        <f t="shared" si="6"/>
        <v>46403</v>
      </c>
      <c r="O19" s="21">
        <v>1</v>
      </c>
      <c r="P19" s="23">
        <v>8.4400000000000003E-2</v>
      </c>
      <c r="Q19" s="21">
        <v>365</v>
      </c>
      <c r="S19" s="25">
        <v>9.0200000000000002E-2</v>
      </c>
      <c r="T19" s="8">
        <v>4.0027397260273974</v>
      </c>
      <c r="U19" s="20">
        <v>8.5735874366760251E-2</v>
      </c>
      <c r="V19" s="24">
        <v>0.70951163029631326</v>
      </c>
    </row>
    <row r="20" spans="1:22" ht="14.25" customHeight="1" x14ac:dyDescent="0.4">
      <c r="A20" s="1">
        <f t="shared" si="5"/>
        <v>20</v>
      </c>
      <c r="S20" s="25">
        <v>8.8900000000000007E-2</v>
      </c>
      <c r="T20" s="8">
        <v>5.0027397260273974</v>
      </c>
      <c r="U20" s="20">
        <v>8.4446340942382792E-2</v>
      </c>
      <c r="V20" s="24">
        <v>0.65543046249877035</v>
      </c>
    </row>
    <row r="21" spans="1:22" ht="14.25" customHeight="1" x14ac:dyDescent="0.4">
      <c r="A21" s="1">
        <f t="shared" si="5"/>
        <v>21</v>
      </c>
      <c r="S21" s="25">
        <v>8.77E-2</v>
      </c>
      <c r="T21" s="8">
        <v>6.0027397260273974</v>
      </c>
      <c r="U21" s="20">
        <v>8.3204879951477045E-2</v>
      </c>
      <c r="V21" s="24">
        <v>0.60685995068944609</v>
      </c>
    </row>
    <row r="22" spans="1:22" ht="14.25" customHeight="1" x14ac:dyDescent="0.4">
      <c r="A22" s="1">
        <f t="shared" si="5"/>
        <v>22</v>
      </c>
      <c r="L22" s="9"/>
      <c r="S22" s="25">
        <v>8.6699999999999999E-2</v>
      </c>
      <c r="T22" s="8">
        <v>7.0027397260273974</v>
      </c>
      <c r="U22" s="20">
        <v>8.2145418357849109E-2</v>
      </c>
      <c r="V22" s="24">
        <v>0.56256815688645168</v>
      </c>
    </row>
    <row r="23" spans="1:22" ht="14.25" customHeight="1" x14ac:dyDescent="0.4">
      <c r="A23" s="1">
        <f t="shared" si="5"/>
        <v>23</v>
      </c>
      <c r="L23" s="9"/>
      <c r="S23" s="25">
        <v>8.5699999999999998E-2</v>
      </c>
      <c r="T23" s="8">
        <v>8.0054794520547947</v>
      </c>
      <c r="U23" s="20">
        <v>8.1038964462280261E-2</v>
      </c>
      <c r="V23" s="24">
        <v>0.52269572874548442</v>
      </c>
    </row>
    <row r="24" spans="1:22" ht="14.25" customHeight="1" x14ac:dyDescent="0.4">
      <c r="A24" s="1">
        <f t="shared" si="5"/>
        <v>24</v>
      </c>
      <c r="L24" s="9"/>
      <c r="S24" s="25">
        <v>8.4900000000000003E-2</v>
      </c>
      <c r="T24" s="8">
        <v>9.0054794520547947</v>
      </c>
      <c r="U24" s="20">
        <v>8.0146267318725581E-2</v>
      </c>
      <c r="V24" s="24">
        <v>0.48589848111425316</v>
      </c>
    </row>
    <row r="25" spans="1:22" ht="14.25" customHeight="1" x14ac:dyDescent="0.4">
      <c r="A25" s="1">
        <f t="shared" si="5"/>
        <v>25</v>
      </c>
      <c r="L25" s="9"/>
      <c r="S25" s="25">
        <v>8.4400000000000003E-2</v>
      </c>
      <c r="T25" s="8">
        <v>10.005479452054795</v>
      </c>
      <c r="U25" s="20">
        <v>7.961343708038332E-2</v>
      </c>
      <c r="V25" s="24">
        <v>0.4508725341457589</v>
      </c>
    </row>
    <row r="26" spans="1:22" ht="14.25" customHeight="1" x14ac:dyDescent="0.4">
      <c r="A26" s="1">
        <f t="shared" si="5"/>
        <v>26</v>
      </c>
      <c r="L26" s="9"/>
      <c r="V26" s="24"/>
    </row>
    <row r="27" spans="1:22" ht="14.25" customHeight="1" x14ac:dyDescent="0.4">
      <c r="A27" s="1">
        <f t="shared" si="5"/>
        <v>27</v>
      </c>
      <c r="L27" s="9"/>
      <c r="V27" s="24"/>
    </row>
    <row r="28" spans="1:22" ht="14.25" customHeight="1" x14ac:dyDescent="0.4">
      <c r="A28" s="1">
        <f t="shared" si="5"/>
        <v>28</v>
      </c>
      <c r="L28" s="9"/>
      <c r="V28" s="24"/>
    </row>
    <row r="29" spans="1:22" ht="14.25" customHeight="1" x14ac:dyDescent="0.4">
      <c r="A29" s="1">
        <f t="shared" si="5"/>
        <v>29</v>
      </c>
      <c r="L29" s="9"/>
      <c r="V29" s="24"/>
    </row>
    <row r="30" spans="1:22" ht="14.25" customHeight="1" x14ac:dyDescent="0.4">
      <c r="A30" s="1">
        <f t="shared" si="5"/>
        <v>30</v>
      </c>
      <c r="L30" s="9"/>
      <c r="V30" s="24"/>
    </row>
    <row r="31" spans="1:22" ht="14.25" customHeight="1" x14ac:dyDescent="0.4">
      <c r="A31" s="1">
        <f t="shared" si="5"/>
        <v>31</v>
      </c>
      <c r="L31" s="9"/>
      <c r="V31" s="24"/>
    </row>
    <row r="32" spans="1:22" ht="14.25" customHeight="1" x14ac:dyDescent="0.4">
      <c r="A32" s="1">
        <f t="shared" si="5"/>
        <v>32</v>
      </c>
      <c r="L32" s="9"/>
      <c r="V32" s="24"/>
    </row>
    <row r="33" spans="1:22" ht="14.25" customHeight="1" x14ac:dyDescent="0.4">
      <c r="A33" s="1">
        <f t="shared" si="5"/>
        <v>33</v>
      </c>
      <c r="L33" s="9"/>
      <c r="V33" s="24"/>
    </row>
    <row r="34" spans="1:22" ht="14.25" customHeight="1" x14ac:dyDescent="0.4">
      <c r="A34" s="1">
        <f t="shared" si="5"/>
        <v>34</v>
      </c>
      <c r="L34" s="9"/>
      <c r="V34" s="24"/>
    </row>
    <row r="35" spans="1:22" ht="14.25" customHeight="1" x14ac:dyDescent="0.4">
      <c r="A35" s="1">
        <f t="shared" si="5"/>
        <v>35</v>
      </c>
      <c r="L35" s="9"/>
      <c r="V35" s="24"/>
    </row>
    <row r="36" spans="1:22" ht="14.25" customHeight="1" x14ac:dyDescent="0.4">
      <c r="A36" s="1">
        <f t="shared" si="5"/>
        <v>36</v>
      </c>
      <c r="L36" s="9"/>
      <c r="V36" s="24"/>
    </row>
    <row r="37" spans="1:22" ht="14.25" customHeight="1" x14ac:dyDescent="0.4">
      <c r="A37" s="1">
        <f t="shared" si="5"/>
        <v>37</v>
      </c>
      <c r="L37" s="9"/>
      <c r="V37" s="24"/>
    </row>
    <row r="38" spans="1:22" ht="14.25" customHeight="1" x14ac:dyDescent="0.4">
      <c r="A38" s="1">
        <f t="shared" si="5"/>
        <v>38</v>
      </c>
      <c r="L38" s="9"/>
      <c r="V38" s="24"/>
    </row>
    <row r="39" spans="1:22" ht="14.25" customHeight="1" x14ac:dyDescent="0.4">
      <c r="A39" s="1">
        <f t="shared" si="5"/>
        <v>39</v>
      </c>
      <c r="L39" s="9"/>
      <c r="V39" s="24"/>
    </row>
    <row r="40" spans="1:22" ht="14.25" customHeight="1" x14ac:dyDescent="0.4">
      <c r="A40" s="1">
        <f t="shared" si="5"/>
        <v>40</v>
      </c>
      <c r="L40" s="9"/>
      <c r="V40" s="24"/>
    </row>
    <row r="41" spans="1:22" ht="14.25" customHeight="1" x14ac:dyDescent="0.4">
      <c r="A41" s="1">
        <f t="shared" si="5"/>
        <v>41</v>
      </c>
      <c r="L41" s="9"/>
      <c r="V41" s="24"/>
    </row>
    <row r="42" spans="1:22" ht="14.25" customHeight="1" x14ac:dyDescent="0.4">
      <c r="A42" s="1">
        <f t="shared" si="5"/>
        <v>42</v>
      </c>
      <c r="L42" s="9"/>
      <c r="V42" s="24"/>
    </row>
    <row r="43" spans="1:22" ht="14.25" customHeight="1" x14ac:dyDescent="0.4">
      <c r="A43" s="1">
        <f t="shared" si="5"/>
        <v>43</v>
      </c>
      <c r="L43" s="9"/>
      <c r="V43" s="24"/>
    </row>
    <row r="44" spans="1:22" ht="14.25" customHeight="1" x14ac:dyDescent="0.4">
      <c r="A44" s="1">
        <f t="shared" si="5"/>
        <v>44</v>
      </c>
      <c r="L44" s="9"/>
      <c r="V44" s="24"/>
    </row>
    <row r="45" spans="1:22" ht="14.25" customHeight="1" x14ac:dyDescent="0.4">
      <c r="A45" s="1">
        <f t="shared" si="5"/>
        <v>45</v>
      </c>
      <c r="L45" s="9"/>
      <c r="V45" s="24"/>
    </row>
    <row r="46" spans="1:22" ht="14.25" customHeight="1" x14ac:dyDescent="0.4">
      <c r="A46" s="1">
        <f t="shared" si="5"/>
        <v>46</v>
      </c>
      <c r="L46" s="9"/>
      <c r="V46" s="24"/>
    </row>
    <row r="47" spans="1:22" ht="14.25" customHeight="1" x14ac:dyDescent="0.4">
      <c r="A47" s="1">
        <f t="shared" si="5"/>
        <v>47</v>
      </c>
      <c r="L47" s="9"/>
      <c r="V47" s="24"/>
    </row>
    <row r="48" spans="1:22" ht="14.25" customHeight="1" x14ac:dyDescent="0.4">
      <c r="A48" s="1">
        <f t="shared" si="5"/>
        <v>48</v>
      </c>
      <c r="L48" s="9"/>
      <c r="V48" s="24"/>
    </row>
    <row r="49" spans="1:22" ht="14.25" customHeight="1" x14ac:dyDescent="0.4">
      <c r="A49" s="1">
        <f t="shared" si="5"/>
        <v>49</v>
      </c>
      <c r="L49" s="9"/>
      <c r="V49" s="24"/>
    </row>
    <row r="50" spans="1:22" ht="14.25" customHeight="1" x14ac:dyDescent="0.4">
      <c r="A50" s="1">
        <f t="shared" si="5"/>
        <v>50</v>
      </c>
      <c r="L50" s="9"/>
      <c r="V50" s="24"/>
    </row>
    <row r="51" spans="1:22" ht="14.25" customHeight="1" x14ac:dyDescent="0.4">
      <c r="A51" s="1">
        <f t="shared" si="5"/>
        <v>51</v>
      </c>
      <c r="L51" s="9"/>
      <c r="V51" s="24"/>
    </row>
    <row r="52" spans="1:22" ht="14.25" customHeight="1" x14ac:dyDescent="0.4">
      <c r="A52" s="1">
        <f t="shared" si="5"/>
        <v>52</v>
      </c>
      <c r="L52" s="9"/>
      <c r="V52" s="24"/>
    </row>
    <row r="53" spans="1:22" ht="14.25" customHeight="1" x14ac:dyDescent="0.4">
      <c r="A53" s="1">
        <f t="shared" si="5"/>
        <v>53</v>
      </c>
      <c r="L53" s="9"/>
      <c r="V53" s="24"/>
    </row>
    <row r="54" spans="1:22" ht="14.25" customHeight="1" x14ac:dyDescent="0.4">
      <c r="A54" s="1">
        <f t="shared" si="5"/>
        <v>54</v>
      </c>
      <c r="L54" s="9"/>
      <c r="V54" s="24"/>
    </row>
    <row r="55" spans="1:22" ht="14.25" customHeight="1" x14ac:dyDescent="0.4">
      <c r="A55" s="1">
        <f t="shared" si="5"/>
        <v>55</v>
      </c>
      <c r="L55" s="9"/>
      <c r="V55" s="24"/>
    </row>
    <row r="56" spans="1:22" ht="14.25" customHeight="1" x14ac:dyDescent="0.4">
      <c r="A56" s="1">
        <f t="shared" si="5"/>
        <v>56</v>
      </c>
      <c r="L56" s="9"/>
      <c r="V56" s="24"/>
    </row>
    <row r="57" spans="1:22" ht="14.25" customHeight="1" x14ac:dyDescent="0.4">
      <c r="A57" s="1">
        <f t="shared" si="5"/>
        <v>57</v>
      </c>
      <c r="L57" s="9"/>
      <c r="V57" s="24"/>
    </row>
    <row r="58" spans="1:22" ht="14.25" customHeight="1" x14ac:dyDescent="0.4">
      <c r="A58" s="1">
        <f t="shared" si="5"/>
        <v>58</v>
      </c>
      <c r="L58" s="9"/>
      <c r="V58" s="24"/>
    </row>
    <row r="59" spans="1:22" ht="14.25" customHeight="1" x14ac:dyDescent="0.4">
      <c r="A59" s="1">
        <f t="shared" si="5"/>
        <v>59</v>
      </c>
      <c r="L59" s="9"/>
      <c r="V59" s="24"/>
    </row>
    <row r="60" spans="1:22" ht="14.25" customHeight="1" x14ac:dyDescent="0.4">
      <c r="A60" s="1">
        <f t="shared" si="5"/>
        <v>60</v>
      </c>
      <c r="L60" s="9"/>
      <c r="V60" s="24"/>
    </row>
    <row r="61" spans="1:22" ht="14.25" customHeight="1" x14ac:dyDescent="0.4">
      <c r="A61" s="1">
        <f t="shared" si="5"/>
        <v>61</v>
      </c>
      <c r="L61" s="9"/>
      <c r="V61" s="24"/>
    </row>
    <row r="62" spans="1:22" ht="14.25" customHeight="1" x14ac:dyDescent="0.4">
      <c r="A62" s="1">
        <f t="shared" si="5"/>
        <v>62</v>
      </c>
      <c r="L62" s="9"/>
      <c r="V62" s="24"/>
    </row>
    <row r="63" spans="1:22" ht="14.25" customHeight="1" x14ac:dyDescent="0.4">
      <c r="A63" s="1">
        <f t="shared" si="5"/>
        <v>63</v>
      </c>
      <c r="L63" s="9"/>
      <c r="V63" s="24"/>
    </row>
    <row r="64" spans="1:22" ht="14.25" customHeight="1" x14ac:dyDescent="0.4">
      <c r="A64" s="1">
        <f t="shared" si="5"/>
        <v>64</v>
      </c>
      <c r="L64" s="9"/>
      <c r="V64" s="24"/>
    </row>
    <row r="65" spans="1:22" ht="14.25" customHeight="1" x14ac:dyDescent="0.4">
      <c r="A65" s="1">
        <f t="shared" si="5"/>
        <v>65</v>
      </c>
      <c r="L65" s="9"/>
      <c r="V65" s="24"/>
    </row>
    <row r="66" spans="1:22" ht="14.25" customHeight="1" x14ac:dyDescent="0.4">
      <c r="A66" s="1">
        <f t="shared" ref="A66:A129" si="7">A65+1</f>
        <v>66</v>
      </c>
      <c r="L66" s="9"/>
      <c r="V66" s="24"/>
    </row>
    <row r="67" spans="1:22" ht="14.25" customHeight="1" x14ac:dyDescent="0.4">
      <c r="A67" s="1">
        <f t="shared" si="7"/>
        <v>67</v>
      </c>
      <c r="L67" s="9"/>
      <c r="V67" s="24"/>
    </row>
    <row r="68" spans="1:22" ht="14.25" customHeight="1" x14ac:dyDescent="0.4">
      <c r="A68" s="1">
        <f t="shared" si="7"/>
        <v>68</v>
      </c>
      <c r="L68" s="9"/>
      <c r="V68" s="24"/>
    </row>
    <row r="69" spans="1:22" ht="14.25" customHeight="1" x14ac:dyDescent="0.4">
      <c r="A69" s="1">
        <f t="shared" si="7"/>
        <v>69</v>
      </c>
      <c r="L69" s="9"/>
      <c r="V69" s="24"/>
    </row>
    <row r="70" spans="1:22" ht="14.25" customHeight="1" x14ac:dyDescent="0.4">
      <c r="A70" s="1">
        <f t="shared" si="7"/>
        <v>70</v>
      </c>
      <c r="L70" s="9"/>
      <c r="V70" s="24"/>
    </row>
    <row r="71" spans="1:22" ht="14.25" customHeight="1" x14ac:dyDescent="0.4">
      <c r="A71" s="1">
        <f t="shared" si="7"/>
        <v>71</v>
      </c>
      <c r="L71" s="9"/>
      <c r="V71" s="24"/>
    </row>
    <row r="72" spans="1:22" ht="14.25" customHeight="1" x14ac:dyDescent="0.4">
      <c r="A72" s="1">
        <f t="shared" si="7"/>
        <v>72</v>
      </c>
      <c r="L72" s="9"/>
      <c r="V72" s="24"/>
    </row>
    <row r="73" spans="1:22" ht="14.25" customHeight="1" x14ac:dyDescent="0.4">
      <c r="A73" s="1">
        <f t="shared" si="7"/>
        <v>73</v>
      </c>
      <c r="L73" s="9"/>
      <c r="V73" s="24"/>
    </row>
    <row r="74" spans="1:22" ht="14.25" customHeight="1" x14ac:dyDescent="0.4">
      <c r="A74" s="1">
        <f t="shared" si="7"/>
        <v>74</v>
      </c>
      <c r="L74" s="9"/>
      <c r="V74" s="24"/>
    </row>
    <row r="75" spans="1:22" ht="14.25" customHeight="1" x14ac:dyDescent="0.4">
      <c r="A75" s="1">
        <f t="shared" si="7"/>
        <v>75</v>
      </c>
      <c r="L75" s="9"/>
      <c r="V75" s="24"/>
    </row>
    <row r="76" spans="1:22" ht="14.25" customHeight="1" x14ac:dyDescent="0.4">
      <c r="A76" s="1">
        <f t="shared" si="7"/>
        <v>76</v>
      </c>
      <c r="L76" s="9"/>
      <c r="V76" s="24"/>
    </row>
    <row r="77" spans="1:22" ht="14.25" customHeight="1" x14ac:dyDescent="0.4">
      <c r="A77" s="1">
        <f t="shared" si="7"/>
        <v>77</v>
      </c>
      <c r="L77" s="9"/>
      <c r="V77" s="24"/>
    </row>
    <row r="78" spans="1:22" ht="14.25" customHeight="1" x14ac:dyDescent="0.4">
      <c r="A78" s="1">
        <f t="shared" si="7"/>
        <v>78</v>
      </c>
      <c r="L78" s="9"/>
      <c r="V78" s="24"/>
    </row>
    <row r="79" spans="1:22" ht="14.25" customHeight="1" x14ac:dyDescent="0.4">
      <c r="A79" s="1">
        <f t="shared" si="7"/>
        <v>79</v>
      </c>
      <c r="L79" s="9"/>
      <c r="V79" s="24"/>
    </row>
    <row r="80" spans="1:22" ht="14.25" customHeight="1" x14ac:dyDescent="0.4">
      <c r="A80" s="1">
        <f t="shared" si="7"/>
        <v>80</v>
      </c>
      <c r="L80" s="9"/>
      <c r="V80" s="24"/>
    </row>
    <row r="81" spans="1:22" ht="14.25" customHeight="1" x14ac:dyDescent="0.4">
      <c r="A81" s="1">
        <f t="shared" si="7"/>
        <v>81</v>
      </c>
      <c r="L81" s="9"/>
      <c r="V81" s="24"/>
    </row>
    <row r="82" spans="1:22" ht="14.25" customHeight="1" x14ac:dyDescent="0.4">
      <c r="A82" s="1">
        <f t="shared" si="7"/>
        <v>82</v>
      </c>
      <c r="L82" s="9"/>
      <c r="V82" s="24"/>
    </row>
    <row r="83" spans="1:22" ht="14.25" customHeight="1" x14ac:dyDescent="0.4">
      <c r="A83" s="1">
        <f t="shared" si="7"/>
        <v>83</v>
      </c>
      <c r="L83" s="9"/>
      <c r="V83" s="24"/>
    </row>
    <row r="84" spans="1:22" ht="14.25" customHeight="1" x14ac:dyDescent="0.4">
      <c r="A84" s="1">
        <f t="shared" si="7"/>
        <v>84</v>
      </c>
      <c r="L84" s="9"/>
      <c r="V84" s="24"/>
    </row>
    <row r="85" spans="1:22" ht="14.25" customHeight="1" x14ac:dyDescent="0.4">
      <c r="A85" s="1">
        <f t="shared" si="7"/>
        <v>85</v>
      </c>
      <c r="L85" s="9"/>
      <c r="V85" s="24"/>
    </row>
    <row r="86" spans="1:22" ht="14.25" customHeight="1" x14ac:dyDescent="0.4">
      <c r="A86" s="1">
        <f t="shared" si="7"/>
        <v>86</v>
      </c>
      <c r="L86" s="9"/>
      <c r="V86" s="24"/>
    </row>
    <row r="87" spans="1:22" ht="14.25" customHeight="1" x14ac:dyDescent="0.4">
      <c r="A87" s="1">
        <f t="shared" si="7"/>
        <v>87</v>
      </c>
      <c r="L87" s="9"/>
      <c r="V87" s="24"/>
    </row>
    <row r="88" spans="1:22" ht="14.25" customHeight="1" x14ac:dyDescent="0.4">
      <c r="A88" s="1">
        <f t="shared" si="7"/>
        <v>88</v>
      </c>
      <c r="L88" s="9"/>
    </row>
    <row r="89" spans="1:22" ht="14.25" customHeight="1" x14ac:dyDescent="0.4">
      <c r="A89" s="1">
        <f t="shared" si="7"/>
        <v>89</v>
      </c>
      <c r="L89" s="9"/>
    </row>
    <row r="90" spans="1:22" ht="14.25" customHeight="1" x14ac:dyDescent="0.4">
      <c r="A90" s="1">
        <f t="shared" si="7"/>
        <v>90</v>
      </c>
      <c r="L90" s="9"/>
    </row>
    <row r="91" spans="1:22" ht="14.25" customHeight="1" x14ac:dyDescent="0.4">
      <c r="A91" s="1">
        <f t="shared" si="7"/>
        <v>91</v>
      </c>
      <c r="L91" s="9"/>
    </row>
    <row r="92" spans="1:22" ht="14.25" customHeight="1" x14ac:dyDescent="0.4">
      <c r="A92" s="1">
        <f t="shared" si="7"/>
        <v>92</v>
      </c>
      <c r="L92" s="9"/>
    </row>
    <row r="93" spans="1:22" ht="14.25" customHeight="1" x14ac:dyDescent="0.4">
      <c r="A93" s="1">
        <f t="shared" si="7"/>
        <v>93</v>
      </c>
      <c r="L93" s="9"/>
    </row>
    <row r="94" spans="1:22" ht="14.25" customHeight="1" x14ac:dyDescent="0.4">
      <c r="A94" s="1">
        <f t="shared" si="7"/>
        <v>94</v>
      </c>
      <c r="L94" s="9"/>
    </row>
    <row r="95" spans="1:22" ht="14.25" customHeight="1" x14ac:dyDescent="0.4">
      <c r="A95" s="1">
        <f t="shared" si="7"/>
        <v>95</v>
      </c>
      <c r="L95" s="9"/>
    </row>
    <row r="96" spans="1:22" ht="14.25" customHeight="1" x14ac:dyDescent="0.4">
      <c r="A96" s="1">
        <f t="shared" si="7"/>
        <v>96</v>
      </c>
      <c r="L96" s="9"/>
    </row>
    <row r="97" spans="1:12" ht="14.25" customHeight="1" x14ac:dyDescent="0.4">
      <c r="A97" s="1">
        <f t="shared" si="7"/>
        <v>97</v>
      </c>
      <c r="L97" s="9"/>
    </row>
    <row r="98" spans="1:12" ht="14.25" customHeight="1" x14ac:dyDescent="0.4">
      <c r="A98" s="1">
        <f t="shared" si="7"/>
        <v>98</v>
      </c>
      <c r="L98" s="9"/>
    </row>
    <row r="99" spans="1:12" ht="14.25" customHeight="1" x14ac:dyDescent="0.4">
      <c r="A99" s="1">
        <f t="shared" si="7"/>
        <v>99</v>
      </c>
      <c r="L99" s="9"/>
    </row>
    <row r="100" spans="1:12" ht="14.25" customHeight="1" x14ac:dyDescent="0.4">
      <c r="A100" s="1">
        <f t="shared" si="7"/>
        <v>100</v>
      </c>
      <c r="L100" s="9"/>
    </row>
    <row r="101" spans="1:12" ht="14.25" customHeight="1" x14ac:dyDescent="0.4">
      <c r="A101" s="1">
        <f t="shared" si="7"/>
        <v>101</v>
      </c>
      <c r="L101" s="9"/>
    </row>
    <row r="102" spans="1:12" ht="14.25" customHeight="1" x14ac:dyDescent="0.4">
      <c r="A102" s="1">
        <f t="shared" si="7"/>
        <v>102</v>
      </c>
      <c r="L102" s="9"/>
    </row>
    <row r="103" spans="1:12" ht="14.25" customHeight="1" x14ac:dyDescent="0.4">
      <c r="A103" s="1">
        <f t="shared" si="7"/>
        <v>103</v>
      </c>
      <c r="L103" s="9"/>
    </row>
    <row r="104" spans="1:12" ht="14.25" customHeight="1" x14ac:dyDescent="0.4">
      <c r="A104" s="1">
        <f t="shared" si="7"/>
        <v>104</v>
      </c>
      <c r="L104" s="9"/>
    </row>
    <row r="105" spans="1:12" ht="14.25" customHeight="1" x14ac:dyDescent="0.4">
      <c r="A105" s="1">
        <f t="shared" si="7"/>
        <v>105</v>
      </c>
      <c r="L105" s="9"/>
    </row>
    <row r="106" spans="1:12" ht="14.25" customHeight="1" x14ac:dyDescent="0.4">
      <c r="A106" s="1">
        <f t="shared" si="7"/>
        <v>106</v>
      </c>
      <c r="L106" s="9"/>
    </row>
    <row r="107" spans="1:12" ht="14.25" customHeight="1" x14ac:dyDescent="0.4">
      <c r="A107" s="1">
        <f t="shared" si="7"/>
        <v>107</v>
      </c>
      <c r="L107" s="9"/>
    </row>
    <row r="108" spans="1:12" ht="14.25" customHeight="1" x14ac:dyDescent="0.4">
      <c r="A108" s="1">
        <f t="shared" si="7"/>
        <v>108</v>
      </c>
      <c r="L108" s="9"/>
    </row>
    <row r="109" spans="1:12" ht="14.25" customHeight="1" x14ac:dyDescent="0.4">
      <c r="A109" s="1">
        <f t="shared" si="7"/>
        <v>109</v>
      </c>
      <c r="L109" s="9"/>
    </row>
    <row r="110" spans="1:12" ht="14.25" customHeight="1" x14ac:dyDescent="0.4">
      <c r="A110" s="1">
        <f t="shared" si="7"/>
        <v>110</v>
      </c>
      <c r="L110" s="9"/>
    </row>
    <row r="111" spans="1:12" ht="14.25" customHeight="1" x14ac:dyDescent="0.4">
      <c r="A111" s="1">
        <f t="shared" si="7"/>
        <v>111</v>
      </c>
      <c r="L111" s="9"/>
    </row>
    <row r="112" spans="1:12" ht="14.25" customHeight="1" x14ac:dyDescent="0.4">
      <c r="A112" s="1">
        <f t="shared" si="7"/>
        <v>112</v>
      </c>
      <c r="L112" s="9"/>
    </row>
    <row r="113" spans="1:12" ht="14.25" customHeight="1" x14ac:dyDescent="0.4">
      <c r="A113" s="1">
        <f t="shared" si="7"/>
        <v>113</v>
      </c>
      <c r="L113" s="9"/>
    </row>
    <row r="114" spans="1:12" ht="14.25" customHeight="1" x14ac:dyDescent="0.4">
      <c r="A114" s="1">
        <f t="shared" si="7"/>
        <v>114</v>
      </c>
      <c r="L114" s="9"/>
    </row>
    <row r="115" spans="1:12" ht="14.25" customHeight="1" x14ac:dyDescent="0.4">
      <c r="A115" s="1">
        <f t="shared" si="7"/>
        <v>115</v>
      </c>
      <c r="L115" s="9"/>
    </row>
    <row r="116" spans="1:12" ht="14.25" customHeight="1" x14ac:dyDescent="0.4">
      <c r="A116" s="1">
        <f t="shared" si="7"/>
        <v>116</v>
      </c>
      <c r="L116" s="9"/>
    </row>
    <row r="117" spans="1:12" ht="14.25" customHeight="1" x14ac:dyDescent="0.4">
      <c r="A117" s="1">
        <f t="shared" si="7"/>
        <v>117</v>
      </c>
      <c r="L117" s="9"/>
    </row>
    <row r="118" spans="1:12" ht="14.25" customHeight="1" x14ac:dyDescent="0.4">
      <c r="A118" s="1">
        <f t="shared" si="7"/>
        <v>118</v>
      </c>
      <c r="L118" s="9"/>
    </row>
    <row r="119" spans="1:12" ht="14.25" customHeight="1" x14ac:dyDescent="0.4">
      <c r="A119" s="1">
        <f t="shared" si="7"/>
        <v>119</v>
      </c>
      <c r="L119" s="9"/>
    </row>
    <row r="120" spans="1:12" ht="14.25" customHeight="1" x14ac:dyDescent="0.4">
      <c r="A120" s="1">
        <f t="shared" si="7"/>
        <v>120</v>
      </c>
      <c r="L120" s="9"/>
    </row>
    <row r="121" spans="1:12" ht="14.25" customHeight="1" x14ac:dyDescent="0.4">
      <c r="A121" s="1">
        <f t="shared" si="7"/>
        <v>121</v>
      </c>
      <c r="L121" s="9"/>
    </row>
    <row r="122" spans="1:12" ht="14.25" customHeight="1" x14ac:dyDescent="0.4">
      <c r="A122" s="1">
        <f t="shared" si="7"/>
        <v>122</v>
      </c>
      <c r="L122" s="9"/>
    </row>
    <row r="123" spans="1:12" ht="14.25" customHeight="1" x14ac:dyDescent="0.4">
      <c r="A123" s="1">
        <f t="shared" si="7"/>
        <v>123</v>
      </c>
      <c r="L123" s="9"/>
    </row>
    <row r="124" spans="1:12" ht="14.25" customHeight="1" x14ac:dyDescent="0.4">
      <c r="A124" s="1">
        <f t="shared" si="7"/>
        <v>124</v>
      </c>
      <c r="L124" s="9"/>
    </row>
    <row r="125" spans="1:12" ht="14.25" customHeight="1" x14ac:dyDescent="0.4">
      <c r="A125" s="1">
        <f t="shared" si="7"/>
        <v>125</v>
      </c>
      <c r="L125" s="9"/>
    </row>
    <row r="126" spans="1:12" ht="14.25" customHeight="1" x14ac:dyDescent="0.4">
      <c r="A126" s="1">
        <f t="shared" si="7"/>
        <v>126</v>
      </c>
      <c r="L126" s="9"/>
    </row>
    <row r="127" spans="1:12" ht="14.25" customHeight="1" x14ac:dyDescent="0.4">
      <c r="A127" s="1">
        <f t="shared" si="7"/>
        <v>127</v>
      </c>
      <c r="L127" s="9"/>
    </row>
    <row r="128" spans="1:12" ht="14.25" customHeight="1" x14ac:dyDescent="0.4">
      <c r="A128" s="1">
        <f t="shared" si="7"/>
        <v>128</v>
      </c>
      <c r="L128" s="9"/>
    </row>
    <row r="129" spans="1:12" ht="14.25" customHeight="1" x14ac:dyDescent="0.4">
      <c r="A129" s="1">
        <f t="shared" si="7"/>
        <v>129</v>
      </c>
      <c r="L129" s="9"/>
    </row>
    <row r="130" spans="1:12" ht="14.25" customHeight="1" x14ac:dyDescent="0.4">
      <c r="A130" s="1">
        <f t="shared" ref="A130:A131" si="8">A129+1</f>
        <v>130</v>
      </c>
      <c r="L130" s="9"/>
    </row>
    <row r="131" spans="1:12" ht="14.25" customHeight="1" x14ac:dyDescent="0.4">
      <c r="A131" s="1">
        <f t="shared" si="8"/>
        <v>131</v>
      </c>
      <c r="L131" s="9"/>
    </row>
    <row r="132" spans="1:12" ht="14.25" customHeight="1" x14ac:dyDescent="0.4">
      <c r="L132" s="9"/>
    </row>
    <row r="133" spans="1:12" ht="14.25" customHeight="1" x14ac:dyDescent="0.4">
      <c r="L133" s="9"/>
    </row>
    <row r="134" spans="1:12" ht="14.25" customHeight="1" x14ac:dyDescent="0.4">
      <c r="L134" s="9"/>
    </row>
    <row r="135" spans="1:12" ht="14.25" customHeight="1" x14ac:dyDescent="0.4">
      <c r="L135" s="9"/>
    </row>
    <row r="136" spans="1:12" ht="14.25" customHeight="1" x14ac:dyDescent="0.4">
      <c r="L136" s="9"/>
    </row>
    <row r="137" spans="1:12" ht="14.25" customHeight="1" x14ac:dyDescent="0.4">
      <c r="L137" s="9"/>
    </row>
    <row r="138" spans="1:12" ht="14.25" customHeight="1" x14ac:dyDescent="0.4">
      <c r="L138" s="9"/>
    </row>
    <row r="139" spans="1:12" ht="14.25" customHeight="1" x14ac:dyDescent="0.4">
      <c r="L139" s="9"/>
    </row>
    <row r="140" spans="1:12" ht="14.25" customHeight="1" x14ac:dyDescent="0.4">
      <c r="L140" s="9"/>
    </row>
    <row r="141" spans="1:12" ht="14.25" customHeight="1" x14ac:dyDescent="0.4">
      <c r="L141" s="9"/>
    </row>
    <row r="142" spans="1:12" ht="14.25" customHeight="1" x14ac:dyDescent="0.4">
      <c r="L142" s="9"/>
    </row>
    <row r="143" spans="1:12" ht="14.25" customHeight="1" x14ac:dyDescent="0.4">
      <c r="L143" s="9"/>
    </row>
    <row r="144" spans="1:12" ht="14.25" customHeight="1" x14ac:dyDescent="0.4">
      <c r="L144" s="9"/>
    </row>
    <row r="145" spans="12:12" ht="14.25" customHeight="1" x14ac:dyDescent="0.4">
      <c r="L145" s="9"/>
    </row>
    <row r="146" spans="12:12" ht="14.25" customHeight="1" x14ac:dyDescent="0.4">
      <c r="L146" s="9"/>
    </row>
    <row r="147" spans="12:12" ht="14.25" customHeight="1" x14ac:dyDescent="0.4">
      <c r="L147" s="9"/>
    </row>
    <row r="148" spans="12:12" ht="14.25" customHeight="1" x14ac:dyDescent="0.4">
      <c r="L148" s="9"/>
    </row>
    <row r="149" spans="12:12" ht="14.25" customHeight="1" x14ac:dyDescent="0.4">
      <c r="L149" s="9"/>
    </row>
    <row r="150" spans="12:12" ht="14.25" customHeight="1" x14ac:dyDescent="0.4">
      <c r="L150" s="9"/>
    </row>
    <row r="151" spans="12:12" ht="14.25" customHeight="1" x14ac:dyDescent="0.4">
      <c r="L151" s="9"/>
    </row>
    <row r="152" spans="12:12" ht="14.25" customHeight="1" x14ac:dyDescent="0.4">
      <c r="L152" s="9"/>
    </row>
    <row r="153" spans="12:12" ht="14.25" customHeight="1" x14ac:dyDescent="0.4">
      <c r="L153" s="9"/>
    </row>
    <row r="154" spans="12:12" ht="14.25" customHeight="1" x14ac:dyDescent="0.4">
      <c r="L154" s="9"/>
    </row>
    <row r="155" spans="12:12" ht="14.25" customHeight="1" x14ac:dyDescent="0.4">
      <c r="L155" s="9"/>
    </row>
    <row r="156" spans="12:12" ht="14.25" customHeight="1" x14ac:dyDescent="0.4">
      <c r="L156" s="9"/>
    </row>
    <row r="157" spans="12:12" ht="14.25" customHeight="1" x14ac:dyDescent="0.4">
      <c r="L157" s="9"/>
    </row>
    <row r="158" spans="12:12" ht="14.25" customHeight="1" x14ac:dyDescent="0.4">
      <c r="L158" s="9"/>
    </row>
    <row r="159" spans="12:12" ht="14.25" customHeight="1" x14ac:dyDescent="0.4">
      <c r="L159" s="9"/>
    </row>
    <row r="160" spans="12:12" ht="14.25" customHeight="1" x14ac:dyDescent="0.4">
      <c r="L160" s="9"/>
    </row>
    <row r="161" spans="12:12" ht="14.25" customHeight="1" x14ac:dyDescent="0.4">
      <c r="L161" s="9"/>
    </row>
    <row r="162" spans="12:12" ht="14.25" customHeight="1" x14ac:dyDescent="0.4">
      <c r="L162" s="9"/>
    </row>
    <row r="163" spans="12:12" ht="14.25" customHeight="1" x14ac:dyDescent="0.4">
      <c r="L163" s="9"/>
    </row>
    <row r="164" spans="12:12" ht="14.25" customHeight="1" x14ac:dyDescent="0.4">
      <c r="L164" s="9"/>
    </row>
    <row r="165" spans="12:12" ht="14.25" customHeight="1" x14ac:dyDescent="0.4">
      <c r="L165" s="9"/>
    </row>
    <row r="166" spans="12:12" ht="14.25" customHeight="1" x14ac:dyDescent="0.4">
      <c r="L166" s="9"/>
    </row>
    <row r="167" spans="12:12" ht="14.25" customHeight="1" x14ac:dyDescent="0.4">
      <c r="L167" s="9"/>
    </row>
    <row r="168" spans="12:12" ht="14.25" customHeight="1" x14ac:dyDescent="0.4">
      <c r="L168" s="9"/>
    </row>
    <row r="169" spans="12:12" ht="14.25" customHeight="1" x14ac:dyDescent="0.4">
      <c r="L169" s="9"/>
    </row>
    <row r="170" spans="12:12" ht="14.25" customHeight="1" x14ac:dyDescent="0.4">
      <c r="L170" s="9"/>
    </row>
    <row r="171" spans="12:12" ht="14.25" customHeight="1" x14ac:dyDescent="0.4">
      <c r="L171" s="9"/>
    </row>
    <row r="172" spans="12:12" ht="14.25" customHeight="1" x14ac:dyDescent="0.4">
      <c r="L172" s="9"/>
    </row>
    <row r="173" spans="12:12" ht="14.25" customHeight="1" x14ac:dyDescent="0.4">
      <c r="L173" s="9"/>
    </row>
    <row r="174" spans="12:12" ht="14.25" customHeight="1" x14ac:dyDescent="0.4">
      <c r="L174" s="9"/>
    </row>
    <row r="175" spans="12:12" ht="14.25" customHeight="1" x14ac:dyDescent="0.4">
      <c r="L175" s="9"/>
    </row>
    <row r="176" spans="12:12" ht="14.25" customHeight="1" x14ac:dyDescent="0.4">
      <c r="L176" s="9"/>
    </row>
    <row r="177" spans="12:12" ht="14.25" customHeight="1" x14ac:dyDescent="0.4">
      <c r="L177" s="9"/>
    </row>
    <row r="178" spans="12:12" ht="14.25" customHeight="1" x14ac:dyDescent="0.4">
      <c r="L178" s="9"/>
    </row>
    <row r="179" spans="12:12" ht="14.25" customHeight="1" x14ac:dyDescent="0.4">
      <c r="L179" s="9"/>
    </row>
    <row r="180" spans="12:12" ht="14.25" customHeight="1" x14ac:dyDescent="0.4">
      <c r="L180" s="9"/>
    </row>
    <row r="181" spans="12:12" ht="14.25" customHeight="1" x14ac:dyDescent="0.4">
      <c r="L181" s="9"/>
    </row>
    <row r="182" spans="12:12" ht="14.25" customHeight="1" x14ac:dyDescent="0.4">
      <c r="L182" s="9"/>
    </row>
    <row r="183" spans="12:12" ht="14.25" customHeight="1" x14ac:dyDescent="0.4">
      <c r="L183" s="9"/>
    </row>
    <row r="184" spans="12:12" ht="14.25" customHeight="1" x14ac:dyDescent="0.4">
      <c r="L184" s="9"/>
    </row>
    <row r="185" spans="12:12" ht="14.25" customHeight="1" x14ac:dyDescent="0.4">
      <c r="L185" s="9"/>
    </row>
    <row r="186" spans="12:12" ht="14.25" customHeight="1" x14ac:dyDescent="0.4">
      <c r="L186" s="9"/>
    </row>
    <row r="187" spans="12:12" ht="14.25" customHeight="1" x14ac:dyDescent="0.4">
      <c r="L187" s="9"/>
    </row>
    <row r="188" spans="12:12" ht="14.25" customHeight="1" x14ac:dyDescent="0.4">
      <c r="L188" s="9"/>
    </row>
    <row r="189" spans="12:12" ht="14.25" customHeight="1" x14ac:dyDescent="0.4">
      <c r="L189" s="9"/>
    </row>
    <row r="190" spans="12:12" ht="14.25" customHeight="1" x14ac:dyDescent="0.4">
      <c r="L190" s="9"/>
    </row>
    <row r="191" spans="12:12" ht="14.25" customHeight="1" x14ac:dyDescent="0.4">
      <c r="L191" s="9"/>
    </row>
    <row r="192" spans="12:12" ht="14.25" customHeight="1" x14ac:dyDescent="0.4">
      <c r="L192" s="9"/>
    </row>
    <row r="193" spans="12:12" ht="14.25" customHeight="1" x14ac:dyDescent="0.4">
      <c r="L193" s="9"/>
    </row>
    <row r="194" spans="12:12" ht="14.25" customHeight="1" x14ac:dyDescent="0.4">
      <c r="L194" s="9"/>
    </row>
    <row r="195" spans="12:12" ht="14.25" customHeight="1" x14ac:dyDescent="0.4">
      <c r="L195" s="9"/>
    </row>
    <row r="196" spans="12:12" ht="14.25" customHeight="1" x14ac:dyDescent="0.4">
      <c r="L196" s="9"/>
    </row>
    <row r="197" spans="12:12" ht="14.25" customHeight="1" x14ac:dyDescent="0.4">
      <c r="L197" s="9"/>
    </row>
    <row r="198" spans="12:12" ht="14.25" customHeight="1" x14ac:dyDescent="0.4">
      <c r="L198" s="9"/>
    </row>
    <row r="199" spans="12:12" ht="14.25" customHeight="1" x14ac:dyDescent="0.4">
      <c r="L199" s="9"/>
    </row>
    <row r="200" spans="12:12" ht="14.25" customHeight="1" x14ac:dyDescent="0.4">
      <c r="L200" s="9"/>
    </row>
    <row r="201" spans="12:12" ht="14.25" customHeight="1" x14ac:dyDescent="0.4">
      <c r="L201" s="9"/>
    </row>
    <row r="202" spans="12:12" ht="14.25" customHeight="1" x14ac:dyDescent="0.4">
      <c r="L202" s="9"/>
    </row>
    <row r="203" spans="12:12" ht="14.25" customHeight="1" x14ac:dyDescent="0.4">
      <c r="L203" s="9"/>
    </row>
    <row r="204" spans="12:12" ht="14.25" customHeight="1" x14ac:dyDescent="0.4">
      <c r="L204" s="9"/>
    </row>
    <row r="205" spans="12:12" ht="14.25" customHeight="1" x14ac:dyDescent="0.4">
      <c r="L205" s="9"/>
    </row>
    <row r="206" spans="12:12" ht="14.25" customHeight="1" x14ac:dyDescent="0.4">
      <c r="L206" s="9"/>
    </row>
    <row r="207" spans="12:12" ht="14.25" customHeight="1" x14ac:dyDescent="0.4">
      <c r="L207" s="9"/>
    </row>
    <row r="208" spans="12:12" ht="14.25" customHeight="1" x14ac:dyDescent="0.4">
      <c r="L208" s="9"/>
    </row>
    <row r="209" spans="12:12" ht="14.25" customHeight="1" x14ac:dyDescent="0.4">
      <c r="L209" s="9"/>
    </row>
    <row r="210" spans="12:12" ht="14.25" customHeight="1" x14ac:dyDescent="0.4">
      <c r="L210" s="9"/>
    </row>
    <row r="211" spans="12:12" ht="14.25" customHeight="1" x14ac:dyDescent="0.4">
      <c r="L211" s="9"/>
    </row>
    <row r="212" spans="12:12" ht="14.25" customHeight="1" x14ac:dyDescent="0.4">
      <c r="L212" s="9"/>
    </row>
    <row r="213" spans="12:12" ht="14.25" customHeight="1" x14ac:dyDescent="0.4">
      <c r="L213" s="9"/>
    </row>
    <row r="214" spans="12:12" ht="14.25" customHeight="1" x14ac:dyDescent="0.4">
      <c r="L214" s="9"/>
    </row>
    <row r="215" spans="12:12" ht="14.25" customHeight="1" x14ac:dyDescent="0.4">
      <c r="L215" s="9"/>
    </row>
    <row r="216" spans="12:12" ht="14.25" customHeight="1" x14ac:dyDescent="0.4">
      <c r="L216" s="9"/>
    </row>
    <row r="217" spans="12:12" ht="14.25" customHeight="1" x14ac:dyDescent="0.4">
      <c r="L217" s="9"/>
    </row>
    <row r="218" spans="12:12" ht="14.25" customHeight="1" x14ac:dyDescent="0.4">
      <c r="L218" s="9"/>
    </row>
    <row r="219" spans="12:12" ht="14.25" customHeight="1" x14ac:dyDescent="0.4">
      <c r="L219" s="9"/>
    </row>
    <row r="220" spans="12:12" ht="14.25" customHeight="1" x14ac:dyDescent="0.4">
      <c r="L220" s="9"/>
    </row>
    <row r="221" spans="12:12" ht="14.25" customHeight="1" x14ac:dyDescent="0.4">
      <c r="L221" s="9"/>
    </row>
    <row r="222" spans="12:12" ht="14.25" customHeight="1" x14ac:dyDescent="0.4">
      <c r="L222" s="9"/>
    </row>
    <row r="223" spans="12:12" ht="14.25" customHeight="1" x14ac:dyDescent="0.4">
      <c r="L223" s="9"/>
    </row>
    <row r="224" spans="12:12" ht="14.25" customHeight="1" x14ac:dyDescent="0.4">
      <c r="L224" s="9"/>
    </row>
    <row r="225" spans="12:12" ht="14.25" customHeight="1" x14ac:dyDescent="0.4">
      <c r="L225" s="9"/>
    </row>
    <row r="226" spans="12:12" ht="14.25" customHeight="1" x14ac:dyDescent="0.4">
      <c r="L226" s="9"/>
    </row>
    <row r="227" spans="12:12" ht="14.25" customHeight="1" x14ac:dyDescent="0.4">
      <c r="L227" s="9"/>
    </row>
    <row r="228" spans="12:12" ht="14.25" customHeight="1" x14ac:dyDescent="0.4">
      <c r="L228" s="9"/>
    </row>
    <row r="229" spans="12:12" ht="14.25" customHeight="1" x14ac:dyDescent="0.4">
      <c r="L229" s="9"/>
    </row>
    <row r="230" spans="12:12" ht="14.25" customHeight="1" x14ac:dyDescent="0.4">
      <c r="L230" s="9"/>
    </row>
    <row r="231" spans="12:12" ht="14.25" customHeight="1" x14ac:dyDescent="0.4">
      <c r="L231" s="9"/>
    </row>
    <row r="232" spans="12:12" ht="14.25" customHeight="1" x14ac:dyDescent="0.4">
      <c r="L232" s="9"/>
    </row>
    <row r="233" spans="12:12" ht="14.25" customHeight="1" x14ac:dyDescent="0.4">
      <c r="L233" s="9"/>
    </row>
    <row r="234" spans="12:12" ht="14.25" customHeight="1" x14ac:dyDescent="0.4">
      <c r="L234" s="9"/>
    </row>
    <row r="235" spans="12:12" ht="14.25" customHeight="1" x14ac:dyDescent="0.4">
      <c r="L235" s="9"/>
    </row>
    <row r="236" spans="12:12" ht="14.25" customHeight="1" x14ac:dyDescent="0.4">
      <c r="L236" s="9"/>
    </row>
    <row r="237" spans="12:12" ht="14.25" customHeight="1" x14ac:dyDescent="0.4">
      <c r="L237" s="9"/>
    </row>
    <row r="238" spans="12:12" ht="14.25" customHeight="1" x14ac:dyDescent="0.4">
      <c r="L238" s="9"/>
    </row>
    <row r="239" spans="12:12" ht="14.25" customHeight="1" x14ac:dyDescent="0.4">
      <c r="L239" s="9"/>
    </row>
    <row r="240" spans="12:12" ht="14.25" customHeight="1" x14ac:dyDescent="0.4">
      <c r="L240" s="9"/>
    </row>
    <row r="241" spans="12:12" ht="14.25" customHeight="1" x14ac:dyDescent="0.4">
      <c r="L241" s="9"/>
    </row>
    <row r="242" spans="12:12" ht="14.25" customHeight="1" x14ac:dyDescent="0.4">
      <c r="L242" s="9"/>
    </row>
    <row r="243" spans="12:12" ht="14.25" customHeight="1" x14ac:dyDescent="0.4">
      <c r="L243" s="9"/>
    </row>
    <row r="244" spans="12:12" ht="14.25" customHeight="1" x14ac:dyDescent="0.4">
      <c r="L244" s="9"/>
    </row>
    <row r="245" spans="12:12" ht="14.25" customHeight="1" x14ac:dyDescent="0.4">
      <c r="L245" s="9"/>
    </row>
    <row r="246" spans="12:12" ht="14.25" customHeight="1" x14ac:dyDescent="0.4">
      <c r="L246" s="9"/>
    </row>
    <row r="247" spans="12:12" ht="14.25" customHeight="1" x14ac:dyDescent="0.4">
      <c r="L247" s="9"/>
    </row>
    <row r="248" spans="12:12" ht="14.25" customHeight="1" x14ac:dyDescent="0.4">
      <c r="L248" s="9"/>
    </row>
    <row r="249" spans="12:12" ht="14.25" customHeight="1" x14ac:dyDescent="0.4">
      <c r="L249" s="9"/>
    </row>
    <row r="250" spans="12:12" ht="14.25" customHeight="1" x14ac:dyDescent="0.4">
      <c r="L250" s="9"/>
    </row>
    <row r="251" spans="12:12" ht="14.25" customHeight="1" x14ac:dyDescent="0.4">
      <c r="L251" s="9"/>
    </row>
    <row r="252" spans="12:12" ht="14.25" customHeight="1" x14ac:dyDescent="0.4">
      <c r="L252" s="9"/>
    </row>
    <row r="253" spans="12:12" ht="14.25" customHeight="1" x14ac:dyDescent="0.4">
      <c r="L253" s="9"/>
    </row>
    <row r="254" spans="12:12" ht="14.25" customHeight="1" x14ac:dyDescent="0.4"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D9:E9"/>
    <mergeCell ref="I9:J9"/>
    <mergeCell ref="N9:O9"/>
    <mergeCell ref="D6:Q6"/>
    <mergeCell ref="I5:J5"/>
    <mergeCell ref="S8:V9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2023-05-03T12:31:06Z</dcterms:modified>
</cp:coreProperties>
</file>