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A245123C-EC02-4F04-BE56-FD0AE9187277}" xr6:coauthVersionLast="47" xr6:coauthVersionMax="47" xr10:uidLastSave="{00000000-0000-0000-0000-000000000000}"/>
  <bookViews>
    <workbookView xWindow="-96" yWindow="0" windowWidth="11712" windowHeight="1233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<sst xmlns="http://schemas.openxmlformats.org/spreadsheetml/2006/main" count="124" uniqueCount="89">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</sst>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2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</row>
    <row r="3" spans="1:41" x14ac:dyDescent="0.4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</row>
    <row r="4" spans="1:41" x14ac:dyDescent="0.4">
      <c r="A4" s="1">
        <f>4</f>
        <v>4</v>
      </c>
      <c r="B4" s="55" t="s">
        <v>1</v>
      </c>
      <c r="C4" s="55"/>
      <c r="D4" s="57">
        <v>1</v>
      </c>
      <c r="E4" s="57"/>
      <c r="G4" s="146" t="s">
        <v>88</v>
      </c>
      <c r="H4" s="147">
        <v>0</v>
      </c>
    </row>
    <row r="5" spans="1:41" x14ac:dyDescent="0.4">
      <c r="A5" s="1">
        <f>A4+1</f>
        <v>5</v>
      </c>
      <c r="B5" s="55" t="s">
        <v>29</v>
      </c>
      <c r="C5" s="55"/>
      <c r="D5" s="56">
        <v>44815</v>
      </c>
      <c r="E5" s="57"/>
      <c r="G5" s="63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4"/>
      <c r="H6" s="65" t="s">
        <v>4</v>
      </c>
      <c r="I6" s="59"/>
      <c r="L6" s="50" t="s">
        <v>74</v>
      </c>
      <c r="M6" s="50"/>
      <c r="N6" s="50"/>
      <c r="O6" s="58" t="s">
        <v>75</v>
      </c>
      <c r="P6" s="59"/>
      <c r="R6" s="50" t="s">
        <v>5</v>
      </c>
      <c r="S6" s="50"/>
      <c r="T6" s="50"/>
    </row>
    <row r="7" spans="1:41" x14ac:dyDescent="0.4">
      <c r="A7" s="1">
        <f t="shared" si="1"/>
        <v>7</v>
      </c>
      <c r="B7" s="55" t="s">
        <v>6</v>
      </c>
      <c r="C7" s="55"/>
      <c r="D7" s="57">
        <v>0</v>
      </c>
      <c r="E7" s="57"/>
      <c r="G7" s="64"/>
      <c r="H7" s="60"/>
      <c r="I7" s="61"/>
      <c r="L7" s="50"/>
      <c r="M7" s="50"/>
      <c r="N7" s="50"/>
      <c r="O7" s="60"/>
      <c r="P7" s="61"/>
      <c r="R7" s="50"/>
      <c r="S7" s="50"/>
      <c r="T7" s="50"/>
    </row>
    <row r="8" spans="1:41" x14ac:dyDescent="0.4">
      <c r="A8" s="1">
        <f t="shared" si="1"/>
        <v>8</v>
      </c>
      <c r="B8" s="55" t="s">
        <v>7</v>
      </c>
      <c r="C8" s="55"/>
      <c r="D8" s="57">
        <v>0.01</v>
      </c>
      <c r="E8" s="57"/>
      <c r="G8" s="64"/>
      <c r="I8" s="3" t="s">
        <v>8</v>
      </c>
      <c r="J8" s="3" t="s">
        <v>9</v>
      </c>
      <c r="K8" s="3" t="s">
        <v>10</v>
      </c>
      <c r="R8" s="50" t="s">
        <v>11</v>
      </c>
      <c r="S8" s="50"/>
      <c r="T8" s="4">
        <v>3</v>
      </c>
    </row>
    <row r="9" spans="1:41" x14ac:dyDescent="0.4">
      <c r="A9" s="1">
        <f t="shared" si="1"/>
        <v>9</v>
      </c>
      <c r="G9" s="64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4"/>
      <c r="H10" s="8" t="s">
        <v>13</v>
      </c>
      <c r="I10" s="51" t="s">
        <v>14</v>
      </c>
      <c r="J10" s="52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64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64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66" t="s">
        <v>23</v>
      </c>
      <c r="E13" s="66"/>
      <c r="G13" s="64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66"/>
      <c r="E14" s="66"/>
      <c r="G14" s="64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66"/>
      <c r="E15" s="66"/>
      <c r="G15" s="64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4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67">
        <v>45202.835729166669</v>
      </c>
      <c r="E17" s="67"/>
      <c r="G17" s="64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67">
        <v>45202.835729166669</v>
      </c>
      <c r="E18" s="67"/>
      <c r="G18" s="64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4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4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4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4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5" t="s">
        <v>24</v>
      </c>
      <c r="C23" s="55"/>
      <c r="D23" s="57">
        <v>1</v>
      </c>
      <c r="E23" s="57"/>
      <c r="G23" s="64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5" t="s">
        <v>25</v>
      </c>
      <c r="C24" s="55"/>
      <c r="D24" s="57">
        <v>0</v>
      </c>
      <c r="E24" s="57"/>
      <c r="G24" s="64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5" t="s">
        <v>26</v>
      </c>
      <c r="C25" s="55"/>
      <c r="D25" s="57">
        <v>-0.1</v>
      </c>
      <c r="E25" s="57"/>
      <c r="G25" s="64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5" t="s">
        <v>27</v>
      </c>
      <c r="C26" s="55"/>
      <c r="D26" s="57">
        <v>0.15</v>
      </c>
      <c r="E26" s="57"/>
      <c r="G26" s="64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4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4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4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4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4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4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4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4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4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4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4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4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4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4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workbookViewId="0">
      <selection activeCell="B2" sqref="B2:C2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148" t="s">
        <v>88</v>
      </c>
      <c r="C2" s="149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8" t="s">
        <v>30</v>
      </c>
      <c r="C3" s="68"/>
      <c r="D3" s="69">
        <v>44815</v>
      </c>
      <c r="E3" s="70"/>
      <c r="F3" s="71" t="s">
        <v>31</v>
      </c>
      <c r="G3" s="71"/>
      <c r="H3" s="70">
        <v>0</v>
      </c>
      <c r="I3" s="70"/>
      <c r="J3" s="71" t="s">
        <v>32</v>
      </c>
      <c r="K3" s="71"/>
      <c r="L3" s="72">
        <v>40000000000</v>
      </c>
      <c r="M3" s="72"/>
      <c r="O3" s="119" t="s">
        <v>50</v>
      </c>
      <c r="P3" s="120"/>
      <c r="Q3" s="120"/>
      <c r="R3" s="121"/>
      <c r="T3" s="117" t="s">
        <v>55</v>
      </c>
      <c r="U3" s="118"/>
      <c r="W3" s="144" t="s">
        <v>76</v>
      </c>
      <c r="X3" s="145"/>
      <c r="Y3" s="144" t="s">
        <v>77</v>
      </c>
      <c r="Z3" s="145"/>
      <c r="AB3" s="82" t="s">
        <v>65</v>
      </c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4"/>
    </row>
    <row r="4" spans="1:57" x14ac:dyDescent="0.4">
      <c r="A4" s="21">
        <f t="shared" si="1"/>
        <v>4</v>
      </c>
      <c r="B4" s="20"/>
      <c r="C4" s="20"/>
      <c r="O4" s="122" t="s">
        <v>49</v>
      </c>
      <c r="P4" s="123"/>
      <c r="Q4" s="124">
        <v>44039</v>
      </c>
      <c r="R4" s="125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5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7"/>
    </row>
    <row r="5" spans="1:57" x14ac:dyDescent="0.4">
      <c r="A5" s="21">
        <f t="shared" si="1"/>
        <v>5</v>
      </c>
      <c r="B5" s="82" t="s">
        <v>48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O5" s="130" t="s">
        <v>51</v>
      </c>
      <c r="P5" s="131"/>
      <c r="Q5" s="132">
        <v>49517</v>
      </c>
      <c r="R5" s="133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5"/>
      <c r="C6" s="86"/>
      <c r="D6" s="86"/>
      <c r="E6" s="86"/>
      <c r="F6" s="86"/>
      <c r="G6" s="86"/>
      <c r="H6" s="86"/>
      <c r="I6" s="86"/>
      <c r="J6" s="86"/>
      <c r="K6" s="86"/>
      <c r="L6" s="86"/>
      <c r="M6" s="87"/>
      <c r="O6" s="128" t="s">
        <v>43</v>
      </c>
      <c r="P6" s="129"/>
      <c r="Q6" s="116">
        <v>0</v>
      </c>
      <c r="R6" s="99"/>
      <c r="W6" s="27">
        <v>44769</v>
      </c>
      <c r="X6" s="34">
        <v>3.6999999999999998E-2</v>
      </c>
      <c r="Y6" s="27">
        <v>44769</v>
      </c>
      <c r="Z6" s="36">
        <v>0.03</v>
      </c>
      <c r="AB6" s="71" t="s">
        <v>66</v>
      </c>
      <c r="AC6" s="71"/>
      <c r="AD6" s="70">
        <v>0</v>
      </c>
      <c r="AE6" s="7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1" t="s">
        <v>33</v>
      </c>
      <c r="C7" s="71"/>
      <c r="D7" s="73">
        <v>1</v>
      </c>
      <c r="E7" s="70"/>
      <c r="F7" s="71" t="s">
        <v>34</v>
      </c>
      <c r="G7" s="71"/>
      <c r="H7" s="73">
        <v>1</v>
      </c>
      <c r="I7" s="70"/>
      <c r="J7" s="71" t="s">
        <v>85</v>
      </c>
      <c r="K7" s="71"/>
      <c r="L7" s="98">
        <v>0</v>
      </c>
      <c r="M7" s="99"/>
      <c r="O7" s="117" t="str">
        <f>IF(Q6&gt;0,"Phase2날짜","")</f>
        <v/>
      </c>
      <c r="P7" s="118"/>
      <c r="Q7" s="126">
        <v>45865</v>
      </c>
      <c r="R7" s="127"/>
      <c r="W7" s="27">
        <v>44815</v>
      </c>
      <c r="X7" s="34">
        <v>3.6999999999999998E-2</v>
      </c>
      <c r="Y7" s="27">
        <v>44815</v>
      </c>
      <c r="Z7" s="34">
        <v>0.03</v>
      </c>
      <c r="AB7" s="71" t="s">
        <v>79</v>
      </c>
      <c r="AC7" s="71"/>
      <c r="AD7" s="70">
        <v>0</v>
      </c>
      <c r="AE7" s="7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4" t="str">
        <f>"기초금리정보"</f>
        <v>기초금리정보</v>
      </c>
      <c r="C9" s="75"/>
      <c r="D9" s="55" t="s">
        <v>35</v>
      </c>
      <c r="E9" s="55"/>
      <c r="F9" s="98">
        <v>0</v>
      </c>
      <c r="G9" s="99"/>
      <c r="H9" s="23"/>
      <c r="I9" s="22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81" t="s">
        <v>52</v>
      </c>
      <c r="P9" s="81"/>
      <c r="Q9" s="81"/>
      <c r="R9" s="81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6"/>
      <c r="C10" s="77"/>
      <c r="D10" s="55" t="s">
        <v>36</v>
      </c>
      <c r="E10" s="80"/>
      <c r="F10" s="100">
        <v>1</v>
      </c>
      <c r="G10" s="101"/>
      <c r="H10" s="88" t="str">
        <f xml:space="preserve"> "Swap 레퍼런스금리정보"</f>
        <v>Swap 레퍼런스금리정보</v>
      </c>
      <c r="I10" s="89"/>
      <c r="J10" s="92" t="str">
        <f>IF(OR(F10 = 0, F10 = 2, F10 = 4), "", "연 지급횟수")</f>
        <v>연 지급횟수</v>
      </c>
      <c r="K10" s="93"/>
      <c r="L10" s="70">
        <v>4</v>
      </c>
      <c r="M10" s="94"/>
      <c r="O10" s="81" t="s">
        <v>87</v>
      </c>
      <c r="P10" s="81"/>
      <c r="Q10" s="116">
        <v>4</v>
      </c>
      <c r="R10" s="99"/>
      <c r="AB10" s="130" t="s">
        <v>78</v>
      </c>
      <c r="AC10" s="68"/>
      <c r="AD10" s="143">
        <v>2148624063.2092414</v>
      </c>
      <c r="AE10" s="143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6"/>
      <c r="C11" s="77"/>
      <c r="D11" s="81" t="s">
        <v>37</v>
      </c>
      <c r="E11" s="81"/>
      <c r="F11" s="98">
        <v>0</v>
      </c>
      <c r="G11" s="99"/>
      <c r="H11" s="91"/>
      <c r="I11" s="92"/>
      <c r="J11" s="92" t="str">
        <f>IF(F11=0, "만기", "입력X, 아래만기2개입력")</f>
        <v>만기</v>
      </c>
      <c r="K11" s="93"/>
      <c r="L11" s="113">
        <v>0.25</v>
      </c>
      <c r="M11" s="114"/>
      <c r="O11" s="81" t="s">
        <v>53</v>
      </c>
      <c r="P11" s="81"/>
      <c r="Q11" s="116">
        <v>0</v>
      </c>
      <c r="R11" s="99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6"/>
      <c r="C12" s="77"/>
      <c r="D12" s="81" t="s">
        <v>38</v>
      </c>
      <c r="E12" s="81"/>
      <c r="F12" s="107">
        <v>0.8</v>
      </c>
      <c r="G12" s="108"/>
      <c r="H12" s="95" t="str">
        <f>"ex) Deposit 3M -&gt; 연 지급횟수= 4, 만기= 0.25 ||  ex2) CMT 5Y 연 지급횟수=2, 만기 5"</f>
        <v>ex) Deposit 3M -&gt; 연 지급횟수= 4, 만기= 0.25 ||  ex2) CMT 5Y 연 지급횟수=2, 만기 5</v>
      </c>
      <c r="I12" s="95"/>
      <c r="J12" s="95"/>
      <c r="K12" s="95"/>
      <c r="L12" s="95"/>
      <c r="M12" s="96"/>
      <c r="O12" s="117" t="s">
        <v>54</v>
      </c>
      <c r="P12" s="118"/>
      <c r="Q12" s="116">
        <v>4</v>
      </c>
      <c r="R12" s="99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6"/>
      <c r="C13" s="77"/>
      <c r="D13" s="81" t="s">
        <v>39</v>
      </c>
      <c r="E13" s="55"/>
      <c r="F13" s="109">
        <v>-0.8</v>
      </c>
      <c r="G13" s="110"/>
      <c r="H13" s="97" t="str">
        <f>IF(F11&gt;0,"PowerSpreadFlag 1일때 입력","입력필요X")</f>
        <v>입력필요X</v>
      </c>
      <c r="I13" s="97"/>
      <c r="J13" s="97" t="str">
        <f>IF(F11&gt;0,"만기1","")</f>
        <v/>
      </c>
      <c r="K13" s="97"/>
      <c r="L13" s="103">
        <v>10</v>
      </c>
      <c r="M13" s="104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8"/>
      <c r="C14" s="79"/>
      <c r="D14" s="102" t="s">
        <v>40</v>
      </c>
      <c r="E14" s="102"/>
      <c r="F14" s="111">
        <v>1</v>
      </c>
      <c r="G14" s="112"/>
      <c r="H14" s="97"/>
      <c r="I14" s="97"/>
      <c r="J14" s="97" t="str">
        <f>IF(F11&gt;0,"만기2","")</f>
        <v/>
      </c>
      <c r="K14" s="97"/>
      <c r="L14" s="103">
        <v>5</v>
      </c>
      <c r="M14" s="104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1" t="s">
        <v>72</v>
      </c>
      <c r="AC15" s="142"/>
      <c r="AD15" s="142"/>
      <c r="AE15" s="142"/>
      <c r="AF15" s="142"/>
      <c r="AG15" s="141" t="s">
        <v>73</v>
      </c>
      <c r="AH15" s="142"/>
      <c r="AI15" s="142"/>
      <c r="AJ15" s="142"/>
      <c r="AK15" s="142"/>
    </row>
    <row r="16" spans="1:57" x14ac:dyDescent="0.4">
      <c r="A16" s="21">
        <f t="shared" si="1"/>
        <v>16</v>
      </c>
      <c r="B16" s="140" t="s">
        <v>41</v>
      </c>
      <c r="C16" s="140"/>
      <c r="D16" s="81" t="s">
        <v>80</v>
      </c>
      <c r="E16" s="81"/>
      <c r="F16" s="107">
        <v>0</v>
      </c>
      <c r="G16" s="108"/>
      <c r="H16" s="105" t="s">
        <v>83</v>
      </c>
      <c r="I16" s="106"/>
      <c r="J16" s="115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15"/>
      <c r="L16" s="115"/>
      <c r="M16" s="115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40"/>
      <c r="C17" s="140"/>
      <c r="D17" s="81" t="s">
        <v>44</v>
      </c>
      <c r="E17" s="81"/>
      <c r="F17" s="107">
        <v>0</v>
      </c>
      <c r="G17" s="108"/>
      <c r="H17" s="105" t="s">
        <v>81</v>
      </c>
      <c r="I17" s="106"/>
      <c r="J17" s="11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5"/>
      <c r="L17" s="115"/>
      <c r="M17" s="115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0"/>
      <c r="C18" s="140"/>
      <c r="D18" s="81" t="s">
        <v>45</v>
      </c>
      <c r="E18" s="81"/>
      <c r="F18" s="98">
        <v>1</v>
      </c>
      <c r="G18" s="99"/>
      <c r="H18" s="105"/>
      <c r="I18" s="106"/>
      <c r="J18" s="115"/>
      <c r="K18" s="115"/>
      <c r="L18" s="115"/>
      <c r="M18" s="115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0" t="s">
        <v>46</v>
      </c>
      <c r="C21" s="140"/>
      <c r="D21" s="81" t="s">
        <v>42</v>
      </c>
      <c r="E21" s="81"/>
      <c r="F21" s="107">
        <v>0</v>
      </c>
      <c r="G21" s="108"/>
      <c r="H21" s="105" t="s">
        <v>82</v>
      </c>
      <c r="I21" s="106"/>
      <c r="J21" s="11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5"/>
      <c r="L21" s="115"/>
      <c r="M21" s="115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0"/>
      <c r="C22" s="140"/>
      <c r="D22" s="81" t="s">
        <v>44</v>
      </c>
      <c r="E22" s="81"/>
      <c r="F22" s="107">
        <v>0</v>
      </c>
      <c r="G22" s="108"/>
      <c r="H22" s="105"/>
      <c r="I22" s="106"/>
      <c r="J22" s="115"/>
      <c r="K22" s="115"/>
      <c r="L22" s="115"/>
      <c r="M22" s="115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0"/>
      <c r="C23" s="140"/>
      <c r="D23" s="81" t="s">
        <v>45</v>
      </c>
      <c r="E23" s="81"/>
      <c r="F23" s="98">
        <v>1</v>
      </c>
      <c r="G23" s="99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2" t="s">
        <v>47</v>
      </c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4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373041095.89041096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203660273.97260275</v>
      </c>
    </row>
    <row r="26" spans="1:37" x14ac:dyDescent="0.4">
      <c r="A26" s="21">
        <f t="shared" si="1"/>
        <v>26</v>
      </c>
      <c r="B26" s="85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7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397682653.9133842</v>
      </c>
      <c r="AG26" s="42">
        <v>20221027</v>
      </c>
      <c r="AH26" s="42">
        <v>20230127</v>
      </c>
      <c r="AI26" s="42">
        <v>20230127</v>
      </c>
      <c r="AJ26" s="44">
        <v>3.8615278227785758E-2</v>
      </c>
      <c r="AK26" s="48">
        <v>203660273.97260275</v>
      </c>
    </row>
    <row r="27" spans="1:37" x14ac:dyDescent="0.4">
      <c r="A27" s="21">
        <f t="shared" si="1"/>
        <v>27</v>
      </c>
      <c r="B27" s="71" t="s">
        <v>33</v>
      </c>
      <c r="C27" s="71"/>
      <c r="D27" s="73">
        <v>1</v>
      </c>
      <c r="E27" s="70"/>
      <c r="F27" s="71" t="s">
        <v>34</v>
      </c>
      <c r="G27" s="71"/>
      <c r="H27" s="73">
        <v>1</v>
      </c>
      <c r="I27" s="70"/>
      <c r="J27" s="71" t="s">
        <v>85</v>
      </c>
      <c r="K27" s="71"/>
      <c r="L27" s="98">
        <v>0</v>
      </c>
      <c r="M27" s="99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393682255.50278145</v>
      </c>
      <c r="AG27" s="42">
        <v>20230127</v>
      </c>
      <c r="AH27" s="42">
        <v>20230427</v>
      </c>
      <c r="AI27" s="42">
        <v>20230427</v>
      </c>
      <c r="AJ27" s="44">
        <v>3.8625988088157023E-2</v>
      </c>
      <c r="AK27" s="48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397931518.11828476</v>
      </c>
      <c r="AG28" s="42">
        <v>20230427</v>
      </c>
      <c r="AH28" s="42">
        <v>20230727</v>
      </c>
      <c r="AI28" s="42">
        <v>20230727</v>
      </c>
      <c r="AJ28" s="44">
        <v>3.8640811680410253E-2</v>
      </c>
      <c r="AK28" s="48">
        <v>201446575.34246573</v>
      </c>
    </row>
    <row r="29" spans="1:37" x14ac:dyDescent="0.4">
      <c r="A29" s="21">
        <f t="shared" si="1"/>
        <v>29</v>
      </c>
      <c r="B29" s="74" t="str">
        <f>"기초금리정보"</f>
        <v>기초금리정보</v>
      </c>
      <c r="C29" s="75"/>
      <c r="D29" s="55" t="s">
        <v>35</v>
      </c>
      <c r="E29" s="55"/>
      <c r="F29" s="98">
        <v>0</v>
      </c>
      <c r="G29" s="99"/>
      <c r="H29" s="23"/>
      <c r="I29" s="22"/>
      <c r="J29" s="88" t="str">
        <f>IF(OR(F30 = 0, F30 = 2, F30 = 4), "RefType = "&amp;F30&amp;" 이므로 Ref Swap 금리정보 사용안함", "사용")</f>
        <v>사용</v>
      </c>
      <c r="K29" s="89"/>
      <c r="L29" s="89"/>
      <c r="M29" s="90"/>
      <c r="O29" s="81" t="s">
        <v>58</v>
      </c>
      <c r="P29" s="81"/>
      <c r="Q29" s="81"/>
      <c r="R29" s="81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401091277.96817642</v>
      </c>
      <c r="AG29" s="42">
        <v>20230727</v>
      </c>
      <c r="AH29" s="42">
        <v>20231027</v>
      </c>
      <c r="AI29" s="42">
        <v>20231027</v>
      </c>
      <c r="AJ29" s="44">
        <v>3.8690116450000485E-2</v>
      </c>
      <c r="AK29" s="48">
        <v>203660273.97260275</v>
      </c>
    </row>
    <row r="30" spans="1:37" x14ac:dyDescent="0.4">
      <c r="A30" s="21">
        <f t="shared" si="1"/>
        <v>30</v>
      </c>
      <c r="B30" s="76"/>
      <c r="C30" s="77"/>
      <c r="D30" s="55" t="s">
        <v>36</v>
      </c>
      <c r="E30" s="80"/>
      <c r="F30" s="100">
        <v>1</v>
      </c>
      <c r="G30" s="101"/>
      <c r="H30" s="88" t="str">
        <f xml:space="preserve"> "Swap 레퍼런스금리정보"</f>
        <v>Swap 레퍼런스금리정보</v>
      </c>
      <c r="I30" s="89"/>
      <c r="J30" s="92" t="str">
        <f>IF(OR(F30 = 0, F30 = 2, F30 = 4), "", "연 지급횟수")</f>
        <v>연 지급횟수</v>
      </c>
      <c r="K30" s="93"/>
      <c r="L30" s="70">
        <v>4</v>
      </c>
      <c r="M30" s="94"/>
      <c r="O30" s="81" t="s">
        <v>86</v>
      </c>
      <c r="P30" s="81"/>
      <c r="Q30" s="116">
        <v>4</v>
      </c>
      <c r="R30" s="99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406965027.32188928</v>
      </c>
      <c r="AG30" s="42">
        <v>20231027</v>
      </c>
      <c r="AH30" s="42">
        <v>20240129</v>
      </c>
      <c r="AI30" s="42">
        <v>20240129</v>
      </c>
      <c r="AJ30" s="44">
        <v>3.8740517765561144E-2</v>
      </c>
      <c r="AK30" s="48">
        <v>208087671.23287672</v>
      </c>
    </row>
    <row r="31" spans="1:37" x14ac:dyDescent="0.4">
      <c r="A31" s="21">
        <f t="shared" si="1"/>
        <v>31</v>
      </c>
      <c r="B31" s="76"/>
      <c r="C31" s="77"/>
      <c r="D31" s="81" t="s">
        <v>37</v>
      </c>
      <c r="E31" s="81"/>
      <c r="F31" s="98">
        <v>0</v>
      </c>
      <c r="G31" s="99"/>
      <c r="H31" s="91"/>
      <c r="I31" s="92"/>
      <c r="J31" s="92" t="str">
        <f>IF(F31=0, "만기", "입력X, 아래만기2개입력")</f>
        <v>만기</v>
      </c>
      <c r="K31" s="93"/>
      <c r="L31" s="113">
        <v>10</v>
      </c>
      <c r="M31" s="114"/>
      <c r="O31" s="81" t="s">
        <v>53</v>
      </c>
      <c r="P31" s="81"/>
      <c r="Q31" s="116">
        <v>0</v>
      </c>
      <c r="R31" s="99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391716764.85169965</v>
      </c>
      <c r="AG31" s="42">
        <v>20240129</v>
      </c>
      <c r="AH31" s="42">
        <v>20240429</v>
      </c>
      <c r="AI31" s="42">
        <v>20240429</v>
      </c>
      <c r="AJ31" s="44">
        <v>3.8796673072006835E-2</v>
      </c>
      <c r="AK31" s="48">
        <v>201446575.34246573</v>
      </c>
    </row>
    <row r="32" spans="1:37" x14ac:dyDescent="0.4">
      <c r="A32" s="21">
        <f t="shared" si="1"/>
        <v>32</v>
      </c>
      <c r="B32" s="76"/>
      <c r="C32" s="77"/>
      <c r="D32" s="81" t="s">
        <v>38</v>
      </c>
      <c r="E32" s="81"/>
      <c r="F32" s="107">
        <v>0.8</v>
      </c>
      <c r="G32" s="108"/>
      <c r="H32" s="95" t="str">
        <f>"ex) Deposit 3M -&gt; 연 지급횟수= 4, 만기= 0.25 ||  ex2) CMT 5Y 연 지급횟수=2, 만기 5"</f>
        <v>ex) Deposit 3M -&gt; 연 지급횟수= 4, 만기= 0.25 ||  ex2) CMT 5Y 연 지급횟수=2, 만기 5</v>
      </c>
      <c r="I32" s="95"/>
      <c r="J32" s="95"/>
      <c r="K32" s="95"/>
      <c r="L32" s="95"/>
      <c r="M32" s="96"/>
      <c r="O32" s="117" t="s">
        <v>54</v>
      </c>
      <c r="P32" s="118"/>
      <c r="Q32" s="116">
        <v>4</v>
      </c>
      <c r="R32" s="99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388279529.60171819</v>
      </c>
      <c r="AG32" s="42">
        <v>20240429</v>
      </c>
      <c r="AH32" s="42">
        <v>20240729</v>
      </c>
      <c r="AI32" s="42">
        <v>20240729</v>
      </c>
      <c r="AJ32" s="44">
        <v>3.8836746053396189E-2</v>
      </c>
      <c r="AK32" s="48">
        <v>201446575.34246573</v>
      </c>
    </row>
    <row r="33" spans="1:37" x14ac:dyDescent="0.4">
      <c r="A33" s="21">
        <f t="shared" si="1"/>
        <v>33</v>
      </c>
      <c r="B33" s="76"/>
      <c r="C33" s="77"/>
      <c r="D33" s="81" t="s">
        <v>39</v>
      </c>
      <c r="E33" s="55"/>
      <c r="F33" s="109">
        <v>-0.8</v>
      </c>
      <c r="G33" s="110"/>
      <c r="H33" s="97" t="str">
        <f>IF(F31&gt;0,"PowerSpreadFlag 1일때 입력","입력필요X")</f>
        <v>입력필요X</v>
      </c>
      <c r="I33" s="97"/>
      <c r="J33" s="97" t="str">
        <f>IF(F31&gt;0,"만기1","")</f>
        <v/>
      </c>
      <c r="K33" s="97"/>
      <c r="L33" s="103">
        <v>10</v>
      </c>
      <c r="M33" s="104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388345412.89683408</v>
      </c>
      <c r="AG33" s="42">
        <v>20240729</v>
      </c>
      <c r="AH33" s="42">
        <v>20241028</v>
      </c>
      <c r="AI33" s="42">
        <v>20241028</v>
      </c>
      <c r="AJ33" s="44">
        <v>3.8868552617113292E-2</v>
      </c>
      <c r="AK33" s="48">
        <v>201446575.34246573</v>
      </c>
    </row>
    <row r="34" spans="1:37" x14ac:dyDescent="0.4">
      <c r="A34" s="21">
        <f t="shared" si="1"/>
        <v>34</v>
      </c>
      <c r="B34" s="78"/>
      <c r="C34" s="79"/>
      <c r="D34" s="102" t="s">
        <v>40</v>
      </c>
      <c r="E34" s="102"/>
      <c r="F34" s="111">
        <v>1</v>
      </c>
      <c r="G34" s="112"/>
      <c r="H34" s="97"/>
      <c r="I34" s="97"/>
      <c r="J34" s="97" t="str">
        <f>IF(F31&gt;0,"만기2","")</f>
        <v/>
      </c>
      <c r="K34" s="97"/>
      <c r="L34" s="103">
        <v>5</v>
      </c>
      <c r="M34" s="104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406054275.64519888</v>
      </c>
      <c r="AG34" s="42">
        <v>20241028</v>
      </c>
      <c r="AH34" s="42">
        <v>20250131</v>
      </c>
      <c r="AI34" s="42">
        <v>20250131</v>
      </c>
      <c r="AJ34" s="44">
        <v>3.8882762419624198E-2</v>
      </c>
      <c r="AK34" s="48">
        <v>210301369.86301368</v>
      </c>
    </row>
    <row r="35" spans="1:37" x14ac:dyDescent="0.4">
      <c r="A35" s="21">
        <f t="shared" si="1"/>
        <v>35</v>
      </c>
      <c r="B35" s="20"/>
      <c r="C35" s="20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371144652.74052483</v>
      </c>
      <c r="AG35" s="42">
        <v>20250131</v>
      </c>
      <c r="AH35" s="42">
        <v>20250428</v>
      </c>
      <c r="AI35" s="42">
        <v>20250428</v>
      </c>
      <c r="AJ35" s="44">
        <v>3.8877909592852672E-2</v>
      </c>
      <c r="AK35" s="48">
        <v>192591780.8219178</v>
      </c>
    </row>
    <row r="36" spans="1:37" x14ac:dyDescent="0.4">
      <c r="A36" s="21">
        <f t="shared" si="1"/>
        <v>36</v>
      </c>
      <c r="B36" s="140" t="s">
        <v>41</v>
      </c>
      <c r="C36" s="140"/>
      <c r="D36" s="81" t="s">
        <v>42</v>
      </c>
      <c r="E36" s="81"/>
      <c r="F36" s="107">
        <v>2.0199999999999999E-2</v>
      </c>
      <c r="G36" s="108"/>
      <c r="H36" s="105" t="s">
        <v>84</v>
      </c>
      <c r="I36" s="106"/>
      <c r="J36" s="115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5"/>
      <c r="L36" s="115"/>
      <c r="M36" s="115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387651320.12392342</v>
      </c>
      <c r="AG36" s="42">
        <v>20250428</v>
      </c>
      <c r="AH36" s="42">
        <v>20250728</v>
      </c>
      <c r="AI36" s="42">
        <v>20250728</v>
      </c>
      <c r="AJ36" s="44">
        <v>3.8879728760035488E-2</v>
      </c>
      <c r="AK36" s="48">
        <v>201446575.34246573</v>
      </c>
    </row>
    <row r="37" spans="1:37" x14ac:dyDescent="0.4">
      <c r="A37" s="21">
        <f t="shared" si="1"/>
        <v>37</v>
      </c>
      <c r="B37" s="140"/>
      <c r="C37" s="140"/>
      <c r="D37" s="81" t="s">
        <v>44</v>
      </c>
      <c r="E37" s="81"/>
      <c r="F37" s="107">
        <v>0</v>
      </c>
      <c r="G37" s="108"/>
      <c r="H37" s="105" t="s">
        <v>81</v>
      </c>
      <c r="I37" s="106"/>
      <c r="J37" s="11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5"/>
      <c r="L37" s="115"/>
      <c r="M37" s="115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389356088.64447898</v>
      </c>
      <c r="AG37" s="42">
        <v>20250728</v>
      </c>
      <c r="AH37" s="42">
        <v>20251027</v>
      </c>
      <c r="AI37" s="42">
        <v>20251027</v>
      </c>
      <c r="AJ37" s="44">
        <v>3.8890694408696497E-2</v>
      </c>
      <c r="AK37" s="48">
        <v>589288020.95248008</v>
      </c>
    </row>
    <row r="38" spans="1:37" x14ac:dyDescent="0.4">
      <c r="A38" s="21">
        <f t="shared" si="1"/>
        <v>38</v>
      </c>
      <c r="B38" s="140"/>
      <c r="C38" s="140"/>
      <c r="D38" s="81" t="s">
        <v>45</v>
      </c>
      <c r="E38" s="81"/>
      <c r="F38" s="98">
        <v>0</v>
      </c>
      <c r="G38" s="99"/>
      <c r="H38" s="105"/>
      <c r="I38" s="106"/>
      <c r="J38" s="115"/>
      <c r="K38" s="115"/>
      <c r="L38" s="115"/>
      <c r="M38" s="115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396125167.33161807</v>
      </c>
      <c r="AG38" s="42">
        <v>20251027</v>
      </c>
      <c r="AH38" s="42">
        <v>20260127</v>
      </c>
      <c r="AI38" s="42">
        <v>20260127</v>
      </c>
      <c r="AJ38" s="44">
        <v>3.8896691777899173E-2</v>
      </c>
      <c r="AK38" s="48">
        <v>595824180.11690128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387620550.06747222</v>
      </c>
      <c r="AG39" s="42">
        <v>20260127</v>
      </c>
      <c r="AH39" s="42">
        <v>20260427</v>
      </c>
      <c r="AI39" s="42">
        <v>20260427</v>
      </c>
      <c r="AJ39" s="44">
        <v>3.8893894657409528E-2</v>
      </c>
      <c r="AK39" s="48">
        <v>582843892.51143634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392096954.85811603</v>
      </c>
      <c r="AG40" s="42">
        <v>20260427</v>
      </c>
      <c r="AH40" s="42">
        <v>20260727</v>
      </c>
      <c r="AI40" s="42">
        <v>20260727</v>
      </c>
      <c r="AJ40" s="44">
        <v>3.8895486261277604E-2</v>
      </c>
      <c r="AK40" s="48">
        <v>589335808.19465888</v>
      </c>
    </row>
    <row r="41" spans="1:37" x14ac:dyDescent="0.4">
      <c r="A41" s="21">
        <f t="shared" si="1"/>
        <v>41</v>
      </c>
      <c r="B41" s="140" t="s">
        <v>46</v>
      </c>
      <c r="C41" s="140"/>
      <c r="D41" s="81" t="s">
        <v>42</v>
      </c>
      <c r="E41" s="81"/>
      <c r="F41" s="107">
        <v>2.0199999999999999E-2</v>
      </c>
      <c r="G41" s="108"/>
      <c r="H41" s="105" t="s">
        <v>82</v>
      </c>
      <c r="I41" s="106"/>
      <c r="J41" s="11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5"/>
      <c r="L41" s="115"/>
      <c r="M41" s="115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396062419.53426379</v>
      </c>
      <c r="AG41" s="42">
        <v>20260727</v>
      </c>
      <c r="AH41" s="42">
        <v>20261027</v>
      </c>
      <c r="AI41" s="42">
        <v>20261027</v>
      </c>
      <c r="AJ41" s="44">
        <v>3.8898153738820954E-2</v>
      </c>
      <c r="AK41" s="48">
        <v>595838919.88729072</v>
      </c>
    </row>
    <row r="42" spans="1:37" x14ac:dyDescent="0.4">
      <c r="A42" s="21">
        <f t="shared" si="1"/>
        <v>42</v>
      </c>
      <c r="B42" s="140"/>
      <c r="C42" s="140"/>
      <c r="D42" s="81" t="s">
        <v>44</v>
      </c>
      <c r="E42" s="81"/>
      <c r="F42" s="107">
        <v>0</v>
      </c>
      <c r="G42" s="108"/>
      <c r="H42" s="105"/>
      <c r="I42" s="106"/>
      <c r="J42" s="115"/>
      <c r="K42" s="115"/>
      <c r="L42" s="115"/>
      <c r="M42" s="115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395470747.17611486</v>
      </c>
      <c r="AG42" s="42">
        <v>20261027</v>
      </c>
      <c r="AH42" s="42">
        <v>20270127</v>
      </c>
      <c r="AI42" s="42">
        <v>20270127</v>
      </c>
      <c r="AJ42" s="44">
        <v>3.8902422583745926E-2</v>
      </c>
      <c r="AK42" s="48">
        <v>595881959.20050693</v>
      </c>
    </row>
    <row r="43" spans="1:37" x14ac:dyDescent="0.4">
      <c r="A43" s="21">
        <f t="shared" si="1"/>
        <v>43</v>
      </c>
      <c r="B43" s="140"/>
      <c r="C43" s="140"/>
      <c r="D43" s="81" t="s">
        <v>45</v>
      </c>
      <c r="E43" s="81"/>
      <c r="F43" s="98">
        <v>1</v>
      </c>
      <c r="G43" s="99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386843677.95196408</v>
      </c>
      <c r="AG43" s="42">
        <v>20270127</v>
      </c>
      <c r="AH43" s="42">
        <v>20270427</v>
      </c>
      <c r="AI43" s="42">
        <v>20270427</v>
      </c>
      <c r="AJ43" s="44">
        <v>3.890779429247359E-2</v>
      </c>
      <c r="AK43" s="48">
        <v>582980984.80247927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391173689.68584907</v>
      </c>
      <c r="AG44" s="42">
        <v>20270427</v>
      </c>
      <c r="AH44" s="42">
        <v>20270727</v>
      </c>
      <c r="AI44" s="42">
        <v>20270727</v>
      </c>
      <c r="AJ44" s="44">
        <v>3.8916265528783488E-2</v>
      </c>
      <c r="AK44" s="48">
        <v>589543031.57471752</v>
      </c>
    </row>
    <row r="45" spans="1:37" ht="17.399999999999999" customHeight="1" x14ac:dyDescent="0.4">
      <c r="A45" s="21">
        <f t="shared" si="1"/>
        <v>45</v>
      </c>
      <c r="B45" s="134" t="s">
        <v>60</v>
      </c>
      <c r="C45" s="135"/>
      <c r="D45" s="135"/>
      <c r="E45" s="135"/>
      <c r="F45" s="135"/>
      <c r="G45" s="136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396788154.06246161</v>
      </c>
      <c r="AG45" s="42">
        <v>20270727</v>
      </c>
      <c r="AH45" s="42">
        <v>20271027</v>
      </c>
      <c r="AI45" s="42">
        <v>20271027</v>
      </c>
      <c r="AJ45" s="44">
        <v>3.8928210343450238E-2</v>
      </c>
      <c r="AK45" s="48">
        <v>596141956.33944356</v>
      </c>
    </row>
    <row r="46" spans="1:37" ht="17.399999999999999" customHeight="1" x14ac:dyDescent="0.4">
      <c r="A46" s="21">
        <f t="shared" si="1"/>
        <v>46</v>
      </c>
      <c r="B46" s="137"/>
      <c r="C46" s="138"/>
      <c r="D46" s="138"/>
      <c r="E46" s="138"/>
      <c r="F46" s="138"/>
      <c r="G46" s="139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415951681.95120066</v>
      </c>
      <c r="AG46" s="42">
        <v>20271027</v>
      </c>
      <c r="AH46" s="42">
        <v>20280131</v>
      </c>
      <c r="AI46" s="42">
        <v>20280131</v>
      </c>
      <c r="AJ46" s="44">
        <v>3.8895350988638035E-2</v>
      </c>
      <c r="AK46" s="48">
        <v>621715473.41471243</v>
      </c>
    </row>
    <row r="47" spans="1:37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377068117.94839472</v>
      </c>
      <c r="AG47" s="42">
        <v>20280131</v>
      </c>
      <c r="AH47" s="42">
        <v>20280427</v>
      </c>
      <c r="AI47" s="42">
        <v>20280427</v>
      </c>
      <c r="AJ47" s="44">
        <v>3.8802405047740206E-2</v>
      </c>
      <c r="AK47" s="48">
        <v>562543478.26338601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>
        <v>0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394741744.62509871</v>
      </c>
      <c r="AG48" s="42">
        <v>20280427</v>
      </c>
      <c r="AH48" s="42">
        <v>20280727</v>
      </c>
      <c r="AI48" s="42">
        <v>20280727</v>
      </c>
      <c r="AJ48" s="44">
        <v>3.8708873824811467E-2</v>
      </c>
      <c r="AK48" s="48">
        <v>587474796.49948978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399387399.69931847</v>
      </c>
      <c r="AG49" s="42">
        <v>20280727</v>
      </c>
      <c r="AH49" s="42">
        <v>20281027</v>
      </c>
      <c r="AI49" s="42">
        <v>20281027</v>
      </c>
      <c r="AJ49" s="44">
        <v>3.8607591261602181E-2</v>
      </c>
      <c r="AK49" s="48">
        <v>592909413.26766038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408410916.71609747</v>
      </c>
      <c r="AG50" s="42">
        <v>20281027</v>
      </c>
      <c r="AH50" s="42">
        <v>20290129</v>
      </c>
      <c r="AI50" s="42">
        <v>20290129</v>
      </c>
      <c r="AJ50" s="44">
        <v>3.8499823560600895E-2</v>
      </c>
      <c r="AK50" s="48">
        <v>604688593.39139557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382557999.82821161</v>
      </c>
      <c r="AG51" s="42">
        <v>20290129</v>
      </c>
      <c r="AH51" s="42">
        <v>20290427</v>
      </c>
      <c r="AI51" s="42">
        <v>20290427</v>
      </c>
      <c r="AJ51" s="44">
        <v>3.8380795724371385E-2</v>
      </c>
      <c r="AK51" s="48">
        <v>564943564.24599266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395872332.90530849</v>
      </c>
      <c r="AG52" s="42">
        <v>20290427</v>
      </c>
      <c r="AH52" s="42">
        <v>20290727</v>
      </c>
      <c r="AI52" s="42">
        <v>20290727</v>
      </c>
      <c r="AJ52" s="44">
        <v>3.8270632558481045E-2</v>
      </c>
      <c r="AK52" s="48">
        <v>583104390.44622195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410310159.73060805</v>
      </c>
      <c r="AG53" s="42">
        <v>20290727</v>
      </c>
      <c r="AH53" s="42">
        <v>20291029</v>
      </c>
      <c r="AI53" s="42">
        <v>20291029</v>
      </c>
      <c r="AJ53" s="44">
        <v>3.8147943189679345E-2</v>
      </c>
      <c r="AK53" s="48">
        <v>601063743.54299819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398650484.89578259</v>
      </c>
      <c r="AG54" s="42">
        <v>20291029</v>
      </c>
      <c r="AH54" s="42">
        <v>20300128</v>
      </c>
      <c r="AI54" s="42">
        <v>20300128</v>
      </c>
      <c r="AJ54" s="44">
        <v>3.8008969267235772E-2</v>
      </c>
      <c r="AK54" s="48">
        <v>580494926.39106357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399053418.27764463</v>
      </c>
      <c r="AG55" s="42">
        <v>20300128</v>
      </c>
      <c r="AH55" s="42">
        <v>20300429</v>
      </c>
      <c r="AI55" s="42">
        <v>20300429</v>
      </c>
      <c r="AJ55" s="44">
        <v>3.7868408702548005E-2</v>
      </c>
      <c r="AK55" s="48">
        <v>579093171.71856093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399480161.02884173</v>
      </c>
      <c r="AG56" s="42">
        <v>20300429</v>
      </c>
      <c r="AH56" s="42">
        <v>20300729</v>
      </c>
      <c r="AI56" s="42">
        <v>20300729</v>
      </c>
      <c r="AJ56" s="44">
        <v>3.7721846895069265E-2</v>
      </c>
      <c r="AK56" s="48">
        <v>577631569.03575921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401082949.02202994</v>
      </c>
      <c r="AG57" s="42">
        <v>20300729</v>
      </c>
      <c r="AH57" s="42">
        <v>20301028</v>
      </c>
      <c r="AI57" s="42">
        <v>20301028</v>
      </c>
      <c r="AJ57" s="44">
        <v>3.7569126843850324E-2</v>
      </c>
      <c r="AK57" s="48">
        <v>576108552.63456213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402820177.96880722</v>
      </c>
      <c r="AG58" s="42">
        <v>20301028</v>
      </c>
      <c r="AH58" s="42">
        <v>20310127</v>
      </c>
      <c r="AI58" s="42">
        <v>20310127</v>
      </c>
      <c r="AJ58" s="44">
        <v>3.7406748696605631E-2</v>
      </c>
      <c r="AK58" s="48">
        <v>574489219.87847805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403366237.09113497</v>
      </c>
      <c r="AG59" s="42">
        <v>20310127</v>
      </c>
      <c r="AH59" s="42">
        <v>20310428</v>
      </c>
      <c r="AI59" s="42">
        <v>20310428</v>
      </c>
      <c r="AJ59" s="44">
        <v>3.7234110073901851E-2</v>
      </c>
      <c r="AK59" s="48">
        <v>572767563.47671986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403937359.09695601</v>
      </c>
      <c r="AG60" s="42">
        <v>20310428</v>
      </c>
      <c r="AH60" s="42">
        <v>20310728</v>
      </c>
      <c r="AI60" s="42">
        <v>20310728</v>
      </c>
      <c r="AJ60" s="44">
        <v>3.7054766458643473E-2</v>
      </c>
      <c r="AK60" s="48">
        <v>570979040.84784174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404645016.21232587</v>
      </c>
      <c r="AG61" s="42">
        <v>20310728</v>
      </c>
      <c r="AH61" s="42">
        <v>20311027</v>
      </c>
      <c r="AI61" s="42">
        <v>20311027</v>
      </c>
      <c r="AJ61" s="44">
        <v>3.6868568510985841E-2</v>
      </c>
      <c r="AK61" s="48">
        <v>569122162.68489993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409819013.10918826</v>
      </c>
      <c r="AG62" s="42">
        <v>20311027</v>
      </c>
      <c r="AH62" s="42">
        <v>20320127</v>
      </c>
      <c r="AI62" s="42">
        <v>20320127</v>
      </c>
      <c r="AJ62" s="44">
        <v>3.6675137781849908E-2</v>
      </c>
      <c r="AK62" s="48">
        <v>573426046.67728138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405930254.12537473</v>
      </c>
      <c r="AG63" s="42">
        <v>20320127</v>
      </c>
      <c r="AH63" s="42">
        <v>20320427</v>
      </c>
      <c r="AI63" s="42">
        <v>20320427</v>
      </c>
      <c r="AJ63" s="44">
        <v>3.6473773213799576E-2</v>
      </c>
      <c r="AK63" s="48">
        <v>565185026.02254915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406515042.86906892</v>
      </c>
      <c r="AG64" s="42">
        <v>20320427</v>
      </c>
      <c r="AH64" s="42">
        <v>20320727</v>
      </c>
      <c r="AI64" s="42">
        <v>20320727</v>
      </c>
      <c r="AJ64" s="44">
        <v>3.6265919634128022E-2</v>
      </c>
      <c r="AK64" s="48">
        <v>563112184.84445477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411692105.55329239</v>
      </c>
      <c r="AG65" s="42">
        <v>20320727</v>
      </c>
      <c r="AH65" s="42">
        <v>20321027</v>
      </c>
      <c r="AI65" s="42">
        <v>20321027</v>
      </c>
      <c r="AJ65" s="44">
        <v>3.6051022035480135E-2</v>
      </c>
      <c r="AK65" s="48">
        <v>567133592.02895033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412407685.10495573</v>
      </c>
      <c r="AG66" s="42">
        <v>20321027</v>
      </c>
      <c r="AH66" s="42">
        <v>20330127</v>
      </c>
      <c r="AI66" s="42">
        <v>20330127</v>
      </c>
      <c r="AJ66" s="44">
        <v>3.5826494737238167E-2</v>
      </c>
      <c r="AK66" s="48">
        <v>564869864.74804521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403985932.12134856</v>
      </c>
      <c r="AG67" s="42">
        <v>20330127</v>
      </c>
      <c r="AH67" s="42">
        <v>20330427</v>
      </c>
      <c r="AI67" s="42">
        <v>20330427</v>
      </c>
      <c r="AJ67" s="44">
        <v>3.5591004352885119E-2</v>
      </c>
      <c r="AK67" s="48">
        <v>550267440.1928395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409088660.52142531</v>
      </c>
      <c r="AG68" s="42">
        <v>20330427</v>
      </c>
      <c r="AH68" s="42">
        <v>20330727</v>
      </c>
      <c r="AI68" s="42">
        <v>20330727</v>
      </c>
      <c r="AJ68" s="44">
        <v>3.5353483402691101E-2</v>
      </c>
      <c r="AK68" s="48">
        <v>554012820.78300166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414211632.27236569</v>
      </c>
      <c r="AG69" s="42">
        <v>20330727</v>
      </c>
      <c r="AH69" s="42">
        <v>20331027</v>
      </c>
      <c r="AI69" s="42">
        <v>20331027</v>
      </c>
      <c r="AJ69" s="44">
        <v>3.5106014008870541E-2</v>
      </c>
      <c r="AK69" s="48">
        <v>557605839.87025654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414819574.00060999</v>
      </c>
      <c r="AG70" s="42">
        <v>20331027</v>
      </c>
      <c r="AH70" s="42">
        <v>20340127</v>
      </c>
      <c r="AI70" s="42">
        <v>20340127</v>
      </c>
      <c r="AJ70" s="44">
        <v>3.4848328818002913E-2</v>
      </c>
      <c r="AK70" s="48">
        <v>555007808.35685134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406344895.41995227</v>
      </c>
      <c r="AG71" s="42">
        <v>20340127</v>
      </c>
      <c r="AH71" s="42">
        <v>20340427</v>
      </c>
      <c r="AI71" s="42">
        <v>20340427</v>
      </c>
      <c r="AJ71" s="44">
        <v>3.4583115119276822E-2</v>
      </c>
      <c r="AK71" s="48">
        <v>540326614.87505901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411474136.52714467</v>
      </c>
      <c r="AG72" s="42">
        <v>20340427</v>
      </c>
      <c r="AH72" s="42">
        <v>20340727</v>
      </c>
      <c r="AI72" s="42">
        <v>20340727</v>
      </c>
      <c r="AJ72" s="44">
        <v>3.4314855863240637E-2</v>
      </c>
      <c r="AK72" s="48">
        <v>543655000.93752301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408218869.79588377</v>
      </c>
      <c r="AG73" s="42">
        <v>20340727</v>
      </c>
      <c r="AH73" s="42">
        <v>20341027</v>
      </c>
      <c r="AI73" s="42">
        <v>20341027</v>
      </c>
      <c r="AJ73" s="44">
        <v>3.4037839501460623E-2</v>
      </c>
      <c r="AK73" s="48">
        <v>546836299.63116467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407412546.30002743</v>
      </c>
      <c r="AG74" s="42">
        <v>20341027</v>
      </c>
      <c r="AH74" s="42">
        <v>20350129</v>
      </c>
      <c r="AI74" s="42">
        <v>20350129</v>
      </c>
      <c r="AJ74" s="44">
        <v>3.3775249182483966E-2</v>
      </c>
      <c r="AK74" s="48">
        <v>556019005.27709508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381212818.248339</v>
      </c>
      <c r="AG75" s="42">
        <v>20350129</v>
      </c>
      <c r="AH75" s="42">
        <v>20350427</v>
      </c>
      <c r="AI75" s="42">
        <v>20350427</v>
      </c>
      <c r="AJ75" s="44">
        <v>3.3528537584934383E-2</v>
      </c>
      <c r="AK75" s="48">
        <v>518149184.38073713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394077114.16266859</v>
      </c>
      <c r="AG76" s="42">
        <v>20350427</v>
      </c>
      <c r="AH76" s="42">
        <v>20350727</v>
      </c>
      <c r="AI76" s="42">
        <v>20350727</v>
      </c>
      <c r="AJ76" s="44">
        <v>3.3295753386039705E-2</v>
      </c>
      <c r="AK76" s="48">
        <v>533491896.78132749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2025-11-25T12:50:08Z</dcterms:modified>
</cp:coreProperties>
</file>