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8" i="2" l="1"/>
  <c r="B49" i="2"/>
  <c r="C49" i="2" s="1"/>
  <c r="B50" i="2" l="1"/>
  <c r="J41" i="2"/>
  <c r="J37" i="2"/>
  <c r="J21" i="2"/>
  <c r="J17" i="2"/>
  <c r="J36" i="2"/>
  <c r="J16" i="2"/>
  <c r="B51" i="2" l="1"/>
  <c r="C50" i="2"/>
  <c r="O7" i="2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52" i="2" l="1"/>
  <c r="C51" i="2"/>
  <c r="A105" i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B53" i="2" l="1"/>
  <c r="C52" i="2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B54" i="2" l="1"/>
  <c r="C53" i="2"/>
  <c r="B55" i="2" l="1"/>
  <c r="C54" i="2"/>
  <c r="B56" i="2" l="1"/>
  <c r="C55" i="2"/>
  <c r="B57" i="2" l="1"/>
  <c r="C57" i="2" s="1"/>
  <c r="C56" i="2"/>
  <c r="E48" i="2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<sst xmlns="http://schemas.openxmlformats.org/spreadsheetml/2006/main" count="122" uniqueCount="87">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</sst>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7" fontId="8" fillId="11" borderId="10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0" fontId="14" fillId="4" borderId="0" xfId="0" applyFont="1" applyFill="1" applyBorder="1" applyAlignment="1" applyProtection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Border="1" applyAlignment="1" applyProtection="1">
      <alignment horizontal="center" vertical="center"/>
    </xf>
    <xf numFmtId="0" fontId="5" fillId="15" borderId="0" xfId="0" applyFont="1" applyFill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0" fontId="6" fillId="10" borderId="0" xfId="0" applyFont="1" applyFill="1" applyBorder="1" applyAlignment="1" applyProtection="1">
      <alignment horizontal="center" vertical="center"/>
    </xf>
    <xf numFmtId="0" fontId="14" fillId="4" borderId="15" xfId="0" applyFont="1" applyFill="1" applyBorder="1" applyAlignment="1" applyProtection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A4" workbookViewId="0">
      <selection activeCell="H25" sqref="H25"/>
    </sheetView>
  </sheetViews>
  <sheetFormatPr defaultColWidth="10.09765625" defaultRowHeight="15.6" x14ac:dyDescent="0.4"/>
  <cols>
    <col min="1" max="8" width="10.09765625" style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57" t="s">
        <v>0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</row>
    <row r="3" spans="1:41" x14ac:dyDescent="0.4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</row>
    <row r="4" spans="1:41" x14ac:dyDescent="0.4">
      <c r="A4" s="1">
        <f>4</f>
        <v>4</v>
      </c>
      <c r="B4" s="51" t="s">
        <v>1</v>
      </c>
      <c r="C4" s="51"/>
      <c r="D4" s="52">
        <v>1</v>
      </c>
      <c r="E4" s="52"/>
    </row>
    <row r="5" spans="1:41" x14ac:dyDescent="0.4">
      <c r="A5" s="1">
        <f>A4+1</f>
        <v>5</v>
      </c>
      <c r="B5" s="51" t="s">
        <v>29</v>
      </c>
      <c r="C5" s="51"/>
      <c r="D5" s="67">
        <v>44815</v>
      </c>
      <c r="E5" s="52"/>
      <c r="G5" s="58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59"/>
      <c r="H6" s="60" t="s">
        <v>4</v>
      </c>
      <c r="I6" s="61"/>
      <c r="L6" s="64" t="s">
        <v>75</v>
      </c>
      <c r="M6" s="64"/>
      <c r="N6" s="64"/>
      <c r="O6" s="68" t="s">
        <v>76</v>
      </c>
      <c r="P6" s="61"/>
      <c r="R6" s="64" t="s">
        <v>5</v>
      </c>
      <c r="S6" s="64"/>
      <c r="T6" s="64"/>
    </row>
    <row r="7" spans="1:41" x14ac:dyDescent="0.4">
      <c r="A7" s="1">
        <f t="shared" si="1"/>
        <v>7</v>
      </c>
      <c r="B7" s="51" t="s">
        <v>6</v>
      </c>
      <c r="C7" s="51"/>
      <c r="D7" s="52">
        <v>0</v>
      </c>
      <c r="E7" s="52"/>
      <c r="G7" s="59"/>
      <c r="H7" s="62"/>
      <c r="I7" s="63"/>
      <c r="L7" s="64"/>
      <c r="M7" s="64"/>
      <c r="N7" s="64"/>
      <c r="O7" s="62"/>
      <c r="P7" s="63"/>
      <c r="R7" s="64"/>
      <c r="S7" s="64"/>
      <c r="T7" s="64"/>
    </row>
    <row r="8" spans="1:41" x14ac:dyDescent="0.4">
      <c r="A8" s="1">
        <f t="shared" si="1"/>
        <v>8</v>
      </c>
      <c r="B8" s="51" t="s">
        <v>7</v>
      </c>
      <c r="C8" s="51"/>
      <c r="D8" s="52">
        <v>0.01</v>
      </c>
      <c r="E8" s="52"/>
      <c r="G8" s="59"/>
      <c r="I8" s="3" t="s">
        <v>8</v>
      </c>
      <c r="J8" s="3" t="s">
        <v>9</v>
      </c>
      <c r="K8" s="3" t="s">
        <v>10</v>
      </c>
      <c r="R8" s="64" t="s">
        <v>11</v>
      </c>
      <c r="S8" s="64"/>
      <c r="T8" s="4">
        <v>3</v>
      </c>
    </row>
    <row r="9" spans="1:41" x14ac:dyDescent="0.4">
      <c r="A9" s="1">
        <f t="shared" si="1"/>
        <v>9</v>
      </c>
      <c r="G9" s="59"/>
      <c r="H9" s="3" t="s">
        <v>12</v>
      </c>
      <c r="I9" s="5">
        <v>7.9129827002378028E-2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59"/>
      <c r="H10" s="8" t="s">
        <v>13</v>
      </c>
      <c r="I10" s="65" t="s">
        <v>14</v>
      </c>
      <c r="J10" s="66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3" t="s">
        <v>17</v>
      </c>
      <c r="S10" s="53" t="s">
        <v>18</v>
      </c>
      <c r="T10" s="53" t="s">
        <v>19</v>
      </c>
      <c r="U10" s="53" t="s">
        <v>20</v>
      </c>
      <c r="V10" s="53" t="s">
        <v>21</v>
      </c>
      <c r="W10" s="53" t="s">
        <v>22</v>
      </c>
    </row>
    <row r="11" spans="1:41" x14ac:dyDescent="0.4">
      <c r="A11" s="1">
        <f t="shared" si="1"/>
        <v>11</v>
      </c>
      <c r="G11" s="59"/>
      <c r="H11" s="10">
        <v>0.25</v>
      </c>
      <c r="I11" s="11">
        <v>9.6154639886528535E-3</v>
      </c>
      <c r="J11" s="12"/>
      <c r="L11" s="13">
        <v>1</v>
      </c>
      <c r="M11" s="47">
        <v>44818</v>
      </c>
      <c r="N11" s="14">
        <v>3.5114930000000002</v>
      </c>
      <c r="O11" s="47">
        <v>44818</v>
      </c>
      <c r="P11" s="14">
        <v>3.5114930000000002</v>
      </c>
      <c r="R11" s="54"/>
      <c r="S11" s="54"/>
      <c r="T11" s="54"/>
      <c r="U11" s="54"/>
      <c r="V11" s="54"/>
      <c r="W11" s="54"/>
    </row>
    <row r="12" spans="1:41" x14ac:dyDescent="0.4">
      <c r="A12" s="1">
        <f t="shared" si="1"/>
        <v>12</v>
      </c>
      <c r="G12" s="59"/>
      <c r="H12" s="10">
        <v>0.5</v>
      </c>
      <c r="I12" s="11">
        <v>1.1162364581838124E-2</v>
      </c>
      <c r="J12" s="12"/>
      <c r="L12" s="13">
        <f>L11+1</f>
        <v>2</v>
      </c>
      <c r="M12" s="47">
        <v>44819</v>
      </c>
      <c r="N12" s="14">
        <v>3.5124149999999998</v>
      </c>
      <c r="O12" s="47">
        <v>44819</v>
      </c>
      <c r="P12" s="14">
        <v>3.5124149999999998</v>
      </c>
      <c r="R12" s="15">
        <v>0.25</v>
      </c>
      <c r="S12" s="15">
        <v>1</v>
      </c>
      <c r="T12" s="16">
        <v>9.1889999999999993E-3</v>
      </c>
      <c r="U12" s="11">
        <v>1.7714085993766398E-3</v>
      </c>
      <c r="V12" s="11">
        <v>1.7714085993766886E-3</v>
      </c>
      <c r="W12" s="17">
        <v>-4.87890977618477E-17</v>
      </c>
    </row>
    <row r="13" spans="1:41" x14ac:dyDescent="0.4">
      <c r="A13" s="1">
        <f t="shared" si="1"/>
        <v>13</v>
      </c>
      <c r="C13" s="18" t="s">
        <v>22</v>
      </c>
      <c r="D13" s="55" t="s">
        <v>23</v>
      </c>
      <c r="E13" s="55"/>
      <c r="G13" s="59"/>
      <c r="H13" s="10">
        <v>0.75</v>
      </c>
      <c r="I13" s="11">
        <v>1.1729751309235568E-2</v>
      </c>
      <c r="J13" s="12"/>
      <c r="L13" s="13">
        <f t="shared" ref="L13:L53" si="2">L12+1</f>
        <v>3</v>
      </c>
      <c r="M13" s="47">
        <v>44910</v>
      </c>
      <c r="N13" s="14">
        <v>3.7925620000000002</v>
      </c>
      <c r="O13" s="47">
        <v>44910</v>
      </c>
      <c r="P13" s="14">
        <v>3.7925620000000002</v>
      </c>
      <c r="R13" s="15">
        <v>0.5</v>
      </c>
      <c r="S13" s="15">
        <v>2</v>
      </c>
      <c r="T13" s="16">
        <v>9.3720000000000001E-3</v>
      </c>
      <c r="U13" s="11">
        <v>4.9630522901371625E-3</v>
      </c>
      <c r="V13" s="11">
        <v>4.9630522901371495E-3</v>
      </c>
      <c r="W13" s="17">
        <v>1.3010426069826053E-17</v>
      </c>
    </row>
    <row r="14" spans="1:41" x14ac:dyDescent="0.4">
      <c r="A14" s="1">
        <f t="shared" si="1"/>
        <v>14</v>
      </c>
      <c r="D14" s="55"/>
      <c r="E14" s="55"/>
      <c r="G14" s="59"/>
      <c r="H14" s="10">
        <v>1</v>
      </c>
      <c r="I14" s="11">
        <v>1.2738326744606043E-2</v>
      </c>
      <c r="J14" s="12"/>
      <c r="L14" s="13">
        <f t="shared" si="2"/>
        <v>4</v>
      </c>
      <c r="M14" s="47">
        <v>45001</v>
      </c>
      <c r="N14" s="14">
        <v>3.8730349999999998</v>
      </c>
      <c r="O14" s="47">
        <v>45001</v>
      </c>
      <c r="P14" s="14">
        <v>3.8730349999999998</v>
      </c>
      <c r="R14" s="15">
        <v>0.75</v>
      </c>
      <c r="S14" s="15">
        <v>3</v>
      </c>
      <c r="T14" s="16">
        <v>9.4859999999999996E-3</v>
      </c>
      <c r="U14" s="11">
        <v>8.9659423531971497E-3</v>
      </c>
      <c r="V14" s="11">
        <v>8.9659423531971722E-3</v>
      </c>
      <c r="W14" s="17">
        <v>-2.2551405187698492E-17</v>
      </c>
    </row>
    <row r="15" spans="1:41" x14ac:dyDescent="0.4">
      <c r="A15" s="1">
        <f t="shared" si="1"/>
        <v>15</v>
      </c>
      <c r="D15" s="55"/>
      <c r="E15" s="55"/>
      <c r="G15" s="59"/>
      <c r="H15" s="10">
        <v>2</v>
      </c>
      <c r="I15" s="11">
        <v>8.8252457576316525E-3</v>
      </c>
      <c r="J15" s="12"/>
      <c r="L15" s="13">
        <f t="shared" si="2"/>
        <v>5</v>
      </c>
      <c r="M15" s="47">
        <v>45092</v>
      </c>
      <c r="N15" s="14">
        <v>3.9020980000000001</v>
      </c>
      <c r="O15" s="47">
        <v>45092</v>
      </c>
      <c r="P15" s="14">
        <v>3.9020980000000001</v>
      </c>
      <c r="R15" s="15">
        <v>1</v>
      </c>
      <c r="S15" s="15">
        <v>4</v>
      </c>
      <c r="T15" s="16">
        <v>9.6360000000000005E-3</v>
      </c>
      <c r="U15" s="11">
        <v>1.3624316007604213E-2</v>
      </c>
      <c r="V15" s="11">
        <v>1.3624316007604206E-2</v>
      </c>
      <c r="W15" s="17">
        <v>6.9388939039072284E-18</v>
      </c>
    </row>
    <row r="16" spans="1:41" x14ac:dyDescent="0.4">
      <c r="A16" s="1">
        <f t="shared" si="1"/>
        <v>16</v>
      </c>
      <c r="G16" s="59"/>
      <c r="H16" s="10">
        <v>3</v>
      </c>
      <c r="I16" s="11">
        <v>1.0273480057599883E-2</v>
      </c>
      <c r="J16" s="12"/>
      <c r="L16" s="13">
        <f t="shared" si="2"/>
        <v>6</v>
      </c>
      <c r="M16" s="47">
        <v>45184</v>
      </c>
      <c r="N16" s="14">
        <v>3.9204439999999998</v>
      </c>
      <c r="O16" s="47">
        <v>45184</v>
      </c>
      <c r="P16" s="14">
        <v>3.9204439999999998</v>
      </c>
      <c r="R16" s="15">
        <v>2</v>
      </c>
      <c r="S16" s="15">
        <v>5</v>
      </c>
      <c r="T16" s="16">
        <v>8.6180000000000007E-3</v>
      </c>
      <c r="U16" s="11">
        <v>2.0325396119212937E-2</v>
      </c>
      <c r="V16" s="11">
        <v>2.0325396119212968E-2</v>
      </c>
      <c r="W16" s="17">
        <v>-3.1225022567582528E-17</v>
      </c>
    </row>
    <row r="17" spans="1:23" x14ac:dyDescent="0.4">
      <c r="A17" s="1">
        <f t="shared" si="1"/>
        <v>17</v>
      </c>
      <c r="D17" s="56">
        <v>45202.835729166669</v>
      </c>
      <c r="E17" s="56"/>
      <c r="G17" s="59"/>
      <c r="H17" s="10">
        <v>5</v>
      </c>
      <c r="I17" s="11">
        <v>1.1472470786756934E-2</v>
      </c>
      <c r="J17" s="12"/>
      <c r="L17" s="13">
        <f t="shared" si="2"/>
        <v>7</v>
      </c>
      <c r="M17" s="47">
        <v>45366</v>
      </c>
      <c r="N17" s="14">
        <v>3.9238849999999998</v>
      </c>
      <c r="O17" s="47">
        <v>45366</v>
      </c>
      <c r="P17" s="14">
        <v>3.9238849999999998</v>
      </c>
      <c r="R17" s="15">
        <v>3</v>
      </c>
      <c r="S17" s="15">
        <v>7</v>
      </c>
      <c r="T17" s="16">
        <v>7.5290000000000001E-3</v>
      </c>
      <c r="U17" s="11">
        <v>2.8178321240633547E-2</v>
      </c>
      <c r="V17" s="11">
        <v>2.8178321240633571E-2</v>
      </c>
      <c r="W17" s="17">
        <v>-2.4286128663675299E-17</v>
      </c>
    </row>
    <row r="18" spans="1:23" x14ac:dyDescent="0.4">
      <c r="A18" s="1">
        <f t="shared" si="1"/>
        <v>18</v>
      </c>
      <c r="D18" s="56">
        <v>45202.835729166669</v>
      </c>
      <c r="E18" s="56"/>
      <c r="G18" s="59"/>
      <c r="H18" s="10"/>
      <c r="I18" s="11"/>
      <c r="J18" s="12"/>
      <c r="L18" s="13">
        <f t="shared" si="2"/>
        <v>8</v>
      </c>
      <c r="M18" s="47">
        <v>45549</v>
      </c>
      <c r="N18" s="14">
        <v>3.9116110000000002</v>
      </c>
      <c r="O18" s="47">
        <v>45549</v>
      </c>
      <c r="P18" s="14">
        <v>3.9116110000000002</v>
      </c>
      <c r="R18" s="15">
        <v>5</v>
      </c>
      <c r="S18" s="15">
        <v>10</v>
      </c>
      <c r="T18" s="16">
        <v>6.8240000000000002E-3</v>
      </c>
      <c r="U18" s="11">
        <v>4.1090962313551214E-2</v>
      </c>
      <c r="V18" s="11">
        <v>4.1090962313551214E-2</v>
      </c>
      <c r="W18" s="17">
        <v>0</v>
      </c>
    </row>
    <row r="19" spans="1:23" x14ac:dyDescent="0.4">
      <c r="A19" s="1">
        <f t="shared" si="1"/>
        <v>19</v>
      </c>
      <c r="G19" s="59"/>
      <c r="H19" s="10"/>
      <c r="I19" s="11"/>
      <c r="J19" s="12"/>
      <c r="L19" s="13">
        <f t="shared" si="2"/>
        <v>9</v>
      </c>
      <c r="M19" s="47">
        <v>45914</v>
      </c>
      <c r="N19" s="14">
        <v>3.899302</v>
      </c>
      <c r="O19" s="47">
        <v>45914</v>
      </c>
      <c r="P19" s="14">
        <v>3.899302</v>
      </c>
      <c r="R19" s="15"/>
      <c r="S19" s="15"/>
      <c r="T19" s="16"/>
      <c r="U19" s="11"/>
      <c r="V19" s="11"/>
      <c r="W19" s="17"/>
    </row>
    <row r="20" spans="1:23" x14ac:dyDescent="0.4">
      <c r="A20" s="1">
        <f t="shared" si="1"/>
        <v>20</v>
      </c>
      <c r="G20" s="59"/>
      <c r="H20" s="10"/>
      <c r="I20" s="11"/>
      <c r="J20" s="12"/>
      <c r="L20" s="13">
        <f t="shared" si="2"/>
        <v>10</v>
      </c>
      <c r="M20" s="47">
        <v>46281</v>
      </c>
      <c r="N20" s="14">
        <v>3.9023029999999999</v>
      </c>
      <c r="O20" s="47">
        <v>46281</v>
      </c>
      <c r="P20" s="14">
        <v>3.9023029999999999</v>
      </c>
      <c r="R20" s="15"/>
      <c r="S20" s="15"/>
      <c r="T20" s="16"/>
      <c r="U20" s="11"/>
      <c r="V20" s="11"/>
      <c r="W20" s="17"/>
    </row>
    <row r="21" spans="1:23" x14ac:dyDescent="0.4">
      <c r="A21" s="1">
        <f t="shared" si="1"/>
        <v>21</v>
      </c>
      <c r="G21" s="59"/>
      <c r="H21" s="10"/>
      <c r="I21" s="11"/>
      <c r="J21" s="12"/>
      <c r="L21" s="13">
        <f t="shared" si="2"/>
        <v>11</v>
      </c>
      <c r="M21" s="47">
        <v>46645</v>
      </c>
      <c r="N21" s="14">
        <v>3.9025310000000002</v>
      </c>
      <c r="O21" s="47">
        <v>46645</v>
      </c>
      <c r="P21" s="14">
        <v>3.9025310000000002</v>
      </c>
      <c r="R21" s="15"/>
      <c r="S21" s="15"/>
      <c r="T21" s="16"/>
      <c r="U21" s="11"/>
      <c r="V21" s="11"/>
      <c r="W21" s="17"/>
    </row>
    <row r="22" spans="1:23" x14ac:dyDescent="0.4">
      <c r="A22" s="1">
        <f t="shared" si="1"/>
        <v>22</v>
      </c>
      <c r="G22" s="59"/>
      <c r="H22" s="10"/>
      <c r="I22" s="11"/>
      <c r="J22" s="12"/>
      <c r="L22" s="13">
        <f t="shared" si="2"/>
        <v>12</v>
      </c>
      <c r="M22" s="47">
        <v>47010</v>
      </c>
      <c r="N22" s="14">
        <v>3.9081440000000001</v>
      </c>
      <c r="O22" s="47">
        <v>47010</v>
      </c>
      <c r="P22" s="14">
        <v>3.9081440000000001</v>
      </c>
      <c r="R22" s="15"/>
      <c r="S22" s="15"/>
      <c r="T22" s="16"/>
      <c r="U22" s="11"/>
      <c r="V22" s="11"/>
      <c r="W22" s="17"/>
    </row>
    <row r="23" spans="1:23" x14ac:dyDescent="0.4">
      <c r="A23" s="1">
        <f t="shared" si="1"/>
        <v>23</v>
      </c>
      <c r="B23" s="51" t="s">
        <v>24</v>
      </c>
      <c r="C23" s="51"/>
      <c r="D23" s="52">
        <v>1</v>
      </c>
      <c r="E23" s="52"/>
      <c r="G23" s="59"/>
      <c r="H23" s="10"/>
      <c r="I23" s="11"/>
      <c r="J23" s="12"/>
      <c r="L23" s="13">
        <f t="shared" si="2"/>
        <v>13</v>
      </c>
      <c r="M23" s="47">
        <v>47375</v>
      </c>
      <c r="N23" s="14">
        <v>3.9137569999999999</v>
      </c>
      <c r="O23" s="47">
        <v>47375</v>
      </c>
      <c r="P23" s="14">
        <v>3.9137569999999999</v>
      </c>
      <c r="R23" s="15"/>
      <c r="S23" s="15"/>
      <c r="T23" s="16"/>
      <c r="U23" s="11"/>
      <c r="V23" s="11"/>
      <c r="W23" s="17"/>
    </row>
    <row r="24" spans="1:23" x14ac:dyDescent="0.4">
      <c r="A24" s="1">
        <f t="shared" si="1"/>
        <v>24</v>
      </c>
      <c r="B24" s="51" t="s">
        <v>25</v>
      </c>
      <c r="C24" s="51"/>
      <c r="D24" s="52">
        <v>0</v>
      </c>
      <c r="E24" s="52"/>
      <c r="G24" s="59"/>
      <c r="H24" s="10"/>
      <c r="I24" s="11"/>
      <c r="J24" s="12"/>
      <c r="L24" s="13">
        <f t="shared" si="2"/>
        <v>14</v>
      </c>
      <c r="M24" s="47">
        <v>47740</v>
      </c>
      <c r="N24" s="14">
        <v>3.9222540000000001</v>
      </c>
      <c r="O24" s="47">
        <v>47740</v>
      </c>
      <c r="P24" s="14">
        <v>3.9222540000000001</v>
      </c>
      <c r="R24" s="15"/>
      <c r="S24" s="15"/>
      <c r="T24" s="16"/>
      <c r="U24" s="11"/>
      <c r="V24" s="11"/>
      <c r="W24" s="17"/>
    </row>
    <row r="25" spans="1:23" x14ac:dyDescent="0.4">
      <c r="A25" s="1">
        <f t="shared" si="1"/>
        <v>25</v>
      </c>
      <c r="B25" s="51" t="s">
        <v>26</v>
      </c>
      <c r="C25" s="51"/>
      <c r="D25" s="52">
        <v>-0.1</v>
      </c>
      <c r="E25" s="52"/>
      <c r="G25" s="59"/>
      <c r="H25" s="10"/>
      <c r="I25" s="11"/>
      <c r="J25" s="12"/>
      <c r="L25" s="13">
        <f t="shared" si="2"/>
        <v>15</v>
      </c>
      <c r="M25" s="47">
        <v>48108</v>
      </c>
      <c r="N25" s="14">
        <v>3.9337179999999998</v>
      </c>
      <c r="O25" s="47">
        <v>48108</v>
      </c>
      <c r="P25" s="14">
        <v>3.9337179999999998</v>
      </c>
      <c r="R25" s="15"/>
      <c r="S25" s="15"/>
      <c r="T25" s="16"/>
      <c r="U25" s="11"/>
      <c r="V25" s="11"/>
      <c r="W25" s="17"/>
    </row>
    <row r="26" spans="1:23" x14ac:dyDescent="0.4">
      <c r="A26" s="1">
        <f t="shared" si="1"/>
        <v>26</v>
      </c>
      <c r="B26" s="51" t="s">
        <v>27</v>
      </c>
      <c r="C26" s="51"/>
      <c r="D26" s="52">
        <v>0.15</v>
      </c>
      <c r="E26" s="52"/>
      <c r="G26" s="59"/>
      <c r="H26" s="10"/>
      <c r="I26" s="11"/>
      <c r="J26" s="12"/>
      <c r="L26" s="13">
        <f t="shared" si="2"/>
        <v>16</v>
      </c>
      <c r="M26" s="47">
        <v>48472</v>
      </c>
      <c r="N26" s="14">
        <v>3.9453279999999999</v>
      </c>
      <c r="O26" s="47">
        <v>48472</v>
      </c>
      <c r="P26" s="14">
        <v>3.9453279999999999</v>
      </c>
      <c r="R26" s="15"/>
      <c r="S26" s="15"/>
      <c r="T26" s="16"/>
      <c r="U26" s="11"/>
      <c r="V26" s="11"/>
      <c r="W26" s="17"/>
    </row>
    <row r="27" spans="1:23" x14ac:dyDescent="0.4">
      <c r="A27" s="1">
        <f t="shared" si="1"/>
        <v>27</v>
      </c>
      <c r="G27" s="59"/>
      <c r="H27" s="10"/>
      <c r="I27" s="11"/>
      <c r="J27" s="12"/>
      <c r="L27" s="13">
        <f t="shared" si="2"/>
        <v>17</v>
      </c>
      <c r="M27" s="47">
        <v>49201</v>
      </c>
      <c r="N27" s="14">
        <v>3.9689730000000001</v>
      </c>
      <c r="O27" s="47">
        <v>49201</v>
      </c>
      <c r="P27" s="14">
        <v>3.9689730000000001</v>
      </c>
      <c r="R27" s="15"/>
      <c r="S27" s="15"/>
      <c r="T27" s="16"/>
      <c r="U27" s="11"/>
      <c r="V27" s="11"/>
      <c r="W27" s="17"/>
    </row>
    <row r="28" spans="1:23" x14ac:dyDescent="0.4">
      <c r="A28" s="1">
        <f t="shared" si="1"/>
        <v>28</v>
      </c>
      <c r="G28" s="59"/>
      <c r="H28" s="10"/>
      <c r="I28" s="11"/>
      <c r="J28" s="12"/>
      <c r="L28" s="13">
        <f t="shared" si="2"/>
        <v>18</v>
      </c>
      <c r="M28" s="47">
        <v>50299</v>
      </c>
      <c r="N28" s="14">
        <v>3.9608210000000001</v>
      </c>
      <c r="O28" s="47">
        <v>50299</v>
      </c>
      <c r="P28" s="14">
        <v>3.9608210000000001</v>
      </c>
      <c r="R28" s="15"/>
      <c r="S28" s="15"/>
      <c r="T28" s="16"/>
      <c r="U28" s="11"/>
      <c r="V28" s="11"/>
      <c r="W28" s="17"/>
    </row>
    <row r="29" spans="1:23" x14ac:dyDescent="0.4">
      <c r="A29" s="1">
        <f t="shared" si="1"/>
        <v>29</v>
      </c>
      <c r="G29" s="59"/>
      <c r="H29" s="10"/>
      <c r="I29" s="11"/>
      <c r="J29" s="12"/>
      <c r="L29" s="13">
        <f t="shared" si="2"/>
        <v>19</v>
      </c>
      <c r="M29" s="47">
        <v>52123</v>
      </c>
      <c r="N29" s="14">
        <v>3.8029289999999998</v>
      </c>
      <c r="O29" s="47">
        <v>52123</v>
      </c>
      <c r="P29" s="14">
        <v>3.8029289999999998</v>
      </c>
      <c r="R29" s="15"/>
      <c r="S29" s="15"/>
      <c r="T29" s="16"/>
      <c r="U29" s="11"/>
      <c r="V29" s="11"/>
      <c r="W29" s="17"/>
    </row>
    <row r="30" spans="1:23" x14ac:dyDescent="0.4">
      <c r="A30" s="1">
        <f t="shared" si="1"/>
        <v>30</v>
      </c>
      <c r="G30" s="59"/>
      <c r="H30" s="10"/>
      <c r="I30" s="11"/>
      <c r="J30" s="12"/>
      <c r="L30" s="13">
        <f t="shared" si="2"/>
        <v>20</v>
      </c>
      <c r="M30" s="47">
        <v>53950</v>
      </c>
      <c r="N30" s="14">
        <v>3.6413120000000001</v>
      </c>
      <c r="O30" s="47">
        <v>53950</v>
      </c>
      <c r="P30" s="14">
        <v>3.6413120000000001</v>
      </c>
      <c r="R30" s="15"/>
      <c r="S30" s="15"/>
      <c r="T30" s="16"/>
      <c r="U30" s="11"/>
      <c r="V30" s="11"/>
      <c r="W30" s="17"/>
    </row>
    <row r="31" spans="1:23" x14ac:dyDescent="0.4">
      <c r="A31" s="1">
        <f t="shared" si="1"/>
        <v>31</v>
      </c>
      <c r="G31" s="59"/>
      <c r="H31" s="10"/>
      <c r="I31" s="11"/>
      <c r="J31" s="12"/>
      <c r="L31" s="13">
        <f t="shared" si="2"/>
        <v>21</v>
      </c>
      <c r="M31" s="47">
        <v>55776</v>
      </c>
      <c r="N31" s="14">
        <v>3.552136</v>
      </c>
      <c r="O31" s="47">
        <v>55776</v>
      </c>
      <c r="P31" s="14">
        <v>3.552136</v>
      </c>
      <c r="R31" s="15"/>
      <c r="S31" s="15"/>
      <c r="T31" s="16"/>
      <c r="U31" s="11"/>
      <c r="V31" s="11"/>
      <c r="W31" s="17"/>
    </row>
    <row r="32" spans="1:23" x14ac:dyDescent="0.4">
      <c r="A32" s="1">
        <f t="shared" si="1"/>
        <v>32</v>
      </c>
      <c r="G32" s="59"/>
      <c r="H32" s="10"/>
      <c r="I32" s="11"/>
      <c r="J32" s="12"/>
      <c r="L32" s="13">
        <f t="shared" si="2"/>
        <v>22</v>
      </c>
      <c r="M32" s="48"/>
      <c r="N32" s="19"/>
      <c r="O32" s="48"/>
      <c r="P32" s="19"/>
      <c r="R32" s="15"/>
      <c r="S32" s="15"/>
      <c r="T32" s="16"/>
      <c r="U32" s="11"/>
      <c r="V32" s="11"/>
      <c r="W32" s="17"/>
    </row>
    <row r="33" spans="1:23" x14ac:dyDescent="0.4">
      <c r="A33" s="1">
        <f t="shared" si="1"/>
        <v>33</v>
      </c>
      <c r="G33" s="59"/>
      <c r="H33" s="10"/>
      <c r="I33" s="11"/>
      <c r="J33" s="12"/>
      <c r="L33" s="13">
        <f t="shared" si="2"/>
        <v>23</v>
      </c>
      <c r="M33" s="48"/>
      <c r="N33" s="19"/>
      <c r="O33" s="48"/>
      <c r="P33" s="19"/>
      <c r="R33" s="15"/>
      <c r="S33" s="15"/>
      <c r="T33" s="16"/>
      <c r="U33" s="11"/>
      <c r="V33" s="11"/>
      <c r="W33" s="17"/>
    </row>
    <row r="34" spans="1:23" x14ac:dyDescent="0.4">
      <c r="A34" s="1">
        <f t="shared" si="1"/>
        <v>34</v>
      </c>
      <c r="G34" s="59"/>
      <c r="H34" s="10"/>
      <c r="I34" s="11"/>
      <c r="J34" s="12"/>
      <c r="L34" s="13">
        <f t="shared" si="2"/>
        <v>24</v>
      </c>
      <c r="M34" s="48"/>
      <c r="N34" s="19"/>
      <c r="O34" s="48"/>
      <c r="P34" s="19"/>
      <c r="R34" s="15"/>
      <c r="S34" s="15"/>
      <c r="T34" s="16"/>
      <c r="U34" s="11"/>
      <c r="V34" s="11"/>
      <c r="W34" s="17"/>
    </row>
    <row r="35" spans="1:23" x14ac:dyDescent="0.4">
      <c r="A35" s="1">
        <f t="shared" si="1"/>
        <v>35</v>
      </c>
      <c r="G35" s="59"/>
      <c r="H35" s="10"/>
      <c r="I35" s="11"/>
      <c r="J35" s="12"/>
      <c r="L35" s="13">
        <f t="shared" si="2"/>
        <v>25</v>
      </c>
      <c r="M35" s="48"/>
      <c r="N35" s="19"/>
      <c r="O35" s="48"/>
      <c r="P35" s="19"/>
      <c r="R35" s="15"/>
      <c r="S35" s="15"/>
      <c r="T35" s="16"/>
      <c r="U35" s="11"/>
      <c r="V35" s="11"/>
      <c r="W35" s="17"/>
    </row>
    <row r="36" spans="1:23" x14ac:dyDescent="0.4">
      <c r="A36" s="1">
        <f t="shared" si="1"/>
        <v>36</v>
      </c>
      <c r="G36" s="59"/>
      <c r="H36" s="10"/>
      <c r="I36" s="11"/>
      <c r="J36" s="12"/>
      <c r="L36" s="13">
        <f t="shared" si="2"/>
        <v>26</v>
      </c>
      <c r="M36" s="48"/>
      <c r="N36" s="19"/>
      <c r="O36" s="48"/>
      <c r="P36" s="19"/>
      <c r="R36" s="15"/>
      <c r="S36" s="15"/>
      <c r="T36" s="16"/>
      <c r="U36" s="11"/>
      <c r="V36" s="11"/>
      <c r="W36" s="17"/>
    </row>
    <row r="37" spans="1:23" x14ac:dyDescent="0.4">
      <c r="A37" s="1">
        <f t="shared" si="1"/>
        <v>37</v>
      </c>
      <c r="G37" s="59"/>
      <c r="H37" s="10"/>
      <c r="I37" s="11"/>
      <c r="J37" s="12"/>
      <c r="L37" s="13">
        <f t="shared" si="2"/>
        <v>27</v>
      </c>
      <c r="M37" s="48"/>
      <c r="N37" s="19"/>
      <c r="O37" s="48"/>
      <c r="P37" s="19"/>
      <c r="R37" s="15"/>
      <c r="S37" s="15"/>
      <c r="T37" s="16"/>
      <c r="U37" s="11"/>
      <c r="V37" s="11"/>
      <c r="W37" s="17"/>
    </row>
    <row r="38" spans="1:23" x14ac:dyDescent="0.4">
      <c r="A38" s="1">
        <f t="shared" si="1"/>
        <v>38</v>
      </c>
      <c r="G38" s="59"/>
      <c r="H38" s="10"/>
      <c r="I38" s="11"/>
      <c r="J38" s="12"/>
      <c r="L38" s="13">
        <f t="shared" si="2"/>
        <v>28</v>
      </c>
      <c r="M38" s="48"/>
      <c r="N38" s="19"/>
      <c r="O38" s="48"/>
      <c r="P38" s="19"/>
      <c r="R38" s="15"/>
      <c r="S38" s="15"/>
      <c r="T38" s="16"/>
      <c r="U38" s="11"/>
      <c r="V38" s="11"/>
      <c r="W38" s="17"/>
    </row>
    <row r="39" spans="1:23" x14ac:dyDescent="0.4">
      <c r="A39" s="1">
        <f t="shared" si="1"/>
        <v>39</v>
      </c>
      <c r="G39" s="59"/>
      <c r="H39" s="10"/>
      <c r="I39" s="11"/>
      <c r="J39" s="12"/>
      <c r="L39" s="13">
        <f t="shared" si="2"/>
        <v>29</v>
      </c>
      <c r="M39" s="48"/>
      <c r="N39" s="19"/>
      <c r="O39" s="48"/>
      <c r="P39" s="19"/>
      <c r="R39" s="15"/>
      <c r="S39" s="15"/>
      <c r="T39" s="16"/>
      <c r="U39" s="11"/>
      <c r="V39" s="11"/>
      <c r="W39" s="17"/>
    </row>
    <row r="40" spans="1:23" x14ac:dyDescent="0.4">
      <c r="A40" s="1">
        <f t="shared" si="1"/>
        <v>40</v>
      </c>
      <c r="G40" s="59"/>
      <c r="H40" s="10"/>
      <c r="I40" s="11"/>
      <c r="J40" s="12"/>
      <c r="L40" s="13">
        <f t="shared" si="2"/>
        <v>30</v>
      </c>
      <c r="M40" s="48"/>
      <c r="N40" s="19"/>
      <c r="O40" s="48"/>
      <c r="P40" s="19"/>
      <c r="R40" s="15"/>
      <c r="S40" s="15"/>
      <c r="T40" s="16"/>
      <c r="U40" s="11"/>
      <c r="V40" s="11"/>
      <c r="W40" s="17"/>
    </row>
    <row r="41" spans="1:23" x14ac:dyDescent="0.4">
      <c r="A41" s="1">
        <f t="shared" si="1"/>
        <v>41</v>
      </c>
      <c r="G41" s="20"/>
      <c r="H41" s="10"/>
      <c r="I41" s="11"/>
      <c r="J41" s="12"/>
      <c r="L41" s="13">
        <f t="shared" si="2"/>
        <v>31</v>
      </c>
      <c r="M41" s="48"/>
      <c r="N41" s="19"/>
      <c r="O41" s="48"/>
      <c r="P41" s="19"/>
      <c r="R41" s="15"/>
      <c r="S41" s="15"/>
      <c r="T41" s="16"/>
      <c r="U41" s="11"/>
      <c r="V41" s="11"/>
      <c r="W41" s="17"/>
    </row>
    <row r="42" spans="1:23" x14ac:dyDescent="0.4">
      <c r="A42" s="1">
        <f t="shared" si="1"/>
        <v>42</v>
      </c>
      <c r="G42" s="20"/>
      <c r="H42" s="10"/>
      <c r="I42" s="11"/>
      <c r="J42" s="12"/>
      <c r="L42" s="13">
        <f t="shared" si="2"/>
        <v>32</v>
      </c>
      <c r="M42" s="48"/>
      <c r="N42" s="19"/>
      <c r="O42" s="48"/>
      <c r="P42" s="19"/>
      <c r="R42" s="15"/>
      <c r="S42" s="15"/>
      <c r="T42" s="16"/>
      <c r="U42" s="11"/>
      <c r="V42" s="11"/>
      <c r="W42" s="17"/>
    </row>
    <row r="43" spans="1:23" x14ac:dyDescent="0.4">
      <c r="A43" s="1">
        <f t="shared" si="1"/>
        <v>43</v>
      </c>
      <c r="G43" s="20"/>
      <c r="H43" s="10"/>
      <c r="I43" s="11"/>
      <c r="J43" s="12"/>
      <c r="L43" s="13">
        <f t="shared" si="2"/>
        <v>33</v>
      </c>
      <c r="M43" s="48"/>
      <c r="N43" s="19"/>
      <c r="O43" s="48"/>
      <c r="P43" s="19"/>
      <c r="R43" s="15"/>
      <c r="S43" s="15"/>
      <c r="T43" s="16"/>
      <c r="U43" s="11"/>
      <c r="V43" s="11"/>
      <c r="W43" s="17"/>
    </row>
    <row r="44" spans="1:23" x14ac:dyDescent="0.4">
      <c r="A44" s="1">
        <f t="shared" si="1"/>
        <v>44</v>
      </c>
      <c r="G44" s="20"/>
      <c r="H44" s="10"/>
      <c r="I44" s="11"/>
      <c r="J44" s="12"/>
      <c r="L44" s="13">
        <f t="shared" si="2"/>
        <v>34</v>
      </c>
      <c r="M44" s="48"/>
      <c r="N44" s="19"/>
      <c r="O44" s="48"/>
      <c r="P44" s="19"/>
      <c r="R44" s="15"/>
      <c r="S44" s="15"/>
      <c r="T44" s="16"/>
      <c r="U44" s="11"/>
      <c r="V44" s="11"/>
      <c r="W44" s="17"/>
    </row>
    <row r="45" spans="1:23" x14ac:dyDescent="0.4">
      <c r="A45" s="1">
        <f t="shared" si="1"/>
        <v>45</v>
      </c>
      <c r="G45" s="20"/>
      <c r="H45" s="10"/>
      <c r="I45" s="11"/>
      <c r="J45" s="12"/>
      <c r="L45" s="13">
        <f t="shared" si="2"/>
        <v>35</v>
      </c>
      <c r="M45" s="48"/>
      <c r="N45" s="19"/>
      <c r="O45" s="48"/>
      <c r="P45" s="19"/>
      <c r="R45" s="15"/>
      <c r="S45" s="15"/>
      <c r="T45" s="16"/>
      <c r="U45" s="11"/>
      <c r="V45" s="11"/>
      <c r="W45" s="17"/>
    </row>
    <row r="46" spans="1:23" x14ac:dyDescent="0.4">
      <c r="A46" s="1">
        <f t="shared" si="1"/>
        <v>46</v>
      </c>
      <c r="G46" s="20"/>
      <c r="H46" s="10"/>
      <c r="I46" s="11"/>
      <c r="J46" s="12"/>
      <c r="L46" s="13">
        <f t="shared" si="2"/>
        <v>36</v>
      </c>
      <c r="M46" s="48"/>
      <c r="N46" s="19"/>
      <c r="O46" s="48"/>
      <c r="P46" s="19"/>
      <c r="R46" s="15"/>
      <c r="S46" s="15"/>
      <c r="T46" s="16"/>
      <c r="U46" s="11"/>
      <c r="V46" s="11"/>
      <c r="W46" s="17"/>
    </row>
    <row r="47" spans="1:23" x14ac:dyDescent="0.4">
      <c r="A47" s="1">
        <f t="shared" si="1"/>
        <v>47</v>
      </c>
      <c r="G47" s="20"/>
      <c r="H47" s="10"/>
      <c r="I47" s="11"/>
      <c r="J47" s="12"/>
      <c r="L47" s="13">
        <f t="shared" si="2"/>
        <v>37</v>
      </c>
      <c r="M47" s="48"/>
      <c r="N47" s="19"/>
      <c r="O47" s="48"/>
      <c r="P47" s="19"/>
      <c r="R47" s="15"/>
      <c r="S47" s="15"/>
      <c r="T47" s="16"/>
      <c r="U47" s="11"/>
      <c r="V47" s="11"/>
      <c r="W47" s="17"/>
    </row>
    <row r="48" spans="1:23" x14ac:dyDescent="0.4">
      <c r="A48" s="1">
        <f t="shared" si="1"/>
        <v>48</v>
      </c>
      <c r="G48" s="20"/>
      <c r="H48" s="10"/>
      <c r="I48" s="11"/>
      <c r="J48" s="12"/>
      <c r="L48" s="13">
        <f t="shared" si="2"/>
        <v>38</v>
      </c>
      <c r="M48" s="48"/>
      <c r="N48" s="19"/>
      <c r="O48" s="48"/>
      <c r="P48" s="19"/>
      <c r="R48" s="15"/>
      <c r="S48" s="15"/>
      <c r="T48" s="16"/>
      <c r="U48" s="11"/>
      <c r="V48" s="11"/>
      <c r="W48" s="17"/>
    </row>
    <row r="49" spans="1:23" x14ac:dyDescent="0.4">
      <c r="A49" s="1">
        <f t="shared" si="1"/>
        <v>49</v>
      </c>
      <c r="G49" s="20"/>
      <c r="H49" s="10"/>
      <c r="I49" s="11"/>
      <c r="J49" s="12"/>
      <c r="L49" s="13">
        <f t="shared" si="2"/>
        <v>39</v>
      </c>
      <c r="M49" s="48"/>
      <c r="N49" s="19"/>
      <c r="O49" s="48"/>
      <c r="P49" s="19"/>
      <c r="R49" s="15"/>
      <c r="S49" s="15"/>
      <c r="T49" s="16"/>
      <c r="U49" s="11"/>
      <c r="V49" s="11"/>
      <c r="W49" s="17"/>
    </row>
    <row r="50" spans="1:23" x14ac:dyDescent="0.4">
      <c r="A50" s="1">
        <f t="shared" si="1"/>
        <v>50</v>
      </c>
      <c r="G50" s="20"/>
      <c r="H50" s="10"/>
      <c r="I50" s="11"/>
      <c r="J50" s="12"/>
      <c r="L50" s="13">
        <f t="shared" si="2"/>
        <v>40</v>
      </c>
      <c r="M50" s="48"/>
      <c r="N50" s="19"/>
      <c r="O50" s="48"/>
      <c r="P50" s="19"/>
      <c r="R50" s="15"/>
      <c r="S50" s="15"/>
      <c r="T50" s="16"/>
      <c r="U50" s="11"/>
      <c r="V50" s="11"/>
      <c r="W50" s="17"/>
    </row>
    <row r="51" spans="1:23" x14ac:dyDescent="0.4">
      <c r="A51" s="1">
        <f t="shared" si="1"/>
        <v>51</v>
      </c>
      <c r="G51" s="20"/>
      <c r="H51" s="10"/>
      <c r="I51" s="11"/>
      <c r="J51" s="12"/>
      <c r="L51" s="13">
        <f t="shared" si="2"/>
        <v>41</v>
      </c>
      <c r="M51" s="48"/>
      <c r="N51" s="19"/>
      <c r="O51" s="48"/>
      <c r="P51" s="19"/>
      <c r="R51" s="15"/>
      <c r="S51" s="15"/>
      <c r="T51" s="16"/>
      <c r="U51" s="11"/>
      <c r="V51" s="11"/>
      <c r="W51" s="17"/>
    </row>
    <row r="52" spans="1:23" x14ac:dyDescent="0.4">
      <c r="A52" s="1">
        <f t="shared" si="1"/>
        <v>52</v>
      </c>
      <c r="G52" s="20"/>
      <c r="H52" s="10"/>
      <c r="I52" s="11"/>
      <c r="J52" s="12"/>
      <c r="L52" s="13">
        <f t="shared" si="2"/>
        <v>42</v>
      </c>
      <c r="M52" s="48"/>
      <c r="N52" s="19"/>
      <c r="O52" s="48"/>
      <c r="P52" s="19"/>
      <c r="R52" s="15"/>
      <c r="S52" s="15"/>
      <c r="T52" s="16"/>
      <c r="U52" s="11"/>
      <c r="V52" s="11"/>
      <c r="W52" s="17"/>
    </row>
    <row r="53" spans="1:23" x14ac:dyDescent="0.4">
      <c r="A53" s="1">
        <f t="shared" si="1"/>
        <v>53</v>
      </c>
      <c r="G53" s="20"/>
      <c r="H53" s="10"/>
      <c r="I53" s="11"/>
      <c r="J53" s="12"/>
      <c r="L53" s="13">
        <f t="shared" si="2"/>
        <v>43</v>
      </c>
      <c r="M53" s="48"/>
      <c r="N53" s="19"/>
      <c r="O53" s="48"/>
      <c r="P53" s="19"/>
      <c r="R53" s="15"/>
      <c r="S53" s="15"/>
      <c r="T53" s="16"/>
      <c r="U53" s="11"/>
      <c r="V53" s="11"/>
      <c r="W53" s="17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abSelected="1" topLeftCell="H34" workbookViewId="0">
      <selection activeCell="L14" sqref="L14:M14"/>
    </sheetView>
  </sheetViews>
  <sheetFormatPr defaultColWidth="12.5" defaultRowHeight="17.399999999999999" x14ac:dyDescent="0.4"/>
  <cols>
    <col min="1" max="1" width="12.5" style="21"/>
    <col min="2" max="3" width="12.5" style="28"/>
    <col min="4" max="19" width="12.5" style="21"/>
    <col min="20" max="20" width="12.5" style="29"/>
    <col min="21" max="21" width="12.5" style="30"/>
    <col min="22" max="22" width="12.5" style="21"/>
    <col min="23" max="23" width="12.5" style="29"/>
    <col min="24" max="24" width="12.5" style="36"/>
    <col min="25" max="25" width="12.5" style="29"/>
    <col min="26" max="26" width="12.5" style="38"/>
    <col min="27" max="27" width="12.5" style="21"/>
    <col min="28" max="28" width="12.5" style="43"/>
    <col min="29" max="30" width="12.5" style="44"/>
    <col min="31" max="31" width="12.5" style="46"/>
    <col min="32" max="32" width="17.59765625" style="50" bestFit="1" customWidth="1"/>
    <col min="33" max="35" width="12.5" style="44"/>
    <col min="36" max="36" width="12.5" style="46"/>
    <col min="37" max="37" width="18.09765625" style="50" bestFit="1" customWidth="1"/>
    <col min="38" max="16384" width="12.5" style="21"/>
  </cols>
  <sheetData>
    <row r="1" spans="1:57" x14ac:dyDescent="0.4">
      <c r="A1" s="22">
        <v>1</v>
      </c>
      <c r="B1" s="22">
        <f>A1+1</f>
        <v>2</v>
      </c>
      <c r="C1" s="22">
        <f t="shared" ref="C1:BE1" si="0">B1+1</f>
        <v>3</v>
      </c>
      <c r="D1" s="22">
        <f t="shared" si="0"/>
        <v>4</v>
      </c>
      <c r="E1" s="22">
        <f t="shared" si="0"/>
        <v>5</v>
      </c>
      <c r="F1" s="22">
        <f t="shared" si="0"/>
        <v>6</v>
      </c>
      <c r="G1" s="22">
        <f t="shared" si="0"/>
        <v>7</v>
      </c>
      <c r="H1" s="22">
        <f t="shared" si="0"/>
        <v>8</v>
      </c>
      <c r="I1" s="22">
        <f t="shared" si="0"/>
        <v>9</v>
      </c>
      <c r="J1" s="22">
        <f t="shared" si="0"/>
        <v>10</v>
      </c>
      <c r="K1" s="22">
        <f t="shared" si="0"/>
        <v>11</v>
      </c>
      <c r="L1" s="22">
        <f t="shared" si="0"/>
        <v>12</v>
      </c>
      <c r="M1" s="22">
        <f t="shared" si="0"/>
        <v>13</v>
      </c>
      <c r="N1" s="22">
        <f t="shared" si="0"/>
        <v>14</v>
      </c>
      <c r="O1" s="22">
        <f t="shared" si="0"/>
        <v>15</v>
      </c>
      <c r="P1" s="22">
        <f t="shared" si="0"/>
        <v>16</v>
      </c>
      <c r="Q1" s="22">
        <f t="shared" si="0"/>
        <v>17</v>
      </c>
      <c r="R1" s="22">
        <f t="shared" si="0"/>
        <v>18</v>
      </c>
      <c r="S1" s="22">
        <f t="shared" si="0"/>
        <v>19</v>
      </c>
      <c r="T1" s="22">
        <f t="shared" si="0"/>
        <v>20</v>
      </c>
      <c r="U1" s="22">
        <f t="shared" si="0"/>
        <v>21</v>
      </c>
      <c r="V1" s="22">
        <f t="shared" si="0"/>
        <v>22</v>
      </c>
      <c r="W1" s="22">
        <f t="shared" si="0"/>
        <v>23</v>
      </c>
      <c r="X1" s="22">
        <f t="shared" si="0"/>
        <v>24</v>
      </c>
      <c r="Y1" s="22">
        <f t="shared" si="0"/>
        <v>25</v>
      </c>
      <c r="Z1" s="22">
        <f t="shared" si="0"/>
        <v>26</v>
      </c>
      <c r="AA1" s="22">
        <f t="shared" si="0"/>
        <v>27</v>
      </c>
      <c r="AB1" s="22">
        <f t="shared" si="0"/>
        <v>28</v>
      </c>
      <c r="AC1" s="22">
        <f t="shared" si="0"/>
        <v>29</v>
      </c>
      <c r="AD1" s="22">
        <f t="shared" si="0"/>
        <v>30</v>
      </c>
      <c r="AE1" s="22">
        <f t="shared" si="0"/>
        <v>31</v>
      </c>
      <c r="AF1" s="22">
        <f t="shared" si="0"/>
        <v>32</v>
      </c>
      <c r="AG1" s="22">
        <f t="shared" si="0"/>
        <v>33</v>
      </c>
      <c r="AH1" s="22">
        <f t="shared" si="0"/>
        <v>34</v>
      </c>
      <c r="AI1" s="22">
        <f t="shared" si="0"/>
        <v>35</v>
      </c>
      <c r="AJ1" s="22">
        <f t="shared" si="0"/>
        <v>36</v>
      </c>
      <c r="AK1" s="22">
        <f t="shared" si="0"/>
        <v>37</v>
      </c>
      <c r="AL1" s="22">
        <f t="shared" si="0"/>
        <v>38</v>
      </c>
      <c r="AM1" s="22">
        <f t="shared" si="0"/>
        <v>39</v>
      </c>
      <c r="AN1" s="22">
        <f t="shared" si="0"/>
        <v>40</v>
      </c>
      <c r="AO1" s="22">
        <f t="shared" si="0"/>
        <v>41</v>
      </c>
      <c r="AP1" s="22">
        <f t="shared" si="0"/>
        <v>42</v>
      </c>
      <c r="AQ1" s="22">
        <f t="shared" si="0"/>
        <v>43</v>
      </c>
      <c r="AR1" s="22">
        <f t="shared" si="0"/>
        <v>44</v>
      </c>
      <c r="AS1" s="22">
        <f t="shared" si="0"/>
        <v>45</v>
      </c>
      <c r="AT1" s="22">
        <f t="shared" si="0"/>
        <v>46</v>
      </c>
      <c r="AU1" s="22">
        <f t="shared" si="0"/>
        <v>47</v>
      </c>
      <c r="AV1" s="22">
        <f t="shared" si="0"/>
        <v>48</v>
      </c>
      <c r="AW1" s="22">
        <f t="shared" si="0"/>
        <v>49</v>
      </c>
      <c r="AX1" s="22">
        <f t="shared" si="0"/>
        <v>50</v>
      </c>
      <c r="AY1" s="22">
        <f t="shared" si="0"/>
        <v>51</v>
      </c>
      <c r="AZ1" s="22">
        <f t="shared" si="0"/>
        <v>52</v>
      </c>
      <c r="BA1" s="22">
        <f t="shared" si="0"/>
        <v>53</v>
      </c>
      <c r="BB1" s="22">
        <f t="shared" si="0"/>
        <v>54</v>
      </c>
      <c r="BC1" s="22">
        <f t="shared" si="0"/>
        <v>55</v>
      </c>
      <c r="BD1" s="22">
        <f t="shared" si="0"/>
        <v>56</v>
      </c>
      <c r="BE1" s="22">
        <f t="shared" si="0"/>
        <v>57</v>
      </c>
    </row>
    <row r="2" spans="1:57" x14ac:dyDescent="0.4">
      <c r="A2" s="22">
        <f>A1+1</f>
        <v>2</v>
      </c>
      <c r="B2" s="21"/>
      <c r="C2" s="21"/>
      <c r="T2" s="21"/>
      <c r="U2" s="21"/>
      <c r="W2" s="21"/>
      <c r="X2" s="21"/>
      <c r="Y2" s="21"/>
      <c r="Z2" s="21"/>
      <c r="AB2" s="21"/>
      <c r="AC2" s="21"/>
      <c r="AD2" s="21"/>
      <c r="AE2" s="21"/>
      <c r="AF2" s="21"/>
      <c r="AG2" s="21"/>
      <c r="AH2" s="21"/>
      <c r="AI2" s="21"/>
      <c r="AJ2" s="21"/>
      <c r="AK2" s="21"/>
    </row>
    <row r="3" spans="1:57" x14ac:dyDescent="0.4">
      <c r="A3" s="22">
        <f t="shared" ref="A3:A61" si="1">A2+1</f>
        <v>3</v>
      </c>
      <c r="B3" s="148" t="s">
        <v>30</v>
      </c>
      <c r="C3" s="148"/>
      <c r="D3" s="149">
        <v>44815</v>
      </c>
      <c r="E3" s="88"/>
      <c r="F3" s="69" t="s">
        <v>31</v>
      </c>
      <c r="G3" s="69"/>
      <c r="H3" s="88">
        <v>0</v>
      </c>
      <c r="I3" s="88"/>
      <c r="J3" s="69" t="s">
        <v>32</v>
      </c>
      <c r="K3" s="69"/>
      <c r="L3" s="150">
        <v>40000000000</v>
      </c>
      <c r="M3" s="150"/>
      <c r="O3" s="113" t="s">
        <v>50</v>
      </c>
      <c r="P3" s="114"/>
      <c r="Q3" s="114"/>
      <c r="R3" s="115"/>
      <c r="T3" s="103" t="s">
        <v>56</v>
      </c>
      <c r="U3" s="104"/>
      <c r="W3" s="94" t="s">
        <v>77</v>
      </c>
      <c r="X3" s="95"/>
      <c r="Y3" s="94" t="s">
        <v>78</v>
      </c>
      <c r="Z3" s="95"/>
      <c r="AB3" s="75" t="s">
        <v>66</v>
      </c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7"/>
    </row>
    <row r="4" spans="1:57" x14ac:dyDescent="0.4">
      <c r="A4" s="22">
        <f t="shared" si="1"/>
        <v>4</v>
      </c>
      <c r="B4" s="21"/>
      <c r="C4" s="21"/>
      <c r="O4" s="116" t="s">
        <v>49</v>
      </c>
      <c r="P4" s="117"/>
      <c r="Q4" s="118">
        <v>44039</v>
      </c>
      <c r="R4" s="119"/>
      <c r="T4" s="31" t="s">
        <v>57</v>
      </c>
      <c r="U4" s="32" t="s">
        <v>58</v>
      </c>
      <c r="W4" s="39" t="s">
        <v>60</v>
      </c>
      <c r="X4" s="40" t="s">
        <v>16</v>
      </c>
      <c r="Y4" s="39" t="s">
        <v>60</v>
      </c>
      <c r="Z4" s="40" t="s">
        <v>16</v>
      </c>
      <c r="AB4" s="78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80"/>
    </row>
    <row r="5" spans="1:57" x14ac:dyDescent="0.4">
      <c r="A5" s="22">
        <f t="shared" si="1"/>
        <v>5</v>
      </c>
      <c r="B5" s="75" t="s">
        <v>48</v>
      </c>
      <c r="C5" s="76"/>
      <c r="D5" s="76"/>
      <c r="E5" s="76"/>
      <c r="F5" s="76"/>
      <c r="G5" s="76"/>
      <c r="H5" s="76"/>
      <c r="I5" s="76"/>
      <c r="J5" s="76"/>
      <c r="K5" s="76"/>
      <c r="L5" s="76"/>
      <c r="M5" s="77"/>
      <c r="O5" s="91" t="s">
        <v>51</v>
      </c>
      <c r="P5" s="124"/>
      <c r="Q5" s="125">
        <v>49517</v>
      </c>
      <c r="R5" s="126"/>
      <c r="T5" s="26">
        <v>45292</v>
      </c>
      <c r="U5" s="27">
        <v>45651</v>
      </c>
      <c r="W5" s="34">
        <v>45292</v>
      </c>
      <c r="X5" s="35">
        <v>3.6999999999999998E-2</v>
      </c>
      <c r="Y5" s="34">
        <v>45292</v>
      </c>
      <c r="Z5" s="37">
        <v>3.5000000000000003E-2</v>
      </c>
      <c r="AB5" s="21"/>
      <c r="AC5" s="21"/>
      <c r="AD5" s="21"/>
      <c r="AE5" s="21"/>
      <c r="AF5" s="21"/>
      <c r="AG5" s="21"/>
      <c r="AH5" s="21"/>
      <c r="AI5" s="21"/>
      <c r="AJ5" s="21"/>
      <c r="AK5" s="21"/>
    </row>
    <row r="6" spans="1:57" x14ac:dyDescent="0.4">
      <c r="A6" s="22">
        <f t="shared" si="1"/>
        <v>6</v>
      </c>
      <c r="B6" s="78"/>
      <c r="C6" s="79"/>
      <c r="D6" s="79"/>
      <c r="E6" s="79"/>
      <c r="F6" s="79"/>
      <c r="G6" s="79"/>
      <c r="H6" s="79"/>
      <c r="I6" s="79"/>
      <c r="J6" s="79"/>
      <c r="K6" s="79"/>
      <c r="L6" s="79"/>
      <c r="M6" s="80"/>
      <c r="O6" s="122" t="s">
        <v>43</v>
      </c>
      <c r="P6" s="123"/>
      <c r="Q6" s="102">
        <v>0</v>
      </c>
      <c r="R6" s="71"/>
      <c r="W6" s="29">
        <v>44769</v>
      </c>
      <c r="X6" s="36">
        <v>3.6999999999999998E-2</v>
      </c>
      <c r="Y6" s="29">
        <v>44769</v>
      </c>
      <c r="Z6" s="38">
        <v>0.03</v>
      </c>
      <c r="AB6" s="69" t="s">
        <v>67</v>
      </c>
      <c r="AC6" s="69"/>
      <c r="AD6" s="88">
        <v>0</v>
      </c>
      <c r="AE6" s="88"/>
      <c r="AF6" s="21"/>
      <c r="AG6" s="21"/>
      <c r="AH6" s="21"/>
      <c r="AI6" s="21"/>
      <c r="AJ6" s="21"/>
      <c r="AK6" s="21"/>
    </row>
    <row r="7" spans="1:57" x14ac:dyDescent="0.4">
      <c r="A7" s="22">
        <f t="shared" si="1"/>
        <v>7</v>
      </c>
      <c r="B7" s="69" t="s">
        <v>33</v>
      </c>
      <c r="C7" s="69"/>
      <c r="D7" s="81">
        <v>1</v>
      </c>
      <c r="E7" s="82"/>
      <c r="F7" s="69" t="s">
        <v>34</v>
      </c>
      <c r="G7" s="69"/>
      <c r="H7" s="81">
        <v>1</v>
      </c>
      <c r="I7" s="82"/>
      <c r="J7" s="69" t="s">
        <v>86</v>
      </c>
      <c r="K7" s="69"/>
      <c r="L7" s="70">
        <v>0</v>
      </c>
      <c r="M7" s="71"/>
      <c r="O7" s="103" t="str">
        <f>IF(Q6&gt;0,"Phase2날짜","")</f>
        <v/>
      </c>
      <c r="P7" s="104"/>
      <c r="Q7" s="120">
        <v>45865</v>
      </c>
      <c r="R7" s="121"/>
      <c r="W7" s="29">
        <v>44815</v>
      </c>
      <c r="X7" s="36">
        <v>3.6999999999999998E-2</v>
      </c>
      <c r="Y7" s="29">
        <v>44815</v>
      </c>
      <c r="Z7" s="36">
        <v>0.03</v>
      </c>
      <c r="AB7" s="69" t="s">
        <v>80</v>
      </c>
      <c r="AC7" s="69"/>
      <c r="AD7" s="88">
        <v>0</v>
      </c>
      <c r="AE7" s="88"/>
      <c r="AF7" s="21"/>
      <c r="AG7" s="21"/>
      <c r="AH7" s="21"/>
      <c r="AI7" s="21"/>
      <c r="AJ7" s="21"/>
      <c r="AK7" s="21"/>
    </row>
    <row r="8" spans="1:57" x14ac:dyDescent="0.4">
      <c r="A8" s="22">
        <f t="shared" si="1"/>
        <v>8</v>
      </c>
      <c r="B8" s="23"/>
      <c r="C8" s="23"/>
      <c r="D8" s="23"/>
      <c r="E8" s="23"/>
      <c r="F8" s="23"/>
      <c r="G8" s="23"/>
      <c r="H8" s="23"/>
      <c r="I8" s="23"/>
      <c r="J8" s="23"/>
      <c r="K8" s="24"/>
      <c r="L8" s="24"/>
      <c r="M8" s="24"/>
      <c r="AB8" s="21"/>
      <c r="AC8" s="21"/>
      <c r="AD8" s="21"/>
      <c r="AE8" s="21"/>
      <c r="AF8" s="21"/>
      <c r="AG8" s="21"/>
      <c r="AH8" s="21"/>
      <c r="AI8" s="21"/>
      <c r="AJ8" s="21"/>
      <c r="AK8" s="21"/>
    </row>
    <row r="9" spans="1:57" x14ac:dyDescent="0.4">
      <c r="A9" s="22">
        <f t="shared" si="1"/>
        <v>9</v>
      </c>
      <c r="B9" s="107" t="str">
        <f>"기초금리정보"</f>
        <v>기초금리정보</v>
      </c>
      <c r="C9" s="108"/>
      <c r="D9" s="87" t="s">
        <v>35</v>
      </c>
      <c r="E9" s="87"/>
      <c r="F9" s="70">
        <v>0</v>
      </c>
      <c r="G9" s="71"/>
      <c r="H9" s="25"/>
      <c r="I9" s="24"/>
      <c r="J9" s="127" t="str">
        <f>IF(OR(F10 = 0, F10 = 2, F10 = 4), "RefType = "&amp;F10&amp;" 이므로 Ref Swap 금리정보 사용안함", "사용")</f>
        <v>사용</v>
      </c>
      <c r="K9" s="128"/>
      <c r="L9" s="128"/>
      <c r="M9" s="129"/>
      <c r="O9" s="84" t="s">
        <v>53</v>
      </c>
      <c r="P9" s="84"/>
      <c r="Q9" s="84"/>
      <c r="R9" s="84"/>
      <c r="AB9" s="21"/>
      <c r="AC9" s="21"/>
      <c r="AD9" s="21"/>
      <c r="AE9" s="21"/>
      <c r="AF9" s="21"/>
      <c r="AG9" s="21"/>
      <c r="AH9" s="21"/>
      <c r="AI9" s="21"/>
      <c r="AJ9" s="21"/>
      <c r="AK9" s="21"/>
    </row>
    <row r="10" spans="1:57" ht="17.399999999999999" customHeight="1" x14ac:dyDescent="0.4">
      <c r="A10" s="22">
        <f t="shared" si="1"/>
        <v>10</v>
      </c>
      <c r="B10" s="109"/>
      <c r="C10" s="110"/>
      <c r="D10" s="87" t="s">
        <v>36</v>
      </c>
      <c r="E10" s="130"/>
      <c r="F10" s="131">
        <v>1</v>
      </c>
      <c r="G10" s="132"/>
      <c r="H10" s="127" t="str">
        <f xml:space="preserve"> "Swap 레퍼런스금리정보"</f>
        <v>Swap 레퍼런스금리정보</v>
      </c>
      <c r="I10" s="128"/>
      <c r="J10" s="134" t="str">
        <f>IF(OR(F10 = 0, F10 = 2, F10 = 4), "", "연 지급횟수")</f>
        <v>연 지급횟수</v>
      </c>
      <c r="K10" s="135"/>
      <c r="L10" s="136">
        <v>4</v>
      </c>
      <c r="M10" s="137"/>
      <c r="O10" s="84" t="s">
        <v>52</v>
      </c>
      <c r="P10" s="84"/>
      <c r="Q10" s="102">
        <v>4</v>
      </c>
      <c r="R10" s="71"/>
      <c r="AB10" s="91" t="s">
        <v>79</v>
      </c>
      <c r="AC10" s="92"/>
      <c r="AD10" s="93">
        <v>2149162574.6227083</v>
      </c>
      <c r="AE10" s="93"/>
      <c r="AF10" s="21"/>
      <c r="AG10" s="21"/>
      <c r="AH10" s="21"/>
      <c r="AI10" s="21"/>
      <c r="AJ10" s="21"/>
      <c r="AK10" s="21"/>
    </row>
    <row r="11" spans="1:57" x14ac:dyDescent="0.4">
      <c r="A11" s="22">
        <f t="shared" si="1"/>
        <v>11</v>
      </c>
      <c r="B11" s="109"/>
      <c r="C11" s="110"/>
      <c r="D11" s="84" t="s">
        <v>37</v>
      </c>
      <c r="E11" s="84"/>
      <c r="F11" s="70">
        <v>0</v>
      </c>
      <c r="G11" s="71"/>
      <c r="H11" s="133"/>
      <c r="I11" s="134"/>
      <c r="J11" s="134" t="str">
        <f>IF(F11=0, "만기", "입력X, 아래만기2개입력")</f>
        <v>만기</v>
      </c>
      <c r="K11" s="135"/>
      <c r="L11" s="144">
        <v>0.25</v>
      </c>
      <c r="M11" s="145"/>
      <c r="O11" s="84" t="s">
        <v>54</v>
      </c>
      <c r="P11" s="84"/>
      <c r="Q11" s="102">
        <v>0</v>
      </c>
      <c r="R11" s="71"/>
      <c r="AB11" s="21"/>
      <c r="AC11" s="21"/>
      <c r="AD11" s="21"/>
      <c r="AE11" s="21"/>
      <c r="AF11" s="21"/>
      <c r="AG11" s="21"/>
      <c r="AH11" s="21"/>
      <c r="AI11" s="21"/>
      <c r="AJ11" s="21"/>
      <c r="AK11" s="21"/>
    </row>
    <row r="12" spans="1:57" x14ac:dyDescent="0.4">
      <c r="A12" s="22">
        <f t="shared" si="1"/>
        <v>12</v>
      </c>
      <c r="B12" s="109"/>
      <c r="C12" s="110"/>
      <c r="D12" s="84" t="s">
        <v>38</v>
      </c>
      <c r="E12" s="84"/>
      <c r="F12" s="85">
        <v>0.8</v>
      </c>
      <c r="G12" s="86"/>
      <c r="H12" s="146" t="str">
        <f>"ex) Deposit 3M -&gt; 연 지급횟수= 4, 만기= 0.25 ||  ex2) CMT 5Y 연 지급횟수=2, 만기 5"</f>
        <v>ex) Deposit 3M -&gt; 연 지급횟수= 4, 만기= 0.25 ||  ex2) CMT 5Y 연 지급횟수=2, 만기 5</v>
      </c>
      <c r="I12" s="146"/>
      <c r="J12" s="146"/>
      <c r="K12" s="146"/>
      <c r="L12" s="146"/>
      <c r="M12" s="147"/>
      <c r="O12" s="103" t="s">
        <v>55</v>
      </c>
      <c r="P12" s="104"/>
      <c r="Q12" s="102">
        <v>4</v>
      </c>
      <c r="R12" s="71"/>
      <c r="AB12" s="21"/>
      <c r="AC12" s="21"/>
      <c r="AD12" s="21"/>
      <c r="AE12" s="21"/>
      <c r="AF12" s="21"/>
      <c r="AG12" s="21"/>
      <c r="AH12" s="21"/>
      <c r="AI12" s="21"/>
      <c r="AJ12" s="21"/>
      <c r="AK12" s="21"/>
    </row>
    <row r="13" spans="1:57" x14ac:dyDescent="0.4">
      <c r="A13" s="22">
        <f t="shared" si="1"/>
        <v>13</v>
      </c>
      <c r="B13" s="109"/>
      <c r="C13" s="110"/>
      <c r="D13" s="84" t="s">
        <v>39</v>
      </c>
      <c r="E13" s="87"/>
      <c r="F13" s="138">
        <v>-0.8</v>
      </c>
      <c r="G13" s="139"/>
      <c r="H13" s="140" t="str">
        <f>IF(F11&gt;0,"PowerSpreadFlag 1일때 입력","입력필요X")</f>
        <v>입력필요X</v>
      </c>
      <c r="I13" s="140"/>
      <c r="J13" s="140" t="str">
        <f>IF(F11&gt;0,"만기1","")</f>
        <v/>
      </c>
      <c r="K13" s="140"/>
      <c r="L13" s="105">
        <v>10</v>
      </c>
      <c r="M13" s="106"/>
      <c r="AB13" s="21"/>
      <c r="AC13" s="21"/>
      <c r="AD13" s="21"/>
      <c r="AE13" s="21"/>
      <c r="AF13" s="21"/>
      <c r="AG13" s="21"/>
      <c r="AH13" s="21"/>
      <c r="AI13" s="21"/>
      <c r="AJ13" s="21"/>
      <c r="AK13" s="21"/>
    </row>
    <row r="14" spans="1:57" x14ac:dyDescent="0.4">
      <c r="A14" s="22">
        <f t="shared" si="1"/>
        <v>14</v>
      </c>
      <c r="B14" s="111"/>
      <c r="C14" s="112"/>
      <c r="D14" s="141" t="s">
        <v>40</v>
      </c>
      <c r="E14" s="141"/>
      <c r="F14" s="142">
        <v>1</v>
      </c>
      <c r="G14" s="143"/>
      <c r="H14" s="140"/>
      <c r="I14" s="140"/>
      <c r="J14" s="140" t="str">
        <f>IF(F11&gt;0,"만기2","")</f>
        <v/>
      </c>
      <c r="K14" s="140"/>
      <c r="L14" s="105">
        <v>5</v>
      </c>
      <c r="M14" s="106"/>
      <c r="AB14" s="21"/>
      <c r="AC14" s="21"/>
      <c r="AD14" s="21"/>
      <c r="AE14" s="21"/>
      <c r="AF14" s="21"/>
      <c r="AG14" s="21"/>
      <c r="AH14" s="21"/>
      <c r="AI14" s="21"/>
      <c r="AJ14" s="21"/>
      <c r="AK14" s="21"/>
    </row>
    <row r="15" spans="1:57" x14ac:dyDescent="0.4">
      <c r="A15" s="22">
        <f t="shared" si="1"/>
        <v>15</v>
      </c>
      <c r="B15" s="21"/>
      <c r="C15" s="21"/>
      <c r="AB15" s="89" t="s">
        <v>73</v>
      </c>
      <c r="AC15" s="90"/>
      <c r="AD15" s="90"/>
      <c r="AE15" s="90"/>
      <c r="AF15" s="90"/>
      <c r="AG15" s="89" t="s">
        <v>74</v>
      </c>
      <c r="AH15" s="90"/>
      <c r="AI15" s="90"/>
      <c r="AJ15" s="90"/>
      <c r="AK15" s="90"/>
    </row>
    <row r="16" spans="1:57" x14ac:dyDescent="0.4">
      <c r="A16" s="22">
        <f t="shared" si="1"/>
        <v>16</v>
      </c>
      <c r="B16" s="83" t="s">
        <v>41</v>
      </c>
      <c r="C16" s="83"/>
      <c r="D16" s="84" t="s">
        <v>81</v>
      </c>
      <c r="E16" s="84"/>
      <c r="F16" s="85">
        <v>0</v>
      </c>
      <c r="G16" s="86"/>
      <c r="H16" s="72" t="s">
        <v>84</v>
      </c>
      <c r="I16" s="73"/>
      <c r="J16" s="74" t="str">
        <f>IF(F11&gt;0, F13&amp;" &lt; "&amp;F10&amp;" x Rate("&amp;L13&amp;"Y-"&amp;L14&amp;"Y) &lt; "&amp;F12,F13&amp;" &lt; "&amp;F10&amp;" x Rate("&amp;L11&amp;"Y) &lt; "&amp;F12)</f>
        <v>-0.8 &lt; 1 x Rate(0.25Y) &lt; 0.8</v>
      </c>
      <c r="K16" s="74"/>
      <c r="L16" s="74"/>
      <c r="M16" s="74"/>
      <c r="AB16" s="39" t="s">
        <v>68</v>
      </c>
      <c r="AC16" s="39" t="s">
        <v>69</v>
      </c>
      <c r="AD16" s="39" t="s">
        <v>70</v>
      </c>
      <c r="AE16" s="39" t="s">
        <v>71</v>
      </c>
      <c r="AF16" s="39" t="s">
        <v>72</v>
      </c>
      <c r="AG16" s="39" t="s">
        <v>68</v>
      </c>
      <c r="AH16" s="39" t="s">
        <v>69</v>
      </c>
      <c r="AI16" s="39" t="s">
        <v>70</v>
      </c>
      <c r="AJ16" s="39" t="s">
        <v>71</v>
      </c>
      <c r="AK16" s="39" t="s">
        <v>72</v>
      </c>
    </row>
    <row r="17" spans="1:37" x14ac:dyDescent="0.4">
      <c r="A17" s="22">
        <f t="shared" si="1"/>
        <v>17</v>
      </c>
      <c r="B17" s="83"/>
      <c r="C17" s="83"/>
      <c r="D17" s="84" t="s">
        <v>44</v>
      </c>
      <c r="E17" s="84"/>
      <c r="F17" s="85">
        <v>0</v>
      </c>
      <c r="G17" s="86"/>
      <c r="H17" s="72" t="s">
        <v>82</v>
      </c>
      <c r="I17" s="73"/>
      <c r="J17" s="74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+ 0(고정) + 0(Range충족시)</v>
      </c>
      <c r="K17" s="74"/>
      <c r="L17" s="74"/>
      <c r="M17" s="74"/>
      <c r="AB17" s="41">
        <v>20200727</v>
      </c>
      <c r="AC17" s="42">
        <v>20201027</v>
      </c>
      <c r="AD17" s="42">
        <v>20201027</v>
      </c>
      <c r="AE17" s="45">
        <v>0</v>
      </c>
      <c r="AF17" s="49">
        <v>0</v>
      </c>
      <c r="AG17" s="42">
        <v>20200727</v>
      </c>
      <c r="AH17" s="42">
        <v>20201027</v>
      </c>
      <c r="AI17" s="42">
        <v>20201027</v>
      </c>
      <c r="AJ17" s="45">
        <v>0</v>
      </c>
      <c r="AK17" s="49">
        <v>0</v>
      </c>
    </row>
    <row r="18" spans="1:37" x14ac:dyDescent="0.4">
      <c r="A18" s="22">
        <f t="shared" si="1"/>
        <v>18</v>
      </c>
      <c r="B18" s="83"/>
      <c r="C18" s="83"/>
      <c r="D18" s="84" t="s">
        <v>45</v>
      </c>
      <c r="E18" s="84"/>
      <c r="F18" s="70">
        <v>1</v>
      </c>
      <c r="G18" s="71"/>
      <c r="H18" s="72"/>
      <c r="I18" s="73"/>
      <c r="J18" s="74"/>
      <c r="K18" s="74"/>
      <c r="L18" s="74"/>
      <c r="M18" s="74"/>
      <c r="AB18" s="43">
        <v>20201027</v>
      </c>
      <c r="AC18" s="44">
        <v>20210127</v>
      </c>
      <c r="AD18" s="44">
        <v>20210127</v>
      </c>
      <c r="AE18" s="46">
        <v>0</v>
      </c>
      <c r="AF18" s="50">
        <v>0</v>
      </c>
      <c r="AG18" s="44">
        <v>20201027</v>
      </c>
      <c r="AH18" s="44">
        <v>20210127</v>
      </c>
      <c r="AI18" s="44">
        <v>20210127</v>
      </c>
      <c r="AJ18" s="46">
        <v>0</v>
      </c>
      <c r="AK18" s="50">
        <v>0</v>
      </c>
    </row>
    <row r="19" spans="1:37" x14ac:dyDescent="0.4">
      <c r="A19" s="22">
        <f t="shared" si="1"/>
        <v>19</v>
      </c>
      <c r="B19" s="21"/>
      <c r="C19" s="21"/>
      <c r="AB19" s="43">
        <v>20210127</v>
      </c>
      <c r="AC19" s="44">
        <v>20210427</v>
      </c>
      <c r="AD19" s="44">
        <v>20210427</v>
      </c>
      <c r="AE19" s="46">
        <v>0</v>
      </c>
      <c r="AF19" s="50">
        <v>0</v>
      </c>
      <c r="AG19" s="44">
        <v>20210127</v>
      </c>
      <c r="AH19" s="44">
        <v>20210427</v>
      </c>
      <c r="AI19" s="44">
        <v>20210427</v>
      </c>
      <c r="AJ19" s="46">
        <v>0</v>
      </c>
      <c r="AK19" s="50">
        <v>0</v>
      </c>
    </row>
    <row r="20" spans="1:37" x14ac:dyDescent="0.4">
      <c r="A20" s="22">
        <f t="shared" si="1"/>
        <v>20</v>
      </c>
      <c r="B20" s="21"/>
      <c r="C20" s="21"/>
      <c r="AB20" s="43">
        <v>20210427</v>
      </c>
      <c r="AC20" s="44">
        <v>20210727</v>
      </c>
      <c r="AD20" s="44">
        <v>20210727</v>
      </c>
      <c r="AE20" s="46">
        <v>0</v>
      </c>
      <c r="AF20" s="50">
        <v>0</v>
      </c>
      <c r="AG20" s="44">
        <v>20210427</v>
      </c>
      <c r="AH20" s="44">
        <v>20210727</v>
      </c>
      <c r="AI20" s="44">
        <v>20210727</v>
      </c>
      <c r="AJ20" s="46">
        <v>0</v>
      </c>
      <c r="AK20" s="50">
        <v>0</v>
      </c>
    </row>
    <row r="21" spans="1:37" x14ac:dyDescent="0.4">
      <c r="A21" s="22">
        <f t="shared" si="1"/>
        <v>21</v>
      </c>
      <c r="B21" s="83" t="s">
        <v>46</v>
      </c>
      <c r="C21" s="83"/>
      <c r="D21" s="84" t="s">
        <v>42</v>
      </c>
      <c r="E21" s="84"/>
      <c r="F21" s="85">
        <v>0</v>
      </c>
      <c r="G21" s="86"/>
      <c r="H21" s="72" t="s">
        <v>83</v>
      </c>
      <c r="I21" s="73"/>
      <c r="J21" s="74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+ 0(고정) + 0(Range충족시)</v>
      </c>
      <c r="K21" s="74"/>
      <c r="L21" s="74"/>
      <c r="M21" s="74"/>
      <c r="AB21" s="43">
        <v>20210727</v>
      </c>
      <c r="AC21" s="44">
        <v>20211027</v>
      </c>
      <c r="AD21" s="44">
        <v>20211027</v>
      </c>
      <c r="AE21" s="46">
        <v>0</v>
      </c>
      <c r="AF21" s="50">
        <v>0</v>
      </c>
      <c r="AG21" s="44">
        <v>20210727</v>
      </c>
      <c r="AH21" s="44">
        <v>20211027</v>
      </c>
      <c r="AI21" s="44">
        <v>20211027</v>
      </c>
      <c r="AJ21" s="46">
        <v>0</v>
      </c>
      <c r="AK21" s="50">
        <v>0</v>
      </c>
    </row>
    <row r="22" spans="1:37" x14ac:dyDescent="0.4">
      <c r="A22" s="22">
        <f t="shared" si="1"/>
        <v>22</v>
      </c>
      <c r="B22" s="83"/>
      <c r="C22" s="83"/>
      <c r="D22" s="84" t="s">
        <v>44</v>
      </c>
      <c r="E22" s="84"/>
      <c r="F22" s="85">
        <v>0</v>
      </c>
      <c r="G22" s="86"/>
      <c r="H22" s="72"/>
      <c r="I22" s="73"/>
      <c r="J22" s="74"/>
      <c r="K22" s="74"/>
      <c r="L22" s="74"/>
      <c r="M22" s="74"/>
      <c r="AB22" s="43">
        <v>20211027</v>
      </c>
      <c r="AC22" s="44">
        <v>20220127</v>
      </c>
      <c r="AD22" s="44">
        <v>20220127</v>
      </c>
      <c r="AE22" s="46">
        <v>0</v>
      </c>
      <c r="AF22" s="50">
        <v>0</v>
      </c>
      <c r="AG22" s="44">
        <v>20211027</v>
      </c>
      <c r="AH22" s="44">
        <v>20220127</v>
      </c>
      <c r="AI22" s="44">
        <v>20220127</v>
      </c>
      <c r="AJ22" s="46">
        <v>0</v>
      </c>
      <c r="AK22" s="50">
        <v>0</v>
      </c>
    </row>
    <row r="23" spans="1:37" x14ac:dyDescent="0.4">
      <c r="A23" s="22">
        <f t="shared" si="1"/>
        <v>23</v>
      </c>
      <c r="B23" s="83"/>
      <c r="C23" s="83"/>
      <c r="D23" s="84" t="s">
        <v>45</v>
      </c>
      <c r="E23" s="84"/>
      <c r="F23" s="70">
        <v>1</v>
      </c>
      <c r="G23" s="71"/>
      <c r="AB23" s="43">
        <v>20220127</v>
      </c>
      <c r="AC23" s="44">
        <v>20220427</v>
      </c>
      <c r="AD23" s="44">
        <v>20220427</v>
      </c>
      <c r="AE23" s="46">
        <v>0</v>
      </c>
      <c r="AF23" s="50">
        <v>0</v>
      </c>
      <c r="AG23" s="44">
        <v>20220127</v>
      </c>
      <c r="AH23" s="44">
        <v>20220427</v>
      </c>
      <c r="AI23" s="44">
        <v>20220427</v>
      </c>
      <c r="AJ23" s="46">
        <v>0</v>
      </c>
      <c r="AK23" s="50">
        <v>0</v>
      </c>
    </row>
    <row r="24" spans="1:37" x14ac:dyDescent="0.4">
      <c r="A24" s="22">
        <f t="shared" si="1"/>
        <v>24</v>
      </c>
      <c r="B24" s="21"/>
      <c r="C24" s="21"/>
      <c r="AB24" s="43">
        <v>20220427</v>
      </c>
      <c r="AC24" s="44">
        <v>20220727</v>
      </c>
      <c r="AD24" s="44">
        <v>20220727</v>
      </c>
      <c r="AE24" s="46">
        <v>0</v>
      </c>
      <c r="AF24" s="50">
        <v>0</v>
      </c>
      <c r="AG24" s="44">
        <v>20220427</v>
      </c>
      <c r="AH24" s="44">
        <v>20220727</v>
      </c>
      <c r="AI24" s="44">
        <v>20220727</v>
      </c>
      <c r="AJ24" s="46">
        <v>0</v>
      </c>
      <c r="AK24" s="50">
        <v>0</v>
      </c>
    </row>
    <row r="25" spans="1:37" x14ac:dyDescent="0.4">
      <c r="A25" s="22">
        <f t="shared" si="1"/>
        <v>25</v>
      </c>
      <c r="B25" s="75" t="s">
        <v>47</v>
      </c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7"/>
      <c r="AB25" s="43">
        <v>20220727</v>
      </c>
      <c r="AC25" s="44">
        <v>20221027</v>
      </c>
      <c r="AD25" s="44">
        <v>20221027</v>
      </c>
      <c r="AE25" s="46">
        <v>3.6999999999999998E-2</v>
      </c>
      <c r="AF25" s="50">
        <v>373041095.89041096</v>
      </c>
      <c r="AG25" s="44">
        <v>20220727</v>
      </c>
      <c r="AH25" s="44">
        <v>20221027</v>
      </c>
      <c r="AI25" s="44">
        <v>20221027</v>
      </c>
      <c r="AJ25" s="46">
        <v>0.03</v>
      </c>
      <c r="AK25" s="50">
        <v>203660273.97260275</v>
      </c>
    </row>
    <row r="26" spans="1:37" x14ac:dyDescent="0.4">
      <c r="A26" s="22">
        <f t="shared" si="1"/>
        <v>26</v>
      </c>
      <c r="B26" s="78"/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80"/>
      <c r="AB26" s="43">
        <v>20221027</v>
      </c>
      <c r="AC26" s="44">
        <v>20230127</v>
      </c>
      <c r="AD26" s="44">
        <v>20230127</v>
      </c>
      <c r="AE26" s="46">
        <v>3.9445249602802407E-2</v>
      </c>
      <c r="AF26" s="50">
        <v>397694571.33784348</v>
      </c>
      <c r="AG26" s="44">
        <v>20221027</v>
      </c>
      <c r="AH26" s="44">
        <v>20230127</v>
      </c>
      <c r="AI26" s="44">
        <v>20230127</v>
      </c>
      <c r="AJ26" s="46">
        <v>3.7727569620922004E-2</v>
      </c>
      <c r="AK26" s="50">
        <v>203660273.97260275</v>
      </c>
    </row>
    <row r="27" spans="1:37" x14ac:dyDescent="0.4">
      <c r="A27" s="22">
        <f t="shared" si="1"/>
        <v>27</v>
      </c>
      <c r="B27" s="69" t="s">
        <v>33</v>
      </c>
      <c r="C27" s="69"/>
      <c r="D27" s="81">
        <v>1</v>
      </c>
      <c r="E27" s="82"/>
      <c r="F27" s="69" t="s">
        <v>34</v>
      </c>
      <c r="G27" s="69"/>
      <c r="H27" s="81">
        <v>1</v>
      </c>
      <c r="I27" s="82"/>
      <c r="J27" s="69" t="s">
        <v>86</v>
      </c>
      <c r="K27" s="69"/>
      <c r="L27" s="70">
        <v>0</v>
      </c>
      <c r="M27" s="71"/>
      <c r="AB27" s="43">
        <v>20230127</v>
      </c>
      <c r="AC27" s="44">
        <v>20230427</v>
      </c>
      <c r="AD27" s="44">
        <v>20230427</v>
      </c>
      <c r="AE27" s="46">
        <v>3.9916389718166564E-2</v>
      </c>
      <c r="AF27" s="50">
        <v>393695898.59013593</v>
      </c>
      <c r="AG27" s="44">
        <v>20230127</v>
      </c>
      <c r="AH27" s="44">
        <v>20230427</v>
      </c>
      <c r="AI27" s="44">
        <v>20230427</v>
      </c>
      <c r="AJ27" s="46">
        <v>3.7764277951729409E-2</v>
      </c>
      <c r="AK27" s="50">
        <v>199232876.71232876</v>
      </c>
    </row>
    <row r="28" spans="1:37" x14ac:dyDescent="0.4">
      <c r="A28" s="22">
        <f t="shared" si="1"/>
        <v>28</v>
      </c>
      <c r="B28" s="23"/>
      <c r="C28" s="23"/>
      <c r="D28" s="23"/>
      <c r="E28" s="23"/>
      <c r="F28" s="23"/>
      <c r="G28" s="23"/>
      <c r="H28" s="23"/>
      <c r="I28" s="23"/>
      <c r="J28" s="23"/>
      <c r="K28" s="24"/>
      <c r="L28" s="24"/>
      <c r="M28" s="24"/>
      <c r="AB28" s="43">
        <v>20230427</v>
      </c>
      <c r="AC28" s="44">
        <v>20230727</v>
      </c>
      <c r="AD28" s="44">
        <v>20230727</v>
      </c>
      <c r="AE28" s="46">
        <v>3.9904156162332789E-2</v>
      </c>
      <c r="AF28" s="50">
        <v>397948297.07093519</v>
      </c>
      <c r="AG28" s="44">
        <v>20230427</v>
      </c>
      <c r="AH28" s="44">
        <v>20230727</v>
      </c>
      <c r="AI28" s="44">
        <v>20230727</v>
      </c>
      <c r="AJ28" s="46">
        <v>3.7805837288601728E-2</v>
      </c>
      <c r="AK28" s="50">
        <v>201446575.34246573</v>
      </c>
    </row>
    <row r="29" spans="1:37" x14ac:dyDescent="0.4">
      <c r="A29" s="22">
        <f t="shared" si="1"/>
        <v>29</v>
      </c>
      <c r="B29" s="107" t="str">
        <f>"기초금리정보"</f>
        <v>기초금리정보</v>
      </c>
      <c r="C29" s="108"/>
      <c r="D29" s="87" t="s">
        <v>35</v>
      </c>
      <c r="E29" s="87"/>
      <c r="F29" s="70">
        <v>0</v>
      </c>
      <c r="G29" s="71"/>
      <c r="H29" s="25"/>
      <c r="I29" s="24"/>
      <c r="J29" s="127" t="str">
        <f>IF(OR(F30 = 0, F30 = 2, F30 = 4), "RefType = "&amp;F30&amp;" 이므로 Ref Swap 금리정보 사용안함", "사용")</f>
        <v>사용</v>
      </c>
      <c r="K29" s="128"/>
      <c r="L29" s="128"/>
      <c r="M29" s="129"/>
      <c r="O29" s="84" t="s">
        <v>59</v>
      </c>
      <c r="P29" s="84"/>
      <c r="Q29" s="84"/>
      <c r="R29" s="84"/>
      <c r="AB29" s="43">
        <v>20230727</v>
      </c>
      <c r="AC29" s="44">
        <v>20231027</v>
      </c>
      <c r="AD29" s="44">
        <v>20231027</v>
      </c>
      <c r="AE29" s="46">
        <v>3.978421097944794E-2</v>
      </c>
      <c r="AF29" s="50">
        <v>401112044.94347513</v>
      </c>
      <c r="AG29" s="44">
        <v>20230727</v>
      </c>
      <c r="AH29" s="44">
        <v>20231027</v>
      </c>
      <c r="AI29" s="44">
        <v>20231027</v>
      </c>
      <c r="AJ29" s="46">
        <v>3.7843895557200087E-2</v>
      </c>
      <c r="AK29" s="50">
        <v>203660273.97260275</v>
      </c>
    </row>
    <row r="30" spans="1:37" x14ac:dyDescent="0.4">
      <c r="A30" s="22">
        <f t="shared" si="1"/>
        <v>30</v>
      </c>
      <c r="B30" s="109"/>
      <c r="C30" s="110"/>
      <c r="D30" s="87" t="s">
        <v>36</v>
      </c>
      <c r="E30" s="130"/>
      <c r="F30" s="131">
        <v>1</v>
      </c>
      <c r="G30" s="132"/>
      <c r="H30" s="127" t="str">
        <f xml:space="preserve"> "Swap 레퍼런스금리정보"</f>
        <v>Swap 레퍼런스금리정보</v>
      </c>
      <c r="I30" s="128"/>
      <c r="J30" s="134" t="str">
        <f>IF(OR(F30 = 0, F30 = 2, F30 = 4), "", "연 지급횟수")</f>
        <v>연 지급횟수</v>
      </c>
      <c r="K30" s="135"/>
      <c r="L30" s="136">
        <v>4</v>
      </c>
      <c r="M30" s="137"/>
      <c r="O30" s="84" t="s">
        <v>52</v>
      </c>
      <c r="P30" s="84"/>
      <c r="Q30" s="102">
        <v>4</v>
      </c>
      <c r="R30" s="71"/>
      <c r="AB30" s="43">
        <v>20231027</v>
      </c>
      <c r="AC30" s="44">
        <v>20240129</v>
      </c>
      <c r="AD30" s="44">
        <v>20240129</v>
      </c>
      <c r="AE30" s="46">
        <v>3.9508040407280773E-2</v>
      </c>
      <c r="AF30" s="50">
        <v>406986936.7982896</v>
      </c>
      <c r="AG30" s="44">
        <v>20231027</v>
      </c>
      <c r="AH30" s="44">
        <v>20240129</v>
      </c>
      <c r="AI30" s="44">
        <v>20240129</v>
      </c>
      <c r="AJ30" s="46">
        <v>3.7868336894053098E-2</v>
      </c>
      <c r="AK30" s="50">
        <v>208087671.23287672</v>
      </c>
    </row>
    <row r="31" spans="1:37" x14ac:dyDescent="0.4">
      <c r="A31" s="22">
        <f t="shared" si="1"/>
        <v>31</v>
      </c>
      <c r="B31" s="109"/>
      <c r="C31" s="110"/>
      <c r="D31" s="84" t="s">
        <v>37</v>
      </c>
      <c r="E31" s="84"/>
      <c r="F31" s="70">
        <v>0</v>
      </c>
      <c r="G31" s="71"/>
      <c r="H31" s="133"/>
      <c r="I31" s="134"/>
      <c r="J31" s="134" t="str">
        <f>IF(F31=0, "만기", "입력X, 아래만기2개입력")</f>
        <v>만기</v>
      </c>
      <c r="K31" s="135"/>
      <c r="L31" s="144">
        <v>10</v>
      </c>
      <c r="M31" s="145"/>
      <c r="O31" s="84" t="s">
        <v>54</v>
      </c>
      <c r="P31" s="84"/>
      <c r="Q31" s="102">
        <v>0</v>
      </c>
      <c r="R31" s="71"/>
      <c r="AB31" s="43">
        <v>20240129</v>
      </c>
      <c r="AC31" s="44">
        <v>20240429</v>
      </c>
      <c r="AD31" s="44">
        <v>20240429</v>
      </c>
      <c r="AE31" s="46">
        <v>3.9280972051566644E-2</v>
      </c>
      <c r="AF31" s="50">
        <v>391733529.50055504</v>
      </c>
      <c r="AG31" s="44">
        <v>20240129</v>
      </c>
      <c r="AH31" s="44">
        <v>20240429</v>
      </c>
      <c r="AI31" s="44">
        <v>20240429</v>
      </c>
      <c r="AJ31" s="46">
        <v>3.7870021233508772E-2</v>
      </c>
      <c r="AK31" s="50">
        <v>201446575.34246573</v>
      </c>
    </row>
    <row r="32" spans="1:37" x14ac:dyDescent="0.4">
      <c r="A32" s="22">
        <f t="shared" si="1"/>
        <v>32</v>
      </c>
      <c r="B32" s="109"/>
      <c r="C32" s="110"/>
      <c r="D32" s="84" t="s">
        <v>38</v>
      </c>
      <c r="E32" s="84"/>
      <c r="F32" s="85">
        <v>0.8</v>
      </c>
      <c r="G32" s="86"/>
      <c r="H32" s="146" t="str">
        <f>"ex) Deposit 3M -&gt; 연 지급횟수= 4, 만기= 0.25 ||  ex2) CMT 5Y 연 지급횟수=2, 만기 5"</f>
        <v>ex) Deposit 3M -&gt; 연 지급횟수= 4, 만기= 0.25 ||  ex2) CMT 5Y 연 지급횟수=2, 만기 5</v>
      </c>
      <c r="I32" s="146"/>
      <c r="J32" s="146"/>
      <c r="K32" s="146"/>
      <c r="L32" s="146"/>
      <c r="M32" s="147"/>
      <c r="O32" s="103" t="s">
        <v>55</v>
      </c>
      <c r="P32" s="104"/>
      <c r="Q32" s="102">
        <v>4</v>
      </c>
      <c r="R32" s="71"/>
      <c r="AB32" s="43">
        <v>20240429</v>
      </c>
      <c r="AC32" s="44">
        <v>20240729</v>
      </c>
      <c r="AD32" s="44">
        <v>20240729</v>
      </c>
      <c r="AE32" s="46">
        <v>3.8936026698976257E-2</v>
      </c>
      <c r="AF32" s="50">
        <v>388293526.53225636</v>
      </c>
      <c r="AG32" s="44">
        <v>20240429</v>
      </c>
      <c r="AH32" s="44">
        <v>20240729</v>
      </c>
      <c r="AI32" s="44">
        <v>20240729</v>
      </c>
      <c r="AJ32" s="46">
        <v>3.7891574837907387E-2</v>
      </c>
      <c r="AK32" s="50">
        <v>201446575.34246573</v>
      </c>
    </row>
    <row r="33" spans="1:37" x14ac:dyDescent="0.4">
      <c r="A33" s="22">
        <f t="shared" si="1"/>
        <v>33</v>
      </c>
      <c r="B33" s="109"/>
      <c r="C33" s="110"/>
      <c r="D33" s="84" t="s">
        <v>39</v>
      </c>
      <c r="E33" s="87"/>
      <c r="F33" s="138">
        <v>-0.8</v>
      </c>
      <c r="G33" s="139"/>
      <c r="H33" s="140" t="str">
        <f>IF(F31&gt;0,"PowerSpreadFlag 1일때 입력","입력필요X")</f>
        <v>입력필요X</v>
      </c>
      <c r="I33" s="140"/>
      <c r="J33" s="140" t="str">
        <f>IF(F31&gt;0,"만기1","")</f>
        <v/>
      </c>
      <c r="K33" s="140"/>
      <c r="L33" s="105">
        <v>10</v>
      </c>
      <c r="M33" s="106"/>
      <c r="AB33" s="43">
        <v>20240729</v>
      </c>
      <c r="AC33" s="44">
        <v>20241028</v>
      </c>
      <c r="AD33" s="44">
        <v>20241028</v>
      </c>
      <c r="AE33" s="46">
        <v>3.8942359873980537E-2</v>
      </c>
      <c r="AF33" s="50">
        <v>388356684.77065521</v>
      </c>
      <c r="AG33" s="44">
        <v>20240729</v>
      </c>
      <c r="AH33" s="44">
        <v>20241028</v>
      </c>
      <c r="AI33" s="44">
        <v>20241028</v>
      </c>
      <c r="AJ33" s="46">
        <v>3.7922468668232741E-2</v>
      </c>
      <c r="AK33" s="50">
        <v>201446575.34246573</v>
      </c>
    </row>
    <row r="34" spans="1:37" x14ac:dyDescent="0.4">
      <c r="A34" s="22">
        <f t="shared" si="1"/>
        <v>34</v>
      </c>
      <c r="B34" s="111"/>
      <c r="C34" s="112"/>
      <c r="D34" s="141" t="s">
        <v>40</v>
      </c>
      <c r="E34" s="141"/>
      <c r="F34" s="142">
        <v>1</v>
      </c>
      <c r="G34" s="143"/>
      <c r="H34" s="140"/>
      <c r="I34" s="140"/>
      <c r="J34" s="140" t="str">
        <f>IF(F31&gt;0,"만기2","")</f>
        <v/>
      </c>
      <c r="K34" s="140"/>
      <c r="L34" s="105">
        <v>5</v>
      </c>
      <c r="M34" s="106"/>
      <c r="AB34" s="43">
        <v>20241028</v>
      </c>
      <c r="AC34" s="44">
        <v>20250127</v>
      </c>
      <c r="AD34" s="44">
        <v>20250127</v>
      </c>
      <c r="AE34" s="46">
        <v>3.9003731513414755E-2</v>
      </c>
      <c r="AF34" s="50">
        <v>388968719.75021839</v>
      </c>
      <c r="AG34" s="44">
        <v>20241028</v>
      </c>
      <c r="AH34" s="44">
        <v>20250127</v>
      </c>
      <c r="AI34" s="44">
        <v>20250127</v>
      </c>
      <c r="AJ34" s="46">
        <v>3.7967044732921403E-2</v>
      </c>
      <c r="AK34" s="50">
        <v>201446575.34246573</v>
      </c>
    </row>
    <row r="35" spans="1:37" x14ac:dyDescent="0.4">
      <c r="A35" s="22">
        <f t="shared" si="1"/>
        <v>35</v>
      </c>
      <c r="B35" s="21"/>
      <c r="C35" s="21"/>
      <c r="AB35" s="43">
        <v>20250127</v>
      </c>
      <c r="AC35" s="44">
        <v>20250428</v>
      </c>
      <c r="AD35" s="44">
        <v>20250428</v>
      </c>
      <c r="AE35" s="46">
        <v>3.8934816274434542E-2</v>
      </c>
      <c r="AF35" s="50">
        <v>388281455.44915545</v>
      </c>
      <c r="AG35" s="44">
        <v>20250127</v>
      </c>
      <c r="AH35" s="44">
        <v>20250428</v>
      </c>
      <c r="AI35" s="44">
        <v>20250428</v>
      </c>
      <c r="AJ35" s="46">
        <v>3.801310031977826E-2</v>
      </c>
      <c r="AK35" s="50">
        <v>201446575.34246573</v>
      </c>
    </row>
    <row r="36" spans="1:37" x14ac:dyDescent="0.4">
      <c r="A36" s="22">
        <f t="shared" si="1"/>
        <v>36</v>
      </c>
      <c r="B36" s="83" t="s">
        <v>41</v>
      </c>
      <c r="C36" s="83"/>
      <c r="D36" s="84" t="s">
        <v>42</v>
      </c>
      <c r="E36" s="84"/>
      <c r="F36" s="85">
        <v>2.0199999999999999E-2</v>
      </c>
      <c r="G36" s="86"/>
      <c r="H36" s="72" t="s">
        <v>85</v>
      </c>
      <c r="I36" s="73"/>
      <c r="J36" s="74" t="str">
        <f>IF(F31&gt;0, F33&amp;" &lt; "&amp;F30&amp;" x Rate("&amp;L33&amp;"Y-"&amp;L34&amp;"Y) &lt; "&amp;F32,F33&amp;" &lt; "&amp;F30&amp;" x Rate("&amp;L31&amp;"Y) &lt; "&amp;F32)</f>
        <v>-0.8 &lt; 1 x Rate(10Y) &lt; 0.8</v>
      </c>
      <c r="K36" s="74"/>
      <c r="L36" s="74"/>
      <c r="M36" s="74"/>
      <c r="AB36" s="43">
        <v>20250428</v>
      </c>
      <c r="AC36" s="44">
        <v>20250728</v>
      </c>
      <c r="AD36" s="44">
        <v>20250728</v>
      </c>
      <c r="AE36" s="46">
        <v>3.8872863072125299E-2</v>
      </c>
      <c r="AF36" s="50">
        <v>387663620.77407151</v>
      </c>
      <c r="AG36" s="44">
        <v>20250428</v>
      </c>
      <c r="AH36" s="44">
        <v>20250728</v>
      </c>
      <c r="AI36" s="44">
        <v>20250728</v>
      </c>
      <c r="AJ36" s="46">
        <v>3.8061433793993786E-2</v>
      </c>
      <c r="AK36" s="50">
        <v>201446575.34246573</v>
      </c>
    </row>
    <row r="37" spans="1:37" x14ac:dyDescent="0.4">
      <c r="A37" s="22">
        <f t="shared" si="1"/>
        <v>37</v>
      </c>
      <c r="B37" s="83"/>
      <c r="C37" s="83"/>
      <c r="D37" s="84" t="s">
        <v>44</v>
      </c>
      <c r="E37" s="84"/>
      <c r="F37" s="85">
        <v>0</v>
      </c>
      <c r="G37" s="86"/>
      <c r="H37" s="72" t="s">
        <v>82</v>
      </c>
      <c r="I37" s="73"/>
      <c r="J37" s="74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74"/>
      <c r="L37" s="74"/>
      <c r="M37" s="74"/>
      <c r="AB37" s="43">
        <v>20250728</v>
      </c>
      <c r="AC37" s="44">
        <v>20251027</v>
      </c>
      <c r="AD37" s="44">
        <v>20251027</v>
      </c>
      <c r="AE37" s="46">
        <v>3.9043939128188362E-2</v>
      </c>
      <c r="AF37" s="50">
        <v>389369694.31946748</v>
      </c>
      <c r="AG37" s="44">
        <v>20250728</v>
      </c>
      <c r="AH37" s="44">
        <v>20251027</v>
      </c>
      <c r="AI37" s="44">
        <v>20251027</v>
      </c>
      <c r="AJ37" s="46">
        <v>3.8112172767687059E-2</v>
      </c>
      <c r="AK37" s="50">
        <v>581524133.90241349</v>
      </c>
    </row>
    <row r="38" spans="1:37" x14ac:dyDescent="0.4">
      <c r="A38" s="22">
        <f t="shared" si="1"/>
        <v>38</v>
      </c>
      <c r="B38" s="83"/>
      <c r="C38" s="83"/>
      <c r="D38" s="84" t="s">
        <v>45</v>
      </c>
      <c r="E38" s="84"/>
      <c r="F38" s="70">
        <v>0</v>
      </c>
      <c r="G38" s="71"/>
      <c r="H38" s="72"/>
      <c r="I38" s="73"/>
      <c r="J38" s="74"/>
      <c r="K38" s="74"/>
      <c r="L38" s="74"/>
      <c r="M38" s="74"/>
      <c r="AB38" s="43">
        <v>20251027</v>
      </c>
      <c r="AC38" s="44">
        <v>20260127</v>
      </c>
      <c r="AD38" s="44">
        <v>20260127</v>
      </c>
      <c r="AE38" s="46">
        <v>3.9291019455205571E-2</v>
      </c>
      <c r="AF38" s="50">
        <v>396139593.41138768</v>
      </c>
      <c r="AG38" s="44">
        <v>20251027</v>
      </c>
      <c r="AH38" s="44">
        <v>20260127</v>
      </c>
      <c r="AI38" s="44">
        <v>20260127</v>
      </c>
      <c r="AJ38" s="46">
        <v>3.8151111629773672E-2</v>
      </c>
      <c r="AK38" s="50">
        <v>588307098.07552636</v>
      </c>
    </row>
    <row r="39" spans="1:37" x14ac:dyDescent="0.4">
      <c r="A39" s="22">
        <f t="shared" si="1"/>
        <v>39</v>
      </c>
      <c r="B39" s="21"/>
      <c r="C39" s="21"/>
      <c r="AB39" s="43">
        <v>20260127</v>
      </c>
      <c r="AC39" s="44">
        <v>20260427</v>
      </c>
      <c r="AD39" s="44">
        <v>20260427</v>
      </c>
      <c r="AE39" s="46">
        <v>3.9301827427917838E-2</v>
      </c>
      <c r="AF39" s="50">
        <v>387634462.30275124</v>
      </c>
      <c r="AG39" s="44">
        <v>20260127</v>
      </c>
      <c r="AH39" s="44">
        <v>20260427</v>
      </c>
      <c r="AI39" s="44">
        <v>20260427</v>
      </c>
      <c r="AJ39" s="46">
        <v>3.8172460994755249E-2</v>
      </c>
      <c r="AK39" s="50">
        <v>575728382.41402435</v>
      </c>
    </row>
    <row r="40" spans="1:37" x14ac:dyDescent="0.4">
      <c r="A40" s="22">
        <f t="shared" si="1"/>
        <v>40</v>
      </c>
      <c r="B40" s="21"/>
      <c r="C40" s="21"/>
      <c r="AB40" s="43">
        <v>20260427</v>
      </c>
      <c r="AC40" s="44">
        <v>20260727</v>
      </c>
      <c r="AD40" s="44">
        <v>20260727</v>
      </c>
      <c r="AE40" s="46">
        <v>3.9318896972075371E-2</v>
      </c>
      <c r="AF40" s="50">
        <v>392111739.66672426</v>
      </c>
      <c r="AG40" s="44">
        <v>20260427</v>
      </c>
      <c r="AH40" s="44">
        <v>20260727</v>
      </c>
      <c r="AI40" s="44">
        <v>20260727</v>
      </c>
      <c r="AJ40" s="46">
        <v>3.819977629334774E-2</v>
      </c>
      <c r="AK40" s="50">
        <v>582397769.06242669</v>
      </c>
    </row>
    <row r="41" spans="1:37" x14ac:dyDescent="0.4">
      <c r="A41" s="22">
        <f t="shared" si="1"/>
        <v>41</v>
      </c>
      <c r="B41" s="83" t="s">
        <v>46</v>
      </c>
      <c r="C41" s="83"/>
      <c r="D41" s="84" t="s">
        <v>42</v>
      </c>
      <c r="E41" s="84"/>
      <c r="F41" s="85">
        <v>2.0199999999999999E-2</v>
      </c>
      <c r="G41" s="86"/>
      <c r="H41" s="72" t="s">
        <v>83</v>
      </c>
      <c r="I41" s="73"/>
      <c r="J41" s="74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1 x Rate(10Y) + 0.0202(고정) + 0(Range충족시)</v>
      </c>
      <c r="K41" s="74"/>
      <c r="L41" s="74"/>
      <c r="M41" s="74"/>
      <c r="AB41" s="43">
        <v>20260727</v>
      </c>
      <c r="AC41" s="44">
        <v>20261027</v>
      </c>
      <c r="AD41" s="44">
        <v>20261027</v>
      </c>
      <c r="AE41" s="46">
        <v>3.9284922672681848E-2</v>
      </c>
      <c r="AF41" s="50">
        <v>396078124.48073757</v>
      </c>
      <c r="AG41" s="44">
        <v>20260727</v>
      </c>
      <c r="AH41" s="44">
        <v>20261027</v>
      </c>
      <c r="AI41" s="44">
        <v>20261027</v>
      </c>
      <c r="AJ41" s="46">
        <v>3.822325777262036E-2</v>
      </c>
      <c r="AK41" s="50">
        <v>589034489.32395327</v>
      </c>
    </row>
    <row r="42" spans="1:37" x14ac:dyDescent="0.4">
      <c r="A42" s="22">
        <f t="shared" si="1"/>
        <v>42</v>
      </c>
      <c r="B42" s="83"/>
      <c r="C42" s="83"/>
      <c r="D42" s="84" t="s">
        <v>44</v>
      </c>
      <c r="E42" s="84"/>
      <c r="F42" s="85">
        <v>0</v>
      </c>
      <c r="G42" s="86"/>
      <c r="H42" s="72"/>
      <c r="I42" s="73"/>
      <c r="J42" s="74"/>
      <c r="K42" s="74"/>
      <c r="L42" s="74"/>
      <c r="M42" s="74"/>
      <c r="AB42" s="43">
        <v>20261027</v>
      </c>
      <c r="AC42" s="44">
        <v>20270127</v>
      </c>
      <c r="AD42" s="44">
        <v>20270127</v>
      </c>
      <c r="AE42" s="46">
        <v>3.9226281715140095E-2</v>
      </c>
      <c r="AF42" s="50">
        <v>395486895.10059053</v>
      </c>
      <c r="AG42" s="44">
        <v>20261027</v>
      </c>
      <c r="AH42" s="44">
        <v>20270127</v>
      </c>
      <c r="AI42" s="44">
        <v>20270127</v>
      </c>
      <c r="AJ42" s="46">
        <v>3.8246676364142675E-2</v>
      </c>
      <c r="AK42" s="50">
        <v>589270600.05491793</v>
      </c>
    </row>
    <row r="43" spans="1:37" x14ac:dyDescent="0.4">
      <c r="A43" s="22">
        <f t="shared" si="1"/>
        <v>43</v>
      </c>
      <c r="B43" s="83"/>
      <c r="C43" s="83"/>
      <c r="D43" s="84" t="s">
        <v>45</v>
      </c>
      <c r="E43" s="84"/>
      <c r="F43" s="70">
        <v>1</v>
      </c>
      <c r="G43" s="71"/>
      <c r="AB43" s="43">
        <v>20270127</v>
      </c>
      <c r="AC43" s="44">
        <v>20270427</v>
      </c>
      <c r="AD43" s="44">
        <v>20270427</v>
      </c>
      <c r="AE43" s="46">
        <v>3.9223227079929555E-2</v>
      </c>
      <c r="AF43" s="50">
        <v>386859225.99382573</v>
      </c>
      <c r="AG43" s="44">
        <v>20270127</v>
      </c>
      <c r="AH43" s="44">
        <v>20270427</v>
      </c>
      <c r="AI43" s="44">
        <v>20270427</v>
      </c>
      <c r="AJ43" s="46">
        <v>3.8266836730676296E-2</v>
      </c>
      <c r="AK43" s="50">
        <v>576659211.5902319</v>
      </c>
    </row>
    <row r="44" spans="1:37" x14ac:dyDescent="0.4">
      <c r="A44" s="22">
        <f t="shared" si="1"/>
        <v>44</v>
      </c>
      <c r="B44" s="21"/>
      <c r="C44" s="21"/>
      <c r="AB44" s="43">
        <v>20270427</v>
      </c>
      <c r="AC44" s="44">
        <v>20270727</v>
      </c>
      <c r="AD44" s="44">
        <v>20270727</v>
      </c>
      <c r="AE44" s="46">
        <v>3.9226488635927932E-2</v>
      </c>
      <c r="AF44" s="50">
        <v>391190188.04048681</v>
      </c>
      <c r="AG44" s="44">
        <v>20270427</v>
      </c>
      <c r="AH44" s="44">
        <v>20270727</v>
      </c>
      <c r="AI44" s="44">
        <v>20270727</v>
      </c>
      <c r="AJ44" s="46">
        <v>3.8286313584533681E-2</v>
      </c>
      <c r="AK44" s="50">
        <v>583260771.08959615</v>
      </c>
    </row>
    <row r="45" spans="1:37" ht="17.399999999999999" customHeight="1" x14ac:dyDescent="0.4">
      <c r="A45" s="22">
        <f t="shared" si="1"/>
        <v>45</v>
      </c>
      <c r="B45" s="96" t="s">
        <v>61</v>
      </c>
      <c r="C45" s="97"/>
      <c r="D45" s="97"/>
      <c r="E45" s="97"/>
      <c r="F45" s="97"/>
      <c r="G45" s="98"/>
      <c r="AB45" s="43">
        <v>20270727</v>
      </c>
      <c r="AC45" s="44">
        <v>20271027</v>
      </c>
      <c r="AD45" s="44">
        <v>20271027</v>
      </c>
      <c r="AE45" s="46">
        <v>3.935708895502301E-2</v>
      </c>
      <c r="AF45" s="50">
        <v>396805718.77941006</v>
      </c>
      <c r="AG45" s="44">
        <v>20270727</v>
      </c>
      <c r="AH45" s="44">
        <v>20271027</v>
      </c>
      <c r="AI45" s="44">
        <v>20271027</v>
      </c>
      <c r="AJ45" s="46">
        <v>3.8305817463712269E-2</v>
      </c>
      <c r="AK45" s="50">
        <v>589866871.9629072</v>
      </c>
    </row>
    <row r="46" spans="1:37" ht="17.399999999999999" customHeight="1" x14ac:dyDescent="0.4">
      <c r="A46" s="22">
        <f t="shared" si="1"/>
        <v>46</v>
      </c>
      <c r="B46" s="99"/>
      <c r="C46" s="100"/>
      <c r="D46" s="100"/>
      <c r="E46" s="100"/>
      <c r="F46" s="100"/>
      <c r="G46" s="101"/>
      <c r="AB46" s="43">
        <v>20271027</v>
      </c>
      <c r="AC46" s="44">
        <v>20280131</v>
      </c>
      <c r="AD46" s="44">
        <v>20280131</v>
      </c>
      <c r="AE46" s="46">
        <v>3.9538991508744827E-2</v>
      </c>
      <c r="AF46" s="50">
        <v>415971855.87282223</v>
      </c>
      <c r="AG46" s="44">
        <v>20271027</v>
      </c>
      <c r="AH46" s="44">
        <v>20280131</v>
      </c>
      <c r="AI46" s="44">
        <v>20280131</v>
      </c>
      <c r="AJ46" s="46">
        <v>3.8276320437355009E-2</v>
      </c>
      <c r="AK46" s="50">
        <v>615202932.82039237</v>
      </c>
    </row>
    <row r="47" spans="1:37" x14ac:dyDescent="0.4">
      <c r="A47" s="22">
        <f t="shared" si="1"/>
        <v>47</v>
      </c>
      <c r="B47" s="39" t="s">
        <v>62</v>
      </c>
      <c r="C47" s="40" t="s">
        <v>63</v>
      </c>
      <c r="D47" s="40" t="s">
        <v>64</v>
      </c>
      <c r="E47" s="40" t="s">
        <v>65</v>
      </c>
      <c r="AB47" s="43">
        <v>20280131</v>
      </c>
      <c r="AC47" s="44">
        <v>20280427</v>
      </c>
      <c r="AD47" s="44">
        <v>20280427</v>
      </c>
      <c r="AE47" s="46">
        <v>3.9550426141176008E-2</v>
      </c>
      <c r="AF47" s="50">
        <v>377083514.98984253</v>
      </c>
      <c r="AG47" s="44">
        <v>20280131</v>
      </c>
      <c r="AH47" s="44">
        <v>20280427</v>
      </c>
      <c r="AI47" s="44">
        <v>20280427</v>
      </c>
      <c r="AJ47" s="46">
        <v>3.8184966856987614E-2</v>
      </c>
      <c r="AK47" s="50">
        <v>556656670.30771756</v>
      </c>
    </row>
    <row r="48" spans="1:37" x14ac:dyDescent="0.4">
      <c r="A48" s="22">
        <f t="shared" si="1"/>
        <v>48</v>
      </c>
      <c r="B48" s="28">
        <v>45835</v>
      </c>
      <c r="C48" s="28">
        <f>EDATE(B48,1)</f>
        <v>45865</v>
      </c>
      <c r="D48" s="33">
        <v>0</v>
      </c>
      <c r="E48" s="33">
        <f>COUNT(B48:B1048576)</f>
        <v>10</v>
      </c>
      <c r="AB48" s="43">
        <v>20280427</v>
      </c>
      <c r="AC48" s="44">
        <v>20280727</v>
      </c>
      <c r="AD48" s="44">
        <v>20280727</v>
      </c>
      <c r="AE48" s="46">
        <v>3.958434546450227E-2</v>
      </c>
      <c r="AF48" s="50">
        <v>394758952.02955693</v>
      </c>
      <c r="AG48" s="44">
        <v>20280427</v>
      </c>
      <c r="AH48" s="44">
        <v>20280727</v>
      </c>
      <c r="AI48" s="44">
        <v>20280727</v>
      </c>
      <c r="AJ48" s="46">
        <v>3.808946310412073E-2</v>
      </c>
      <c r="AK48" s="50">
        <v>581297659.44931352</v>
      </c>
    </row>
    <row r="49" spans="1:37" x14ac:dyDescent="0.4">
      <c r="A49" s="22">
        <f t="shared" si="1"/>
        <v>49</v>
      </c>
      <c r="B49" s="28">
        <f>EDATE(B48,12)</f>
        <v>46200</v>
      </c>
      <c r="C49" s="28">
        <f>EDATE(B49,1)</f>
        <v>46230</v>
      </c>
      <c r="AB49" s="43">
        <v>20280727</v>
      </c>
      <c r="AC49" s="44">
        <v>20281027</v>
      </c>
      <c r="AD49" s="44">
        <v>20281027</v>
      </c>
      <c r="AE49" s="46">
        <v>3.9614915533315392E-2</v>
      </c>
      <c r="AF49" s="50">
        <v>399405175.787947</v>
      </c>
      <c r="AG49" s="44">
        <v>20280727</v>
      </c>
      <c r="AH49" s="44">
        <v>20281027</v>
      </c>
      <c r="AI49" s="44">
        <v>20281027</v>
      </c>
      <c r="AJ49" s="46">
        <v>3.7987368525134832E-2</v>
      </c>
      <c r="AK49" s="50">
        <v>586656208.69177043</v>
      </c>
    </row>
    <row r="50" spans="1:37" x14ac:dyDescent="0.4">
      <c r="A50" s="22">
        <f t="shared" si="1"/>
        <v>50</v>
      </c>
      <c r="B50" s="28">
        <f t="shared" ref="B50:B57" si="2">EDATE(B49,12)</f>
        <v>46565</v>
      </c>
      <c r="C50" s="28">
        <f t="shared" ref="C50:C57" si="3">EDATE(B50,1)</f>
        <v>46595</v>
      </c>
      <c r="AB50" s="43">
        <v>20281027</v>
      </c>
      <c r="AC50" s="44">
        <v>20290129</v>
      </c>
      <c r="AD50" s="44">
        <v>20290129</v>
      </c>
      <c r="AE50" s="46">
        <v>3.9648112091607381E-2</v>
      </c>
      <c r="AF50" s="50">
        <v>408429867.02587324</v>
      </c>
      <c r="AG50" s="44">
        <v>20281027</v>
      </c>
      <c r="AH50" s="44">
        <v>20290129</v>
      </c>
      <c r="AI50" s="44">
        <v>20290129</v>
      </c>
      <c r="AJ50" s="46">
        <v>3.7878762264429093E-2</v>
      </c>
      <c r="AK50" s="50">
        <v>598290811.27192712</v>
      </c>
    </row>
    <row r="51" spans="1:37" x14ac:dyDescent="0.4">
      <c r="A51" s="22">
        <f t="shared" si="1"/>
        <v>51</v>
      </c>
      <c r="B51" s="28">
        <f t="shared" si="2"/>
        <v>46931</v>
      </c>
      <c r="C51" s="28">
        <f t="shared" si="3"/>
        <v>46961</v>
      </c>
      <c r="AB51" s="43">
        <v>20290129</v>
      </c>
      <c r="AC51" s="44">
        <v>20290427</v>
      </c>
      <c r="AD51" s="44">
        <v>20290427</v>
      </c>
      <c r="AE51" s="46">
        <v>3.9670381736591064E-2</v>
      </c>
      <c r="AF51" s="50">
        <v>382574640.30904263</v>
      </c>
      <c r="AG51" s="44">
        <v>20290129</v>
      </c>
      <c r="AH51" s="44">
        <v>20290427</v>
      </c>
      <c r="AI51" s="44">
        <v>20290427</v>
      </c>
      <c r="AJ51" s="46">
        <v>3.7756421926177716E-2</v>
      </c>
      <c r="AK51" s="50">
        <v>558922205.97300148</v>
      </c>
    </row>
    <row r="52" spans="1:37" x14ac:dyDescent="0.4">
      <c r="A52" s="22">
        <f t="shared" si="1"/>
        <v>52</v>
      </c>
      <c r="B52" s="28">
        <f t="shared" si="2"/>
        <v>47296</v>
      </c>
      <c r="C52" s="28">
        <f t="shared" si="3"/>
        <v>47326</v>
      </c>
      <c r="AB52" s="43">
        <v>20290427</v>
      </c>
      <c r="AC52" s="44">
        <v>20290727</v>
      </c>
      <c r="AD52" s="44">
        <v>20290727</v>
      </c>
      <c r="AE52" s="46">
        <v>3.9697714941992202E-2</v>
      </c>
      <c r="AF52" s="50">
        <v>395889540.79137427</v>
      </c>
      <c r="AG52" s="44">
        <v>20290427</v>
      </c>
      <c r="AH52" s="44">
        <v>20290727</v>
      </c>
      <c r="AI52" s="44">
        <v>20290727</v>
      </c>
      <c r="AJ52" s="46">
        <v>3.7647895514895793E-2</v>
      </c>
      <c r="AK52" s="50">
        <v>576894081.29923475</v>
      </c>
    </row>
    <row r="53" spans="1:37" x14ac:dyDescent="0.4">
      <c r="A53" s="22">
        <f t="shared" si="1"/>
        <v>53</v>
      </c>
      <c r="B53" s="28">
        <f t="shared" si="2"/>
        <v>47661</v>
      </c>
      <c r="C53" s="28">
        <f t="shared" si="3"/>
        <v>47691</v>
      </c>
      <c r="AB53" s="43">
        <v>20290727</v>
      </c>
      <c r="AC53" s="44">
        <v>20291029</v>
      </c>
      <c r="AD53" s="44">
        <v>20291029</v>
      </c>
      <c r="AE53" s="46">
        <v>3.9832480183468202E-2</v>
      </c>
      <c r="AF53" s="50">
        <v>410329110.93106973</v>
      </c>
      <c r="AG53" s="44">
        <v>20290727</v>
      </c>
      <c r="AH53" s="44">
        <v>20291029</v>
      </c>
      <c r="AI53" s="44">
        <v>20291029</v>
      </c>
      <c r="AJ53" s="46">
        <v>3.7524355862423683E-2</v>
      </c>
      <c r="AK53" s="50">
        <v>594639939.84304941</v>
      </c>
    </row>
    <row r="54" spans="1:37" x14ac:dyDescent="0.4">
      <c r="A54" s="22">
        <f t="shared" si="1"/>
        <v>54</v>
      </c>
      <c r="B54" s="28">
        <f t="shared" si="2"/>
        <v>48026</v>
      </c>
      <c r="C54" s="28">
        <f t="shared" si="3"/>
        <v>48056</v>
      </c>
      <c r="AB54" s="43">
        <v>20291029</v>
      </c>
      <c r="AC54" s="44">
        <v>20300128</v>
      </c>
      <c r="AD54" s="44">
        <v>20300128</v>
      </c>
      <c r="AE54" s="46">
        <v>3.9976331130072762E-2</v>
      </c>
      <c r="AF54" s="50">
        <v>398668069.35195851</v>
      </c>
      <c r="AG54" s="44">
        <v>20291029</v>
      </c>
      <c r="AH54" s="44">
        <v>20300128</v>
      </c>
      <c r="AI54" s="44">
        <v>20300128</v>
      </c>
      <c r="AJ54" s="46">
        <v>3.7382038004496423E-2</v>
      </c>
      <c r="AK54" s="50">
        <v>574242789.96264923</v>
      </c>
    </row>
    <row r="55" spans="1:37" x14ac:dyDescent="0.4">
      <c r="A55" s="22">
        <f t="shared" si="1"/>
        <v>55</v>
      </c>
      <c r="B55" s="28">
        <f t="shared" si="2"/>
        <v>48392</v>
      </c>
      <c r="C55" s="28">
        <f t="shared" si="3"/>
        <v>48422</v>
      </c>
      <c r="AB55" s="43">
        <v>20300128</v>
      </c>
      <c r="AC55" s="44">
        <v>20300429</v>
      </c>
      <c r="AD55" s="44">
        <v>20300429</v>
      </c>
      <c r="AE55" s="46">
        <v>4.0016697539659023E-2</v>
      </c>
      <c r="AF55" s="50">
        <v>399070627.51879138</v>
      </c>
      <c r="AG55" s="44">
        <v>20300128</v>
      </c>
      <c r="AH55" s="44">
        <v>20300429</v>
      </c>
      <c r="AI55" s="44">
        <v>20300429</v>
      </c>
      <c r="AJ55" s="46">
        <v>3.7240610531445055E-2</v>
      </c>
      <c r="AK55" s="50">
        <v>572832389.95742464</v>
      </c>
    </row>
    <row r="56" spans="1:37" x14ac:dyDescent="0.4">
      <c r="A56" s="22">
        <f t="shared" si="1"/>
        <v>56</v>
      </c>
      <c r="B56" s="28">
        <f t="shared" si="2"/>
        <v>48757</v>
      </c>
      <c r="C56" s="28">
        <f t="shared" si="3"/>
        <v>48787</v>
      </c>
      <c r="AB56" s="43">
        <v>20300429</v>
      </c>
      <c r="AC56" s="44">
        <v>20300729</v>
      </c>
      <c r="AD56" s="44">
        <v>20300729</v>
      </c>
      <c r="AE56" s="46">
        <v>4.0059489070026717E-2</v>
      </c>
      <c r="AF56" s="50">
        <v>399497370.45177329</v>
      </c>
      <c r="AG56" s="44">
        <v>20300429</v>
      </c>
      <c r="AH56" s="44">
        <v>20300729</v>
      </c>
      <c r="AI56" s="44">
        <v>20300729</v>
      </c>
      <c r="AJ56" s="46">
        <v>3.7093191916119352E-2</v>
      </c>
      <c r="AK56" s="50">
        <v>571362242.67034101</v>
      </c>
    </row>
    <row r="57" spans="1:37" x14ac:dyDescent="0.4">
      <c r="A57" s="22">
        <f t="shared" si="1"/>
        <v>57</v>
      </c>
      <c r="B57" s="28">
        <f t="shared" si="2"/>
        <v>49122</v>
      </c>
      <c r="C57" s="28">
        <f t="shared" si="3"/>
        <v>49152</v>
      </c>
      <c r="AB57" s="43">
        <v>20300729</v>
      </c>
      <c r="AC57" s="44">
        <v>20301028</v>
      </c>
      <c r="AD57" s="44">
        <v>20301028</v>
      </c>
      <c r="AE57" s="46">
        <v>4.0220245909397614E-2</v>
      </c>
      <c r="AF57" s="50">
        <v>401100534.54851323</v>
      </c>
      <c r="AG57" s="44">
        <v>20300729</v>
      </c>
      <c r="AH57" s="44">
        <v>20301028</v>
      </c>
      <c r="AI57" s="44">
        <v>20301028</v>
      </c>
      <c r="AJ57" s="46">
        <v>3.6939607255273441E-2</v>
      </c>
      <c r="AK57" s="50">
        <v>569830603.86080909</v>
      </c>
    </row>
    <row r="58" spans="1:37" x14ac:dyDescent="0.4">
      <c r="A58" s="22">
        <f t="shared" si="1"/>
        <v>58</v>
      </c>
      <c r="AB58" s="43">
        <v>20301028</v>
      </c>
      <c r="AC58" s="44">
        <v>20310127</v>
      </c>
      <c r="AD58" s="44">
        <v>20310127</v>
      </c>
      <c r="AE58" s="46">
        <v>4.0394446141424407E-2</v>
      </c>
      <c r="AF58" s="50">
        <v>402837764.2596845</v>
      </c>
      <c r="AG58" s="44">
        <v>20301028</v>
      </c>
      <c r="AH58" s="44">
        <v>20310127</v>
      </c>
      <c r="AI58" s="44">
        <v>20310127</v>
      </c>
      <c r="AJ58" s="46">
        <v>3.6776360554208236E-2</v>
      </c>
      <c r="AK58" s="50">
        <v>568202609.36251509</v>
      </c>
    </row>
    <row r="59" spans="1:37" x14ac:dyDescent="0.4">
      <c r="A59" s="22">
        <f t="shared" si="1"/>
        <v>59</v>
      </c>
      <c r="AB59" s="43">
        <v>20310127</v>
      </c>
      <c r="AC59" s="44">
        <v>20310428</v>
      </c>
      <c r="AD59" s="44">
        <v>20310428</v>
      </c>
      <c r="AE59" s="46">
        <v>4.0449164445564748E-2</v>
      </c>
      <c r="AF59" s="50">
        <v>403383448.16946763</v>
      </c>
      <c r="AG59" s="44">
        <v>20310127</v>
      </c>
      <c r="AH59" s="44">
        <v>20310428</v>
      </c>
      <c r="AI59" s="44">
        <v>20310428</v>
      </c>
      <c r="AJ59" s="46">
        <v>3.6602853277720032E-2</v>
      </c>
      <c r="AK59" s="50">
        <v>566472290.22164631</v>
      </c>
    </row>
    <row r="60" spans="1:37" x14ac:dyDescent="0.4">
      <c r="A60" s="22">
        <f t="shared" si="1"/>
        <v>60</v>
      </c>
      <c r="AB60" s="43">
        <v>20310428</v>
      </c>
      <c r="AC60" s="44">
        <v>20310728</v>
      </c>
      <c r="AD60" s="44">
        <v>20310728</v>
      </c>
      <c r="AE60" s="46">
        <v>4.0506433572192031E-2</v>
      </c>
      <c r="AF60" s="50">
        <v>403954570.41857255</v>
      </c>
      <c r="AG60" s="44">
        <v>20310428</v>
      </c>
      <c r="AH60" s="44">
        <v>20310728</v>
      </c>
      <c r="AI60" s="44">
        <v>20310728</v>
      </c>
      <c r="AJ60" s="46">
        <v>3.6422659980575874E-2</v>
      </c>
      <c r="AK60" s="50">
        <v>564675294.05286622</v>
      </c>
    </row>
    <row r="61" spans="1:37" x14ac:dyDescent="0.4">
      <c r="A61" s="22">
        <f t="shared" si="1"/>
        <v>61</v>
      </c>
      <c r="AB61" s="43">
        <v>20310728</v>
      </c>
      <c r="AC61" s="44">
        <v>20311027</v>
      </c>
      <c r="AD61" s="44">
        <v>20311027</v>
      </c>
      <c r="AE61" s="46">
        <v>4.057743137547902E-2</v>
      </c>
      <c r="AF61" s="50">
        <v>404662603.30614692</v>
      </c>
      <c r="AG61" s="44">
        <v>20310728</v>
      </c>
      <c r="AH61" s="44">
        <v>20311027</v>
      </c>
      <c r="AI61" s="44">
        <v>20311027</v>
      </c>
      <c r="AJ61" s="46">
        <v>3.6235609180647201E-2</v>
      </c>
      <c r="AK61" s="50">
        <v>562809910.7330296</v>
      </c>
    </row>
    <row r="62" spans="1:37" x14ac:dyDescent="0.4">
      <c r="AB62" s="43">
        <v>20311027</v>
      </c>
      <c r="AC62" s="44">
        <v>20320127</v>
      </c>
      <c r="AD62" s="44">
        <v>20320127</v>
      </c>
      <c r="AE62" s="46">
        <v>4.0649573296889605E-2</v>
      </c>
      <c r="AF62" s="50">
        <v>409836793.78781849</v>
      </c>
      <c r="AG62" s="44">
        <v>20311027</v>
      </c>
      <c r="AH62" s="44">
        <v>20320127</v>
      </c>
      <c r="AI62" s="44">
        <v>20320127</v>
      </c>
      <c r="AJ62" s="46">
        <v>3.6041326129618925E-2</v>
      </c>
      <c r="AK62" s="50">
        <v>567035836.04656887</v>
      </c>
    </row>
    <row r="63" spans="1:37" x14ac:dyDescent="0.4">
      <c r="AB63" s="43">
        <v>20320127</v>
      </c>
      <c r="AC63" s="44">
        <v>20320427</v>
      </c>
      <c r="AD63" s="44">
        <v>20320427</v>
      </c>
      <c r="AE63" s="46">
        <v>4.0706270658794848E-2</v>
      </c>
      <c r="AF63" s="50">
        <v>405947466.29592669</v>
      </c>
      <c r="AG63" s="44">
        <v>20320127</v>
      </c>
      <c r="AH63" s="44">
        <v>20320427</v>
      </c>
      <c r="AI63" s="44">
        <v>20320427</v>
      </c>
      <c r="AJ63" s="46">
        <v>3.5840347815651083E-2</v>
      </c>
      <c r="AK63" s="50">
        <v>558868126.16156149</v>
      </c>
    </row>
    <row r="64" spans="1:37" x14ac:dyDescent="0.4">
      <c r="AB64" s="43">
        <v>20320427</v>
      </c>
      <c r="AC64" s="44">
        <v>20320727</v>
      </c>
      <c r="AD64" s="44">
        <v>20320727</v>
      </c>
      <c r="AE64" s="46">
        <v>4.0764910214391485E-2</v>
      </c>
      <c r="AF64" s="50">
        <v>406532255.28872609</v>
      </c>
      <c r="AG64" s="44">
        <v>20320427</v>
      </c>
      <c r="AH64" s="44">
        <v>20320727</v>
      </c>
      <c r="AI64" s="44">
        <v>20320727</v>
      </c>
      <c r="AJ64" s="46">
        <v>3.5631664703323497E-2</v>
      </c>
      <c r="AK64" s="50">
        <v>556787012.38382888</v>
      </c>
    </row>
    <row r="65" spans="28:37" x14ac:dyDescent="0.4">
      <c r="AB65" s="43">
        <v>20320727</v>
      </c>
      <c r="AC65" s="44">
        <v>20321027</v>
      </c>
      <c r="AD65" s="44">
        <v>20321027</v>
      </c>
      <c r="AE65" s="46">
        <v>4.0835355645510114E-2</v>
      </c>
      <c r="AF65" s="50">
        <v>411709887.05610204</v>
      </c>
      <c r="AG65" s="44">
        <v>20320727</v>
      </c>
      <c r="AH65" s="44">
        <v>20321027</v>
      </c>
      <c r="AI65" s="44">
        <v>20321027</v>
      </c>
      <c r="AJ65" s="46">
        <v>3.5415946891235027E-2</v>
      </c>
      <c r="AK65" s="50">
        <v>560730642.62943816</v>
      </c>
    </row>
    <row r="66" spans="28:37" x14ac:dyDescent="0.4">
      <c r="AB66" s="43">
        <v>20321027</v>
      </c>
      <c r="AC66" s="44">
        <v>20330127</v>
      </c>
      <c r="AD66" s="44">
        <v>20330127</v>
      </c>
      <c r="AE66" s="46">
        <v>4.0906330279010514E-2</v>
      </c>
      <c r="AF66" s="50">
        <v>412425466.92262655</v>
      </c>
      <c r="AG66" s="44">
        <v>20321027</v>
      </c>
      <c r="AH66" s="44">
        <v>20330127</v>
      </c>
      <c r="AI66" s="44">
        <v>20330127</v>
      </c>
      <c r="AJ66" s="46">
        <v>3.5191828238674297E-2</v>
      </c>
      <c r="AK66" s="50">
        <v>558471035.39266145</v>
      </c>
    </row>
    <row r="67" spans="28:37" x14ac:dyDescent="0.4">
      <c r="AB67" s="43">
        <v>20330127</v>
      </c>
      <c r="AC67" s="44">
        <v>20330427</v>
      </c>
      <c r="AD67" s="44">
        <v>20330427</v>
      </c>
      <c r="AE67" s="46">
        <v>4.0961373579067616E-2</v>
      </c>
      <c r="AF67" s="50">
        <v>404002588.72505039</v>
      </c>
      <c r="AG67" s="44">
        <v>20330127</v>
      </c>
      <c r="AH67" s="44">
        <v>20330427</v>
      </c>
      <c r="AI67" s="44">
        <v>20330427</v>
      </c>
      <c r="AJ67" s="46">
        <v>3.4955505478335543E-2</v>
      </c>
      <c r="AK67" s="50">
        <v>543999506.08769298</v>
      </c>
    </row>
    <row r="68" spans="28:37" x14ac:dyDescent="0.4">
      <c r="AB68" s="43">
        <v>20330427</v>
      </c>
      <c r="AC68" s="44">
        <v>20330727</v>
      </c>
      <c r="AD68" s="44">
        <v>20330727</v>
      </c>
      <c r="AE68" s="46">
        <v>4.1022979127376145E-2</v>
      </c>
      <c r="AF68" s="50">
        <v>409105874.037395</v>
      </c>
      <c r="AG68" s="44">
        <v>20330427</v>
      </c>
      <c r="AH68" s="44">
        <v>20330727</v>
      </c>
      <c r="AI68" s="44">
        <v>20330727</v>
      </c>
      <c r="AJ68" s="46">
        <v>3.4717193315337437E-2</v>
      </c>
      <c r="AK68" s="50">
        <v>547667352.51459801</v>
      </c>
    </row>
    <row r="69" spans="28:37" x14ac:dyDescent="0.4">
      <c r="AB69" s="43">
        <v>20330727</v>
      </c>
      <c r="AC69" s="44">
        <v>20331027</v>
      </c>
      <c r="AD69" s="44">
        <v>20331027</v>
      </c>
      <c r="AE69" s="46">
        <v>4.1085254465375365E-2</v>
      </c>
      <c r="AF69" s="50">
        <v>414229414.88378453</v>
      </c>
      <c r="AG69" s="44">
        <v>20330727</v>
      </c>
      <c r="AH69" s="44">
        <v>20331027</v>
      </c>
      <c r="AI69" s="44">
        <v>20331027</v>
      </c>
      <c r="AJ69" s="46">
        <v>3.446893185986892E-2</v>
      </c>
      <c r="AK69" s="50">
        <v>551182655.46388388</v>
      </c>
    </row>
    <row r="70" spans="28:37" x14ac:dyDescent="0.4">
      <c r="AB70" s="43">
        <v>20331027</v>
      </c>
      <c r="AC70" s="44">
        <v>20340127</v>
      </c>
      <c r="AD70" s="44">
        <v>20340127</v>
      </c>
      <c r="AE70" s="46">
        <v>4.1145553060062054E-2</v>
      </c>
      <c r="AF70" s="50">
        <v>414837356.87952977</v>
      </c>
      <c r="AG70" s="44">
        <v>20331027</v>
      </c>
      <c r="AH70" s="44">
        <v>20340127</v>
      </c>
      <c r="AI70" s="44">
        <v>20340127</v>
      </c>
      <c r="AJ70" s="46">
        <v>3.4210456030343603E-2</v>
      </c>
      <c r="AK70" s="50">
        <v>548576652.57990265</v>
      </c>
    </row>
    <row r="71" spans="28:37" x14ac:dyDescent="0.4">
      <c r="AB71" s="43">
        <v>20340127</v>
      </c>
      <c r="AC71" s="44">
        <v>20340427</v>
      </c>
      <c r="AD71" s="44">
        <v>20340427</v>
      </c>
      <c r="AE71" s="46">
        <v>4.120054634544227E-2</v>
      </c>
      <c r="AF71" s="50">
        <v>406361552.99614292</v>
      </c>
      <c r="AG71" s="44">
        <v>20340127</v>
      </c>
      <c r="AH71" s="44">
        <v>20340427</v>
      </c>
      <c r="AI71" s="44">
        <v>20340427</v>
      </c>
      <c r="AJ71" s="46">
        <v>3.394446881697933E-2</v>
      </c>
      <c r="AK71" s="50">
        <v>534027637.64691943</v>
      </c>
    </row>
    <row r="72" spans="28:37" x14ac:dyDescent="0.4">
      <c r="AB72" s="43">
        <v>20340427</v>
      </c>
      <c r="AC72" s="44">
        <v>20340727</v>
      </c>
      <c r="AD72" s="44">
        <v>20340727</v>
      </c>
      <c r="AE72" s="46">
        <v>4.1262182180395478E-2</v>
      </c>
      <c r="AF72" s="50">
        <v>411491351.05928642</v>
      </c>
      <c r="AG72" s="44">
        <v>20340427</v>
      </c>
      <c r="AH72" s="44">
        <v>20340727</v>
      </c>
      <c r="AI72" s="44">
        <v>20340727</v>
      </c>
      <c r="AJ72" s="46">
        <v>3.3674230951813718E-2</v>
      </c>
      <c r="AK72" s="50">
        <v>537266303.19069028</v>
      </c>
    </row>
    <row r="73" spans="28:37" x14ac:dyDescent="0.4">
      <c r="AB73" s="43">
        <v>20340727</v>
      </c>
      <c r="AC73" s="44">
        <v>20341027</v>
      </c>
      <c r="AD73" s="44">
        <v>20341027</v>
      </c>
      <c r="AE73" s="46">
        <v>4.0490863360382663E-2</v>
      </c>
      <c r="AF73" s="50">
        <v>408236649.77043343</v>
      </c>
      <c r="AG73" s="44">
        <v>20340727</v>
      </c>
      <c r="AH73" s="44">
        <v>20341027</v>
      </c>
      <c r="AI73" s="44">
        <v>20341027</v>
      </c>
      <c r="AJ73" s="46">
        <v>3.3396489554475758E-2</v>
      </c>
      <c r="AK73" s="50">
        <v>540370086.46704328</v>
      </c>
    </row>
    <row r="74" spans="28:37" x14ac:dyDescent="0.4">
      <c r="AB74" s="43">
        <v>20341027</v>
      </c>
      <c r="AC74" s="44">
        <v>20350129</v>
      </c>
      <c r="AD74" s="44">
        <v>20350129</v>
      </c>
      <c r="AE74" s="46">
        <v>3.9551195769064906E-2</v>
      </c>
      <c r="AF74" s="50">
        <v>407431496.14160013</v>
      </c>
      <c r="AG74" s="44">
        <v>20341027</v>
      </c>
      <c r="AH74" s="44">
        <v>20350129</v>
      </c>
      <c r="AI74" s="44">
        <v>20350129</v>
      </c>
      <c r="AJ74" s="46">
        <v>3.3133174856985692E-2</v>
      </c>
      <c r="AK74" s="50">
        <v>549404760.17059231</v>
      </c>
    </row>
    <row r="75" spans="28:37" x14ac:dyDescent="0.4">
      <c r="AB75" s="43">
        <v>20350129</v>
      </c>
      <c r="AC75" s="44">
        <v>20350427</v>
      </c>
      <c r="AD75" s="44">
        <v>20350427</v>
      </c>
      <c r="AE75" s="46">
        <v>3.9530895519032473E-2</v>
      </c>
      <c r="AF75" s="50">
        <v>381229458.15614879</v>
      </c>
      <c r="AG75" s="44">
        <v>20350129</v>
      </c>
      <c r="AH75" s="44">
        <v>20350427</v>
      </c>
      <c r="AI75" s="44">
        <v>20350427</v>
      </c>
      <c r="AJ75" s="46">
        <v>3.2884479945627779E-2</v>
      </c>
      <c r="AK75" s="50">
        <v>511937998.37975276</v>
      </c>
    </row>
    <row r="76" spans="28:37" x14ac:dyDescent="0.4">
      <c r="AB76" s="43">
        <v>20350427</v>
      </c>
      <c r="AC76" s="44">
        <v>20350727</v>
      </c>
      <c r="AD76" s="44">
        <v>20350727</v>
      </c>
      <c r="AE76" s="46">
        <v>3.9517699799082588E-2</v>
      </c>
      <c r="AF76" s="50">
        <v>394094321.28400171</v>
      </c>
      <c r="AG76" s="44">
        <v>20350427</v>
      </c>
      <c r="AH76" s="44">
        <v>20350727</v>
      </c>
      <c r="AI76" s="44">
        <v>20350727</v>
      </c>
      <c r="AJ76" s="46">
        <v>3.2652288804930318E-2</v>
      </c>
      <c r="AK76" s="50">
        <v>527074880.13683933</v>
      </c>
    </row>
  </sheetData>
  <mergeCells count="146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2024-09-12T13:12:40Z</dcterms:modified>
</cp:coreProperties>
</file>