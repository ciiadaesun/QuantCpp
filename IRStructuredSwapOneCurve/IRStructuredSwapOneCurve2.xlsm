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<sst xmlns="http://schemas.openxmlformats.org/spreadsheetml/2006/main" count="122" uniqueCount="88">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</sst>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6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44815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74</v>
      </c>
      <c r="M6" s="51"/>
      <c r="N6" s="51"/>
      <c r="O6" s="59" t="s">
        <v>75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50">
        <v>44906</v>
      </c>
      <c r="I11" s="10">
        <v>9.6154639886529853E-3</v>
      </c>
      <c r="J11" s="11"/>
      <c r="K11" s="7">
        <v>44906</v>
      </c>
      <c r="L11" s="12">
        <v>1</v>
      </c>
      <c r="M11" s="46">
        <v>44818</v>
      </c>
      <c r="N11" s="13">
        <v>3.5114930000000002</v>
      </c>
      <c r="O11" s="46">
        <v>44818</v>
      </c>
      <c r="P11" s="13">
        <v>3.5114930000000002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50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6">
        <v>44819</v>
      </c>
      <c r="N12" s="13">
        <v>3.5124149999999998</v>
      </c>
      <c r="O12" s="46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50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6">
        <v>44910</v>
      </c>
      <c r="N13" s="13">
        <v>3.7925620000000002</v>
      </c>
      <c r="O13" s="46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67"/>
      <c r="E14" s="67"/>
      <c r="G14" s="65"/>
      <c r="H14" s="50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6">
        <v>45001</v>
      </c>
      <c r="N14" s="13">
        <v>3.8730349999999998</v>
      </c>
      <c r="O14" s="46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67"/>
      <c r="E15" s="67"/>
      <c r="G15" s="65"/>
      <c r="H15" s="50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6">
        <v>45092</v>
      </c>
      <c r="N15" s="13">
        <v>3.9020980000000001</v>
      </c>
      <c r="O15" s="46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5"/>
      <c r="H16" s="50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6">
        <v>45184</v>
      </c>
      <c r="N16" s="13">
        <v>3.9204439999999998</v>
      </c>
      <c r="O16" s="46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50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6">
        <v>45366</v>
      </c>
      <c r="N17" s="13">
        <v>3.9238849999999998</v>
      </c>
      <c r="O17" s="46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50"/>
      <c r="I18" s="10"/>
      <c r="J18" s="11"/>
      <c r="L18" s="12">
        <f t="shared" si="2"/>
        <v>8</v>
      </c>
      <c r="M18" s="46">
        <v>45549</v>
      </c>
      <c r="N18" s="13">
        <v>3.9116110000000002</v>
      </c>
      <c r="O18" s="46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5"/>
      <c r="H19" s="50"/>
      <c r="I19" s="10"/>
      <c r="J19" s="11"/>
      <c r="L19" s="12">
        <f t="shared" si="2"/>
        <v>9</v>
      </c>
      <c r="M19" s="46">
        <v>45914</v>
      </c>
      <c r="N19" s="13">
        <v>3.899302</v>
      </c>
      <c r="O19" s="46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50"/>
      <c r="I20" s="10"/>
      <c r="J20" s="11"/>
      <c r="L20" s="12">
        <f t="shared" si="2"/>
        <v>10</v>
      </c>
      <c r="M20" s="46">
        <v>46281</v>
      </c>
      <c r="N20" s="13">
        <v>3.9023029999999999</v>
      </c>
      <c r="O20" s="46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50"/>
      <c r="I21" s="10"/>
      <c r="J21" s="11"/>
      <c r="L21" s="12">
        <f t="shared" si="2"/>
        <v>11</v>
      </c>
      <c r="M21" s="46">
        <v>46645</v>
      </c>
      <c r="N21" s="13">
        <v>3.9025310000000002</v>
      </c>
      <c r="O21" s="46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50"/>
      <c r="I22" s="10"/>
      <c r="J22" s="11"/>
      <c r="L22" s="12">
        <f t="shared" si="2"/>
        <v>12</v>
      </c>
      <c r="M22" s="46">
        <v>47010</v>
      </c>
      <c r="N22" s="13">
        <v>3.9081440000000001</v>
      </c>
      <c r="O22" s="46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50"/>
      <c r="I23" s="10"/>
      <c r="J23" s="11"/>
      <c r="L23" s="12">
        <f t="shared" si="2"/>
        <v>13</v>
      </c>
      <c r="M23" s="46">
        <v>47375</v>
      </c>
      <c r="N23" s="13">
        <v>3.9137569999999999</v>
      </c>
      <c r="O23" s="46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50"/>
      <c r="I24" s="10"/>
      <c r="J24" s="11"/>
      <c r="L24" s="12">
        <f t="shared" si="2"/>
        <v>14</v>
      </c>
      <c r="M24" s="46">
        <v>47740</v>
      </c>
      <c r="N24" s="13">
        <v>3.9222540000000001</v>
      </c>
      <c r="O24" s="46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50"/>
      <c r="I25" s="10"/>
      <c r="J25" s="11"/>
      <c r="L25" s="12">
        <f t="shared" si="2"/>
        <v>15</v>
      </c>
      <c r="M25" s="46">
        <v>48108</v>
      </c>
      <c r="N25" s="13">
        <v>3.9337179999999998</v>
      </c>
      <c r="O25" s="46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50"/>
      <c r="I26" s="10"/>
      <c r="J26" s="11"/>
      <c r="L26" s="12">
        <f t="shared" si="2"/>
        <v>16</v>
      </c>
      <c r="M26" s="46">
        <v>48472</v>
      </c>
      <c r="N26" s="13">
        <v>3.9453279999999999</v>
      </c>
      <c r="O26" s="46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50"/>
      <c r="I27" s="10"/>
      <c r="J27" s="11"/>
      <c r="L27" s="12">
        <f t="shared" si="2"/>
        <v>17</v>
      </c>
      <c r="M27" s="46">
        <v>49201</v>
      </c>
      <c r="N27" s="13">
        <v>3.9689730000000001</v>
      </c>
      <c r="O27" s="46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50"/>
      <c r="I28" s="10"/>
      <c r="J28" s="11"/>
      <c r="L28" s="12">
        <f t="shared" si="2"/>
        <v>18</v>
      </c>
      <c r="M28" s="46">
        <v>50299</v>
      </c>
      <c r="N28" s="13">
        <v>3.9608210000000001</v>
      </c>
      <c r="O28" s="46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50"/>
      <c r="I29" s="10"/>
      <c r="J29" s="11"/>
      <c r="L29" s="12">
        <f t="shared" si="2"/>
        <v>19</v>
      </c>
      <c r="M29" s="46">
        <v>52123</v>
      </c>
      <c r="N29" s="13">
        <v>3.8029289999999998</v>
      </c>
      <c r="O29" s="46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50"/>
      <c r="I30" s="10"/>
      <c r="J30" s="11"/>
      <c r="L30" s="12">
        <f t="shared" si="2"/>
        <v>20</v>
      </c>
      <c r="M30" s="46">
        <v>53950</v>
      </c>
      <c r="N30" s="13">
        <v>3.6413120000000001</v>
      </c>
      <c r="O30" s="46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50"/>
      <c r="I31" s="10"/>
      <c r="J31" s="11"/>
      <c r="L31" s="12">
        <f t="shared" si="2"/>
        <v>21</v>
      </c>
      <c r="M31" s="46">
        <v>55776</v>
      </c>
      <c r="N31" s="13">
        <v>3.552136</v>
      </c>
      <c r="O31" s="46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50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50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50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50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50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50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50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50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50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T1" workbookViewId="0">
      <selection activeCell="AB13" sqref="AB13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44815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3" t="s">
        <v>50</v>
      </c>
      <c r="P3" s="124"/>
      <c r="Q3" s="124"/>
      <c r="R3" s="125"/>
      <c r="T3" s="121" t="s">
        <v>55</v>
      </c>
      <c r="U3" s="122"/>
      <c r="W3" s="149" t="s">
        <v>76</v>
      </c>
      <c r="X3" s="150"/>
      <c r="Y3" s="149" t="s">
        <v>77</v>
      </c>
      <c r="Z3" s="150"/>
      <c r="AB3" s="85" t="s">
        <v>65</v>
      </c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7"/>
    </row>
    <row r="4" spans="1:57" x14ac:dyDescent="0.4">
      <c r="A4" s="21">
        <f t="shared" si="1"/>
        <v>4</v>
      </c>
      <c r="B4" s="20"/>
      <c r="C4" s="20"/>
      <c r="O4" s="126" t="s">
        <v>49</v>
      </c>
      <c r="P4" s="127"/>
      <c r="Q4" s="128">
        <v>44039</v>
      </c>
      <c r="R4" s="129"/>
      <c r="T4" s="30" t="s">
        <v>56</v>
      </c>
      <c r="U4" s="31" t="s">
        <v>57</v>
      </c>
      <c r="W4" s="38" t="s">
        <v>59</v>
      </c>
      <c r="X4" s="39" t="s">
        <v>16</v>
      </c>
      <c r="Y4" s="38" t="s">
        <v>59</v>
      </c>
      <c r="Z4" s="39" t="s">
        <v>16</v>
      </c>
      <c r="AB4" s="88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90"/>
    </row>
    <row r="5" spans="1:57" x14ac:dyDescent="0.4">
      <c r="A5" s="21">
        <f t="shared" si="1"/>
        <v>5</v>
      </c>
      <c r="B5" s="85" t="s">
        <v>48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7"/>
      <c r="O5" s="134" t="s">
        <v>51</v>
      </c>
      <c r="P5" s="135"/>
      <c r="Q5" s="136">
        <v>49517</v>
      </c>
      <c r="R5" s="137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8"/>
      <c r="C6" s="89"/>
      <c r="D6" s="89"/>
      <c r="E6" s="89"/>
      <c r="F6" s="89"/>
      <c r="G6" s="89"/>
      <c r="H6" s="89"/>
      <c r="I6" s="89"/>
      <c r="J6" s="89"/>
      <c r="K6" s="89"/>
      <c r="L6" s="89"/>
      <c r="M6" s="90"/>
      <c r="O6" s="132" t="s">
        <v>43</v>
      </c>
      <c r="P6" s="133"/>
      <c r="Q6" s="120">
        <v>0</v>
      </c>
      <c r="R6" s="103"/>
      <c r="W6" s="28">
        <v>44769</v>
      </c>
      <c r="X6" s="35">
        <v>3.6999999999999998E-2</v>
      </c>
      <c r="Y6" s="28">
        <v>44769</v>
      </c>
      <c r="Z6" s="37">
        <v>0.03</v>
      </c>
      <c r="AB6" s="72" t="s">
        <v>66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5"/>
      <c r="F7" s="72" t="s">
        <v>34</v>
      </c>
      <c r="G7" s="72"/>
      <c r="H7" s="74">
        <v>1</v>
      </c>
      <c r="I7" s="75"/>
      <c r="J7" s="72" t="s">
        <v>85</v>
      </c>
      <c r="K7" s="72"/>
      <c r="L7" s="102">
        <v>0</v>
      </c>
      <c r="M7" s="103"/>
      <c r="O7" s="121" t="str">
        <f>IF(Q6&gt;0,"Phase2날짜","")</f>
        <v/>
      </c>
      <c r="P7" s="122"/>
      <c r="Q7" s="130">
        <v>45865</v>
      </c>
      <c r="R7" s="131"/>
      <c r="W7" s="28">
        <v>44815</v>
      </c>
      <c r="X7" s="35">
        <v>3.6999999999999998E-2</v>
      </c>
      <c r="Y7" s="28">
        <v>44815</v>
      </c>
      <c r="Z7" s="35">
        <v>0.03</v>
      </c>
      <c r="AB7" s="72" t="s">
        <v>79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6" t="str">
        <f>"기초금리정보"</f>
        <v>기초금리정보</v>
      </c>
      <c r="C9" s="77"/>
      <c r="D9" s="82" t="s">
        <v>35</v>
      </c>
      <c r="E9" s="82"/>
      <c r="F9" s="102">
        <v>0</v>
      </c>
      <c r="G9" s="103"/>
      <c r="H9" s="24"/>
      <c r="I9" s="23"/>
      <c r="J9" s="91" t="str">
        <f>IF(OR(F10 = 0, F10 = 2, F10 = 4), "RefType = "&amp;F10&amp;" 이므로 Ref Swap 금리정보 사용안함", "사용")</f>
        <v>사용</v>
      </c>
      <c r="K9" s="92"/>
      <c r="L9" s="92"/>
      <c r="M9" s="93"/>
      <c r="O9" s="84" t="s">
        <v>52</v>
      </c>
      <c r="P9" s="84"/>
      <c r="Q9" s="84"/>
      <c r="R9" s="84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8"/>
      <c r="C10" s="79"/>
      <c r="D10" s="82" t="s">
        <v>36</v>
      </c>
      <c r="E10" s="83"/>
      <c r="F10" s="104">
        <v>1</v>
      </c>
      <c r="G10" s="105"/>
      <c r="H10" s="91" t="str">
        <f xml:space="preserve"> "Swap 레퍼런스금리정보"</f>
        <v>Swap 레퍼런스금리정보</v>
      </c>
      <c r="I10" s="92"/>
      <c r="J10" s="95" t="str">
        <f>IF(OR(F10 = 0, F10 = 2, F10 = 4), "", "연 지급횟수")</f>
        <v>연 지급횟수</v>
      </c>
      <c r="K10" s="96"/>
      <c r="L10" s="97">
        <v>4</v>
      </c>
      <c r="M10" s="98"/>
      <c r="O10" s="84" t="s">
        <v>86</v>
      </c>
      <c r="P10" s="84"/>
      <c r="Q10" s="120">
        <v>4</v>
      </c>
      <c r="R10" s="103"/>
      <c r="AB10" s="134" t="s">
        <v>78</v>
      </c>
      <c r="AC10" s="147"/>
      <c r="AD10" s="148">
        <v>2163319948.9665337</v>
      </c>
      <c r="AE10" s="148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8"/>
      <c r="C11" s="79"/>
      <c r="D11" s="84" t="s">
        <v>37</v>
      </c>
      <c r="E11" s="84"/>
      <c r="F11" s="102">
        <v>0</v>
      </c>
      <c r="G11" s="103"/>
      <c r="H11" s="94"/>
      <c r="I11" s="95"/>
      <c r="J11" s="95" t="str">
        <f>IF(F11=0, "만기", "입력X, 아래만기2개입력")</f>
        <v>만기</v>
      </c>
      <c r="K11" s="96"/>
      <c r="L11" s="117">
        <v>0.25</v>
      </c>
      <c r="M11" s="118"/>
      <c r="O11" s="84" t="s">
        <v>53</v>
      </c>
      <c r="P11" s="84"/>
      <c r="Q11" s="120">
        <v>0</v>
      </c>
      <c r="R11" s="103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8"/>
      <c r="C12" s="79"/>
      <c r="D12" s="84" t="s">
        <v>38</v>
      </c>
      <c r="E12" s="84"/>
      <c r="F12" s="111">
        <v>0.8</v>
      </c>
      <c r="G12" s="112"/>
      <c r="H12" s="99" t="str">
        <f>"ex) Deposit 3M -&gt; 연 지급횟수= 4, 만기= 0.25 ||  ex2) CMT 5Y 연 지급횟수=2, 만기 5"</f>
        <v>ex) Deposit 3M -&gt; 연 지급횟수= 4, 만기= 0.25 ||  ex2) CMT 5Y 연 지급횟수=2, 만기 5</v>
      </c>
      <c r="I12" s="99"/>
      <c r="J12" s="99"/>
      <c r="K12" s="99"/>
      <c r="L12" s="99"/>
      <c r="M12" s="100"/>
      <c r="O12" s="121" t="s">
        <v>54</v>
      </c>
      <c r="P12" s="122"/>
      <c r="Q12" s="120">
        <v>4</v>
      </c>
      <c r="R12" s="103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8"/>
      <c r="C13" s="79"/>
      <c r="D13" s="84" t="s">
        <v>39</v>
      </c>
      <c r="E13" s="82"/>
      <c r="F13" s="113">
        <v>-0.8</v>
      </c>
      <c r="G13" s="114"/>
      <c r="H13" s="101" t="str">
        <f>IF(F11&gt;0,"PowerSpreadFlag 1일때 입력","입력필요X")</f>
        <v>입력필요X</v>
      </c>
      <c r="I13" s="101"/>
      <c r="J13" s="101" t="str">
        <f>IF(F11&gt;0,"만기1","")</f>
        <v/>
      </c>
      <c r="K13" s="101"/>
      <c r="L13" s="107">
        <v>10</v>
      </c>
      <c r="M13" s="108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0"/>
      <c r="C14" s="81"/>
      <c r="D14" s="106" t="s">
        <v>40</v>
      </c>
      <c r="E14" s="106"/>
      <c r="F14" s="115">
        <v>1</v>
      </c>
      <c r="G14" s="116"/>
      <c r="H14" s="101"/>
      <c r="I14" s="101"/>
      <c r="J14" s="101" t="str">
        <f>IF(F11&gt;0,"만기2","")</f>
        <v/>
      </c>
      <c r="K14" s="101"/>
      <c r="L14" s="107">
        <v>5</v>
      </c>
      <c r="M14" s="108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5" t="s">
        <v>72</v>
      </c>
      <c r="AC15" s="146"/>
      <c r="AD15" s="146"/>
      <c r="AE15" s="146"/>
      <c r="AF15" s="146"/>
      <c r="AG15" s="145" t="s">
        <v>73</v>
      </c>
      <c r="AH15" s="146"/>
      <c r="AI15" s="146"/>
      <c r="AJ15" s="146"/>
      <c r="AK15" s="146"/>
    </row>
    <row r="16" spans="1:57" x14ac:dyDescent="0.4">
      <c r="A16" s="21">
        <f t="shared" si="1"/>
        <v>16</v>
      </c>
      <c r="B16" s="144" t="s">
        <v>41</v>
      </c>
      <c r="C16" s="144"/>
      <c r="D16" s="84" t="s">
        <v>80</v>
      </c>
      <c r="E16" s="84"/>
      <c r="F16" s="111">
        <v>0</v>
      </c>
      <c r="G16" s="112"/>
      <c r="H16" s="109" t="s">
        <v>83</v>
      </c>
      <c r="I16" s="110"/>
      <c r="J16" s="119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119"/>
      <c r="L16" s="119"/>
      <c r="M16" s="119"/>
      <c r="AB16" s="38" t="s">
        <v>67</v>
      </c>
      <c r="AC16" s="38" t="s">
        <v>68</v>
      </c>
      <c r="AD16" s="38" t="s">
        <v>69</v>
      </c>
      <c r="AE16" s="38" t="s">
        <v>70</v>
      </c>
      <c r="AF16" s="38" t="s">
        <v>71</v>
      </c>
      <c r="AG16" s="38" t="s">
        <v>67</v>
      </c>
      <c r="AH16" s="38" t="s">
        <v>68</v>
      </c>
      <c r="AI16" s="38" t="s">
        <v>69</v>
      </c>
      <c r="AJ16" s="38" t="s">
        <v>70</v>
      </c>
      <c r="AK16" s="38" t="s">
        <v>71</v>
      </c>
    </row>
    <row r="17" spans="1:37" x14ac:dyDescent="0.4">
      <c r="A17" s="21">
        <f t="shared" si="1"/>
        <v>17</v>
      </c>
      <c r="B17" s="144"/>
      <c r="C17" s="144"/>
      <c r="D17" s="84" t="s">
        <v>44</v>
      </c>
      <c r="E17" s="84"/>
      <c r="F17" s="111">
        <v>0</v>
      </c>
      <c r="G17" s="112"/>
      <c r="H17" s="109" t="s">
        <v>81</v>
      </c>
      <c r="I17" s="110"/>
      <c r="J17" s="119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19"/>
      <c r="L17" s="119"/>
      <c r="M17" s="119"/>
      <c r="AB17" s="40">
        <v>20200727</v>
      </c>
      <c r="AC17" s="41">
        <v>20201027</v>
      </c>
      <c r="AD17" s="41">
        <v>20201027</v>
      </c>
      <c r="AE17" s="44">
        <v>0</v>
      </c>
      <c r="AF17" s="48">
        <v>0</v>
      </c>
      <c r="AG17" s="41">
        <v>20200727</v>
      </c>
      <c r="AH17" s="41">
        <v>20201027</v>
      </c>
      <c r="AI17" s="41">
        <v>20201027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44"/>
      <c r="C18" s="144"/>
      <c r="D18" s="84" t="s">
        <v>45</v>
      </c>
      <c r="E18" s="84"/>
      <c r="F18" s="102">
        <v>1</v>
      </c>
      <c r="G18" s="103"/>
      <c r="H18" s="109"/>
      <c r="I18" s="110"/>
      <c r="J18" s="119"/>
      <c r="K18" s="119"/>
      <c r="L18" s="119"/>
      <c r="M18" s="119"/>
      <c r="AB18" s="42">
        <v>20201027</v>
      </c>
      <c r="AC18" s="43">
        <v>20210127</v>
      </c>
      <c r="AD18" s="43">
        <v>20210127</v>
      </c>
      <c r="AE18" s="45">
        <v>0</v>
      </c>
      <c r="AF18" s="49">
        <v>0</v>
      </c>
      <c r="AG18" s="43">
        <v>20201027</v>
      </c>
      <c r="AH18" s="43">
        <v>20210127</v>
      </c>
      <c r="AI18" s="43">
        <v>20210127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20210127</v>
      </c>
      <c r="AC19" s="43">
        <v>20210427</v>
      </c>
      <c r="AD19" s="43">
        <v>20210427</v>
      </c>
      <c r="AE19" s="45">
        <v>0</v>
      </c>
      <c r="AF19" s="49">
        <v>0</v>
      </c>
      <c r="AG19" s="43">
        <v>20210127</v>
      </c>
      <c r="AH19" s="43">
        <v>20210427</v>
      </c>
      <c r="AI19" s="43">
        <v>20210427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20210427</v>
      </c>
      <c r="AC20" s="43">
        <v>20210727</v>
      </c>
      <c r="AD20" s="43">
        <v>20210727</v>
      </c>
      <c r="AE20" s="45">
        <v>0</v>
      </c>
      <c r="AF20" s="49">
        <v>0</v>
      </c>
      <c r="AG20" s="43">
        <v>20210427</v>
      </c>
      <c r="AH20" s="43">
        <v>20210727</v>
      </c>
      <c r="AI20" s="43">
        <v>20210727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44" t="s">
        <v>46</v>
      </c>
      <c r="C21" s="144"/>
      <c r="D21" s="84" t="s">
        <v>42</v>
      </c>
      <c r="E21" s="84"/>
      <c r="F21" s="111">
        <v>0</v>
      </c>
      <c r="G21" s="112"/>
      <c r="H21" s="109" t="s">
        <v>82</v>
      </c>
      <c r="I21" s="110"/>
      <c r="J21" s="119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19"/>
      <c r="L21" s="119"/>
      <c r="M21" s="119"/>
      <c r="AB21" s="42">
        <v>20210727</v>
      </c>
      <c r="AC21" s="43">
        <v>20211027</v>
      </c>
      <c r="AD21" s="43">
        <v>20211027</v>
      </c>
      <c r="AE21" s="45">
        <v>0</v>
      </c>
      <c r="AF21" s="49">
        <v>0</v>
      </c>
      <c r="AG21" s="43">
        <v>20210727</v>
      </c>
      <c r="AH21" s="43">
        <v>20211027</v>
      </c>
      <c r="AI21" s="43">
        <v>20211027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44"/>
      <c r="C22" s="144"/>
      <c r="D22" s="84" t="s">
        <v>44</v>
      </c>
      <c r="E22" s="84"/>
      <c r="F22" s="111">
        <v>0</v>
      </c>
      <c r="G22" s="112"/>
      <c r="H22" s="109"/>
      <c r="I22" s="110"/>
      <c r="J22" s="119"/>
      <c r="K22" s="119"/>
      <c r="L22" s="119"/>
      <c r="M22" s="119"/>
      <c r="AB22" s="42">
        <v>20211027</v>
      </c>
      <c r="AC22" s="43">
        <v>20220127</v>
      </c>
      <c r="AD22" s="43">
        <v>20220127</v>
      </c>
      <c r="AE22" s="45">
        <v>0</v>
      </c>
      <c r="AF22" s="49">
        <v>0</v>
      </c>
      <c r="AG22" s="43">
        <v>20211027</v>
      </c>
      <c r="AH22" s="43">
        <v>20220127</v>
      </c>
      <c r="AI22" s="43">
        <v>20220127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44"/>
      <c r="C23" s="144"/>
      <c r="D23" s="84" t="s">
        <v>45</v>
      </c>
      <c r="E23" s="84"/>
      <c r="F23" s="102">
        <v>1</v>
      </c>
      <c r="G23" s="103"/>
      <c r="AB23" s="42">
        <v>20220127</v>
      </c>
      <c r="AC23" s="43">
        <v>20220427</v>
      </c>
      <c r="AD23" s="43">
        <v>20220427</v>
      </c>
      <c r="AE23" s="45">
        <v>0</v>
      </c>
      <c r="AF23" s="49">
        <v>0</v>
      </c>
      <c r="AG23" s="43">
        <v>20220127</v>
      </c>
      <c r="AH23" s="43">
        <v>20220427</v>
      </c>
      <c r="AI23" s="43">
        <v>20220427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20220427</v>
      </c>
      <c r="AC24" s="43">
        <v>20220727</v>
      </c>
      <c r="AD24" s="43">
        <v>20220727</v>
      </c>
      <c r="AE24" s="45">
        <v>0</v>
      </c>
      <c r="AF24" s="49">
        <v>0</v>
      </c>
      <c r="AG24" s="43">
        <v>20220427</v>
      </c>
      <c r="AH24" s="43">
        <v>20220727</v>
      </c>
      <c r="AI24" s="43">
        <v>20220727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5" t="s">
        <v>47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7"/>
      <c r="AB25" s="42">
        <v>20220727</v>
      </c>
      <c r="AC25" s="43">
        <v>20221027</v>
      </c>
      <c r="AD25" s="43">
        <v>20221027</v>
      </c>
      <c r="AE25" s="45">
        <v>3.6999999999999998E-2</v>
      </c>
      <c r="AF25" s="49">
        <v>373041095.89041096</v>
      </c>
      <c r="AG25" s="43">
        <v>20220727</v>
      </c>
      <c r="AH25" s="43">
        <v>20221027</v>
      </c>
      <c r="AI25" s="43">
        <v>20221027</v>
      </c>
      <c r="AJ25" s="45">
        <v>0.03</v>
      </c>
      <c r="AK25" s="49">
        <v>203660273.97260275</v>
      </c>
    </row>
    <row r="26" spans="1:37" x14ac:dyDescent="0.4">
      <c r="A26" s="21">
        <f t="shared" si="1"/>
        <v>26</v>
      </c>
      <c r="B26" s="88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90"/>
      <c r="AB26" s="42">
        <v>20221027</v>
      </c>
      <c r="AC26" s="43">
        <v>20230127</v>
      </c>
      <c r="AD26" s="43">
        <v>20230127</v>
      </c>
      <c r="AE26" s="45">
        <v>3.9447205616696554E-2</v>
      </c>
      <c r="AF26" s="49">
        <v>397714292.24505025</v>
      </c>
      <c r="AG26" s="43">
        <v>20221027</v>
      </c>
      <c r="AH26" s="43">
        <v>20230127</v>
      </c>
      <c r="AI26" s="43">
        <v>20230127</v>
      </c>
      <c r="AJ26" s="45">
        <v>3.9683299950043466E-2</v>
      </c>
      <c r="AK26" s="49">
        <v>203660273.97260275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5"/>
      <c r="F27" s="72" t="s">
        <v>34</v>
      </c>
      <c r="G27" s="72"/>
      <c r="H27" s="74">
        <v>1</v>
      </c>
      <c r="I27" s="75"/>
      <c r="J27" s="72" t="s">
        <v>85</v>
      </c>
      <c r="K27" s="72"/>
      <c r="L27" s="102">
        <v>0</v>
      </c>
      <c r="M27" s="103"/>
      <c r="AB27" s="42">
        <v>20230127</v>
      </c>
      <c r="AC27" s="43">
        <v>20230427</v>
      </c>
      <c r="AD27" s="43">
        <v>20230427</v>
      </c>
      <c r="AE27" s="45">
        <v>3.9926880573834103E-2</v>
      </c>
      <c r="AF27" s="49">
        <v>393799370.04329526</v>
      </c>
      <c r="AG27" s="43">
        <v>20230127</v>
      </c>
      <c r="AH27" s="43">
        <v>20230427</v>
      </c>
      <c r="AI27" s="43">
        <v>20230427</v>
      </c>
      <c r="AJ27" s="45">
        <v>3.9765700052992521E-2</v>
      </c>
      <c r="AK27" s="49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20230427</v>
      </c>
      <c r="AC28" s="43">
        <v>20230727</v>
      </c>
      <c r="AD28" s="43">
        <v>20230727</v>
      </c>
      <c r="AE28" s="45">
        <v>3.9929851477993356E-2</v>
      </c>
      <c r="AF28" s="49">
        <v>398204546.24628991</v>
      </c>
      <c r="AG28" s="43">
        <v>20230427</v>
      </c>
      <c r="AH28" s="43">
        <v>20230727</v>
      </c>
      <c r="AI28" s="43">
        <v>20230727</v>
      </c>
      <c r="AJ28" s="45">
        <v>3.9852991236558478E-2</v>
      </c>
      <c r="AK28" s="49">
        <v>201446575.34246573</v>
      </c>
    </row>
    <row r="29" spans="1:37" x14ac:dyDescent="0.4">
      <c r="A29" s="21">
        <f t="shared" si="1"/>
        <v>29</v>
      </c>
      <c r="B29" s="76" t="str">
        <f>"기초금리정보"</f>
        <v>기초금리정보</v>
      </c>
      <c r="C29" s="77"/>
      <c r="D29" s="82" t="s">
        <v>35</v>
      </c>
      <c r="E29" s="82"/>
      <c r="F29" s="102">
        <v>0</v>
      </c>
      <c r="G29" s="103"/>
      <c r="H29" s="24"/>
      <c r="I29" s="23"/>
      <c r="J29" s="91" t="str">
        <f>IF(OR(F30 = 0, F30 = 2, F30 = 4), "RefType = "&amp;F30&amp;" 이므로 Ref Swap 금리정보 사용안함", "사용")</f>
        <v>사용</v>
      </c>
      <c r="K29" s="92"/>
      <c r="L29" s="92"/>
      <c r="M29" s="93"/>
      <c r="O29" s="84" t="s">
        <v>58</v>
      </c>
      <c r="P29" s="84"/>
      <c r="Q29" s="84"/>
      <c r="R29" s="84"/>
      <c r="AB29" s="42">
        <v>20230727</v>
      </c>
      <c r="AC29" s="43">
        <v>20231027</v>
      </c>
      <c r="AD29" s="43">
        <v>20231027</v>
      </c>
      <c r="AE29" s="45">
        <v>3.9832883449217066E-2</v>
      </c>
      <c r="AF29" s="49">
        <v>401602770.11813372</v>
      </c>
      <c r="AG29" s="43">
        <v>20230727</v>
      </c>
      <c r="AH29" s="43">
        <v>20231027</v>
      </c>
      <c r="AI29" s="43">
        <v>20231027</v>
      </c>
      <c r="AJ29" s="45">
        <v>3.9977836250112697E-2</v>
      </c>
      <c r="AK29" s="49">
        <v>203660273.97260275</v>
      </c>
    </row>
    <row r="30" spans="1:37" x14ac:dyDescent="0.4">
      <c r="A30" s="21">
        <f t="shared" si="1"/>
        <v>30</v>
      </c>
      <c r="B30" s="78"/>
      <c r="C30" s="79"/>
      <c r="D30" s="82" t="s">
        <v>36</v>
      </c>
      <c r="E30" s="83"/>
      <c r="F30" s="104">
        <v>1</v>
      </c>
      <c r="G30" s="105"/>
      <c r="H30" s="91" t="str">
        <f xml:space="preserve"> "Swap 레퍼런스금리정보"</f>
        <v>Swap 레퍼런스금리정보</v>
      </c>
      <c r="I30" s="92"/>
      <c r="J30" s="95" t="str">
        <f>IF(OR(F30 = 0, F30 = 2, F30 = 4), "", "연 지급횟수")</f>
        <v>연 지급횟수</v>
      </c>
      <c r="K30" s="96"/>
      <c r="L30" s="97">
        <v>4</v>
      </c>
      <c r="M30" s="98"/>
      <c r="O30" s="84" t="s">
        <v>87</v>
      </c>
      <c r="P30" s="84"/>
      <c r="Q30" s="120">
        <v>4</v>
      </c>
      <c r="R30" s="103"/>
      <c r="AB30" s="42">
        <v>20231027</v>
      </c>
      <c r="AC30" s="43">
        <v>20240129</v>
      </c>
      <c r="AD30" s="43">
        <v>20240129</v>
      </c>
      <c r="AE30" s="45">
        <v>3.9588536408341896E-2</v>
      </c>
      <c r="AF30" s="49">
        <v>407816155.87771374</v>
      </c>
      <c r="AG30" s="43">
        <v>20231027</v>
      </c>
      <c r="AH30" s="43">
        <v>20240129</v>
      </c>
      <c r="AI30" s="43">
        <v>20240129</v>
      </c>
      <c r="AJ30" s="45">
        <v>4.0106739877759374E-2</v>
      </c>
      <c r="AK30" s="49">
        <v>208087671.23287672</v>
      </c>
    </row>
    <row r="31" spans="1:37" x14ac:dyDescent="0.4">
      <c r="A31" s="21">
        <f t="shared" si="1"/>
        <v>31</v>
      </c>
      <c r="B31" s="78"/>
      <c r="C31" s="79"/>
      <c r="D31" s="84" t="s">
        <v>37</v>
      </c>
      <c r="E31" s="84"/>
      <c r="F31" s="102">
        <v>0</v>
      </c>
      <c r="G31" s="103"/>
      <c r="H31" s="94"/>
      <c r="I31" s="95"/>
      <c r="J31" s="95" t="str">
        <f>IF(F31=0, "만기", "입력X, 아래만기2개입력")</f>
        <v>만기</v>
      </c>
      <c r="K31" s="96"/>
      <c r="L31" s="117">
        <v>10</v>
      </c>
      <c r="M31" s="118"/>
      <c r="O31" s="84" t="s">
        <v>53</v>
      </c>
      <c r="P31" s="84"/>
      <c r="Q31" s="120">
        <v>0</v>
      </c>
      <c r="R31" s="103"/>
      <c r="AB31" s="42">
        <v>20240129</v>
      </c>
      <c r="AC31" s="43">
        <v>20240429</v>
      </c>
      <c r="AD31" s="43">
        <v>20240429</v>
      </c>
      <c r="AE31" s="45">
        <v>3.939884214026735E-2</v>
      </c>
      <c r="AF31" s="49">
        <v>392909001.07006347</v>
      </c>
      <c r="AG31" s="43">
        <v>20240129</v>
      </c>
      <c r="AH31" s="43">
        <v>20240429</v>
      </c>
      <c r="AI31" s="43">
        <v>20240429</v>
      </c>
      <c r="AJ31" s="45">
        <v>4.0244020180953882E-2</v>
      </c>
      <c r="AK31" s="49">
        <v>201446575.34246573</v>
      </c>
    </row>
    <row r="32" spans="1:37" x14ac:dyDescent="0.4">
      <c r="A32" s="21">
        <f t="shared" si="1"/>
        <v>32</v>
      </c>
      <c r="B32" s="78"/>
      <c r="C32" s="79"/>
      <c r="D32" s="84" t="s">
        <v>38</v>
      </c>
      <c r="E32" s="84"/>
      <c r="F32" s="111">
        <v>0.8</v>
      </c>
      <c r="G32" s="112"/>
      <c r="H32" s="99" t="str">
        <f>"ex) Deposit 3M -&gt; 연 지급횟수= 4, 만기= 0.25 ||  ex2) CMT 5Y 연 지급횟수=2, 만기 5"</f>
        <v>ex) Deposit 3M -&gt; 연 지급횟수= 4, 만기= 0.25 ||  ex2) CMT 5Y 연 지급횟수=2, 만기 5</v>
      </c>
      <c r="I32" s="99"/>
      <c r="J32" s="99"/>
      <c r="K32" s="99"/>
      <c r="L32" s="99"/>
      <c r="M32" s="100"/>
      <c r="O32" s="121" t="s">
        <v>54</v>
      </c>
      <c r="P32" s="122"/>
      <c r="Q32" s="120">
        <v>4</v>
      </c>
      <c r="R32" s="103"/>
      <c r="AB32" s="42">
        <v>20240429</v>
      </c>
      <c r="AC32" s="43">
        <v>20240729</v>
      </c>
      <c r="AD32" s="43">
        <v>20240729</v>
      </c>
      <c r="AE32" s="45">
        <v>3.9099691570046273E-2</v>
      </c>
      <c r="AF32" s="49">
        <v>389925691.27388608</v>
      </c>
      <c r="AG32" s="43">
        <v>20240429</v>
      </c>
      <c r="AH32" s="43">
        <v>20240729</v>
      </c>
      <c r="AI32" s="43">
        <v>20240729</v>
      </c>
      <c r="AJ32" s="45">
        <v>4.0362830098045997E-2</v>
      </c>
      <c r="AK32" s="49">
        <v>201446575.34246573</v>
      </c>
    </row>
    <row r="33" spans="1:37" x14ac:dyDescent="0.4">
      <c r="A33" s="21">
        <f t="shared" si="1"/>
        <v>33</v>
      </c>
      <c r="B33" s="78"/>
      <c r="C33" s="79"/>
      <c r="D33" s="84" t="s">
        <v>39</v>
      </c>
      <c r="E33" s="82"/>
      <c r="F33" s="113">
        <v>-0.8</v>
      </c>
      <c r="G33" s="114"/>
      <c r="H33" s="101" t="str">
        <f>IF(F31&gt;0,"PowerSpreadFlag 1일때 입력","입력필요X")</f>
        <v>입력필요X</v>
      </c>
      <c r="I33" s="101"/>
      <c r="J33" s="101" t="str">
        <f>IF(F31&gt;0,"만기1","")</f>
        <v/>
      </c>
      <c r="K33" s="101"/>
      <c r="L33" s="107">
        <v>10</v>
      </c>
      <c r="M33" s="108"/>
      <c r="AB33" s="42">
        <v>20240729</v>
      </c>
      <c r="AC33" s="43">
        <v>20241028</v>
      </c>
      <c r="AD33" s="43">
        <v>20241028</v>
      </c>
      <c r="AE33" s="45">
        <v>3.9151785966555892E-2</v>
      </c>
      <c r="AF33" s="49">
        <v>390445207.9952423</v>
      </c>
      <c r="AG33" s="43">
        <v>20240729</v>
      </c>
      <c r="AH33" s="43">
        <v>20241028</v>
      </c>
      <c r="AI33" s="43">
        <v>20241028</v>
      </c>
      <c r="AJ33" s="45">
        <v>4.0477568571412284E-2</v>
      </c>
      <c r="AK33" s="49">
        <v>201446575.34246573</v>
      </c>
    </row>
    <row r="34" spans="1:37" x14ac:dyDescent="0.4">
      <c r="A34" s="21">
        <f t="shared" si="1"/>
        <v>34</v>
      </c>
      <c r="B34" s="80"/>
      <c r="C34" s="81"/>
      <c r="D34" s="106" t="s">
        <v>40</v>
      </c>
      <c r="E34" s="106"/>
      <c r="F34" s="115">
        <v>1</v>
      </c>
      <c r="G34" s="116"/>
      <c r="H34" s="101"/>
      <c r="I34" s="101"/>
      <c r="J34" s="101" t="str">
        <f>IF(F31&gt;0,"만기2","")</f>
        <v/>
      </c>
      <c r="K34" s="101"/>
      <c r="L34" s="107">
        <v>5</v>
      </c>
      <c r="M34" s="108"/>
      <c r="AB34" s="42">
        <v>20241028</v>
      </c>
      <c r="AC34" s="43">
        <v>20250131</v>
      </c>
      <c r="AD34" s="43">
        <v>20250131</v>
      </c>
      <c r="AE34" s="45">
        <v>3.9260652069789251E-2</v>
      </c>
      <c r="AF34" s="49">
        <v>408741035.24712098</v>
      </c>
      <c r="AG34" s="43">
        <v>20241028</v>
      </c>
      <c r="AH34" s="43">
        <v>20250131</v>
      </c>
      <c r="AI34" s="43">
        <v>20250131</v>
      </c>
      <c r="AJ34" s="45">
        <v>4.0573817001713773E-2</v>
      </c>
      <c r="AK34" s="49">
        <v>210301369.86301368</v>
      </c>
    </row>
    <row r="35" spans="1:37" x14ac:dyDescent="0.4">
      <c r="A35" s="21">
        <f t="shared" si="1"/>
        <v>35</v>
      </c>
      <c r="B35" s="20"/>
      <c r="C35" s="20"/>
      <c r="AB35" s="42">
        <v>20250131</v>
      </c>
      <c r="AC35" s="43">
        <v>20250428</v>
      </c>
      <c r="AD35" s="43">
        <v>20250428</v>
      </c>
      <c r="AE35" s="45">
        <v>3.9237554617594678E-2</v>
      </c>
      <c r="AF35" s="49">
        <v>374100520.73761505</v>
      </c>
      <c r="AG35" s="43">
        <v>20250131</v>
      </c>
      <c r="AH35" s="43">
        <v>20250428</v>
      </c>
      <c r="AI35" s="43">
        <v>20250428</v>
      </c>
      <c r="AJ35" s="45">
        <v>4.0654370063353019E-2</v>
      </c>
      <c r="AK35" s="49">
        <v>192591780.8219178</v>
      </c>
    </row>
    <row r="36" spans="1:37" x14ac:dyDescent="0.4">
      <c r="A36" s="21">
        <f t="shared" si="1"/>
        <v>36</v>
      </c>
      <c r="B36" s="144" t="s">
        <v>41</v>
      </c>
      <c r="C36" s="144"/>
      <c r="D36" s="84" t="s">
        <v>42</v>
      </c>
      <c r="E36" s="84"/>
      <c r="F36" s="111">
        <v>2.0199999999999999E-2</v>
      </c>
      <c r="G36" s="112"/>
      <c r="H36" s="109" t="s">
        <v>84</v>
      </c>
      <c r="I36" s="110"/>
      <c r="J36" s="119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9"/>
      <c r="L36" s="119"/>
      <c r="M36" s="119"/>
      <c r="AB36" s="42">
        <v>20250428</v>
      </c>
      <c r="AC36" s="43">
        <v>20250728</v>
      </c>
      <c r="AD36" s="43">
        <v>20250728</v>
      </c>
      <c r="AE36" s="45">
        <v>3.9241552172977666E-2</v>
      </c>
      <c r="AF36" s="49">
        <v>391340410.71133894</v>
      </c>
      <c r="AG36" s="43">
        <v>20250428</v>
      </c>
      <c r="AH36" s="43">
        <v>20250728</v>
      </c>
      <c r="AI36" s="43">
        <v>20250728</v>
      </c>
      <c r="AJ36" s="45">
        <v>4.0737061904172471E-2</v>
      </c>
      <c r="AK36" s="49">
        <v>201446575.34246573</v>
      </c>
    </row>
    <row r="37" spans="1:37" x14ac:dyDescent="0.4">
      <c r="A37" s="21">
        <f t="shared" si="1"/>
        <v>37</v>
      </c>
      <c r="B37" s="144"/>
      <c r="C37" s="144"/>
      <c r="D37" s="84" t="s">
        <v>44</v>
      </c>
      <c r="E37" s="84"/>
      <c r="F37" s="111">
        <v>0</v>
      </c>
      <c r="G37" s="112"/>
      <c r="H37" s="109" t="s">
        <v>81</v>
      </c>
      <c r="I37" s="110"/>
      <c r="J37" s="119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9"/>
      <c r="L37" s="119"/>
      <c r="M37" s="119"/>
      <c r="AB37" s="42">
        <v>20250728</v>
      </c>
      <c r="AC37" s="43">
        <v>20251027</v>
      </c>
      <c r="AD37" s="43">
        <v>20251027</v>
      </c>
      <c r="AE37" s="45">
        <v>3.9450879181465705E-2</v>
      </c>
      <c r="AF37" s="49">
        <v>393427945.80968535</v>
      </c>
      <c r="AG37" s="43">
        <v>20250728</v>
      </c>
      <c r="AH37" s="43">
        <v>20251027</v>
      </c>
      <c r="AI37" s="43">
        <v>20251027</v>
      </c>
      <c r="AJ37" s="45">
        <v>4.0832528331220641E-2</v>
      </c>
      <c r="AK37" s="49">
        <v>608653159.24833739</v>
      </c>
    </row>
    <row r="38" spans="1:37" x14ac:dyDescent="0.4">
      <c r="A38" s="21">
        <f t="shared" si="1"/>
        <v>38</v>
      </c>
      <c r="B38" s="144"/>
      <c r="C38" s="144"/>
      <c r="D38" s="84" t="s">
        <v>45</v>
      </c>
      <c r="E38" s="84"/>
      <c r="F38" s="102">
        <v>0</v>
      </c>
      <c r="G38" s="103"/>
      <c r="H38" s="109"/>
      <c r="I38" s="110"/>
      <c r="J38" s="119"/>
      <c r="K38" s="119"/>
      <c r="L38" s="119"/>
      <c r="M38" s="119"/>
      <c r="AB38" s="42">
        <v>20251027</v>
      </c>
      <c r="AC38" s="43">
        <v>20260127</v>
      </c>
      <c r="AD38" s="43">
        <v>20260127</v>
      </c>
      <c r="AE38" s="45">
        <v>3.9767564960880769E-2</v>
      </c>
      <c r="AF38" s="49">
        <v>400944216.59189379</v>
      </c>
      <c r="AG38" s="43">
        <v>20251027</v>
      </c>
      <c r="AH38" s="43">
        <v>20260127</v>
      </c>
      <c r="AI38" s="43">
        <v>20260127</v>
      </c>
      <c r="AJ38" s="45">
        <v>4.0924589044131821E-2</v>
      </c>
      <c r="AK38" s="49">
        <v>616269829.26686335</v>
      </c>
    </row>
    <row r="39" spans="1:37" x14ac:dyDescent="0.4">
      <c r="A39" s="21">
        <f t="shared" si="1"/>
        <v>39</v>
      </c>
      <c r="B39" s="20"/>
      <c r="C39" s="20"/>
      <c r="AB39" s="42">
        <v>20260127</v>
      </c>
      <c r="AC39" s="43">
        <v>20260427</v>
      </c>
      <c r="AD39" s="43">
        <v>20260427</v>
      </c>
      <c r="AE39" s="45">
        <v>3.9830406062338952E-2</v>
      </c>
      <c r="AF39" s="49">
        <v>392847840.61484993</v>
      </c>
      <c r="AG39" s="43">
        <v>20260127</v>
      </c>
      <c r="AH39" s="43">
        <v>20260427</v>
      </c>
      <c r="AI39" s="43">
        <v>20260427</v>
      </c>
      <c r="AJ39" s="45">
        <v>4.1013057235389713E-2</v>
      </c>
      <c r="AK39" s="49">
        <v>603745222.04767931</v>
      </c>
    </row>
    <row r="40" spans="1:37" x14ac:dyDescent="0.4">
      <c r="A40" s="21">
        <f t="shared" si="1"/>
        <v>40</v>
      </c>
      <c r="B40" s="20"/>
      <c r="C40" s="20"/>
      <c r="AB40" s="42">
        <v>20260427</v>
      </c>
      <c r="AC40" s="43">
        <v>20260727</v>
      </c>
      <c r="AD40" s="43">
        <v>20260727</v>
      </c>
      <c r="AE40" s="45">
        <v>3.9936838654589336E-2</v>
      </c>
      <c r="AF40" s="49">
        <v>398274226.58275396</v>
      </c>
      <c r="AG40" s="43">
        <v>20260427</v>
      </c>
      <c r="AH40" s="43">
        <v>20260727</v>
      </c>
      <c r="AI40" s="43">
        <v>20260727</v>
      </c>
      <c r="AJ40" s="45">
        <v>4.1111662290730308E-2</v>
      </c>
      <c r="AK40" s="49">
        <v>611436851.33769405</v>
      </c>
    </row>
    <row r="41" spans="1:37" x14ac:dyDescent="0.4">
      <c r="A41" s="21">
        <f t="shared" si="1"/>
        <v>41</v>
      </c>
      <c r="B41" s="144" t="s">
        <v>46</v>
      </c>
      <c r="C41" s="144"/>
      <c r="D41" s="84" t="s">
        <v>42</v>
      </c>
      <c r="E41" s="84"/>
      <c r="F41" s="111">
        <v>2.0199999999999999E-2</v>
      </c>
      <c r="G41" s="112"/>
      <c r="H41" s="109" t="s">
        <v>82</v>
      </c>
      <c r="I41" s="110"/>
      <c r="J41" s="119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19"/>
      <c r="L41" s="119"/>
      <c r="M41" s="119"/>
      <c r="AB41" s="42">
        <v>20260727</v>
      </c>
      <c r="AC41" s="43">
        <v>20261027</v>
      </c>
      <c r="AD41" s="43">
        <v>20261027</v>
      </c>
      <c r="AE41" s="45">
        <v>3.9939186849641574E-2</v>
      </c>
      <c r="AF41" s="49">
        <v>402674541.38816714</v>
      </c>
      <c r="AG41" s="43">
        <v>20260727</v>
      </c>
      <c r="AH41" s="43">
        <v>20261027</v>
      </c>
      <c r="AI41" s="43">
        <v>20261027</v>
      </c>
      <c r="AJ41" s="45">
        <v>4.1214457900958894E-2</v>
      </c>
      <c r="AK41" s="49">
        <v>619192342.67268157</v>
      </c>
    </row>
    <row r="42" spans="1:37" x14ac:dyDescent="0.4">
      <c r="A42" s="21">
        <f t="shared" si="1"/>
        <v>42</v>
      </c>
      <c r="B42" s="144"/>
      <c r="C42" s="144"/>
      <c r="D42" s="84" t="s">
        <v>44</v>
      </c>
      <c r="E42" s="84"/>
      <c r="F42" s="111">
        <v>0</v>
      </c>
      <c r="G42" s="112"/>
      <c r="H42" s="109"/>
      <c r="I42" s="110"/>
      <c r="J42" s="119"/>
      <c r="K42" s="119"/>
      <c r="L42" s="119"/>
      <c r="M42" s="119"/>
      <c r="AB42" s="42">
        <v>20261027</v>
      </c>
      <c r="AC42" s="43">
        <v>20270127</v>
      </c>
      <c r="AD42" s="43">
        <v>20270127</v>
      </c>
      <c r="AE42" s="45">
        <v>3.9900874120476625E-2</v>
      </c>
      <c r="AF42" s="49">
        <v>402288265.10507941</v>
      </c>
      <c r="AG42" s="43">
        <v>20261027</v>
      </c>
      <c r="AH42" s="43">
        <v>20270127</v>
      </c>
      <c r="AI42" s="43">
        <v>20270127</v>
      </c>
      <c r="AJ42" s="45">
        <v>4.1322062690435195E-2</v>
      </c>
      <c r="AK42" s="49">
        <v>620277234.79671657</v>
      </c>
    </row>
    <row r="43" spans="1:37" x14ac:dyDescent="0.4">
      <c r="A43" s="21">
        <f t="shared" si="1"/>
        <v>43</v>
      </c>
      <c r="B43" s="144"/>
      <c r="C43" s="144"/>
      <c r="D43" s="84" t="s">
        <v>45</v>
      </c>
      <c r="E43" s="84"/>
      <c r="F43" s="102">
        <v>1</v>
      </c>
      <c r="G43" s="103"/>
      <c r="AB43" s="42">
        <v>20270127</v>
      </c>
      <c r="AC43" s="43">
        <v>20270427</v>
      </c>
      <c r="AD43" s="43">
        <v>20270427</v>
      </c>
      <c r="AE43" s="45">
        <v>3.9990181961536135E-2</v>
      </c>
      <c r="AF43" s="49">
        <v>394423712.49734265</v>
      </c>
      <c r="AG43" s="43">
        <v>20270127</v>
      </c>
      <c r="AH43" s="43">
        <v>20270427</v>
      </c>
      <c r="AI43" s="43">
        <v>20270427</v>
      </c>
      <c r="AJ43" s="45">
        <v>4.1433300624976056E-2</v>
      </c>
      <c r="AK43" s="49">
        <v>607890088.35592818</v>
      </c>
    </row>
    <row r="44" spans="1:37" x14ac:dyDescent="0.4">
      <c r="A44" s="21">
        <f t="shared" si="1"/>
        <v>44</v>
      </c>
      <c r="B44" s="20"/>
      <c r="C44" s="20"/>
      <c r="AB44" s="42">
        <v>20270427</v>
      </c>
      <c r="AC44" s="43">
        <v>20270727</v>
      </c>
      <c r="AD44" s="43">
        <v>20270727</v>
      </c>
      <c r="AE44" s="45">
        <v>4.0067014291445005E-2</v>
      </c>
      <c r="AF44" s="49">
        <v>399572416.49550635</v>
      </c>
      <c r="AG44" s="43">
        <v>20270427</v>
      </c>
      <c r="AH44" s="43">
        <v>20270727</v>
      </c>
      <c r="AI44" s="43">
        <v>20270727</v>
      </c>
      <c r="AJ44" s="45">
        <v>4.1544267558078954E-2</v>
      </c>
      <c r="AK44" s="49">
        <v>615751051.81207502</v>
      </c>
    </row>
    <row r="45" spans="1:37" ht="17.399999999999999" customHeight="1" x14ac:dyDescent="0.4">
      <c r="A45" s="21">
        <f t="shared" si="1"/>
        <v>45</v>
      </c>
      <c r="B45" s="138" t="s">
        <v>60</v>
      </c>
      <c r="C45" s="139"/>
      <c r="D45" s="139"/>
      <c r="E45" s="139"/>
      <c r="F45" s="139"/>
      <c r="G45" s="140"/>
      <c r="AB45" s="42">
        <v>20270727</v>
      </c>
      <c r="AC45" s="43">
        <v>20271027</v>
      </c>
      <c r="AD45" s="43">
        <v>20271027</v>
      </c>
      <c r="AE45" s="45">
        <v>4.0293455585048668E-2</v>
      </c>
      <c r="AF45" s="49">
        <v>406246346.72049069</v>
      </c>
      <c r="AG45" s="43">
        <v>20270727</v>
      </c>
      <c r="AH45" s="43">
        <v>20271027</v>
      </c>
      <c r="AI45" s="43">
        <v>20271027</v>
      </c>
      <c r="AJ45" s="45">
        <v>4.1661090668933538E-2</v>
      </c>
      <c r="AK45" s="49">
        <v>623695379.89500129</v>
      </c>
    </row>
    <row r="46" spans="1:37" ht="17.399999999999999" customHeight="1" x14ac:dyDescent="0.4">
      <c r="A46" s="21">
        <f t="shared" si="1"/>
        <v>46</v>
      </c>
      <c r="B46" s="141"/>
      <c r="C46" s="142"/>
      <c r="D46" s="142"/>
      <c r="E46" s="142"/>
      <c r="F46" s="142"/>
      <c r="G46" s="143"/>
      <c r="AB46" s="42">
        <v>20271027</v>
      </c>
      <c r="AC46" s="43">
        <v>20280131</v>
      </c>
      <c r="AD46" s="43">
        <v>20280131</v>
      </c>
      <c r="AE46" s="45">
        <v>4.058003429615243E-2</v>
      </c>
      <c r="AF46" s="49">
        <v>426924196.4307543</v>
      </c>
      <c r="AG46" s="43">
        <v>20271027</v>
      </c>
      <c r="AH46" s="43">
        <v>20280131</v>
      </c>
      <c r="AI46" s="43">
        <v>20280131</v>
      </c>
      <c r="AJ46" s="45">
        <v>4.1737253943341143E-2</v>
      </c>
      <c r="AK46" s="49">
        <v>651613849.70528758</v>
      </c>
    </row>
    <row r="47" spans="1:37" x14ac:dyDescent="0.4">
      <c r="A47" s="21">
        <f t="shared" si="1"/>
        <v>47</v>
      </c>
      <c r="B47" s="38" t="s">
        <v>61</v>
      </c>
      <c r="C47" s="39" t="s">
        <v>62</v>
      </c>
      <c r="D47" s="39" t="s">
        <v>63</v>
      </c>
      <c r="E47" s="39" t="s">
        <v>64</v>
      </c>
      <c r="AB47" s="42">
        <v>20280131</v>
      </c>
      <c r="AC47" s="43">
        <v>20280427</v>
      </c>
      <c r="AD47" s="43">
        <v>20280427</v>
      </c>
      <c r="AE47" s="45">
        <v>4.066864607179696E-2</v>
      </c>
      <c r="AF47" s="49">
        <v>387744899.53384501</v>
      </c>
      <c r="AG47" s="43">
        <v>20280131</v>
      </c>
      <c r="AH47" s="43">
        <v>20280427</v>
      </c>
      <c r="AI47" s="43">
        <v>20280427</v>
      </c>
      <c r="AJ47" s="45">
        <v>4.1759246884953159E-2</v>
      </c>
      <c r="AK47" s="49">
        <v>590734737.42366302</v>
      </c>
    </row>
    <row r="48" spans="1:37" x14ac:dyDescent="0.4">
      <c r="A48" s="21">
        <f t="shared" si="1"/>
        <v>48</v>
      </c>
      <c r="B48" s="27">
        <v>45835</v>
      </c>
      <c r="C48" s="27">
        <f>EDATE(B48,1)</f>
        <v>45865</v>
      </c>
      <c r="D48" s="32">
        <v>0</v>
      </c>
      <c r="E48" s="32">
        <f>COUNT(B48:B1048576)</f>
        <v>10</v>
      </c>
      <c r="AB48" s="42">
        <v>20280427</v>
      </c>
      <c r="AC48" s="43">
        <v>20280727</v>
      </c>
      <c r="AD48" s="43">
        <v>20280727</v>
      </c>
      <c r="AE48" s="45">
        <v>4.0854886716351964E-2</v>
      </c>
      <c r="AF48" s="49">
        <v>407429555.19868803</v>
      </c>
      <c r="AG48" s="43">
        <v>20280427</v>
      </c>
      <c r="AH48" s="43">
        <v>20280727</v>
      </c>
      <c r="AI48" s="43">
        <v>20280727</v>
      </c>
      <c r="AJ48" s="45">
        <v>4.177301891049498E-2</v>
      </c>
      <c r="AK48" s="49">
        <v>618032298.17589509</v>
      </c>
    </row>
    <row r="49" spans="1:37" x14ac:dyDescent="0.4">
      <c r="A49" s="21">
        <f t="shared" si="1"/>
        <v>49</v>
      </c>
      <c r="B49" s="27">
        <f>EDATE(B48,12)</f>
        <v>46200</v>
      </c>
      <c r="C49" s="27">
        <f>EDATE(B49,1)</f>
        <v>46230</v>
      </c>
      <c r="AB49" s="42">
        <v>20280727</v>
      </c>
      <c r="AC49" s="43">
        <v>20281027</v>
      </c>
      <c r="AD49" s="43">
        <v>20281027</v>
      </c>
      <c r="AE49" s="45">
        <v>4.1028709656812046E-2</v>
      </c>
      <c r="AF49" s="49">
        <v>413659319.2796393</v>
      </c>
      <c r="AG49" s="43">
        <v>20280727</v>
      </c>
      <c r="AH49" s="43">
        <v>20281027</v>
      </c>
      <c r="AI49" s="43">
        <v>20281027</v>
      </c>
      <c r="AJ49" s="45">
        <v>4.1782458819076468E-2</v>
      </c>
      <c r="AK49" s="49">
        <v>624919036.86082578</v>
      </c>
    </row>
    <row r="50" spans="1:37" x14ac:dyDescent="0.4">
      <c r="A50" s="21">
        <f t="shared" si="1"/>
        <v>50</v>
      </c>
      <c r="B50" s="27">
        <f t="shared" ref="B50:B57" si="2">EDATE(B49,12)</f>
        <v>46565</v>
      </c>
      <c r="C50" s="27">
        <f t="shared" ref="C50:C57" si="3">EDATE(B50,1)</f>
        <v>46595</v>
      </c>
      <c r="AB50" s="42">
        <v>20281027</v>
      </c>
      <c r="AC50" s="43">
        <v>20290129</v>
      </c>
      <c r="AD50" s="43">
        <v>20290129</v>
      </c>
      <c r="AE50" s="45">
        <v>4.1182465205608837E-2</v>
      </c>
      <c r="AF50" s="49">
        <v>424235805.95366913</v>
      </c>
      <c r="AG50" s="43">
        <v>20281027</v>
      </c>
      <c r="AH50" s="43">
        <v>20290129</v>
      </c>
      <c r="AI50" s="43">
        <v>20290129</v>
      </c>
      <c r="AJ50" s="45">
        <v>4.1786121680147087E-2</v>
      </c>
      <c r="AK50" s="49">
        <v>638541965.80096722</v>
      </c>
    </row>
    <row r="51" spans="1:37" x14ac:dyDescent="0.4">
      <c r="A51" s="21">
        <f t="shared" si="1"/>
        <v>51</v>
      </c>
      <c r="B51" s="27">
        <f t="shared" si="2"/>
        <v>46931</v>
      </c>
      <c r="C51" s="27">
        <f t="shared" si="3"/>
        <v>46961</v>
      </c>
      <c r="AB51" s="42">
        <v>20290129</v>
      </c>
      <c r="AC51" s="43">
        <v>20290427</v>
      </c>
      <c r="AD51" s="43">
        <v>20290427</v>
      </c>
      <c r="AE51" s="45">
        <v>4.1329478863800097E-2</v>
      </c>
      <c r="AF51" s="49">
        <v>398574700.27555168</v>
      </c>
      <c r="AG51" s="43">
        <v>20290129</v>
      </c>
      <c r="AH51" s="43">
        <v>20290427</v>
      </c>
      <c r="AI51" s="43">
        <v>20290427</v>
      </c>
      <c r="AJ51" s="45">
        <v>4.1782469116991239E-2</v>
      </c>
      <c r="AK51" s="49">
        <v>597748743.26523054</v>
      </c>
    </row>
    <row r="52" spans="1:37" x14ac:dyDescent="0.4">
      <c r="A52" s="21">
        <f t="shared" si="1"/>
        <v>52</v>
      </c>
      <c r="B52" s="27">
        <f t="shared" si="2"/>
        <v>47296</v>
      </c>
      <c r="C52" s="27">
        <f t="shared" si="3"/>
        <v>47326</v>
      </c>
      <c r="AB52" s="42">
        <v>20290427</v>
      </c>
      <c r="AC52" s="43">
        <v>20290727</v>
      </c>
      <c r="AD52" s="43">
        <v>20290727</v>
      </c>
      <c r="AE52" s="45">
        <v>4.1251405867372963E-2</v>
      </c>
      <c r="AF52" s="49">
        <v>411383883.17051399</v>
      </c>
      <c r="AG52" s="43">
        <v>20290427</v>
      </c>
      <c r="AH52" s="43">
        <v>20290727</v>
      </c>
      <c r="AI52" s="43">
        <v>20290727</v>
      </c>
      <c r="AJ52" s="45">
        <v>4.177794784549612E-2</v>
      </c>
      <c r="AK52" s="49">
        <v>618081452.48659146</v>
      </c>
    </row>
    <row r="53" spans="1:37" x14ac:dyDescent="0.4">
      <c r="A53" s="21">
        <f t="shared" si="1"/>
        <v>53</v>
      </c>
      <c r="B53" s="27">
        <f t="shared" si="2"/>
        <v>47661</v>
      </c>
      <c r="C53" s="27">
        <f t="shared" si="3"/>
        <v>47691</v>
      </c>
      <c r="AB53" s="42">
        <v>20290727</v>
      </c>
      <c r="AC53" s="43">
        <v>20291029</v>
      </c>
      <c r="AD53" s="43">
        <v>20291029</v>
      </c>
      <c r="AE53" s="45">
        <v>4.1433481622836006E-2</v>
      </c>
      <c r="AF53" s="49">
        <v>426821618.90921474</v>
      </c>
      <c r="AG53" s="43">
        <v>20290727</v>
      </c>
      <c r="AH53" s="43">
        <v>20291029</v>
      </c>
      <c r="AI53" s="43">
        <v>20291029</v>
      </c>
      <c r="AJ53" s="45">
        <v>4.1772771268122399E-2</v>
      </c>
      <c r="AK53" s="49">
        <v>638404438.26887727</v>
      </c>
    </row>
    <row r="54" spans="1:37" x14ac:dyDescent="0.4">
      <c r="A54" s="21">
        <f t="shared" si="1"/>
        <v>54</v>
      </c>
      <c r="B54" s="27">
        <f t="shared" si="2"/>
        <v>48026</v>
      </c>
      <c r="C54" s="27">
        <f t="shared" si="3"/>
        <v>48056</v>
      </c>
      <c r="AB54" s="42">
        <v>20291029</v>
      </c>
      <c r="AC54" s="43">
        <v>20300128</v>
      </c>
      <c r="AD54" s="43">
        <v>20300128</v>
      </c>
      <c r="AE54" s="45">
        <v>4.1661620454598314E-2</v>
      </c>
      <c r="AF54" s="49">
        <v>415474790.28695309</v>
      </c>
      <c r="AG54" s="43">
        <v>20291029</v>
      </c>
      <c r="AH54" s="43">
        <v>20300128</v>
      </c>
      <c r="AI54" s="43">
        <v>20300128</v>
      </c>
      <c r="AJ54" s="45">
        <v>4.1759063751469545E-2</v>
      </c>
      <c r="AK54" s="49">
        <v>617893128.91876483</v>
      </c>
    </row>
    <row r="55" spans="1:37" x14ac:dyDescent="0.4">
      <c r="A55" s="21">
        <f t="shared" si="1"/>
        <v>55</v>
      </c>
      <c r="B55" s="27">
        <f t="shared" si="2"/>
        <v>48392</v>
      </c>
      <c r="C55" s="27">
        <f t="shared" si="3"/>
        <v>48422</v>
      </c>
      <c r="AB55" s="42">
        <v>20300128</v>
      </c>
      <c r="AC55" s="43">
        <v>20300429</v>
      </c>
      <c r="AD55" s="43">
        <v>20300429</v>
      </c>
      <c r="AE55" s="45">
        <v>4.1785570227582523E-2</v>
      </c>
      <c r="AF55" s="49">
        <v>416710892.13260382</v>
      </c>
      <c r="AG55" s="43">
        <v>20300128</v>
      </c>
      <c r="AH55" s="43">
        <v>20300429</v>
      </c>
      <c r="AI55" s="43">
        <v>20300429</v>
      </c>
      <c r="AJ55" s="45">
        <v>4.1739886144670092E-2</v>
      </c>
      <c r="AK55" s="49">
        <v>617701878.26465523</v>
      </c>
    </row>
    <row r="56" spans="1:37" x14ac:dyDescent="0.4">
      <c r="A56" s="21">
        <f t="shared" si="1"/>
        <v>56</v>
      </c>
      <c r="B56" s="27">
        <f t="shared" si="2"/>
        <v>48757</v>
      </c>
      <c r="C56" s="27">
        <f t="shared" si="3"/>
        <v>48787</v>
      </c>
      <c r="AB56" s="42">
        <v>20300429</v>
      </c>
      <c r="AC56" s="43">
        <v>20300729</v>
      </c>
      <c r="AD56" s="43">
        <v>20300729</v>
      </c>
      <c r="AE56" s="45">
        <v>4.1897170590767051E-2</v>
      </c>
      <c r="AF56" s="49">
        <v>417823838.22025228</v>
      </c>
      <c r="AG56" s="43">
        <v>20300429</v>
      </c>
      <c r="AH56" s="43">
        <v>20300729</v>
      </c>
      <c r="AI56" s="43">
        <v>20300729</v>
      </c>
      <c r="AJ56" s="45">
        <v>4.1716053713673769E-2</v>
      </c>
      <c r="AK56" s="49">
        <v>617464206.89800692</v>
      </c>
    </row>
    <row r="57" spans="1:37" x14ac:dyDescent="0.4">
      <c r="A57" s="21">
        <f t="shared" si="1"/>
        <v>57</v>
      </c>
      <c r="B57" s="27">
        <f t="shared" si="2"/>
        <v>49122</v>
      </c>
      <c r="C57" s="27">
        <f t="shared" si="3"/>
        <v>49152</v>
      </c>
      <c r="AB57" s="42">
        <v>20300729</v>
      </c>
      <c r="AC57" s="43">
        <v>20301028</v>
      </c>
      <c r="AD57" s="43">
        <v>20301028</v>
      </c>
      <c r="AE57" s="45">
        <v>4.2260657697889552E-2</v>
      </c>
      <c r="AF57" s="49">
        <v>421448750.74059713</v>
      </c>
      <c r="AG57" s="43">
        <v>20300729</v>
      </c>
      <c r="AH57" s="43">
        <v>20301028</v>
      </c>
      <c r="AI57" s="43">
        <v>20301028</v>
      </c>
      <c r="AJ57" s="45">
        <v>4.1687874542130472E-2</v>
      </c>
      <c r="AK57" s="49">
        <v>617183187.21467102</v>
      </c>
    </row>
    <row r="58" spans="1:37" x14ac:dyDescent="0.4">
      <c r="A58" s="21">
        <f t="shared" si="1"/>
        <v>58</v>
      </c>
      <c r="AB58" s="42">
        <v>20301028</v>
      </c>
      <c r="AC58" s="43">
        <v>20310127</v>
      </c>
      <c r="AD58" s="43">
        <v>20310127</v>
      </c>
      <c r="AE58" s="45">
        <v>4.2647868780353114E-2</v>
      </c>
      <c r="AF58" s="49">
        <v>425310253.04242557</v>
      </c>
      <c r="AG58" s="43">
        <v>20301028</v>
      </c>
      <c r="AH58" s="43">
        <v>20310127</v>
      </c>
      <c r="AI58" s="43">
        <v>20310127</v>
      </c>
      <c r="AJ58" s="45">
        <v>4.1647735580357587E-2</v>
      </c>
      <c r="AK58" s="49">
        <v>616782897.29452491</v>
      </c>
    </row>
    <row r="59" spans="1:37" x14ac:dyDescent="0.4">
      <c r="A59" s="21">
        <f t="shared" si="1"/>
        <v>59</v>
      </c>
      <c r="AB59" s="42">
        <v>20310127</v>
      </c>
      <c r="AC59" s="43">
        <v>20310428</v>
      </c>
      <c r="AD59" s="43">
        <v>20310428</v>
      </c>
      <c r="AE59" s="45">
        <v>4.2807605266270345E-2</v>
      </c>
      <c r="AF59" s="49">
        <v>426903241.55951792</v>
      </c>
      <c r="AG59" s="43">
        <v>20310127</v>
      </c>
      <c r="AH59" s="43">
        <v>20310428</v>
      </c>
      <c r="AI59" s="43">
        <v>20310428</v>
      </c>
      <c r="AJ59" s="45">
        <v>4.159457392757486E-2</v>
      </c>
      <c r="AK59" s="49">
        <v>616252737.25033557</v>
      </c>
    </row>
    <row r="60" spans="1:37" x14ac:dyDescent="0.4">
      <c r="A60" s="21">
        <f t="shared" si="1"/>
        <v>60</v>
      </c>
      <c r="AB60" s="42">
        <v>20310428</v>
      </c>
      <c r="AC60" s="43">
        <v>20310728</v>
      </c>
      <c r="AD60" s="43">
        <v>20310728</v>
      </c>
      <c r="AE60" s="45">
        <v>4.293999986645039E-2</v>
      </c>
      <c r="AF60" s="49">
        <v>428223560.31199843</v>
      </c>
      <c r="AG60" s="43">
        <v>20310428</v>
      </c>
      <c r="AH60" s="43">
        <v>20310728</v>
      </c>
      <c r="AI60" s="43">
        <v>20310728</v>
      </c>
      <c r="AJ60" s="45">
        <v>4.1535281588310165E-2</v>
      </c>
      <c r="AK60" s="49">
        <v>615661438.30533981</v>
      </c>
    </row>
    <row r="61" spans="1:37" x14ac:dyDescent="0.4">
      <c r="A61" s="21">
        <f t="shared" si="1"/>
        <v>61</v>
      </c>
      <c r="AB61" s="42">
        <v>20310728</v>
      </c>
      <c r="AC61" s="43">
        <v>20311027</v>
      </c>
      <c r="AD61" s="43">
        <v>20311027</v>
      </c>
      <c r="AE61" s="45">
        <v>4.311972227423131E-2</v>
      </c>
      <c r="AF61" s="49">
        <v>430015860.48822463</v>
      </c>
      <c r="AG61" s="43">
        <v>20310728</v>
      </c>
      <c r="AH61" s="43">
        <v>20311027</v>
      </c>
      <c r="AI61" s="43">
        <v>20311027</v>
      </c>
      <c r="AJ61" s="45">
        <v>4.1470633464058063E-2</v>
      </c>
      <c r="AK61" s="49">
        <v>615016728.24430501</v>
      </c>
    </row>
    <row r="62" spans="1:37" x14ac:dyDescent="0.4">
      <c r="AB62" s="42">
        <v>20311027</v>
      </c>
      <c r="AC62" s="43">
        <v>20320127</v>
      </c>
      <c r="AD62" s="43">
        <v>20320127</v>
      </c>
      <c r="AE62" s="45">
        <v>4.3269720128586257E-2</v>
      </c>
      <c r="AF62" s="49">
        <v>436253616.63889706</v>
      </c>
      <c r="AG62" s="43">
        <v>20311027</v>
      </c>
      <c r="AH62" s="43">
        <v>20320127</v>
      </c>
      <c r="AI62" s="43">
        <v>20320127</v>
      </c>
      <c r="AJ62" s="45">
        <v>4.1399221644941787E-2</v>
      </c>
      <c r="AK62" s="49">
        <v>621055166.1736598</v>
      </c>
    </row>
    <row r="63" spans="1:37" x14ac:dyDescent="0.4">
      <c r="AB63" s="42">
        <v>20320127</v>
      </c>
      <c r="AC63" s="43">
        <v>20320427</v>
      </c>
      <c r="AD63" s="43">
        <v>20320427</v>
      </c>
      <c r="AE63" s="45">
        <v>4.343924739550549E-2</v>
      </c>
      <c r="AF63" s="49">
        <v>433202357.58805478</v>
      </c>
      <c r="AG63" s="43">
        <v>20320127</v>
      </c>
      <c r="AH63" s="43">
        <v>20320427</v>
      </c>
      <c r="AI63" s="43">
        <v>20320427</v>
      </c>
      <c r="AJ63" s="45">
        <v>4.1321955040322239E-2</v>
      </c>
      <c r="AK63" s="49">
        <v>613534017.38841903</v>
      </c>
    </row>
    <row r="64" spans="1:37" x14ac:dyDescent="0.4">
      <c r="AB64" s="42">
        <v>20320427</v>
      </c>
      <c r="AC64" s="43">
        <v>20320727</v>
      </c>
      <c r="AD64" s="43">
        <v>20320727</v>
      </c>
      <c r="AE64" s="45">
        <v>4.3612088833655159E-2</v>
      </c>
      <c r="AF64" s="49">
        <v>434926036.58768433</v>
      </c>
      <c r="AG64" s="43">
        <v>20320427</v>
      </c>
      <c r="AH64" s="43">
        <v>20320727</v>
      </c>
      <c r="AI64" s="43">
        <v>20320727</v>
      </c>
      <c r="AJ64" s="45">
        <v>4.1237837330510625E-2</v>
      </c>
      <c r="AK64" s="49">
        <v>612695144.88509226</v>
      </c>
    </row>
    <row r="65" spans="28:37" x14ac:dyDescent="0.4">
      <c r="AB65" s="42">
        <v>20320727</v>
      </c>
      <c r="AC65" s="43">
        <v>20321027</v>
      </c>
      <c r="AD65" s="43">
        <v>20321027</v>
      </c>
      <c r="AE65" s="45">
        <v>4.3733804627540916E-2</v>
      </c>
      <c r="AF65" s="49">
        <v>440932605.55986458</v>
      </c>
      <c r="AG65" s="43">
        <v>20320727</v>
      </c>
      <c r="AH65" s="43">
        <v>20321027</v>
      </c>
      <c r="AI65" s="43">
        <v>20321027</v>
      </c>
      <c r="AJ65" s="45">
        <v>4.1146918709865858E-2</v>
      </c>
      <c r="AK65" s="49">
        <v>618511399.59536004</v>
      </c>
    </row>
    <row r="66" spans="28:37" x14ac:dyDescent="0.4">
      <c r="AB66" s="42">
        <v>20321027</v>
      </c>
      <c r="AC66" s="43">
        <v>20330127</v>
      </c>
      <c r="AD66" s="43">
        <v>20330127</v>
      </c>
      <c r="AE66" s="45">
        <v>4.3876356993666932E-2</v>
      </c>
      <c r="AF66" s="49">
        <v>442369845.85395706</v>
      </c>
      <c r="AG66" s="43">
        <v>20321027</v>
      </c>
      <c r="AH66" s="43">
        <v>20330127</v>
      </c>
      <c r="AI66" s="43">
        <v>20330127</v>
      </c>
      <c r="AJ66" s="45">
        <v>4.1032044493283126E-2</v>
      </c>
      <c r="AK66" s="49">
        <v>617353215.71310115</v>
      </c>
    </row>
    <row r="67" spans="28:37" x14ac:dyDescent="0.4">
      <c r="AB67" s="42">
        <v>20330127</v>
      </c>
      <c r="AC67" s="43">
        <v>20330427</v>
      </c>
      <c r="AD67" s="43">
        <v>20330427</v>
      </c>
      <c r="AE67" s="45">
        <v>4.4036735267727653E-2</v>
      </c>
      <c r="AF67" s="49">
        <v>434334923.18854672</v>
      </c>
      <c r="AG67" s="43">
        <v>20330127</v>
      </c>
      <c r="AH67" s="43">
        <v>20330427</v>
      </c>
      <c r="AI67" s="43">
        <v>20330427</v>
      </c>
      <c r="AJ67" s="45">
        <v>4.0893224873893179E-2</v>
      </c>
      <c r="AK67" s="49">
        <v>602563313.82469988</v>
      </c>
    </row>
    <row r="68" spans="28:37" x14ac:dyDescent="0.4">
      <c r="AB68" s="42">
        <v>20330427</v>
      </c>
      <c r="AC68" s="43">
        <v>20330727</v>
      </c>
      <c r="AD68" s="43">
        <v>20330727</v>
      </c>
      <c r="AE68" s="45">
        <v>4.4205163529691852E-2</v>
      </c>
      <c r="AF68" s="49">
        <v>440840534.92624205</v>
      </c>
      <c r="AG68" s="43">
        <v>20330427</v>
      </c>
      <c r="AH68" s="43">
        <v>20330727</v>
      </c>
      <c r="AI68" s="43">
        <v>20330727</v>
      </c>
      <c r="AJ68" s="45">
        <v>4.0748847511271009E-2</v>
      </c>
      <c r="AK68" s="49">
        <v>607818643.67404509</v>
      </c>
    </row>
    <row r="69" spans="28:37" x14ac:dyDescent="0.4">
      <c r="AB69" s="42">
        <v>20330727</v>
      </c>
      <c r="AC69" s="43">
        <v>20331027</v>
      </c>
      <c r="AD69" s="43">
        <v>20331027</v>
      </c>
      <c r="AE69" s="45">
        <v>4.4369085100210884E-2</v>
      </c>
      <c r="AF69" s="49">
        <v>447337625.11993444</v>
      </c>
      <c r="AG69" s="43">
        <v>20330727</v>
      </c>
      <c r="AH69" s="43">
        <v>20331027</v>
      </c>
      <c r="AI69" s="43">
        <v>20331027</v>
      </c>
      <c r="AJ69" s="45">
        <v>4.059401289242872E-2</v>
      </c>
      <c r="AK69" s="49">
        <v>612936897.10722661</v>
      </c>
    </row>
    <row r="70" spans="28:37" x14ac:dyDescent="0.4">
      <c r="AB70" s="42">
        <v>20331027</v>
      </c>
      <c r="AC70" s="43">
        <v>20340127</v>
      </c>
      <c r="AD70" s="43">
        <v>20340127</v>
      </c>
      <c r="AE70" s="45">
        <v>4.4459904754433913E-2</v>
      </c>
      <c r="AF70" s="49">
        <v>448253286.29127896</v>
      </c>
      <c r="AG70" s="43">
        <v>20331027</v>
      </c>
      <c r="AH70" s="43">
        <v>20340127</v>
      </c>
      <c r="AI70" s="43">
        <v>20340127</v>
      </c>
      <c r="AJ70" s="45">
        <v>4.0428535973321959E-2</v>
      </c>
      <c r="AK70" s="49">
        <v>611268527.07349277</v>
      </c>
    </row>
    <row r="71" spans="28:37" x14ac:dyDescent="0.4">
      <c r="AB71" s="42">
        <v>20340127</v>
      </c>
      <c r="AC71" s="43">
        <v>20340427</v>
      </c>
      <c r="AD71" s="43">
        <v>20340427</v>
      </c>
      <c r="AE71" s="45">
        <v>4.4614377629518809E-2</v>
      </c>
      <c r="AF71" s="49">
        <v>440032217.71580189</v>
      </c>
      <c r="AG71" s="43">
        <v>20340127</v>
      </c>
      <c r="AH71" s="43">
        <v>20340427</v>
      </c>
      <c r="AI71" s="43">
        <v>20340427</v>
      </c>
      <c r="AJ71" s="45">
        <v>4.0256226058604079E-2</v>
      </c>
      <c r="AK71" s="49">
        <v>596280585.78349233</v>
      </c>
    </row>
    <row r="72" spans="28:37" x14ac:dyDescent="0.4">
      <c r="AB72" s="42">
        <v>20340427</v>
      </c>
      <c r="AC72" s="43">
        <v>20340727</v>
      </c>
      <c r="AD72" s="43">
        <v>20340727</v>
      </c>
      <c r="AE72" s="45">
        <v>4.4776690319350831E-2</v>
      </c>
      <c r="AF72" s="49">
        <v>446540144.55462199</v>
      </c>
      <c r="AG72" s="43">
        <v>20340427</v>
      </c>
      <c r="AH72" s="43">
        <v>20340727</v>
      </c>
      <c r="AI72" s="43">
        <v>20340727</v>
      </c>
      <c r="AJ72" s="45">
        <v>4.0077664653192527E-2</v>
      </c>
      <c r="AK72" s="49">
        <v>601125203.66471446</v>
      </c>
    </row>
    <row r="73" spans="28:37" x14ac:dyDescent="0.4">
      <c r="AB73" s="42">
        <v>20340727</v>
      </c>
      <c r="AC73" s="43">
        <v>20341027</v>
      </c>
      <c r="AD73" s="43">
        <v>20341027</v>
      </c>
      <c r="AE73" s="45">
        <v>4.404698628920737E-2</v>
      </c>
      <c r="AF73" s="49">
        <v>444090163.13502228</v>
      </c>
      <c r="AG73" s="43">
        <v>20340727</v>
      </c>
      <c r="AH73" s="43">
        <v>20341027</v>
      </c>
      <c r="AI73" s="43">
        <v>20341027</v>
      </c>
      <c r="AJ73" s="45">
        <v>3.9889456014425069E-2</v>
      </c>
      <c r="AK73" s="49">
        <v>605833419.54269671</v>
      </c>
    </row>
    <row r="74" spans="28:37" x14ac:dyDescent="0.4">
      <c r="AB74" s="42">
        <v>20341027</v>
      </c>
      <c r="AC74" s="43">
        <v>20350129</v>
      </c>
      <c r="AD74" s="43">
        <v>20350129</v>
      </c>
      <c r="AE74" s="45">
        <v>4.3149014965005984E-2</v>
      </c>
      <c r="AF74" s="49">
        <v>444493962.37923974</v>
      </c>
      <c r="AG74" s="43">
        <v>20341027</v>
      </c>
      <c r="AH74" s="43">
        <v>20350129</v>
      </c>
      <c r="AI74" s="43">
        <v>20350129</v>
      </c>
      <c r="AJ74" s="45">
        <v>3.9717485800480616E-2</v>
      </c>
      <c r="AK74" s="49">
        <v>617232182.49262226</v>
      </c>
    </row>
    <row r="75" spans="28:37" x14ac:dyDescent="0.4">
      <c r="AB75" s="42">
        <v>20350129</v>
      </c>
      <c r="AC75" s="43">
        <v>20350427</v>
      </c>
      <c r="AD75" s="43">
        <v>20350427</v>
      </c>
      <c r="AE75" s="45">
        <v>4.3218929184218484E-2</v>
      </c>
      <c r="AF75" s="49">
        <v>416796248.57109332</v>
      </c>
      <c r="AG75" s="43">
        <v>20350129</v>
      </c>
      <c r="AH75" s="43">
        <v>20350427</v>
      </c>
      <c r="AI75" s="43">
        <v>20350427</v>
      </c>
      <c r="AJ75" s="45">
        <v>3.956469850195643E-2</v>
      </c>
      <c r="AK75" s="49">
        <v>576360928.01886749</v>
      </c>
    </row>
    <row r="76" spans="28:37" x14ac:dyDescent="0.4">
      <c r="AB76" s="42">
        <v>20350427</v>
      </c>
      <c r="AC76" s="43">
        <v>20350727</v>
      </c>
      <c r="AD76" s="43">
        <v>20350727</v>
      </c>
      <c r="AE76" s="45">
        <v>4.3292758626999647E-2</v>
      </c>
      <c r="AF76" s="49">
        <v>431741483.29391426</v>
      </c>
      <c r="AG76" s="43">
        <v>20350427</v>
      </c>
      <c r="AH76" s="43">
        <v>20350727</v>
      </c>
      <c r="AI76" s="43">
        <v>20350727</v>
      </c>
      <c r="AJ76" s="45">
        <v>3.9418196162234694E-2</v>
      </c>
      <c r="AK76" s="49">
        <v>594548586.3850255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2025-05-06T08:59:39Z</dcterms:modified>
</cp:coreProperties>
</file>