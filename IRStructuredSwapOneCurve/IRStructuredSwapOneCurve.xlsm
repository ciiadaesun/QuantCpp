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<sst xmlns="http://schemas.openxmlformats.org/spreadsheetml/2006/main" count="122" uniqueCount="87">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</sst>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14" fillId="4" borderId="0" xfId="0" applyFont="1" applyFill="1" applyBorder="1" applyAlignment="1" applyProtection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10">
        <v>0.25</v>
      </c>
      <c r="I11" s="11">
        <v>9.6154639886528535E-3</v>
      </c>
      <c r="J11" s="12"/>
      <c r="L11" s="13">
        <v>1</v>
      </c>
      <c r="M11" s="47">
        <v>44818</v>
      </c>
      <c r="N11" s="14">
        <v>3.5114930000000002</v>
      </c>
      <c r="O11" s="47">
        <v>44818</v>
      </c>
      <c r="P11" s="14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10">
        <v>0.5</v>
      </c>
      <c r="I12" s="11">
        <v>1.1162364581838124E-2</v>
      </c>
      <c r="J12" s="12"/>
      <c r="L12" s="13">
        <f>L11+1</f>
        <v>2</v>
      </c>
      <c r="M12" s="47">
        <v>44819</v>
      </c>
      <c r="N12" s="14">
        <v>3.5124149999999998</v>
      </c>
      <c r="O12" s="47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5" t="s">
        <v>23</v>
      </c>
      <c r="E13" s="55"/>
      <c r="G13" s="59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7">
        <v>44910</v>
      </c>
      <c r="N13" s="14">
        <v>3.7925620000000002</v>
      </c>
      <c r="O13" s="47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10">
        <v>1</v>
      </c>
      <c r="I14" s="11">
        <v>1.2738326744606043E-2</v>
      </c>
      <c r="J14" s="12"/>
      <c r="L14" s="13">
        <f t="shared" si="2"/>
        <v>4</v>
      </c>
      <c r="M14" s="47">
        <v>45001</v>
      </c>
      <c r="N14" s="14">
        <v>3.8730349999999998</v>
      </c>
      <c r="O14" s="47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10">
        <v>2</v>
      </c>
      <c r="I15" s="11">
        <v>8.8252457576316525E-3</v>
      </c>
      <c r="J15" s="12"/>
      <c r="L15" s="13">
        <f t="shared" si="2"/>
        <v>5</v>
      </c>
      <c r="M15" s="47">
        <v>45092</v>
      </c>
      <c r="N15" s="14">
        <v>3.9020980000000001</v>
      </c>
      <c r="O15" s="47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59"/>
      <c r="H16" s="10">
        <v>3</v>
      </c>
      <c r="I16" s="11">
        <v>1.0273480057599883E-2</v>
      </c>
      <c r="J16" s="12"/>
      <c r="L16" s="13">
        <f t="shared" si="2"/>
        <v>6</v>
      </c>
      <c r="M16" s="47">
        <v>45184</v>
      </c>
      <c r="N16" s="14">
        <v>3.9204439999999998</v>
      </c>
      <c r="O16" s="47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10">
        <v>5</v>
      </c>
      <c r="I17" s="11">
        <v>1.1472470786756934E-2</v>
      </c>
      <c r="J17" s="12"/>
      <c r="L17" s="13">
        <f t="shared" si="2"/>
        <v>7</v>
      </c>
      <c r="M17" s="47">
        <v>45366</v>
      </c>
      <c r="N17" s="14">
        <v>3.9238849999999998</v>
      </c>
      <c r="O17" s="47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10"/>
      <c r="I18" s="11"/>
      <c r="J18" s="12"/>
      <c r="L18" s="13">
        <f t="shared" si="2"/>
        <v>8</v>
      </c>
      <c r="M18" s="47">
        <v>45549</v>
      </c>
      <c r="N18" s="14">
        <v>3.9116110000000002</v>
      </c>
      <c r="O18" s="47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59"/>
      <c r="H19" s="10"/>
      <c r="I19" s="11"/>
      <c r="J19" s="12"/>
      <c r="L19" s="13">
        <f t="shared" si="2"/>
        <v>9</v>
      </c>
      <c r="M19" s="47">
        <v>45914</v>
      </c>
      <c r="N19" s="14">
        <v>3.899302</v>
      </c>
      <c r="O19" s="47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59"/>
      <c r="H20" s="10"/>
      <c r="I20" s="11"/>
      <c r="J20" s="12"/>
      <c r="L20" s="13">
        <f t="shared" si="2"/>
        <v>10</v>
      </c>
      <c r="M20" s="47">
        <v>46281</v>
      </c>
      <c r="N20" s="14">
        <v>3.9023029999999999</v>
      </c>
      <c r="O20" s="47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59"/>
      <c r="H21" s="10"/>
      <c r="I21" s="11"/>
      <c r="J21" s="12"/>
      <c r="L21" s="13">
        <f t="shared" si="2"/>
        <v>11</v>
      </c>
      <c r="M21" s="47">
        <v>46645</v>
      </c>
      <c r="N21" s="14">
        <v>3.9025310000000002</v>
      </c>
      <c r="O21" s="47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59"/>
      <c r="H22" s="10"/>
      <c r="I22" s="11"/>
      <c r="J22" s="12"/>
      <c r="L22" s="13">
        <f t="shared" si="2"/>
        <v>12</v>
      </c>
      <c r="M22" s="47">
        <v>47010</v>
      </c>
      <c r="N22" s="14">
        <v>3.9081440000000001</v>
      </c>
      <c r="O22" s="47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10"/>
      <c r="I23" s="11"/>
      <c r="J23" s="12"/>
      <c r="L23" s="13">
        <f t="shared" si="2"/>
        <v>13</v>
      </c>
      <c r="M23" s="47">
        <v>47375</v>
      </c>
      <c r="N23" s="14">
        <v>3.9137569999999999</v>
      </c>
      <c r="O23" s="47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10"/>
      <c r="I24" s="11"/>
      <c r="J24" s="12"/>
      <c r="L24" s="13">
        <f t="shared" si="2"/>
        <v>14</v>
      </c>
      <c r="M24" s="47">
        <v>47740</v>
      </c>
      <c r="N24" s="14">
        <v>3.9222540000000001</v>
      </c>
      <c r="O24" s="47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10"/>
      <c r="I25" s="11"/>
      <c r="J25" s="12"/>
      <c r="L25" s="13">
        <f t="shared" si="2"/>
        <v>15</v>
      </c>
      <c r="M25" s="47">
        <v>48108</v>
      </c>
      <c r="N25" s="14">
        <v>3.9337179999999998</v>
      </c>
      <c r="O25" s="47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10"/>
      <c r="I26" s="11"/>
      <c r="J26" s="12"/>
      <c r="L26" s="13">
        <f t="shared" si="2"/>
        <v>16</v>
      </c>
      <c r="M26" s="47">
        <v>48472</v>
      </c>
      <c r="N26" s="14">
        <v>3.9453279999999999</v>
      </c>
      <c r="O26" s="47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59"/>
      <c r="H27" s="10"/>
      <c r="I27" s="11"/>
      <c r="J27" s="12"/>
      <c r="L27" s="13">
        <f t="shared" si="2"/>
        <v>17</v>
      </c>
      <c r="M27" s="47">
        <v>49201</v>
      </c>
      <c r="N27" s="14">
        <v>3.9689730000000001</v>
      </c>
      <c r="O27" s="47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59"/>
      <c r="H28" s="10"/>
      <c r="I28" s="11"/>
      <c r="J28" s="12"/>
      <c r="L28" s="13">
        <f t="shared" si="2"/>
        <v>18</v>
      </c>
      <c r="M28" s="47">
        <v>50299</v>
      </c>
      <c r="N28" s="14">
        <v>3.9608210000000001</v>
      </c>
      <c r="O28" s="47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59"/>
      <c r="H29" s="10"/>
      <c r="I29" s="11"/>
      <c r="J29" s="12"/>
      <c r="L29" s="13">
        <f t="shared" si="2"/>
        <v>19</v>
      </c>
      <c r="M29" s="47">
        <v>52123</v>
      </c>
      <c r="N29" s="14">
        <v>3.8029289999999998</v>
      </c>
      <c r="O29" s="47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59"/>
      <c r="H30" s="10"/>
      <c r="I30" s="11"/>
      <c r="J30" s="12"/>
      <c r="L30" s="13">
        <f t="shared" si="2"/>
        <v>20</v>
      </c>
      <c r="M30" s="47">
        <v>53950</v>
      </c>
      <c r="N30" s="14">
        <v>3.6413120000000001</v>
      </c>
      <c r="O30" s="47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59"/>
      <c r="H31" s="10"/>
      <c r="I31" s="11"/>
      <c r="J31" s="12"/>
      <c r="L31" s="13">
        <f t="shared" si="2"/>
        <v>21</v>
      </c>
      <c r="M31" s="47">
        <v>55776</v>
      </c>
      <c r="N31" s="14">
        <v>3.552136</v>
      </c>
      <c r="O31" s="47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59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59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59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59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59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59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59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59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59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workbookViewId="0">
      <selection activeCell="J29" sqref="J29:M29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148" t="s">
        <v>30</v>
      </c>
      <c r="C3" s="148"/>
      <c r="D3" s="149">
        <v>44815</v>
      </c>
      <c r="E3" s="88"/>
      <c r="F3" s="69" t="s">
        <v>31</v>
      </c>
      <c r="G3" s="69"/>
      <c r="H3" s="88">
        <v>0</v>
      </c>
      <c r="I3" s="88"/>
      <c r="J3" s="69" t="s">
        <v>32</v>
      </c>
      <c r="K3" s="69"/>
      <c r="L3" s="150">
        <v>40000000000</v>
      </c>
      <c r="M3" s="150"/>
      <c r="O3" s="113" t="s">
        <v>50</v>
      </c>
      <c r="P3" s="114"/>
      <c r="Q3" s="114"/>
      <c r="R3" s="115"/>
      <c r="T3" s="103" t="s">
        <v>56</v>
      </c>
      <c r="U3" s="104"/>
      <c r="W3" s="94" t="s">
        <v>77</v>
      </c>
      <c r="X3" s="95"/>
      <c r="Y3" s="94" t="s">
        <v>78</v>
      </c>
      <c r="Z3" s="95"/>
      <c r="AB3" s="75" t="s">
        <v>66</v>
      </c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7"/>
    </row>
    <row r="4" spans="1:57" x14ac:dyDescent="0.4">
      <c r="A4" s="22">
        <f t="shared" si="1"/>
        <v>4</v>
      </c>
      <c r="B4" s="21"/>
      <c r="C4" s="21"/>
      <c r="O4" s="116" t="s">
        <v>49</v>
      </c>
      <c r="P4" s="117"/>
      <c r="Q4" s="118">
        <v>44039</v>
      </c>
      <c r="R4" s="119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78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80"/>
    </row>
    <row r="5" spans="1:57" x14ac:dyDescent="0.4">
      <c r="A5" s="22">
        <f t="shared" si="1"/>
        <v>5</v>
      </c>
      <c r="B5" s="75" t="s">
        <v>48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7"/>
      <c r="O5" s="91" t="s">
        <v>51</v>
      </c>
      <c r="P5" s="124"/>
      <c r="Q5" s="125">
        <v>49517</v>
      </c>
      <c r="R5" s="126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78"/>
      <c r="C6" s="79"/>
      <c r="D6" s="79"/>
      <c r="E6" s="79"/>
      <c r="F6" s="79"/>
      <c r="G6" s="79"/>
      <c r="H6" s="79"/>
      <c r="I6" s="79"/>
      <c r="J6" s="79"/>
      <c r="K6" s="79"/>
      <c r="L6" s="79"/>
      <c r="M6" s="80"/>
      <c r="O6" s="122" t="s">
        <v>43</v>
      </c>
      <c r="P6" s="123"/>
      <c r="Q6" s="102">
        <v>0</v>
      </c>
      <c r="R6" s="71"/>
      <c r="W6" s="29">
        <v>44769</v>
      </c>
      <c r="X6" s="36">
        <v>3.6999999999999998E-2</v>
      </c>
      <c r="Y6" s="29">
        <v>44769</v>
      </c>
      <c r="Z6" s="38">
        <v>0.03</v>
      </c>
      <c r="AB6" s="69" t="s">
        <v>67</v>
      </c>
      <c r="AC6" s="69"/>
      <c r="AD6" s="88">
        <v>0</v>
      </c>
      <c r="AE6" s="88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69" t="s">
        <v>33</v>
      </c>
      <c r="C7" s="69"/>
      <c r="D7" s="81">
        <v>1</v>
      </c>
      <c r="E7" s="82"/>
      <c r="F7" s="69" t="s">
        <v>34</v>
      </c>
      <c r="G7" s="69"/>
      <c r="H7" s="81">
        <v>1</v>
      </c>
      <c r="I7" s="82"/>
      <c r="J7" s="69" t="s">
        <v>86</v>
      </c>
      <c r="K7" s="69"/>
      <c r="L7" s="70">
        <v>0</v>
      </c>
      <c r="M7" s="71"/>
      <c r="O7" s="103" t="str">
        <f>IF(Q6&gt;0,"Phase2날짜","")</f>
        <v/>
      </c>
      <c r="P7" s="104"/>
      <c r="Q7" s="120">
        <v>45865</v>
      </c>
      <c r="R7" s="121"/>
      <c r="W7" s="29">
        <v>44815</v>
      </c>
      <c r="X7" s="36">
        <v>3.6999999999999998E-2</v>
      </c>
      <c r="Y7" s="29">
        <v>44815</v>
      </c>
      <c r="Z7" s="36">
        <v>0.03</v>
      </c>
      <c r="AB7" s="69" t="s">
        <v>80</v>
      </c>
      <c r="AC7" s="69"/>
      <c r="AD7" s="88">
        <v>0</v>
      </c>
      <c r="AE7" s="88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07" t="str">
        <f>"기초금리정보"</f>
        <v>기초금리정보</v>
      </c>
      <c r="C9" s="108"/>
      <c r="D9" s="87" t="s">
        <v>35</v>
      </c>
      <c r="E9" s="87"/>
      <c r="F9" s="70">
        <v>0</v>
      </c>
      <c r="G9" s="71"/>
      <c r="H9" s="25"/>
      <c r="I9" s="24"/>
      <c r="J9" s="127" t="str">
        <f>IF(OR(F10 = 0, F10 = 2, F10 = 4), "RefType = "&amp;F10&amp;" 이므로 Ref Swap 금리정보 사용안함", "사용")</f>
        <v>사용</v>
      </c>
      <c r="K9" s="128"/>
      <c r="L9" s="128"/>
      <c r="M9" s="129"/>
      <c r="O9" s="84" t="s">
        <v>53</v>
      </c>
      <c r="P9" s="84"/>
      <c r="Q9" s="84"/>
      <c r="R9" s="84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09"/>
      <c r="C10" s="110"/>
      <c r="D10" s="87" t="s">
        <v>36</v>
      </c>
      <c r="E10" s="130"/>
      <c r="F10" s="131">
        <v>1</v>
      </c>
      <c r="G10" s="132"/>
      <c r="H10" s="127" t="str">
        <f xml:space="preserve"> "Swap 레퍼런스금리정보"</f>
        <v>Swap 레퍼런스금리정보</v>
      </c>
      <c r="I10" s="128"/>
      <c r="J10" s="134" t="str">
        <f>IF(OR(F10 = 0, F10 = 2, F10 = 4), "", "연 지급횟수")</f>
        <v>연 지급횟수</v>
      </c>
      <c r="K10" s="135"/>
      <c r="L10" s="136">
        <v>4</v>
      </c>
      <c r="M10" s="137"/>
      <c r="O10" s="84" t="s">
        <v>52</v>
      </c>
      <c r="P10" s="84"/>
      <c r="Q10" s="102">
        <v>4</v>
      </c>
      <c r="R10" s="71"/>
      <c r="AB10" s="91" t="s">
        <v>79</v>
      </c>
      <c r="AC10" s="92"/>
      <c r="AD10" s="93">
        <v>7816893494.7885103</v>
      </c>
      <c r="AE10" s="93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09"/>
      <c r="C11" s="110"/>
      <c r="D11" s="84" t="s">
        <v>37</v>
      </c>
      <c r="E11" s="84"/>
      <c r="F11" s="70">
        <v>0</v>
      </c>
      <c r="G11" s="71"/>
      <c r="H11" s="133"/>
      <c r="I11" s="134"/>
      <c r="J11" s="134" t="str">
        <f>IF(F11=0, "만기", "입력X, 아래만기2개입력")</f>
        <v>만기</v>
      </c>
      <c r="K11" s="135"/>
      <c r="L11" s="144">
        <v>0.25</v>
      </c>
      <c r="M11" s="145"/>
      <c r="O11" s="84" t="s">
        <v>54</v>
      </c>
      <c r="P11" s="84"/>
      <c r="Q11" s="102">
        <v>0</v>
      </c>
      <c r="R11" s="71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09"/>
      <c r="C12" s="110"/>
      <c r="D12" s="84" t="s">
        <v>38</v>
      </c>
      <c r="E12" s="84"/>
      <c r="F12" s="85">
        <v>0.8</v>
      </c>
      <c r="G12" s="86"/>
      <c r="H12" s="146" t="str">
        <f>"ex) Deposit 3M -&gt; 연 지급횟수= 4, 만기= 0.25 ||  ex2) CMT 5Y 연 지급횟수=2, 만기 5"</f>
        <v>ex) Deposit 3M -&gt; 연 지급횟수= 4, 만기= 0.25 ||  ex2) CMT 5Y 연 지급횟수=2, 만기 5</v>
      </c>
      <c r="I12" s="146"/>
      <c r="J12" s="146"/>
      <c r="K12" s="146"/>
      <c r="L12" s="146"/>
      <c r="M12" s="147"/>
      <c r="O12" s="103" t="s">
        <v>55</v>
      </c>
      <c r="P12" s="104"/>
      <c r="Q12" s="102">
        <v>4</v>
      </c>
      <c r="R12" s="71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09"/>
      <c r="C13" s="110"/>
      <c r="D13" s="84" t="s">
        <v>39</v>
      </c>
      <c r="E13" s="87"/>
      <c r="F13" s="138">
        <v>-0.8</v>
      </c>
      <c r="G13" s="139"/>
      <c r="H13" s="140" t="str">
        <f>IF(F11&gt;0,"PowerSpreadFlag 1일때 입력","입력필요X")</f>
        <v>입력필요X</v>
      </c>
      <c r="I13" s="140"/>
      <c r="J13" s="140" t="str">
        <f>IF(F11&gt;0,"만기1","")</f>
        <v/>
      </c>
      <c r="K13" s="140"/>
      <c r="L13" s="105">
        <v>10</v>
      </c>
      <c r="M13" s="106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11"/>
      <c r="C14" s="112"/>
      <c r="D14" s="141" t="s">
        <v>40</v>
      </c>
      <c r="E14" s="141"/>
      <c r="F14" s="142">
        <v>1</v>
      </c>
      <c r="G14" s="143"/>
      <c r="H14" s="140"/>
      <c r="I14" s="140"/>
      <c r="J14" s="140" t="str">
        <f>IF(F11&gt;0,"만기2","")</f>
        <v/>
      </c>
      <c r="K14" s="140"/>
      <c r="L14" s="105">
        <v>5</v>
      </c>
      <c r="M14" s="106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89" t="s">
        <v>73</v>
      </c>
      <c r="AC15" s="90"/>
      <c r="AD15" s="90"/>
      <c r="AE15" s="90"/>
      <c r="AF15" s="90"/>
      <c r="AG15" s="89" t="s">
        <v>74</v>
      </c>
      <c r="AH15" s="90"/>
      <c r="AI15" s="90"/>
      <c r="AJ15" s="90"/>
      <c r="AK15" s="90"/>
    </row>
    <row r="16" spans="1:57" x14ac:dyDescent="0.4">
      <c r="A16" s="22">
        <f t="shared" si="1"/>
        <v>16</v>
      </c>
      <c r="B16" s="83" t="s">
        <v>41</v>
      </c>
      <c r="C16" s="83"/>
      <c r="D16" s="84" t="s">
        <v>81</v>
      </c>
      <c r="E16" s="84"/>
      <c r="F16" s="85">
        <v>0</v>
      </c>
      <c r="G16" s="8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4"/>
      <c r="L16" s="74"/>
      <c r="M16" s="74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83"/>
      <c r="C17" s="83"/>
      <c r="D17" s="84" t="s">
        <v>44</v>
      </c>
      <c r="E17" s="84"/>
      <c r="F17" s="85">
        <v>0</v>
      </c>
      <c r="G17" s="8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4"/>
      <c r="L17" s="74"/>
      <c r="M17" s="74"/>
      <c r="AB17" s="41">
        <v>20200727</v>
      </c>
      <c r="AC17" s="42">
        <v>20201027</v>
      </c>
      <c r="AD17" s="42">
        <v>20201027</v>
      </c>
      <c r="AE17" s="45">
        <v>0</v>
      </c>
      <c r="AF17" s="49">
        <v>0</v>
      </c>
      <c r="AG17" s="42">
        <v>20200727</v>
      </c>
      <c r="AH17" s="42">
        <v>20350727</v>
      </c>
      <c r="AI17" s="42">
        <v>20350727</v>
      </c>
      <c r="AJ17" s="45">
        <v>0</v>
      </c>
      <c r="AK17" s="49">
        <v>13996000000</v>
      </c>
    </row>
    <row r="18" spans="1:37" x14ac:dyDescent="0.4">
      <c r="A18" s="22">
        <f t="shared" si="1"/>
        <v>18</v>
      </c>
      <c r="B18" s="83"/>
      <c r="C18" s="83"/>
      <c r="D18" s="84" t="s">
        <v>45</v>
      </c>
      <c r="E18" s="84"/>
      <c r="F18" s="70">
        <v>1</v>
      </c>
      <c r="G18" s="71"/>
      <c r="H18" s="72"/>
      <c r="I18" s="73"/>
      <c r="J18" s="74"/>
      <c r="K18" s="74"/>
      <c r="L18" s="74"/>
      <c r="M18" s="74"/>
      <c r="AB18" s="43">
        <v>20201027</v>
      </c>
      <c r="AC18" s="44">
        <v>20210127</v>
      </c>
      <c r="AD18" s="44">
        <v>20210127</v>
      </c>
      <c r="AE18" s="46">
        <v>0</v>
      </c>
      <c r="AF18" s="50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50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50">
        <v>0</v>
      </c>
    </row>
    <row r="21" spans="1:37" x14ac:dyDescent="0.4">
      <c r="A21" s="22">
        <f t="shared" si="1"/>
        <v>21</v>
      </c>
      <c r="B21" s="83" t="s">
        <v>46</v>
      </c>
      <c r="C21" s="83"/>
      <c r="D21" s="84" t="s">
        <v>42</v>
      </c>
      <c r="E21" s="84"/>
      <c r="F21" s="85">
        <v>0</v>
      </c>
      <c r="G21" s="8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4"/>
      <c r="L21" s="74"/>
      <c r="M21" s="74"/>
      <c r="AB21" s="43">
        <v>20210727</v>
      </c>
      <c r="AC21" s="44">
        <v>20211027</v>
      </c>
      <c r="AD21" s="44">
        <v>20211027</v>
      </c>
      <c r="AE21" s="46">
        <v>0</v>
      </c>
      <c r="AF21" s="50">
        <v>0</v>
      </c>
    </row>
    <row r="22" spans="1:37" x14ac:dyDescent="0.4">
      <c r="A22" s="22">
        <f t="shared" si="1"/>
        <v>22</v>
      </c>
      <c r="B22" s="83"/>
      <c r="C22" s="83"/>
      <c r="D22" s="84" t="s">
        <v>44</v>
      </c>
      <c r="E22" s="84"/>
      <c r="F22" s="85">
        <v>0</v>
      </c>
      <c r="G22" s="86"/>
      <c r="H22" s="72"/>
      <c r="I22" s="73"/>
      <c r="J22" s="74"/>
      <c r="K22" s="74"/>
      <c r="L22" s="74"/>
      <c r="M22" s="74"/>
      <c r="AB22" s="43">
        <v>20211027</v>
      </c>
      <c r="AC22" s="44">
        <v>20220127</v>
      </c>
      <c r="AD22" s="44">
        <v>20220127</v>
      </c>
      <c r="AE22" s="46">
        <v>0</v>
      </c>
      <c r="AF22" s="50">
        <v>0</v>
      </c>
    </row>
    <row r="23" spans="1:37" x14ac:dyDescent="0.4">
      <c r="A23" s="22">
        <f t="shared" si="1"/>
        <v>23</v>
      </c>
      <c r="B23" s="83"/>
      <c r="C23" s="83"/>
      <c r="D23" s="84" t="s">
        <v>45</v>
      </c>
      <c r="E23" s="84"/>
      <c r="F23" s="70">
        <v>1</v>
      </c>
      <c r="G23" s="71"/>
      <c r="AB23" s="43">
        <v>20220127</v>
      </c>
      <c r="AC23" s="44">
        <v>20220427</v>
      </c>
      <c r="AD23" s="44">
        <v>20220427</v>
      </c>
      <c r="AE23" s="46">
        <v>0</v>
      </c>
      <c r="AF23" s="50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50">
        <v>0</v>
      </c>
    </row>
    <row r="25" spans="1:37" x14ac:dyDescent="0.4">
      <c r="A25" s="22">
        <f t="shared" si="1"/>
        <v>25</v>
      </c>
      <c r="B25" s="75" t="s">
        <v>47</v>
      </c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7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50">
        <v>373041095.89041096</v>
      </c>
    </row>
    <row r="26" spans="1:37" x14ac:dyDescent="0.4">
      <c r="A26" s="22">
        <f t="shared" si="1"/>
        <v>26</v>
      </c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80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50">
        <v>397694571.33784348</v>
      </c>
    </row>
    <row r="27" spans="1:37" x14ac:dyDescent="0.4">
      <c r="A27" s="22">
        <f t="shared" si="1"/>
        <v>27</v>
      </c>
      <c r="B27" s="69" t="s">
        <v>33</v>
      </c>
      <c r="C27" s="69"/>
      <c r="D27" s="81">
        <v>1</v>
      </c>
      <c r="E27" s="82"/>
      <c r="F27" s="69" t="s">
        <v>34</v>
      </c>
      <c r="G27" s="69"/>
      <c r="H27" s="81">
        <v>1</v>
      </c>
      <c r="I27" s="82"/>
      <c r="J27" s="69" t="s">
        <v>86</v>
      </c>
      <c r="K27" s="69"/>
      <c r="L27" s="70">
        <v>4</v>
      </c>
      <c r="M27" s="71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50">
        <v>393695898.59013593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50">
        <v>397948297.07093519</v>
      </c>
    </row>
    <row r="29" spans="1:37" x14ac:dyDescent="0.4">
      <c r="A29" s="22">
        <f t="shared" si="1"/>
        <v>29</v>
      </c>
      <c r="B29" s="107" t="str">
        <f>"기초금리정보"</f>
        <v>기초금리정보</v>
      </c>
      <c r="C29" s="108"/>
      <c r="D29" s="87" t="s">
        <v>35</v>
      </c>
      <c r="E29" s="87"/>
      <c r="F29" s="70">
        <v>3</v>
      </c>
      <c r="G29" s="71"/>
      <c r="H29" s="25"/>
      <c r="I29" s="24"/>
      <c r="J29" s="127" t="str">
        <f>IF(OR(F30 = 0, F30 = 2, F30 = 4), "RefType = "&amp;F30&amp;" 이므로 Ref Swap 금리정보 사용안함", "사용")</f>
        <v>RefType = 0 이므로 Ref Swap 금리정보 사용안함</v>
      </c>
      <c r="K29" s="128"/>
      <c r="L29" s="128"/>
      <c r="M29" s="129"/>
      <c r="O29" s="84" t="s">
        <v>59</v>
      </c>
      <c r="P29" s="84"/>
      <c r="Q29" s="84"/>
      <c r="R29" s="84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50">
        <v>401112044.94347513</v>
      </c>
    </row>
    <row r="30" spans="1:37" x14ac:dyDescent="0.4">
      <c r="A30" s="22">
        <f t="shared" si="1"/>
        <v>30</v>
      </c>
      <c r="B30" s="109"/>
      <c r="C30" s="110"/>
      <c r="D30" s="87" t="s">
        <v>36</v>
      </c>
      <c r="E30" s="130"/>
      <c r="F30" s="131">
        <v>0</v>
      </c>
      <c r="G30" s="132"/>
      <c r="H30" s="127" t="str">
        <f xml:space="preserve"> "Swap 레퍼런스금리정보"</f>
        <v>Swap 레퍼런스금리정보</v>
      </c>
      <c r="I30" s="128"/>
      <c r="J30" s="134" t="str">
        <f>IF(OR(F30 = 0, F30 = 2, F30 = 4), "", "연 지급횟수")</f>
        <v/>
      </c>
      <c r="K30" s="135"/>
      <c r="L30" s="136">
        <v>4</v>
      </c>
      <c r="M30" s="137"/>
      <c r="O30" s="84" t="s">
        <v>52</v>
      </c>
      <c r="P30" s="84"/>
      <c r="Q30" s="102">
        <v>0</v>
      </c>
      <c r="R30" s="71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50">
        <v>406986936.7982896</v>
      </c>
    </row>
    <row r="31" spans="1:37" x14ac:dyDescent="0.4">
      <c r="A31" s="22">
        <f t="shared" si="1"/>
        <v>31</v>
      </c>
      <c r="B31" s="109"/>
      <c r="C31" s="110"/>
      <c r="D31" s="84" t="s">
        <v>37</v>
      </c>
      <c r="E31" s="84"/>
      <c r="F31" s="70">
        <v>0</v>
      </c>
      <c r="G31" s="71"/>
      <c r="H31" s="133"/>
      <c r="I31" s="134"/>
      <c r="J31" s="134" t="str">
        <f>IF(F31=0, "만기", "입력X, 아래만기2개입력")</f>
        <v>만기</v>
      </c>
      <c r="K31" s="135"/>
      <c r="L31" s="144">
        <v>10</v>
      </c>
      <c r="M31" s="145"/>
      <c r="O31" s="84" t="s">
        <v>54</v>
      </c>
      <c r="P31" s="84"/>
      <c r="Q31" s="102">
        <v>0</v>
      </c>
      <c r="R31" s="71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50">
        <v>391733529.50055504</v>
      </c>
    </row>
    <row r="32" spans="1:37" x14ac:dyDescent="0.4">
      <c r="A32" s="22">
        <f t="shared" si="1"/>
        <v>32</v>
      </c>
      <c r="B32" s="109"/>
      <c r="C32" s="110"/>
      <c r="D32" s="84" t="s">
        <v>38</v>
      </c>
      <c r="E32" s="84"/>
      <c r="F32" s="85">
        <v>0.8</v>
      </c>
      <c r="G32" s="86"/>
      <c r="H32" s="146" t="str">
        <f>"ex) Deposit 3M -&gt; 연 지급횟수= 4, 만기= 0.25 ||  ex2) CMT 5Y 연 지급횟수=2, 만기 5"</f>
        <v>ex) Deposit 3M -&gt; 연 지급횟수= 4, 만기= 0.25 ||  ex2) CMT 5Y 연 지급횟수=2, 만기 5</v>
      </c>
      <c r="I32" s="146"/>
      <c r="J32" s="146"/>
      <c r="K32" s="146"/>
      <c r="L32" s="146"/>
      <c r="M32" s="147"/>
      <c r="O32" s="103" t="s">
        <v>55</v>
      </c>
      <c r="P32" s="104"/>
      <c r="Q32" s="102">
        <v>0</v>
      </c>
      <c r="R32" s="71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50">
        <v>388293526.53225636</v>
      </c>
    </row>
    <row r="33" spans="1:32" x14ac:dyDescent="0.4">
      <c r="A33" s="22">
        <f t="shared" si="1"/>
        <v>33</v>
      </c>
      <c r="B33" s="109"/>
      <c r="C33" s="110"/>
      <c r="D33" s="84" t="s">
        <v>39</v>
      </c>
      <c r="E33" s="87"/>
      <c r="F33" s="138">
        <v>-0.8</v>
      </c>
      <c r="G33" s="139"/>
      <c r="H33" s="140" t="str">
        <f>IF(F31&gt;0,"PowerSpreadFlag 1일때 입력","입력필요X")</f>
        <v>입력필요X</v>
      </c>
      <c r="I33" s="140"/>
      <c r="J33" s="140" t="str">
        <f>IF(F31&gt;0,"만기1","")</f>
        <v/>
      </c>
      <c r="K33" s="140"/>
      <c r="L33" s="105">
        <v>10</v>
      </c>
      <c r="M33" s="106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50">
        <v>388356684.77065521</v>
      </c>
    </row>
    <row r="34" spans="1:32" x14ac:dyDescent="0.4">
      <c r="A34" s="22">
        <f t="shared" si="1"/>
        <v>34</v>
      </c>
      <c r="B34" s="111"/>
      <c r="C34" s="112"/>
      <c r="D34" s="141" t="s">
        <v>40</v>
      </c>
      <c r="E34" s="141"/>
      <c r="F34" s="142">
        <v>0</v>
      </c>
      <c r="G34" s="143"/>
      <c r="H34" s="140"/>
      <c r="I34" s="140"/>
      <c r="J34" s="140" t="str">
        <f>IF(F31&gt;0,"만기2","")</f>
        <v/>
      </c>
      <c r="K34" s="140"/>
      <c r="L34" s="105">
        <v>5</v>
      </c>
      <c r="M34" s="106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50">
        <v>388968719.75021839</v>
      </c>
    </row>
    <row r="35" spans="1:32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50">
        <v>388281455.44915545</v>
      </c>
    </row>
    <row r="36" spans="1:32" x14ac:dyDescent="0.4">
      <c r="A36" s="22">
        <f t="shared" si="1"/>
        <v>36</v>
      </c>
      <c r="B36" s="83" t="s">
        <v>41</v>
      </c>
      <c r="C36" s="83"/>
      <c r="D36" s="84" t="s">
        <v>42</v>
      </c>
      <c r="E36" s="84"/>
      <c r="F36" s="85">
        <v>2.0199999999999999E-2</v>
      </c>
      <c r="G36" s="8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0 x Rate(10Y) &lt; 0.8</v>
      </c>
      <c r="K36" s="74"/>
      <c r="L36" s="74"/>
      <c r="M36" s="74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50">
        <v>387663620.77407151</v>
      </c>
    </row>
    <row r="37" spans="1:32" x14ac:dyDescent="0.4">
      <c r="A37" s="22">
        <f t="shared" si="1"/>
        <v>37</v>
      </c>
      <c r="B37" s="83"/>
      <c r="C37" s="83"/>
      <c r="D37" s="84" t="s">
        <v>44</v>
      </c>
      <c r="E37" s="84"/>
      <c r="F37" s="85">
        <v>0</v>
      </c>
      <c r="G37" s="8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50">
        <v>389369694.31946748</v>
      </c>
    </row>
    <row r="38" spans="1:32" x14ac:dyDescent="0.4">
      <c r="A38" s="22">
        <f t="shared" si="1"/>
        <v>38</v>
      </c>
      <c r="B38" s="83"/>
      <c r="C38" s="83"/>
      <c r="D38" s="84" t="s">
        <v>45</v>
      </c>
      <c r="E38" s="84"/>
      <c r="F38" s="70">
        <v>0</v>
      </c>
      <c r="G38" s="71"/>
      <c r="H38" s="72"/>
      <c r="I38" s="73"/>
      <c r="J38" s="74"/>
      <c r="K38" s="74"/>
      <c r="L38" s="74"/>
      <c r="M38" s="74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50">
        <v>396139593.41138768</v>
      </c>
    </row>
    <row r="39" spans="1:32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50">
        <v>387634462.30275124</v>
      </c>
    </row>
    <row r="40" spans="1:32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50">
        <v>392111739.66672426</v>
      </c>
    </row>
    <row r="41" spans="1:32" x14ac:dyDescent="0.4">
      <c r="A41" s="22">
        <f t="shared" si="1"/>
        <v>41</v>
      </c>
      <c r="B41" s="83" t="s">
        <v>46</v>
      </c>
      <c r="C41" s="83"/>
      <c r="D41" s="84" t="s">
        <v>42</v>
      </c>
      <c r="E41" s="84"/>
      <c r="F41" s="85">
        <v>2.0199999999999999E-2</v>
      </c>
      <c r="G41" s="8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4"/>
      <c r="L41" s="74"/>
      <c r="M41" s="74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50">
        <v>396078124.48073757</v>
      </c>
    </row>
    <row r="42" spans="1:32" x14ac:dyDescent="0.4">
      <c r="A42" s="22">
        <f t="shared" si="1"/>
        <v>42</v>
      </c>
      <c r="B42" s="83"/>
      <c r="C42" s="83"/>
      <c r="D42" s="84" t="s">
        <v>44</v>
      </c>
      <c r="E42" s="84"/>
      <c r="F42" s="85">
        <v>0</v>
      </c>
      <c r="G42" s="86"/>
      <c r="H42" s="72"/>
      <c r="I42" s="73"/>
      <c r="J42" s="74"/>
      <c r="K42" s="74"/>
      <c r="L42" s="74"/>
      <c r="M42" s="74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50">
        <v>395486895.10059053</v>
      </c>
    </row>
    <row r="43" spans="1:32" x14ac:dyDescent="0.4">
      <c r="A43" s="22">
        <f t="shared" si="1"/>
        <v>43</v>
      </c>
      <c r="B43" s="83"/>
      <c r="C43" s="83"/>
      <c r="D43" s="84" t="s">
        <v>45</v>
      </c>
      <c r="E43" s="84"/>
      <c r="F43" s="70">
        <v>0</v>
      </c>
      <c r="G43" s="71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50">
        <v>386859225.99382573</v>
      </c>
    </row>
    <row r="44" spans="1:32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50">
        <v>391190188.04048681</v>
      </c>
    </row>
    <row r="45" spans="1:32" ht="17.399999999999999" customHeight="1" x14ac:dyDescent="0.4">
      <c r="A45" s="22">
        <f t="shared" si="1"/>
        <v>45</v>
      </c>
      <c r="B45" s="96" t="s">
        <v>61</v>
      </c>
      <c r="C45" s="97"/>
      <c r="D45" s="97"/>
      <c r="E45" s="97"/>
      <c r="F45" s="97"/>
      <c r="G45" s="98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50">
        <v>396805718.77941006</v>
      </c>
    </row>
    <row r="46" spans="1:32" ht="17.399999999999999" customHeight="1" x14ac:dyDescent="0.4">
      <c r="A46" s="22">
        <f t="shared" si="1"/>
        <v>46</v>
      </c>
      <c r="B46" s="99"/>
      <c r="C46" s="100"/>
      <c r="D46" s="100"/>
      <c r="E46" s="100"/>
      <c r="F46" s="100"/>
      <c r="G46" s="101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50">
        <v>415971855.87282223</v>
      </c>
    </row>
    <row r="47" spans="1:32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50">
        <v>377083514.98984253</v>
      </c>
    </row>
    <row r="48" spans="1:32" x14ac:dyDescent="0.4">
      <c r="A48" s="22">
        <f t="shared" si="1"/>
        <v>48</v>
      </c>
      <c r="B48" s="28">
        <v>45835</v>
      </c>
      <c r="C48" s="28">
        <f>EDATE(B48,1)</f>
        <v>45865</v>
      </c>
      <c r="D48" s="33">
        <v>0</v>
      </c>
      <c r="E48" s="33">
        <f>COUNT(B48:B1048576)</f>
        <v>10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50">
        <v>394758952.02955693</v>
      </c>
    </row>
    <row r="49" spans="1:32" x14ac:dyDescent="0.4">
      <c r="A49" s="22">
        <f t="shared" si="1"/>
        <v>49</v>
      </c>
      <c r="B49" s="28">
        <f>EDATE(B48,12)</f>
        <v>46200</v>
      </c>
      <c r="C49" s="28">
        <f>EDATE(B49,1)</f>
        <v>46230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50">
        <v>399405175.787947</v>
      </c>
    </row>
    <row r="50" spans="1:32" x14ac:dyDescent="0.4">
      <c r="A50" s="22">
        <f t="shared" si="1"/>
        <v>50</v>
      </c>
      <c r="B50" s="28">
        <f t="shared" ref="B50:B57" si="2">EDATE(B49,12)</f>
        <v>46565</v>
      </c>
      <c r="C50" s="28">
        <f t="shared" ref="C50:C57" si="3">EDATE(B50,1)</f>
        <v>46595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50">
        <v>408429867.02587324</v>
      </c>
    </row>
    <row r="51" spans="1:32" x14ac:dyDescent="0.4">
      <c r="A51" s="22">
        <f t="shared" si="1"/>
        <v>51</v>
      </c>
      <c r="B51" s="28">
        <f t="shared" si="2"/>
        <v>46931</v>
      </c>
      <c r="C51" s="28">
        <f t="shared" si="3"/>
        <v>46961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50">
        <v>382574640.30904263</v>
      </c>
    </row>
    <row r="52" spans="1:32" x14ac:dyDescent="0.4">
      <c r="A52" s="22">
        <f t="shared" si="1"/>
        <v>52</v>
      </c>
      <c r="B52" s="28">
        <f t="shared" si="2"/>
        <v>47296</v>
      </c>
      <c r="C52" s="28">
        <f t="shared" si="3"/>
        <v>47326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50">
        <v>395889540.79137427</v>
      </c>
    </row>
    <row r="53" spans="1:32" x14ac:dyDescent="0.4">
      <c r="A53" s="22">
        <f t="shared" si="1"/>
        <v>53</v>
      </c>
      <c r="B53" s="28">
        <f t="shared" si="2"/>
        <v>47661</v>
      </c>
      <c r="C53" s="28">
        <f t="shared" si="3"/>
        <v>47691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50">
        <v>410329110.93106973</v>
      </c>
    </row>
    <row r="54" spans="1:32" x14ac:dyDescent="0.4">
      <c r="A54" s="22">
        <f t="shared" si="1"/>
        <v>54</v>
      </c>
      <c r="B54" s="28">
        <f t="shared" si="2"/>
        <v>48026</v>
      </c>
      <c r="C54" s="28">
        <f t="shared" si="3"/>
        <v>48056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50">
        <v>398668069.35195851</v>
      </c>
    </row>
    <row r="55" spans="1:32" x14ac:dyDescent="0.4">
      <c r="A55" s="22">
        <f t="shared" si="1"/>
        <v>55</v>
      </c>
      <c r="B55" s="28">
        <f t="shared" si="2"/>
        <v>48392</v>
      </c>
      <c r="C55" s="28">
        <f t="shared" si="3"/>
        <v>48422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50">
        <v>399070627.51879138</v>
      </c>
    </row>
    <row r="56" spans="1:32" x14ac:dyDescent="0.4">
      <c r="A56" s="22">
        <f t="shared" si="1"/>
        <v>56</v>
      </c>
      <c r="B56" s="28">
        <f t="shared" si="2"/>
        <v>48757</v>
      </c>
      <c r="C56" s="28">
        <f t="shared" si="3"/>
        <v>48787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50">
        <v>399497370.45177329</v>
      </c>
    </row>
    <row r="57" spans="1:32" x14ac:dyDescent="0.4">
      <c r="A57" s="22">
        <f t="shared" si="1"/>
        <v>57</v>
      </c>
      <c r="B57" s="28">
        <f t="shared" si="2"/>
        <v>49122</v>
      </c>
      <c r="C57" s="28">
        <f t="shared" si="3"/>
        <v>49152</v>
      </c>
      <c r="AB57" s="43">
        <v>20300729</v>
      </c>
      <c r="AC57" s="44">
        <v>20301028</v>
      </c>
      <c r="AD57" s="44">
        <v>20301028</v>
      </c>
      <c r="AE57" s="46">
        <v>4.0220245909397614E-2</v>
      </c>
      <c r="AF57" s="50">
        <v>401100534.54851323</v>
      </c>
    </row>
    <row r="58" spans="1:32" x14ac:dyDescent="0.4">
      <c r="A58" s="22">
        <f t="shared" si="1"/>
        <v>58</v>
      </c>
      <c r="AB58" s="43">
        <v>20301028</v>
      </c>
      <c r="AC58" s="44">
        <v>20310127</v>
      </c>
      <c r="AD58" s="44">
        <v>20310127</v>
      </c>
      <c r="AE58" s="46">
        <v>4.0394446141424407E-2</v>
      </c>
      <c r="AF58" s="50">
        <v>402837764.2596845</v>
      </c>
    </row>
    <row r="59" spans="1:32" x14ac:dyDescent="0.4">
      <c r="A59" s="22">
        <f t="shared" si="1"/>
        <v>59</v>
      </c>
      <c r="AB59" s="43">
        <v>20310127</v>
      </c>
      <c r="AC59" s="44">
        <v>20310428</v>
      </c>
      <c r="AD59" s="44">
        <v>20310428</v>
      </c>
      <c r="AE59" s="46">
        <v>4.0449164445564748E-2</v>
      </c>
      <c r="AF59" s="50">
        <v>403383448.16946763</v>
      </c>
    </row>
    <row r="60" spans="1:32" x14ac:dyDescent="0.4">
      <c r="A60" s="22">
        <f t="shared" si="1"/>
        <v>60</v>
      </c>
      <c r="AB60" s="43">
        <v>20310428</v>
      </c>
      <c r="AC60" s="44">
        <v>20310728</v>
      </c>
      <c r="AD60" s="44">
        <v>20310728</v>
      </c>
      <c r="AE60" s="46">
        <v>4.0506433572192031E-2</v>
      </c>
      <c r="AF60" s="50">
        <v>403954570.41857255</v>
      </c>
    </row>
    <row r="61" spans="1:32" x14ac:dyDescent="0.4">
      <c r="A61" s="22">
        <f t="shared" si="1"/>
        <v>61</v>
      </c>
      <c r="AB61" s="43">
        <v>20310728</v>
      </c>
      <c r="AC61" s="44">
        <v>20311027</v>
      </c>
      <c r="AD61" s="44">
        <v>20311027</v>
      </c>
      <c r="AE61" s="46">
        <v>4.057743137547902E-2</v>
      </c>
      <c r="AF61" s="50">
        <v>404662603.30614692</v>
      </c>
    </row>
    <row r="62" spans="1:32" x14ac:dyDescent="0.4">
      <c r="AB62" s="43">
        <v>20311027</v>
      </c>
      <c r="AC62" s="44">
        <v>20320127</v>
      </c>
      <c r="AD62" s="44">
        <v>20320127</v>
      </c>
      <c r="AE62" s="46">
        <v>4.0649573296889605E-2</v>
      </c>
      <c r="AF62" s="50">
        <v>409836793.78781849</v>
      </c>
    </row>
    <row r="63" spans="1:32" x14ac:dyDescent="0.4">
      <c r="AB63" s="43">
        <v>20320127</v>
      </c>
      <c r="AC63" s="44">
        <v>20320427</v>
      </c>
      <c r="AD63" s="44">
        <v>20320427</v>
      </c>
      <c r="AE63" s="46">
        <v>4.0706270658794848E-2</v>
      </c>
      <c r="AF63" s="50">
        <v>405947466.29592669</v>
      </c>
    </row>
    <row r="64" spans="1:32" x14ac:dyDescent="0.4">
      <c r="AB64" s="43">
        <v>20320427</v>
      </c>
      <c r="AC64" s="44">
        <v>20320727</v>
      </c>
      <c r="AD64" s="44">
        <v>20320727</v>
      </c>
      <c r="AE64" s="46">
        <v>4.0764910214391485E-2</v>
      </c>
      <c r="AF64" s="50">
        <v>406532255.28872609</v>
      </c>
    </row>
    <row r="65" spans="28:32" x14ac:dyDescent="0.4">
      <c r="AB65" s="43">
        <v>20320727</v>
      </c>
      <c r="AC65" s="44">
        <v>20321027</v>
      </c>
      <c r="AD65" s="44">
        <v>20321027</v>
      </c>
      <c r="AE65" s="46">
        <v>4.0835355645510114E-2</v>
      </c>
      <c r="AF65" s="50">
        <v>411709887.05610204</v>
      </c>
    </row>
    <row r="66" spans="28:32" x14ac:dyDescent="0.4">
      <c r="AB66" s="43">
        <v>20321027</v>
      </c>
      <c r="AC66" s="44">
        <v>20330127</v>
      </c>
      <c r="AD66" s="44">
        <v>20330127</v>
      </c>
      <c r="AE66" s="46">
        <v>4.0906330279010514E-2</v>
      </c>
      <c r="AF66" s="50">
        <v>412425466.92262655</v>
      </c>
    </row>
    <row r="67" spans="28:32" x14ac:dyDescent="0.4">
      <c r="AB67" s="43">
        <v>20330127</v>
      </c>
      <c r="AC67" s="44">
        <v>20330427</v>
      </c>
      <c r="AD67" s="44">
        <v>20330427</v>
      </c>
      <c r="AE67" s="46">
        <v>4.0961373579067616E-2</v>
      </c>
      <c r="AF67" s="50">
        <v>404002588.72505039</v>
      </c>
    </row>
    <row r="68" spans="28:32" x14ac:dyDescent="0.4">
      <c r="AB68" s="43">
        <v>20330427</v>
      </c>
      <c r="AC68" s="44">
        <v>20330727</v>
      </c>
      <c r="AD68" s="44">
        <v>20330727</v>
      </c>
      <c r="AE68" s="46">
        <v>4.1022979127376145E-2</v>
      </c>
      <c r="AF68" s="50">
        <v>409105874.037395</v>
      </c>
    </row>
    <row r="69" spans="28:32" x14ac:dyDescent="0.4">
      <c r="AB69" s="43">
        <v>20330727</v>
      </c>
      <c r="AC69" s="44">
        <v>20331027</v>
      </c>
      <c r="AD69" s="44">
        <v>20331027</v>
      </c>
      <c r="AE69" s="46">
        <v>4.1085254465375365E-2</v>
      </c>
      <c r="AF69" s="50">
        <v>414229414.88378453</v>
      </c>
    </row>
    <row r="70" spans="28:32" x14ac:dyDescent="0.4">
      <c r="AB70" s="43">
        <v>20331027</v>
      </c>
      <c r="AC70" s="44">
        <v>20340127</v>
      </c>
      <c r="AD70" s="44">
        <v>20340127</v>
      </c>
      <c r="AE70" s="46">
        <v>4.1145553060062054E-2</v>
      </c>
      <c r="AF70" s="50">
        <v>414837356.87952977</v>
      </c>
    </row>
    <row r="71" spans="28:32" x14ac:dyDescent="0.4">
      <c r="AB71" s="43">
        <v>20340127</v>
      </c>
      <c r="AC71" s="44">
        <v>20340427</v>
      </c>
      <c r="AD71" s="44">
        <v>20340427</v>
      </c>
      <c r="AE71" s="46">
        <v>4.120054634544227E-2</v>
      </c>
      <c r="AF71" s="50">
        <v>406361552.99614292</v>
      </c>
    </row>
    <row r="72" spans="28:32" x14ac:dyDescent="0.4">
      <c r="AB72" s="43">
        <v>20340427</v>
      </c>
      <c r="AC72" s="44">
        <v>20340727</v>
      </c>
      <c r="AD72" s="44">
        <v>20340727</v>
      </c>
      <c r="AE72" s="46">
        <v>4.1262182180395478E-2</v>
      </c>
      <c r="AF72" s="50">
        <v>411491351.05928642</v>
      </c>
    </row>
    <row r="73" spans="28:32" x14ac:dyDescent="0.4">
      <c r="AB73" s="43">
        <v>20340727</v>
      </c>
      <c r="AC73" s="44">
        <v>20341027</v>
      </c>
      <c r="AD73" s="44">
        <v>20341027</v>
      </c>
      <c r="AE73" s="46">
        <v>4.0490863360382663E-2</v>
      </c>
      <c r="AF73" s="50">
        <v>408236649.77043343</v>
      </c>
    </row>
    <row r="74" spans="28:32" x14ac:dyDescent="0.4">
      <c r="AB74" s="43">
        <v>20341027</v>
      </c>
      <c r="AC74" s="44">
        <v>20350129</v>
      </c>
      <c r="AD74" s="44">
        <v>20350129</v>
      </c>
      <c r="AE74" s="46">
        <v>3.9551195769064906E-2</v>
      </c>
      <c r="AF74" s="50">
        <v>407431496.14160013</v>
      </c>
    </row>
    <row r="75" spans="28:32" x14ac:dyDescent="0.4">
      <c r="AB75" s="43">
        <v>20350129</v>
      </c>
      <c r="AC75" s="44">
        <v>20350427</v>
      </c>
      <c r="AD75" s="44">
        <v>20350427</v>
      </c>
      <c r="AE75" s="46">
        <v>3.9530895519032473E-2</v>
      </c>
      <c r="AF75" s="50">
        <v>381229458.15614879</v>
      </c>
    </row>
    <row r="76" spans="28:32" x14ac:dyDescent="0.4">
      <c r="AB76" s="43">
        <v>20350427</v>
      </c>
      <c r="AC76" s="44">
        <v>20350727</v>
      </c>
      <c r="AD76" s="44">
        <v>20350727</v>
      </c>
      <c r="AE76" s="46">
        <v>3.9517699799082588E-2</v>
      </c>
      <c r="AF76" s="50">
        <v>394094321.28400171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2024-09-12T13:12:58Z</dcterms:modified>
</cp:coreProperties>
</file>