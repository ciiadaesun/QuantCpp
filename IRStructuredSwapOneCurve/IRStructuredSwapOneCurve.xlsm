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AO30" i="2" l="1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<sst xmlns="http://schemas.openxmlformats.org/spreadsheetml/2006/main" count="122" uniqueCount="87">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</sst>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00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41" fontId="0" fillId="2" borderId="0" xfId="2" applyFont="1" applyFill="1">
      <alignment vertical="center"/>
    </xf>
    <xf numFmtId="188" fontId="0" fillId="2" borderId="0" xfId="0" applyNumberFormat="1" applyFill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abSelected="1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</row>
    <row r="5" spans="1:41" x14ac:dyDescent="0.4">
      <c r="A5" s="1">
        <f>A4+1</f>
        <v>5</v>
      </c>
      <c r="B5" s="59" t="s">
        <v>29</v>
      </c>
      <c r="C5" s="59"/>
      <c r="D5" s="60">
        <v>45538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75</v>
      </c>
      <c r="M6" s="54"/>
      <c r="N6" s="54"/>
      <c r="O6" s="62" t="s">
        <v>76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53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53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0" t="s">
        <v>23</v>
      </c>
      <c r="E13" s="70"/>
      <c r="G13" s="68"/>
      <c r="H13" s="53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0"/>
      <c r="E14" s="70"/>
      <c r="G14" s="68"/>
      <c r="H14" s="53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0"/>
      <c r="E15" s="70"/>
      <c r="G15" s="68"/>
      <c r="H15" s="53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8"/>
      <c r="H16" s="53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53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53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8"/>
      <c r="H19" s="53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8"/>
      <c r="H20" s="53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8"/>
      <c r="H21" s="53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8"/>
      <c r="H22" s="53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53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53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53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53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8"/>
      <c r="H27" s="53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8"/>
      <c r="H28" s="53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8"/>
      <c r="H29" s="53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8"/>
      <c r="H30" s="53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8"/>
      <c r="H31" s="53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8"/>
      <c r="H32" s="53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8"/>
      <c r="H33" s="53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8"/>
      <c r="H34" s="53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8"/>
      <c r="H35" s="53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8"/>
      <c r="H36" s="53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8"/>
      <c r="H37" s="53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8"/>
      <c r="H38" s="53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8"/>
      <c r="H39" s="53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8"/>
      <c r="H40" s="53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3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3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3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3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3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3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3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3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3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3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3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3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3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opLeftCell="AA4" workbookViewId="0">
      <selection activeCell="AH13" sqref="AH13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2" t="s">
        <v>30</v>
      </c>
      <c r="C3" s="72"/>
      <c r="D3" s="73">
        <v>45538</v>
      </c>
      <c r="E3" s="74"/>
      <c r="F3" s="75" t="s">
        <v>31</v>
      </c>
      <c r="G3" s="75"/>
      <c r="H3" s="74">
        <v>0</v>
      </c>
      <c r="I3" s="74"/>
      <c r="J3" s="75" t="s">
        <v>32</v>
      </c>
      <c r="K3" s="75"/>
      <c r="L3" s="76">
        <v>40000000000</v>
      </c>
      <c r="M3" s="76"/>
      <c r="O3" s="126" t="s">
        <v>50</v>
      </c>
      <c r="P3" s="127"/>
      <c r="Q3" s="127"/>
      <c r="R3" s="128"/>
      <c r="T3" s="124" t="s">
        <v>56</v>
      </c>
      <c r="U3" s="125"/>
      <c r="W3" s="152" t="s">
        <v>77</v>
      </c>
      <c r="X3" s="153"/>
      <c r="Y3" s="152" t="s">
        <v>78</v>
      </c>
      <c r="Z3" s="153"/>
      <c r="AB3" s="88" t="s">
        <v>66</v>
      </c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90"/>
    </row>
    <row r="4" spans="1:57" x14ac:dyDescent="0.4">
      <c r="A4" s="21">
        <f t="shared" si="1"/>
        <v>4</v>
      </c>
      <c r="B4" s="20"/>
      <c r="C4" s="20"/>
      <c r="O4" s="129" t="s">
        <v>49</v>
      </c>
      <c r="P4" s="130"/>
      <c r="Q4" s="131">
        <v>43819</v>
      </c>
      <c r="R4" s="132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3"/>
    </row>
    <row r="5" spans="1:57" x14ac:dyDescent="0.4">
      <c r="A5" s="21">
        <f t="shared" si="1"/>
        <v>5</v>
      </c>
      <c r="B5" s="88" t="s">
        <v>48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  <c r="O5" s="137" t="s">
        <v>51</v>
      </c>
      <c r="P5" s="138"/>
      <c r="Q5" s="139">
        <v>49298</v>
      </c>
      <c r="R5" s="140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91"/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O6" s="135" t="s">
        <v>43</v>
      </c>
      <c r="P6" s="136"/>
      <c r="Q6" s="123">
        <v>0</v>
      </c>
      <c r="R6" s="106"/>
      <c r="W6" s="28">
        <v>44769</v>
      </c>
      <c r="X6" s="35">
        <v>3.6999999999999998E-2</v>
      </c>
      <c r="Y6" s="28">
        <v>44769</v>
      </c>
      <c r="Z6" s="37">
        <v>0.03</v>
      </c>
      <c r="AB6" s="75" t="s">
        <v>67</v>
      </c>
      <c r="AC6" s="75"/>
      <c r="AD6" s="74">
        <v>0</v>
      </c>
      <c r="AE6" s="74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5" t="s">
        <v>33</v>
      </c>
      <c r="C7" s="75"/>
      <c r="D7" s="77">
        <v>1</v>
      </c>
      <c r="E7" s="78"/>
      <c r="F7" s="75" t="s">
        <v>34</v>
      </c>
      <c r="G7" s="75"/>
      <c r="H7" s="77">
        <v>1</v>
      </c>
      <c r="I7" s="78"/>
      <c r="J7" s="75" t="s">
        <v>86</v>
      </c>
      <c r="K7" s="75"/>
      <c r="L7" s="105">
        <v>0</v>
      </c>
      <c r="M7" s="106"/>
      <c r="O7" s="124" t="str">
        <f>IF(Q6&gt;0,"Phase2날짜","")</f>
        <v/>
      </c>
      <c r="P7" s="125"/>
      <c r="Q7" s="133">
        <v>45865</v>
      </c>
      <c r="R7" s="134"/>
      <c r="W7" s="28">
        <v>44815</v>
      </c>
      <c r="X7" s="35">
        <v>3.6999999999999998E-2</v>
      </c>
      <c r="Y7" s="28">
        <v>44815</v>
      </c>
      <c r="Z7" s="35">
        <v>0.03</v>
      </c>
      <c r="AB7" s="75" t="s">
        <v>80</v>
      </c>
      <c r="AC7" s="75"/>
      <c r="AD7" s="74">
        <v>0</v>
      </c>
      <c r="AE7" s="74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9" t="str">
        <f>"기초금리정보"</f>
        <v>기초금리정보</v>
      </c>
      <c r="C9" s="80"/>
      <c r="D9" s="85" t="s">
        <v>35</v>
      </c>
      <c r="E9" s="85"/>
      <c r="F9" s="105">
        <v>0</v>
      </c>
      <c r="G9" s="106"/>
      <c r="H9" s="24"/>
      <c r="I9" s="23"/>
      <c r="J9" s="94" t="str">
        <f>IF(OR(F10 = 0, F10 = 2, F10 = 4), "RefType = "&amp;F10&amp;" 이므로 Ref Swap 금리정보 사용안함", "사용")</f>
        <v>사용</v>
      </c>
      <c r="K9" s="95"/>
      <c r="L9" s="95"/>
      <c r="M9" s="96"/>
      <c r="O9" s="87" t="s">
        <v>53</v>
      </c>
      <c r="P9" s="87"/>
      <c r="Q9" s="87"/>
      <c r="R9" s="87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1"/>
      <c r="C10" s="82"/>
      <c r="D10" s="85" t="s">
        <v>36</v>
      </c>
      <c r="E10" s="86"/>
      <c r="F10" s="107">
        <v>1</v>
      </c>
      <c r="G10" s="108"/>
      <c r="H10" s="94" t="str">
        <f xml:space="preserve"> "Swap 레퍼런스금리정보"</f>
        <v>Swap 레퍼런스금리정보</v>
      </c>
      <c r="I10" s="95"/>
      <c r="J10" s="98" t="str">
        <f>IF(OR(F10 = 0, F10 = 2, F10 = 4), "", "연 지급횟수")</f>
        <v>연 지급횟수</v>
      </c>
      <c r="K10" s="99"/>
      <c r="L10" s="100">
        <v>4</v>
      </c>
      <c r="M10" s="101"/>
      <c r="O10" s="87" t="s">
        <v>52</v>
      </c>
      <c r="P10" s="87"/>
      <c r="Q10" s="123">
        <v>4</v>
      </c>
      <c r="R10" s="106"/>
      <c r="AB10" s="137" t="s">
        <v>79</v>
      </c>
      <c r="AC10" s="150"/>
      <c r="AD10" s="151">
        <v>940293287.59126413</v>
      </c>
      <c r="AE10" s="15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1"/>
      <c r="C11" s="82"/>
      <c r="D11" s="87" t="s">
        <v>37</v>
      </c>
      <c r="E11" s="87"/>
      <c r="F11" s="105">
        <v>0</v>
      </c>
      <c r="G11" s="106"/>
      <c r="H11" s="97"/>
      <c r="I11" s="98"/>
      <c r="J11" s="98" t="str">
        <f>IF(F11=0, "만기", "입력X, 아래만기2개입력")</f>
        <v>만기</v>
      </c>
      <c r="K11" s="99"/>
      <c r="L11" s="120">
        <v>0.25</v>
      </c>
      <c r="M11" s="121"/>
      <c r="O11" s="87" t="s">
        <v>54</v>
      </c>
      <c r="P11" s="87"/>
      <c r="Q11" s="123">
        <v>0</v>
      </c>
      <c r="R11" s="106"/>
      <c r="AB11" s="20"/>
      <c r="AC11" s="20"/>
      <c r="AD11" s="20">
        <v>798615000</v>
      </c>
      <c r="AE11" s="52">
        <f>(AD11-AD10)/L3</f>
        <v>-3.5419571897816033E-3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1"/>
      <c r="C12" s="82"/>
      <c r="D12" s="87" t="s">
        <v>38</v>
      </c>
      <c r="E12" s="87"/>
      <c r="F12" s="114">
        <v>1</v>
      </c>
      <c r="G12" s="115"/>
      <c r="H12" s="102" t="str">
        <f>"ex) Deposit 3M -&gt; 연 지급횟수= 4, 만기= 0.25 ||  ex2) CMT 5Y 연 지급횟수=2, 만기 5"</f>
        <v>ex) Deposit 3M -&gt; 연 지급횟수= 4, 만기= 0.25 ||  ex2) CMT 5Y 연 지급횟수=2, 만기 5</v>
      </c>
      <c r="I12" s="102"/>
      <c r="J12" s="102"/>
      <c r="K12" s="102"/>
      <c r="L12" s="102"/>
      <c r="M12" s="103"/>
      <c r="O12" s="124" t="s">
        <v>55</v>
      </c>
      <c r="P12" s="125"/>
      <c r="Q12" s="123">
        <v>4</v>
      </c>
      <c r="R12" s="106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1"/>
      <c r="C13" s="82"/>
      <c r="D13" s="87" t="s">
        <v>39</v>
      </c>
      <c r="E13" s="85"/>
      <c r="F13" s="116">
        <v>-1</v>
      </c>
      <c r="G13" s="117"/>
      <c r="H13" s="104" t="str">
        <f>IF(F11&gt;0,"PowerSpreadFlag 1일때 입력","입력필요X")</f>
        <v>입력필요X</v>
      </c>
      <c r="I13" s="104"/>
      <c r="J13" s="104" t="str">
        <f>IF(F11&gt;0,"만기1","")</f>
        <v/>
      </c>
      <c r="K13" s="104"/>
      <c r="L13" s="110">
        <v>10</v>
      </c>
      <c r="M13" s="111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3"/>
      <c r="C14" s="84"/>
      <c r="D14" s="109" t="s">
        <v>40</v>
      </c>
      <c r="E14" s="109"/>
      <c r="F14" s="118">
        <v>1</v>
      </c>
      <c r="G14" s="119"/>
      <c r="H14" s="104"/>
      <c r="I14" s="104"/>
      <c r="J14" s="104" t="str">
        <f>IF(F11&gt;0,"만기2","")</f>
        <v/>
      </c>
      <c r="K14" s="104"/>
      <c r="L14" s="110">
        <v>5</v>
      </c>
      <c r="M14" s="111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8" t="s">
        <v>73</v>
      </c>
      <c r="AC15" s="149"/>
      <c r="AD15" s="149"/>
      <c r="AE15" s="149"/>
      <c r="AF15" s="149"/>
      <c r="AG15" s="148" t="s">
        <v>74</v>
      </c>
      <c r="AH15" s="149"/>
      <c r="AI15" s="149"/>
      <c r="AJ15" s="149"/>
      <c r="AK15" s="149"/>
      <c r="AM15" s="51">
        <v>1.0202</v>
      </c>
    </row>
    <row r="16" spans="1:57" x14ac:dyDescent="0.4">
      <c r="A16" s="21">
        <f t="shared" si="1"/>
        <v>16</v>
      </c>
      <c r="B16" s="147" t="s">
        <v>41</v>
      </c>
      <c r="C16" s="147"/>
      <c r="D16" s="87" t="s">
        <v>81</v>
      </c>
      <c r="E16" s="87"/>
      <c r="F16" s="114">
        <v>-1E-4</v>
      </c>
      <c r="G16" s="115"/>
      <c r="H16" s="112" t="s">
        <v>84</v>
      </c>
      <c r="I16" s="113"/>
      <c r="J16" s="122" t="str">
        <f>IF(F11&gt;0, F13&amp;" &lt; "&amp;F10&amp;" x Rate("&amp;L13&amp;"Y-"&amp;L14&amp;"Y) &lt; "&amp;F12,F13&amp;" &lt; "&amp;F10&amp;" x Rate("&amp;L11&amp;"Y) &lt; "&amp;F12)</f>
        <v>-1 &lt; 1 x Rate(0.25Y) &lt; 1</v>
      </c>
      <c r="K16" s="122"/>
      <c r="L16" s="122"/>
      <c r="M16" s="122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  <c r="AL16" s="20">
        <v>1</v>
      </c>
      <c r="AM16" s="51">
        <f>ROUNDUP($AM$15^AL16,4)</f>
        <v>1.0202</v>
      </c>
      <c r="AN16" s="50">
        <f>(AM16-1)*$L$3</f>
        <v>807999999.99999988</v>
      </c>
      <c r="AO16" s="20">
        <f>($AM$15^AL16)</f>
        <v>1.0202</v>
      </c>
    </row>
    <row r="17" spans="1:41" x14ac:dyDescent="0.4">
      <c r="A17" s="21">
        <f t="shared" si="1"/>
        <v>17</v>
      </c>
      <c r="B17" s="147"/>
      <c r="C17" s="147"/>
      <c r="D17" s="87" t="s">
        <v>44</v>
      </c>
      <c r="E17" s="87"/>
      <c r="F17" s="114">
        <v>0</v>
      </c>
      <c r="G17" s="115"/>
      <c r="H17" s="112" t="s">
        <v>82</v>
      </c>
      <c r="I17" s="113"/>
      <c r="J17" s="122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2"/>
      <c r="L17" s="122"/>
      <c r="M17" s="122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  <c r="AL17" s="20">
        <v>2</v>
      </c>
      <c r="AM17" s="51">
        <f t="shared" ref="AM17:AM30" si="2">ROUNDUP($AM$15^AL17,4)</f>
        <v>1.0408999999999999</v>
      </c>
      <c r="AN17" s="50">
        <f t="shared" ref="AN17:AN30" si="3">(AM17-1)*$L$3</f>
        <v>1635999999.9999974</v>
      </c>
      <c r="AO17" s="20">
        <f t="shared" ref="AO17:AO30" si="4">($AM$15^AL17)</f>
        <v>1.0408080399999999</v>
      </c>
    </row>
    <row r="18" spans="1:41" x14ac:dyDescent="0.4">
      <c r="A18" s="21">
        <f t="shared" si="1"/>
        <v>18</v>
      </c>
      <c r="B18" s="147"/>
      <c r="C18" s="147"/>
      <c r="D18" s="87" t="s">
        <v>45</v>
      </c>
      <c r="E18" s="87"/>
      <c r="F18" s="105">
        <v>1</v>
      </c>
      <c r="G18" s="106"/>
      <c r="H18" s="112"/>
      <c r="I18" s="113"/>
      <c r="J18" s="122"/>
      <c r="K18" s="122"/>
      <c r="L18" s="122"/>
      <c r="M18" s="122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L18" s="20">
        <v>3</v>
      </c>
      <c r="AM18" s="51">
        <f t="shared" si="2"/>
        <v>1.0619000000000001</v>
      </c>
      <c r="AN18" s="50">
        <f t="shared" si="3"/>
        <v>2476000000.0000029</v>
      </c>
      <c r="AO18" s="20">
        <f t="shared" si="4"/>
        <v>1.0618323624079999</v>
      </c>
    </row>
    <row r="19" spans="1:41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L19" s="20">
        <v>4</v>
      </c>
      <c r="AM19" s="51">
        <f t="shared" si="2"/>
        <v>1.0832999999999999</v>
      </c>
      <c r="AN19" s="50">
        <f t="shared" si="3"/>
        <v>3331999999.9999971</v>
      </c>
      <c r="AO19" s="20">
        <f t="shared" si="4"/>
        <v>1.0832813761286415</v>
      </c>
    </row>
    <row r="20" spans="1:41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L20" s="20">
        <v>5</v>
      </c>
      <c r="AM20" s="51">
        <f t="shared" si="2"/>
        <v>1.1052</v>
      </c>
      <c r="AN20" s="50">
        <f t="shared" si="3"/>
        <v>4207999999.9999986</v>
      </c>
      <c r="AO20" s="20">
        <f t="shared" si="4"/>
        <v>1.1051636599264401</v>
      </c>
    </row>
    <row r="21" spans="1:41" x14ac:dyDescent="0.4">
      <c r="A21" s="21">
        <f t="shared" si="1"/>
        <v>21</v>
      </c>
      <c r="B21" s="147" t="s">
        <v>46</v>
      </c>
      <c r="C21" s="147"/>
      <c r="D21" s="87" t="s">
        <v>42</v>
      </c>
      <c r="E21" s="87"/>
      <c r="F21" s="114">
        <v>-1E-4</v>
      </c>
      <c r="G21" s="115"/>
      <c r="H21" s="112" t="s">
        <v>83</v>
      </c>
      <c r="I21" s="113"/>
      <c r="J21" s="122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2"/>
      <c r="L21" s="122"/>
      <c r="M21" s="122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L21" s="20">
        <v>6</v>
      </c>
      <c r="AM21" s="51">
        <f t="shared" si="2"/>
        <v>1.1274999999999999</v>
      </c>
      <c r="AN21" s="50">
        <f t="shared" si="3"/>
        <v>5099999999.9999981</v>
      </c>
      <c r="AO21" s="20">
        <f t="shared" si="4"/>
        <v>1.1274879658569541</v>
      </c>
    </row>
    <row r="22" spans="1:41" x14ac:dyDescent="0.4">
      <c r="A22" s="21">
        <f t="shared" si="1"/>
        <v>22</v>
      </c>
      <c r="B22" s="147"/>
      <c r="C22" s="147"/>
      <c r="D22" s="87" t="s">
        <v>44</v>
      </c>
      <c r="E22" s="87"/>
      <c r="F22" s="114">
        <v>0</v>
      </c>
      <c r="G22" s="115"/>
      <c r="H22" s="112"/>
      <c r="I22" s="113"/>
      <c r="J22" s="122"/>
      <c r="K22" s="122"/>
      <c r="L22" s="122"/>
      <c r="M22" s="122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L22" s="20">
        <v>7</v>
      </c>
      <c r="AM22" s="51">
        <f t="shared" si="2"/>
        <v>1.1502999999999999</v>
      </c>
      <c r="AN22" s="50">
        <f t="shared" si="3"/>
        <v>6011999999.9999952</v>
      </c>
      <c r="AO22" s="20">
        <f t="shared" si="4"/>
        <v>1.1502632227672647</v>
      </c>
    </row>
    <row r="23" spans="1:41" x14ac:dyDescent="0.4">
      <c r="A23" s="21">
        <f t="shared" si="1"/>
        <v>23</v>
      </c>
      <c r="B23" s="147"/>
      <c r="C23" s="147"/>
      <c r="D23" s="87" t="s">
        <v>45</v>
      </c>
      <c r="E23" s="87"/>
      <c r="F23" s="105">
        <v>1</v>
      </c>
      <c r="G23" s="106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L23" s="20">
        <v>8</v>
      </c>
      <c r="AM23" s="51">
        <f t="shared" si="2"/>
        <v>1.1735</v>
      </c>
      <c r="AN23" s="50">
        <f t="shared" si="3"/>
        <v>6939999999.999999</v>
      </c>
      <c r="AO23" s="20">
        <f t="shared" si="4"/>
        <v>1.1734985398671633</v>
      </c>
    </row>
    <row r="24" spans="1:41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L24" s="20">
        <v>9</v>
      </c>
      <c r="AM24" s="51">
        <f t="shared" si="2"/>
        <v>1.1973</v>
      </c>
      <c r="AN24" s="50">
        <f t="shared" si="3"/>
        <v>7892000000.000001</v>
      </c>
      <c r="AO24" s="20">
        <f t="shared" si="4"/>
        <v>1.1972032103724801</v>
      </c>
    </row>
    <row r="25" spans="1:41" x14ac:dyDescent="0.4">
      <c r="A25" s="21">
        <f t="shared" si="1"/>
        <v>25</v>
      </c>
      <c r="B25" s="88" t="s">
        <v>47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90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L25" s="20">
        <v>10</v>
      </c>
      <c r="AM25" s="51">
        <f t="shared" si="2"/>
        <v>1.2214</v>
      </c>
      <c r="AN25" s="50">
        <f t="shared" si="3"/>
        <v>8856000000.0000019</v>
      </c>
      <c r="AO25" s="20">
        <f t="shared" si="4"/>
        <v>1.2213867152220041</v>
      </c>
    </row>
    <row r="26" spans="1:41" x14ac:dyDescent="0.4">
      <c r="A26" s="21">
        <f t="shared" si="1"/>
        <v>26</v>
      </c>
      <c r="B26" s="91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3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L26" s="20">
        <v>11</v>
      </c>
      <c r="AM26" s="51">
        <f t="shared" si="2"/>
        <v>1.2461</v>
      </c>
      <c r="AN26" s="50">
        <f t="shared" si="3"/>
        <v>9844000000</v>
      </c>
      <c r="AO26" s="20">
        <f t="shared" si="4"/>
        <v>1.2460587268694885</v>
      </c>
    </row>
    <row r="27" spans="1:41" x14ac:dyDescent="0.4">
      <c r="A27" s="21">
        <f t="shared" si="1"/>
        <v>27</v>
      </c>
      <c r="B27" s="75" t="s">
        <v>33</v>
      </c>
      <c r="C27" s="75"/>
      <c r="D27" s="77">
        <v>1</v>
      </c>
      <c r="E27" s="78"/>
      <c r="F27" s="75" t="s">
        <v>34</v>
      </c>
      <c r="G27" s="75"/>
      <c r="H27" s="77">
        <v>1</v>
      </c>
      <c r="I27" s="78"/>
      <c r="J27" s="75" t="s">
        <v>86</v>
      </c>
      <c r="K27" s="75"/>
      <c r="L27" s="105">
        <v>4</v>
      </c>
      <c r="M27" s="106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L27" s="20">
        <v>12</v>
      </c>
      <c r="AM27" s="51">
        <f t="shared" si="2"/>
        <v>1.2713000000000001</v>
      </c>
      <c r="AN27" s="50">
        <f t="shared" si="3"/>
        <v>10852000000.000004</v>
      </c>
      <c r="AO27" s="20">
        <f t="shared" si="4"/>
        <v>1.2712291131522522</v>
      </c>
    </row>
    <row r="28" spans="1:41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L28" s="20">
        <v>13</v>
      </c>
      <c r="AM28" s="51">
        <f t="shared" si="2"/>
        <v>1.2969999999999999</v>
      </c>
      <c r="AN28" s="50">
        <f t="shared" si="3"/>
        <v>11879999999.999998</v>
      </c>
      <c r="AO28" s="20">
        <f t="shared" si="4"/>
        <v>1.2969079412379276</v>
      </c>
    </row>
    <row r="29" spans="1:41" x14ac:dyDescent="0.4">
      <c r="A29" s="21">
        <f t="shared" si="1"/>
        <v>29</v>
      </c>
      <c r="B29" s="79" t="str">
        <f>"기초금리정보"</f>
        <v>기초금리정보</v>
      </c>
      <c r="C29" s="80"/>
      <c r="D29" s="85" t="s">
        <v>35</v>
      </c>
      <c r="E29" s="85"/>
      <c r="F29" s="105">
        <v>3</v>
      </c>
      <c r="G29" s="106"/>
      <c r="H29" s="24"/>
      <c r="I29" s="23"/>
      <c r="J29" s="94" t="str">
        <f>IF(OR(F30 = 0, F30 = 2, F30 = 4), "RefType = "&amp;F30&amp;" 이므로 Ref Swap 금리정보 사용안함", "사용")</f>
        <v>RefType = 0 이므로 Ref Swap 금리정보 사용안함</v>
      </c>
      <c r="K29" s="95"/>
      <c r="L29" s="95"/>
      <c r="M29" s="96"/>
      <c r="O29" s="87" t="s">
        <v>59</v>
      </c>
      <c r="P29" s="87"/>
      <c r="Q29" s="87"/>
      <c r="R29" s="87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L29" s="20">
        <v>14</v>
      </c>
      <c r="AM29" s="51">
        <f t="shared" si="2"/>
        <v>1.3231999999999999</v>
      </c>
      <c r="AN29" s="50">
        <f t="shared" si="3"/>
        <v>12927999999.999998</v>
      </c>
      <c r="AO29" s="20">
        <f t="shared" si="4"/>
        <v>1.3231054816509338</v>
      </c>
    </row>
    <row r="30" spans="1:41" x14ac:dyDescent="0.4">
      <c r="A30" s="21">
        <f t="shared" si="1"/>
        <v>30</v>
      </c>
      <c r="B30" s="81"/>
      <c r="C30" s="82"/>
      <c r="D30" s="85" t="s">
        <v>36</v>
      </c>
      <c r="E30" s="86"/>
      <c r="F30" s="107">
        <v>0</v>
      </c>
      <c r="G30" s="108"/>
      <c r="H30" s="94" t="str">
        <f xml:space="preserve"> "Swap 레퍼런스금리정보"</f>
        <v>Swap 레퍼런스금리정보</v>
      </c>
      <c r="I30" s="95"/>
      <c r="J30" s="98" t="str">
        <f>IF(OR(F30 = 0, F30 = 2, F30 = 4), "", "연 지급횟수")</f>
        <v/>
      </c>
      <c r="K30" s="99"/>
      <c r="L30" s="100">
        <v>4</v>
      </c>
      <c r="M30" s="101"/>
      <c r="O30" s="87" t="s">
        <v>52</v>
      </c>
      <c r="P30" s="87"/>
      <c r="Q30" s="123">
        <v>-1</v>
      </c>
      <c r="R30" s="106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L30" s="20">
        <v>15</v>
      </c>
      <c r="AM30" s="51">
        <f t="shared" si="2"/>
        <v>1.3499000000000001</v>
      </c>
      <c r="AN30" s="50">
        <f t="shared" si="3"/>
        <v>13996000000.000004</v>
      </c>
      <c r="AO30" s="20">
        <f t="shared" si="4"/>
        <v>1.3498322123802828</v>
      </c>
    </row>
    <row r="31" spans="1:41" x14ac:dyDescent="0.4">
      <c r="A31" s="21">
        <f t="shared" si="1"/>
        <v>31</v>
      </c>
      <c r="B31" s="81"/>
      <c r="C31" s="82"/>
      <c r="D31" s="87" t="s">
        <v>37</v>
      </c>
      <c r="E31" s="87"/>
      <c r="F31" s="105">
        <v>0</v>
      </c>
      <c r="G31" s="106"/>
      <c r="H31" s="97"/>
      <c r="I31" s="98"/>
      <c r="J31" s="98" t="str">
        <f>IF(F31=0, "만기", "입력X, 아래만기2개입력")</f>
        <v>만기</v>
      </c>
      <c r="K31" s="99"/>
      <c r="L31" s="120">
        <v>10</v>
      </c>
      <c r="M31" s="121"/>
      <c r="O31" s="87" t="s">
        <v>54</v>
      </c>
      <c r="P31" s="87"/>
      <c r="Q31" s="123">
        <v>0</v>
      </c>
      <c r="R31" s="106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41" x14ac:dyDescent="0.4">
      <c r="A32" s="21">
        <f t="shared" si="1"/>
        <v>32</v>
      </c>
      <c r="B32" s="81"/>
      <c r="C32" s="82"/>
      <c r="D32" s="87" t="s">
        <v>38</v>
      </c>
      <c r="E32" s="87"/>
      <c r="F32" s="114">
        <v>0.8</v>
      </c>
      <c r="G32" s="115"/>
      <c r="H32" s="102" t="str">
        <f>"ex) Deposit 3M -&gt; 연 지급횟수= 4, 만기= 0.25 ||  ex2) CMT 5Y 연 지급횟수=2, 만기 5"</f>
        <v>ex) Deposit 3M -&gt; 연 지급횟수= 4, 만기= 0.25 ||  ex2) CMT 5Y 연 지급횟수=2, 만기 5</v>
      </c>
      <c r="I32" s="102"/>
      <c r="J32" s="102"/>
      <c r="K32" s="102"/>
      <c r="L32" s="102"/>
      <c r="M32" s="103"/>
      <c r="O32" s="124" t="s">
        <v>55</v>
      </c>
      <c r="P32" s="125"/>
      <c r="Q32" s="123">
        <v>0</v>
      </c>
      <c r="R32" s="106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81"/>
      <c r="C33" s="82"/>
      <c r="D33" s="87" t="s">
        <v>39</v>
      </c>
      <c r="E33" s="85"/>
      <c r="F33" s="116">
        <v>-0.8</v>
      </c>
      <c r="G33" s="117"/>
      <c r="H33" s="104" t="str">
        <f>IF(F31&gt;0,"PowerSpreadFlag 1일때 입력","입력필요X")</f>
        <v>입력필요X</v>
      </c>
      <c r="I33" s="104"/>
      <c r="J33" s="104" t="str">
        <f>IF(F31&gt;0,"만기1","")</f>
        <v/>
      </c>
      <c r="K33" s="104"/>
      <c r="L33" s="110">
        <v>10</v>
      </c>
      <c r="M33" s="111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83"/>
      <c r="C34" s="84"/>
      <c r="D34" s="109" t="s">
        <v>40</v>
      </c>
      <c r="E34" s="109"/>
      <c r="F34" s="118">
        <v>0</v>
      </c>
      <c r="G34" s="119"/>
      <c r="H34" s="104"/>
      <c r="I34" s="104"/>
      <c r="J34" s="104" t="str">
        <f>IF(F31&gt;0,"만기2","")</f>
        <v/>
      </c>
      <c r="K34" s="104"/>
      <c r="L34" s="110">
        <v>5</v>
      </c>
      <c r="M34" s="111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47" t="s">
        <v>41</v>
      </c>
      <c r="C36" s="147"/>
      <c r="D36" s="87" t="s">
        <v>42</v>
      </c>
      <c r="E36" s="87"/>
      <c r="F36" s="114">
        <v>2.0199999999999999E-2</v>
      </c>
      <c r="G36" s="115"/>
      <c r="H36" s="112" t="s">
        <v>85</v>
      </c>
      <c r="I36" s="113"/>
      <c r="J36" s="122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2"/>
      <c r="L36" s="122"/>
      <c r="M36" s="122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47"/>
      <c r="C37" s="147"/>
      <c r="D37" s="87" t="s">
        <v>44</v>
      </c>
      <c r="E37" s="87"/>
      <c r="F37" s="114">
        <v>0</v>
      </c>
      <c r="G37" s="115"/>
      <c r="H37" s="112" t="s">
        <v>82</v>
      </c>
      <c r="I37" s="113"/>
      <c r="J37" s="122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2"/>
      <c r="L37" s="122"/>
      <c r="M37" s="122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47"/>
      <c r="C38" s="147"/>
      <c r="D38" s="87" t="s">
        <v>45</v>
      </c>
      <c r="E38" s="87"/>
      <c r="F38" s="105">
        <v>0</v>
      </c>
      <c r="G38" s="106"/>
      <c r="H38" s="112"/>
      <c r="I38" s="113"/>
      <c r="J38" s="122"/>
      <c r="K38" s="122"/>
      <c r="L38" s="122"/>
      <c r="M38" s="122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47" t="s">
        <v>46</v>
      </c>
      <c r="C41" s="147"/>
      <c r="D41" s="87" t="s">
        <v>42</v>
      </c>
      <c r="E41" s="87"/>
      <c r="F41" s="114">
        <v>2.0199999999999999E-2</v>
      </c>
      <c r="G41" s="115"/>
      <c r="H41" s="112" t="s">
        <v>83</v>
      </c>
      <c r="I41" s="113"/>
      <c r="J41" s="122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2"/>
      <c r="L41" s="122"/>
      <c r="M41" s="122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47"/>
      <c r="C42" s="147"/>
      <c r="D42" s="87" t="s">
        <v>44</v>
      </c>
      <c r="E42" s="87"/>
      <c r="F42" s="114">
        <v>0</v>
      </c>
      <c r="G42" s="115"/>
      <c r="H42" s="112"/>
      <c r="I42" s="113"/>
      <c r="J42" s="122"/>
      <c r="K42" s="122"/>
      <c r="L42" s="122"/>
      <c r="M42" s="122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47"/>
      <c r="C43" s="147"/>
      <c r="D43" s="87" t="s">
        <v>45</v>
      </c>
      <c r="E43" s="87"/>
      <c r="F43" s="105">
        <v>0</v>
      </c>
      <c r="G43" s="106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41" t="s">
        <v>61</v>
      </c>
      <c r="C45" s="142"/>
      <c r="D45" s="142"/>
      <c r="E45" s="142"/>
      <c r="F45" s="142"/>
      <c r="G45" s="143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44"/>
      <c r="C46" s="145"/>
      <c r="D46" s="145"/>
      <c r="E46" s="145"/>
      <c r="F46" s="145"/>
      <c r="G46" s="146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G48" s="20">
        <v>44524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G49" s="20">
        <v>44889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G50" s="20">
        <v>45254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G51" s="20">
        <v>45622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G52" s="20">
        <v>45987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G53" s="20">
        <v>46351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G54" s="20">
        <v>46715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G55" s="20">
        <v>47081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G56" s="20">
        <v>47448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G57" s="20">
        <v>47813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G58" s="20">
        <v>48178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G59" s="20">
        <v>48542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G60" s="20">
        <v>48907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2024-11-17T13:05:09Z</dcterms:modified>
</cp:coreProperties>
</file>