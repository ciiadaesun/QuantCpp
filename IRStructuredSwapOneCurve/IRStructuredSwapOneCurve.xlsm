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StructuredSwapOneCurve\"/>
    </mc:Choice>
  </mc:AlternateContent>
  <bookViews>
    <workbookView xWindow="0" yWindow="0" windowWidth="23016" windowHeight="9084" activeTab="1"/>
  </bookViews>
  <sheets>
    <sheet name="Calibration" sheetId="1" r:id="rId1"/>
    <sheet name="Pricing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8" i="2" l="1"/>
  <c r="J36" i="2"/>
  <c r="J16" i="2"/>
  <c r="O7" i="2"/>
  <c r="J34" i="2"/>
  <c r="J33" i="2"/>
  <c r="H33" i="2"/>
  <c r="H32" i="2"/>
  <c r="J31" i="2"/>
  <c r="J30" i="2"/>
  <c r="H30" i="2"/>
  <c r="J29" i="2"/>
  <c r="B29" i="2"/>
  <c r="J14" i="2"/>
  <c r="J13" i="2"/>
  <c r="J11" i="2"/>
  <c r="H13" i="2"/>
  <c r="H12" i="2"/>
  <c r="H10" i="2"/>
  <c r="J10" i="2"/>
  <c r="J9" i="2"/>
  <c r="B9" i="2"/>
  <c r="B1" i="2"/>
  <c r="C1" i="2" s="1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O1" i="2" s="1"/>
  <c r="P1" i="2" s="1"/>
  <c r="Q1" i="2" s="1"/>
  <c r="R1" i="2" s="1"/>
  <c r="S1" i="2" s="1"/>
  <c r="T1" i="2" s="1"/>
  <c r="U1" i="2" s="1"/>
  <c r="V1" i="2" s="1"/>
  <c r="W1" i="2" s="1"/>
  <c r="X1" i="2" s="1"/>
  <c r="Y1" i="2" s="1"/>
  <c r="Z1" i="2" s="1"/>
  <c r="AA1" i="2" s="1"/>
  <c r="AB1" i="2" s="1"/>
  <c r="AC1" i="2" s="1"/>
  <c r="AD1" i="2" s="1"/>
  <c r="AE1" i="2" s="1"/>
  <c r="AF1" i="2" s="1"/>
  <c r="AG1" i="2" s="1"/>
  <c r="AH1" i="2" s="1"/>
  <c r="AI1" i="2" s="1"/>
  <c r="AJ1" i="2" s="1"/>
  <c r="AK1" i="2" s="1"/>
  <c r="AL1" i="2" s="1"/>
  <c r="AM1" i="2" s="1"/>
  <c r="AN1" i="2" s="1"/>
  <c r="AO1" i="2" s="1"/>
  <c r="AP1" i="2" s="1"/>
  <c r="AQ1" i="2" s="1"/>
  <c r="AR1" i="2" s="1"/>
  <c r="AS1" i="2" s="1"/>
  <c r="AT1" i="2" s="1"/>
  <c r="AU1" i="2" s="1"/>
  <c r="AV1" i="2" s="1"/>
  <c r="AW1" i="2" s="1"/>
  <c r="AX1" i="2" s="1"/>
  <c r="AY1" i="2" s="1"/>
  <c r="AZ1" i="2" s="1"/>
  <c r="BA1" i="2" s="1"/>
  <c r="BB1" i="2" s="1"/>
  <c r="BC1" i="2" s="1"/>
  <c r="BD1" i="2" s="1"/>
  <c r="BE1" i="2" s="1"/>
  <c r="A2" i="2"/>
  <c r="A3" i="2" s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105" i="1" l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L13" i="1" l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L12" i="1"/>
  <c r="A4" i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" i="1"/>
  <c r="B1" i="1" s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</calcChain>
</file>

<file path=xl/comments1.xml><?xml version="1.0" encoding="utf-8"?>
<comments xmlns="http://schemas.openxmlformats.org/spreadsheetml/2006/main">
  <authors>
    <author>DAESUN IM</author>
  </authors>
  <commentList>
    <comment ref="B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M10" authorId="0" shapeId="0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O10" authorId="0" shapeId="0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B2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</commentList>
</comments>
</file>

<file path=xl/comments2.xml><?xml version="1.0" encoding="utf-8"?>
<comments xmlns="http://schemas.openxmlformats.org/spreadsheetml/2006/main">
  <authors>
    <author>DAESUN IM</author>
    <author>임 대선</author>
  </authors>
  <commentList>
    <comment ref="F3" authorId="0" shapeId="0">
      <text>
        <r>
          <rPr>
            <b/>
            <sz val="9"/>
            <color indexed="81"/>
            <rFont val="돋움"/>
            <family val="3"/>
            <charset val="129"/>
          </rPr>
          <t>명목원금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교환여부</t>
        </r>
      </text>
    </comment>
    <comment ref="D9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H1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1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11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D29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H3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3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31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D47" authorId="0" shapeId="0">
      <text>
        <r>
          <rPr>
            <b/>
            <sz val="9"/>
            <color indexed="81"/>
            <rFont val="Tahoma"/>
            <family val="2"/>
          </rPr>
          <t>0: Receiver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옵션보유
</t>
        </r>
        <r>
          <rPr>
            <b/>
            <sz val="9"/>
            <color indexed="81"/>
            <rFont val="Tahoma"/>
            <family val="2"/>
          </rPr>
          <t>1: Payer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옵션보유</t>
        </r>
      </text>
    </comment>
  </commentList>
</comments>
</file>

<file path=xl/sharedStrings.xml><?xml version="1.0" encoding="utf-8"?>
<sst xmlns="http://schemas.openxmlformats.org/spreadsheetml/2006/main" count="114" uniqueCount="81">
  <si>
    <t>Hull White 1Factor Calibration</t>
    <phoneticPr fontId="2" type="noConversion"/>
  </si>
  <si>
    <t>전체 사용 커브개수</t>
    <phoneticPr fontId="2" type="noConversion"/>
  </si>
  <si>
    <t xml:space="preserve">커브1
</t>
    <phoneticPr fontId="2" type="noConversion"/>
  </si>
  <si>
    <t>커브1 Information</t>
    <phoneticPr fontId="2" type="noConversion"/>
  </si>
  <si>
    <t>Result HW</t>
    <phoneticPr fontId="2" type="noConversion"/>
  </si>
  <si>
    <t>ATM Swaption Info</t>
    <phoneticPr fontId="2" type="noConversion"/>
  </si>
  <si>
    <t>Kappa고정Flag</t>
    <phoneticPr fontId="2" type="noConversion"/>
  </si>
  <si>
    <t>Kappa고정값</t>
    <phoneticPr fontId="2" type="noConversion"/>
  </si>
  <si>
    <t>1Factor</t>
    <phoneticPr fontId="2" type="noConversion"/>
  </si>
  <si>
    <t>2Factor</t>
    <phoneticPr fontId="2" type="noConversion"/>
  </si>
  <si>
    <t>rho</t>
    <phoneticPr fontId="2" type="noConversion"/>
  </si>
  <si>
    <t>Swap Frequency</t>
    <phoneticPr fontId="2" type="noConversion"/>
  </si>
  <si>
    <t>kappa</t>
    <phoneticPr fontId="2" type="noConversion"/>
  </si>
  <si>
    <t>Term</t>
    <phoneticPr fontId="2" type="noConversion"/>
  </si>
  <si>
    <t>Vol</t>
    <phoneticPr fontId="2" type="noConversion"/>
  </si>
  <si>
    <t>Index</t>
    <phoneticPr fontId="2" type="noConversion"/>
  </si>
  <si>
    <t>Rate</t>
    <phoneticPr fontId="2" type="noConversion"/>
  </si>
  <si>
    <t>옵션만기</t>
    <phoneticPr fontId="2" type="noConversion"/>
  </si>
  <si>
    <t>스왑기간</t>
    <phoneticPr fontId="2" type="noConversion"/>
  </si>
  <si>
    <t>스왑션Vol</t>
    <phoneticPr fontId="2" type="noConversion"/>
  </si>
  <si>
    <t>BSPrice</t>
    <phoneticPr fontId="2" type="noConversion"/>
  </si>
  <si>
    <t>HWPrice</t>
    <phoneticPr fontId="2" type="noConversion"/>
  </si>
  <si>
    <t>Error</t>
    <phoneticPr fontId="2" type="noConversion"/>
  </si>
  <si>
    <t/>
  </si>
  <si>
    <t>VolFlag</t>
    <phoneticPr fontId="2" type="noConversion"/>
  </si>
  <si>
    <t>Quanto보정</t>
    <phoneticPr fontId="2" type="noConversion"/>
  </si>
  <si>
    <t>FX, Curve 상관계수</t>
    <phoneticPr fontId="2" type="noConversion"/>
  </si>
  <si>
    <t>FX Vol</t>
    <phoneticPr fontId="2" type="noConversion"/>
  </si>
  <si>
    <t>Term입력</t>
    <phoneticPr fontId="2" type="noConversion"/>
  </si>
  <si>
    <t>기준연월일</t>
    <phoneticPr fontId="2" type="noConversion"/>
  </si>
  <si>
    <t>가격평가일</t>
    <phoneticPr fontId="2" type="noConversion"/>
  </si>
  <si>
    <t>NAFlag</t>
    <phoneticPr fontId="2" type="noConversion"/>
  </si>
  <si>
    <t>NA</t>
    <phoneticPr fontId="2" type="noConversion"/>
  </si>
  <si>
    <t>MaxLoss/y</t>
    <phoneticPr fontId="2" type="noConversion"/>
  </si>
  <si>
    <t>MaxReturn/y</t>
    <phoneticPr fontId="2" type="noConversion"/>
  </si>
  <si>
    <t>DayCount</t>
  </si>
  <si>
    <t>금리결정조건Multiple</t>
  </si>
  <si>
    <t>Power Spread Flag</t>
  </si>
  <si>
    <t>기초금리 Range상한</t>
  </si>
  <si>
    <t>기초금리 Range하한</t>
  </si>
  <si>
    <t>Payoff조건Multiple</t>
  </si>
  <si>
    <t>Phase1</t>
    <phoneticPr fontId="2" type="noConversion"/>
  </si>
  <si>
    <t>고정금리</t>
    <phoneticPr fontId="2" type="noConversion"/>
  </si>
  <si>
    <t>Phase2사용Flag</t>
    <phoneticPr fontId="2" type="noConversion"/>
  </si>
  <si>
    <t>Range충족시 쿠폰</t>
    <phoneticPr fontId="2" type="noConversion"/>
  </si>
  <si>
    <t>구조화금리승수 적용여부</t>
    <phoneticPr fontId="2" type="noConversion"/>
  </si>
  <si>
    <t>Phase2</t>
    <phoneticPr fontId="2" type="noConversion"/>
  </si>
  <si>
    <t xml:space="preserve">    PayLeg Info</t>
    <phoneticPr fontId="2" type="noConversion"/>
  </si>
  <si>
    <t xml:space="preserve">    ReceiveLeg Info</t>
    <phoneticPr fontId="2" type="noConversion"/>
  </si>
  <si>
    <t>상품발행일</t>
    <phoneticPr fontId="2" type="noConversion"/>
  </si>
  <si>
    <t>스케줄정보</t>
    <phoneticPr fontId="2" type="noConversion"/>
  </si>
  <si>
    <t>상품만기일</t>
    <phoneticPr fontId="2" type="noConversion"/>
  </si>
  <si>
    <t>연 쿠폰횟수</t>
    <phoneticPr fontId="2" type="noConversion"/>
  </si>
  <si>
    <t>Receive Leg Schedule 정보</t>
    <phoneticPr fontId="2" type="noConversion"/>
  </si>
  <si>
    <t>국가</t>
    <phoneticPr fontId="2" type="noConversion"/>
  </si>
  <si>
    <t>Phase2 연 쿠폰횟수</t>
    <phoneticPr fontId="2" type="noConversion"/>
  </si>
  <si>
    <t>그 외 Holiday</t>
    <phoneticPr fontId="2" type="noConversion"/>
  </si>
  <si>
    <t>RcvLeg</t>
    <phoneticPr fontId="2" type="noConversion"/>
  </si>
  <si>
    <t>PayLeg</t>
    <phoneticPr fontId="2" type="noConversion"/>
  </si>
  <si>
    <t>Pay Leg Schedule 정보</t>
    <phoneticPr fontId="2" type="noConversion"/>
  </si>
  <si>
    <t>Date</t>
    <phoneticPr fontId="2" type="noConversion"/>
  </si>
  <si>
    <t xml:space="preserve">    Option Info</t>
    <phoneticPr fontId="2" type="noConversion"/>
  </si>
  <si>
    <t>OptionDate</t>
    <phoneticPr fontId="2" type="noConversion"/>
  </si>
  <si>
    <t>OptionPayDate</t>
    <phoneticPr fontId="2" type="noConversion"/>
  </si>
  <si>
    <t>OptionType</t>
    <phoneticPr fontId="2" type="noConversion"/>
  </si>
  <si>
    <t>Noption</t>
    <phoneticPr fontId="2" type="noConversion"/>
  </si>
  <si>
    <t xml:space="preserve">    Calculation Result</t>
    <phoneticPr fontId="2" type="noConversion"/>
  </si>
  <si>
    <t>Hull White 2Factor Flag</t>
    <phoneticPr fontId="2" type="noConversion"/>
  </si>
  <si>
    <t>FixingDate</t>
    <phoneticPr fontId="2" type="noConversion"/>
  </si>
  <si>
    <t>EndDate</t>
    <phoneticPr fontId="2" type="noConversion"/>
  </si>
  <si>
    <t>PayDate</t>
    <phoneticPr fontId="2" type="noConversion"/>
  </si>
  <si>
    <t>FixingRate</t>
    <phoneticPr fontId="2" type="noConversion"/>
  </si>
  <si>
    <t>Coupon</t>
    <phoneticPr fontId="2" type="noConversion"/>
  </si>
  <si>
    <t>Rcv Leg</t>
    <phoneticPr fontId="2" type="noConversion"/>
  </si>
  <si>
    <t>Pay Leg</t>
    <phoneticPr fontId="2" type="noConversion"/>
  </si>
  <si>
    <t>Estimation Curve</t>
    <phoneticPr fontId="2" type="noConversion"/>
  </si>
  <si>
    <t>Discount Rate
(Calibration 미사용)</t>
    <phoneticPr fontId="2" type="noConversion"/>
  </si>
  <si>
    <t>RcvRate Fixing History</t>
    <phoneticPr fontId="2" type="noConversion"/>
  </si>
  <si>
    <t>PayRate Fixing History</t>
    <phoneticPr fontId="2" type="noConversion"/>
  </si>
  <si>
    <t>ResultPrice</t>
    <phoneticPr fontId="2" type="noConversion"/>
  </si>
  <si>
    <t>TextFlag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</si>
</sst>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3">
    <numFmt numFmtId="41" formatCode="_-* #,##0_-;\-* #,##0_-;_-* &quot;-&quot;_-;_-@_-"/>
    <numFmt numFmtId="176" formatCode="0_);[Red]\(0\)"/>
    <numFmt numFmtId="177" formatCode="0.00_);[Red]\(0.00\)"/>
    <numFmt numFmtId="178" formatCode="0.0000_);[Red]\(0.0000\)"/>
    <numFmt numFmtId="179" formatCode="0.0000000_);[Red]\(0.0000000\)"/>
    <numFmt numFmtId="180" formatCode="0.000000_);[Red]\(0.000000\)"/>
    <numFmt numFmtId="181" formatCode="0.00000_);[Red]\(0.00000\)"/>
    <numFmt numFmtId="182" formatCode="[$-F400]h:mm:ss\ AM/PM"/>
    <numFmt numFmtId="183" formatCode="0.0"/>
    <numFmt numFmtId="184" formatCode="0.000%"/>
    <numFmt numFmtId="185" formatCode="0.0000"/>
    <numFmt numFmtId="186" formatCode="0.0000%"/>
    <numFmt numFmtId="187" formatCode="_-* #,##0.0000_-;\-* #,##0.0000_-;_-* &quot;-&quot;_-;_-@_-"/>
  </numFmts>
  <fonts count="17" x14ac:knownFonts="1"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4">
    <border>
      <left/>
      <right/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/>
      <right/>
      <top style="thin">
        <color theme="0" tint="-0.1499984740745262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</cellStyleXfs>
  <cellXfs count="147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6" fillId="6" borderId="0" xfId="0" applyFont="1" applyFill="1" applyAlignment="1">
      <alignment vertical="center"/>
    </xf>
    <xf numFmtId="177" fontId="6" fillId="7" borderId="3" xfId="0" applyNumberFormat="1" applyFont="1" applyFill="1" applyBorder="1" applyAlignment="1">
      <alignment horizontal="center" vertical="center"/>
    </xf>
    <xf numFmtId="176" fontId="7" fillId="5" borderId="3" xfId="0" applyNumberFormat="1" applyFont="1" applyFill="1" applyBorder="1">
      <alignment vertical="center"/>
    </xf>
    <xf numFmtId="178" fontId="8" fillId="8" borderId="3" xfId="0" applyNumberFormat="1" applyFont="1" applyFill="1" applyBorder="1">
      <alignment vertical="center"/>
    </xf>
    <xf numFmtId="178" fontId="8" fillId="9" borderId="3" xfId="0" applyNumberFormat="1" applyFont="1" applyFill="1" applyBorder="1">
      <alignment vertical="center"/>
    </xf>
    <xf numFmtId="14" fontId="1" fillId="2" borderId="0" xfId="0" applyNumberFormat="1" applyFont="1" applyFill="1">
      <alignment vertical="center"/>
    </xf>
    <xf numFmtId="177" fontId="6" fillId="7" borderId="6" xfId="0" applyNumberFormat="1" applyFont="1" applyFill="1" applyBorder="1" applyAlignment="1">
      <alignment horizontal="center" vertical="center"/>
    </xf>
    <xf numFmtId="177" fontId="6" fillId="7" borderId="6" xfId="0" applyNumberFormat="1" applyFont="1" applyFill="1" applyBorder="1" applyAlignment="1">
      <alignment vertical="center"/>
    </xf>
    <xf numFmtId="177" fontId="8" fillId="11" borderId="10" xfId="0" applyNumberFormat="1" applyFont="1" applyFill="1" applyBorder="1" applyAlignment="1">
      <alignment vertical="center"/>
    </xf>
    <xf numFmtId="179" fontId="9" fillId="8" borderId="10" xfId="0" applyNumberFormat="1" applyFont="1" applyFill="1" applyBorder="1">
      <alignment vertical="center"/>
    </xf>
    <xf numFmtId="179" fontId="9" fillId="9" borderId="10" xfId="0" applyNumberFormat="1" applyFont="1" applyFill="1" applyBorder="1">
      <alignment vertical="center"/>
    </xf>
    <xf numFmtId="176" fontId="6" fillId="12" borderId="10" xfId="0" applyNumberFormat="1" applyFont="1" applyFill="1" applyBorder="1" applyAlignment="1">
      <alignment vertical="center"/>
    </xf>
    <xf numFmtId="178" fontId="7" fillId="13" borderId="10" xfId="0" applyNumberFormat="1" applyFont="1" applyFill="1" applyBorder="1">
      <alignment vertical="center"/>
    </xf>
    <xf numFmtId="177" fontId="9" fillId="14" borderId="10" xfId="0" applyNumberFormat="1" applyFont="1" applyFill="1" applyBorder="1" applyAlignment="1" applyProtection="1">
      <alignment vertical="center"/>
    </xf>
    <xf numFmtId="180" fontId="9" fillId="14" borderId="10" xfId="0" applyNumberFormat="1" applyFont="1" applyFill="1" applyBorder="1" applyAlignment="1" applyProtection="1">
      <alignment vertical="center"/>
    </xf>
    <xf numFmtId="181" fontId="9" fillId="8" borderId="10" xfId="0" applyNumberFormat="1" applyFont="1" applyFill="1" applyBorder="1">
      <alignment vertical="center"/>
    </xf>
    <xf numFmtId="177" fontId="8" fillId="11" borderId="3" xfId="0" applyNumberFormat="1" applyFont="1" applyFill="1" applyBorder="1" applyAlignment="1">
      <alignment vertical="center"/>
    </xf>
    <xf numFmtId="0" fontId="5" fillId="13" borderId="10" xfId="0" applyFont="1" applyFill="1" applyBorder="1">
      <alignment vertical="center"/>
    </xf>
    <xf numFmtId="0" fontId="6" fillId="6" borderId="0" xfId="0" applyFont="1" applyFill="1" applyAlignment="1">
      <alignment horizontal="center" vertical="center"/>
    </xf>
    <xf numFmtId="0" fontId="0" fillId="2" borderId="0" xfId="0" applyFill="1">
      <alignment vertical="center"/>
    </xf>
    <xf numFmtId="0" fontId="1" fillId="2" borderId="0" xfId="0" applyFont="1" applyFill="1" applyProtection="1">
      <alignment vertical="center"/>
      <protection locked="0"/>
    </xf>
    <xf numFmtId="0" fontId="0" fillId="2" borderId="0" xfId="0" applyFill="1" applyProtection="1">
      <alignment vertical="center"/>
      <protection locked="0"/>
    </xf>
    <xf numFmtId="0" fontId="0" fillId="2" borderId="0" xfId="0" applyFill="1" applyBorder="1" applyProtection="1">
      <alignment vertical="center"/>
      <protection locked="0"/>
    </xf>
    <xf numFmtId="0" fontId="0" fillId="2" borderId="18" xfId="0" applyFill="1" applyBorder="1" applyProtection="1">
      <alignment vertical="center"/>
      <protection locked="0"/>
    </xf>
    <xf numFmtId="14" fontId="5" fillId="5" borderId="12" xfId="0" applyNumberFormat="1" applyFont="1" applyFill="1" applyBorder="1" applyAlignment="1" applyProtection="1">
      <alignment vertical="center"/>
      <protection locked="0"/>
    </xf>
    <xf numFmtId="14" fontId="5" fillId="5" borderId="19" xfId="0" applyNumberFormat="1" applyFont="1" applyFill="1" applyBorder="1" applyAlignment="1" applyProtection="1">
      <alignment vertical="center"/>
      <protection locked="0"/>
    </xf>
    <xf numFmtId="14" fontId="0" fillId="5" borderId="0" xfId="0" applyNumberFormat="1" applyFill="1">
      <alignment vertical="center"/>
    </xf>
    <xf numFmtId="14" fontId="0" fillId="5" borderId="13" xfId="0" applyNumberFormat="1" applyFill="1" applyBorder="1">
      <alignment vertical="center"/>
    </xf>
    <xf numFmtId="14" fontId="0" fillId="5" borderId="14" xfId="0" applyNumberFormat="1" applyFill="1" applyBorder="1">
      <alignment vertical="center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0" fontId="0" fillId="5" borderId="0" xfId="0" applyFill="1">
      <alignment vertical="center"/>
    </xf>
    <xf numFmtId="14" fontId="0" fillId="5" borderId="12" xfId="0" applyNumberFormat="1" applyFill="1" applyBorder="1">
      <alignment vertical="center"/>
    </xf>
    <xf numFmtId="186" fontId="0" fillId="5" borderId="19" xfId="0" applyNumberFormat="1" applyFill="1" applyBorder="1">
      <alignment vertical="center"/>
    </xf>
    <xf numFmtId="186" fontId="0" fillId="5" borderId="14" xfId="0" applyNumberFormat="1" applyFill="1" applyBorder="1">
      <alignment vertical="center"/>
    </xf>
    <xf numFmtId="186" fontId="0" fillId="5" borderId="19" xfId="1" applyNumberFormat="1" applyFont="1" applyFill="1" applyBorder="1">
      <alignment vertical="center"/>
    </xf>
    <xf numFmtId="186" fontId="0" fillId="5" borderId="14" xfId="1" applyNumberFormat="1" applyFont="1" applyFill="1" applyBorder="1">
      <alignment vertical="center"/>
    </xf>
    <xf numFmtId="0" fontId="6" fillId="4" borderId="21" xfId="0" applyFont="1" applyFill="1" applyBorder="1" applyAlignment="1" applyProtection="1">
      <alignment horizontal="center" vertical="center"/>
      <protection locked="0"/>
    </xf>
    <xf numFmtId="0" fontId="6" fillId="4" borderId="20" xfId="0" applyFont="1" applyFill="1" applyBorder="1" applyAlignment="1" applyProtection="1">
      <alignment horizontal="center" vertical="center"/>
      <protection locked="0"/>
    </xf>
    <xf numFmtId="176" fontId="0" fillId="9" borderId="12" xfId="0" applyNumberFormat="1" applyFill="1" applyBorder="1">
      <alignment vertical="center"/>
    </xf>
    <xf numFmtId="176" fontId="0" fillId="9" borderId="17" xfId="0" applyNumberFormat="1" applyFill="1" applyBorder="1">
      <alignment vertical="center"/>
    </xf>
    <xf numFmtId="176" fontId="0" fillId="9" borderId="13" xfId="0" applyNumberFormat="1" applyFill="1" applyBorder="1">
      <alignment vertical="center"/>
    </xf>
    <xf numFmtId="176" fontId="0" fillId="9" borderId="0" xfId="0" applyNumberFormat="1" applyFill="1" applyBorder="1">
      <alignment vertical="center"/>
    </xf>
    <xf numFmtId="186" fontId="0" fillId="9" borderId="17" xfId="1" applyNumberFormat="1" applyFont="1" applyFill="1" applyBorder="1">
      <alignment vertical="center"/>
    </xf>
    <xf numFmtId="186" fontId="0" fillId="9" borderId="0" xfId="1" applyNumberFormat="1" applyFont="1" applyFill="1" applyBorder="1">
      <alignment vertical="center"/>
    </xf>
    <xf numFmtId="187" fontId="0" fillId="9" borderId="19" xfId="2" applyNumberFormat="1" applyFont="1" applyFill="1" applyBorder="1">
      <alignment vertical="center"/>
    </xf>
    <xf numFmtId="187" fontId="0" fillId="9" borderId="14" xfId="2" applyNumberFormat="1" applyFont="1" applyFill="1" applyBorder="1">
      <alignment vertical="center"/>
    </xf>
    <xf numFmtId="14" fontId="6" fillId="12" borderId="10" xfId="0" applyNumberFormat="1" applyFont="1" applyFill="1" applyBorder="1" applyAlignment="1">
      <alignment vertical="center"/>
    </xf>
    <xf numFmtId="14" fontId="4" fillId="12" borderId="10" xfId="0" applyNumberFormat="1" applyFont="1" applyFill="1" applyBorder="1">
      <alignment vertical="center"/>
    </xf>
    <xf numFmtId="176" fontId="6" fillId="7" borderId="3" xfId="0" applyNumberFormat="1" applyFont="1" applyFill="1" applyBorder="1" applyAlignment="1">
      <alignment horizontal="center" vertical="center"/>
    </xf>
    <xf numFmtId="177" fontId="6" fillId="7" borderId="7" xfId="0" applyNumberFormat="1" applyFont="1" applyFill="1" applyBorder="1" applyAlignment="1">
      <alignment horizontal="center" vertical="center"/>
    </xf>
    <xf numFmtId="177" fontId="6" fillId="7" borderId="8" xfId="0" applyNumberFormat="1" applyFont="1" applyFill="1" applyBorder="1" applyAlignment="1">
      <alignment horizontal="center" vertical="center"/>
    </xf>
    <xf numFmtId="0" fontId="6" fillId="10" borderId="9" xfId="0" applyFont="1" applyFill="1" applyBorder="1" applyAlignment="1" applyProtection="1">
      <alignment horizontal="center" vertical="center" wrapText="1"/>
    </xf>
    <xf numFmtId="0" fontId="6" fillId="10" borderId="11" xfId="0" applyFont="1" applyFill="1" applyBorder="1" applyAlignment="1" applyProtection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14" fontId="5" fillId="5" borderId="0" xfId="0" applyNumberFormat="1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 wrapText="1"/>
    </xf>
    <xf numFmtId="176" fontId="6" fillId="7" borderId="2" xfId="0" applyNumberFormat="1" applyFont="1" applyFill="1" applyBorder="1" applyAlignment="1">
      <alignment horizontal="center" vertical="center"/>
    </xf>
    <xf numFmtId="176" fontId="6" fillId="7" borderId="4" xfId="0" applyNumberFormat="1" applyFont="1" applyFill="1" applyBorder="1" applyAlignment="1">
      <alignment horizontal="center" vertical="center"/>
    </xf>
    <xf numFmtId="176" fontId="6" fillId="7" borderId="5" xfId="0" applyNumberFormat="1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 wrapText="1"/>
    </xf>
    <xf numFmtId="0" fontId="6" fillId="6" borderId="0" xfId="0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/>
    </xf>
    <xf numFmtId="49" fontId="9" fillId="8" borderId="0" xfId="0" applyNumberFormat="1" applyFont="1" applyFill="1" applyBorder="1" applyAlignment="1">
      <alignment horizontal="center" vertical="center" wrapText="1"/>
    </xf>
    <xf numFmtId="182" fontId="1" fillId="2" borderId="0" xfId="0" applyNumberFormat="1" applyFont="1" applyFill="1" applyAlignment="1">
      <alignment horizontal="center" vertical="center"/>
    </xf>
    <xf numFmtId="0" fontId="6" fillId="4" borderId="0" xfId="0" applyFont="1" applyFill="1" applyAlignment="1" applyProtection="1">
      <alignment horizontal="center" vertical="center"/>
      <protection locked="0"/>
    </xf>
    <xf numFmtId="14" fontId="5" fillId="15" borderId="0" xfId="0" applyNumberFormat="1" applyFont="1" applyFill="1" applyAlignment="1" applyProtection="1">
      <alignment horizontal="center" vertical="center"/>
      <protection locked="0"/>
    </xf>
    <xf numFmtId="0" fontId="5" fillId="15" borderId="0" xfId="0" applyFont="1" applyFill="1" applyAlignment="1" applyProtection="1">
      <alignment horizontal="center" vertical="center"/>
      <protection locked="0"/>
    </xf>
    <xf numFmtId="0" fontId="14" fillId="4" borderId="0" xfId="0" applyFont="1" applyFill="1" applyAlignment="1" applyProtection="1">
      <alignment horizontal="center" vertical="center"/>
      <protection locked="0"/>
    </xf>
    <xf numFmtId="9" fontId="5" fillId="15" borderId="0" xfId="0" applyNumberFormat="1" applyFont="1" applyFill="1" applyAlignment="1" applyProtection="1">
      <alignment horizontal="center" vertical="center"/>
      <protection locked="0"/>
    </xf>
    <xf numFmtId="0" fontId="5" fillId="15" borderId="0" xfId="0" applyNumberFormat="1" applyFont="1" applyFill="1" applyAlignment="1" applyProtection="1">
      <alignment horizontal="center" vertical="center"/>
      <protection locked="0"/>
    </xf>
    <xf numFmtId="0" fontId="6" fillId="4" borderId="12" xfId="0" applyFont="1" applyFill="1" applyBorder="1" applyAlignment="1" applyProtection="1">
      <alignment horizontal="center" vertical="center" wrapText="1"/>
    </xf>
    <xf numFmtId="0" fontId="6" fillId="4" borderId="19" xfId="0" applyFont="1" applyFill="1" applyBorder="1" applyAlignment="1" applyProtection="1">
      <alignment horizontal="center" vertical="center" wrapText="1"/>
    </xf>
    <xf numFmtId="0" fontId="6" fillId="4" borderId="13" xfId="0" applyFont="1" applyFill="1" applyBorder="1" applyAlignment="1" applyProtection="1">
      <alignment horizontal="center" vertical="center" wrapText="1"/>
    </xf>
    <xf numFmtId="0" fontId="6" fillId="4" borderId="14" xfId="0" applyFont="1" applyFill="1" applyBorder="1" applyAlignment="1" applyProtection="1">
      <alignment horizontal="center" vertical="center" wrapText="1"/>
    </xf>
    <xf numFmtId="0" fontId="6" fillId="4" borderId="18" xfId="0" applyFont="1" applyFill="1" applyBorder="1" applyAlignment="1" applyProtection="1">
      <alignment horizontal="center" vertical="center" wrapText="1"/>
    </xf>
    <xf numFmtId="0" fontId="6" fillId="4" borderId="16" xfId="0" applyFont="1" applyFill="1" applyBorder="1" applyAlignment="1" applyProtection="1">
      <alignment horizontal="center" vertical="center" wrapText="1"/>
    </xf>
    <xf numFmtId="0" fontId="4" fillId="4" borderId="0" xfId="0" applyFont="1" applyFill="1" applyBorder="1" applyAlignment="1" applyProtection="1">
      <alignment horizontal="center" vertical="center"/>
    </xf>
    <xf numFmtId="0" fontId="5" fillId="4" borderId="0" xfId="0" applyFont="1" applyFill="1" applyBorder="1" applyAlignment="1" applyProtection="1">
      <alignment horizontal="center" vertical="center"/>
    </xf>
    <xf numFmtId="0" fontId="14" fillId="4" borderId="0" xfId="0" applyFont="1" applyFill="1" applyBorder="1" applyAlignment="1" applyProtection="1">
      <alignment horizontal="center" vertical="center"/>
    </xf>
    <xf numFmtId="0" fontId="15" fillId="4" borderId="12" xfId="0" applyFont="1" applyFill="1" applyBorder="1" applyAlignment="1" applyProtection="1">
      <alignment horizontal="left" vertical="center"/>
      <protection locked="0"/>
    </xf>
    <xf numFmtId="0" fontId="15" fillId="4" borderId="17" xfId="0" applyFont="1" applyFill="1" applyBorder="1" applyAlignment="1" applyProtection="1">
      <alignment horizontal="left" vertical="center"/>
      <protection locked="0"/>
    </xf>
    <xf numFmtId="0" fontId="15" fillId="4" borderId="19" xfId="0" applyFont="1" applyFill="1" applyBorder="1" applyAlignment="1" applyProtection="1">
      <alignment horizontal="left" vertical="center"/>
      <protection locked="0"/>
    </xf>
    <xf numFmtId="0" fontId="15" fillId="4" borderId="18" xfId="0" applyFont="1" applyFill="1" applyBorder="1" applyAlignment="1" applyProtection="1">
      <alignment horizontal="left" vertical="center"/>
      <protection locked="0"/>
    </xf>
    <xf numFmtId="0" fontId="15" fillId="4" borderId="15" xfId="0" applyFont="1" applyFill="1" applyBorder="1" applyAlignment="1" applyProtection="1">
      <alignment horizontal="left" vertical="center"/>
      <protection locked="0"/>
    </xf>
    <xf numFmtId="0" fontId="15" fillId="4" borderId="16" xfId="0" applyFont="1" applyFill="1" applyBorder="1" applyAlignment="1" applyProtection="1">
      <alignment horizontal="left" vertical="center"/>
      <protection locked="0"/>
    </xf>
    <xf numFmtId="0" fontId="6" fillId="10" borderId="0" xfId="0" applyFont="1" applyFill="1" applyBorder="1" applyAlignment="1" applyProtection="1">
      <alignment horizontal="center" vertical="center"/>
    </xf>
    <xf numFmtId="183" fontId="5" fillId="15" borderId="0" xfId="0" applyNumberFormat="1" applyFont="1" applyFill="1" applyBorder="1" applyAlignment="1" applyProtection="1">
      <alignment horizontal="center" vertical="center"/>
      <protection locked="0"/>
    </xf>
    <xf numFmtId="183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4" fillId="10" borderId="12" xfId="0" applyFont="1" applyFill="1" applyBorder="1" applyAlignment="1" applyProtection="1">
      <alignment horizontal="center" vertical="center"/>
    </xf>
    <xf numFmtId="0" fontId="4" fillId="10" borderId="17" xfId="0" applyFont="1" applyFill="1" applyBorder="1" applyAlignment="1" applyProtection="1">
      <alignment horizontal="center" vertical="center"/>
    </xf>
    <xf numFmtId="0" fontId="4" fillId="10" borderId="19" xfId="0" applyFont="1" applyFill="1" applyBorder="1" applyAlignment="1" applyProtection="1">
      <alignment horizontal="center" vertical="center"/>
    </xf>
    <xf numFmtId="0" fontId="4" fillId="10" borderId="13" xfId="0" applyFont="1" applyFill="1" applyBorder="1" applyAlignment="1" applyProtection="1">
      <alignment horizontal="center" vertical="center"/>
    </xf>
    <xf numFmtId="0" fontId="4" fillId="10" borderId="0" xfId="0" applyFont="1" applyFill="1" applyBorder="1" applyAlignment="1" applyProtection="1">
      <alignment horizontal="center" vertical="center"/>
    </xf>
    <xf numFmtId="0" fontId="5" fillId="10" borderId="0" xfId="0" applyFont="1" applyFill="1" applyBorder="1" applyAlignment="1" applyProtection="1">
      <alignment horizontal="center" vertical="center"/>
    </xf>
    <xf numFmtId="0" fontId="5" fillId="15" borderId="0" xfId="0" applyFont="1" applyFill="1" applyBorder="1" applyAlignment="1" applyProtection="1">
      <alignment horizontal="center" vertical="center"/>
      <protection locked="0"/>
    </xf>
    <xf numFmtId="0" fontId="5" fillId="15" borderId="14" xfId="0" applyFont="1" applyFill="1" applyBorder="1" applyAlignment="1" applyProtection="1">
      <alignment horizontal="center" vertical="center"/>
      <protection locked="0"/>
    </xf>
    <xf numFmtId="0" fontId="16" fillId="2" borderId="0" xfId="0" applyFont="1" applyFill="1" applyBorder="1" applyAlignment="1" applyProtection="1">
      <alignment horizontal="center" vertical="center"/>
    </xf>
    <xf numFmtId="0" fontId="16" fillId="2" borderId="14" xfId="0" applyFont="1" applyFill="1" applyBorder="1" applyAlignment="1" applyProtection="1">
      <alignment horizontal="center" vertical="center"/>
    </xf>
    <xf numFmtId="178" fontId="5" fillId="15" borderId="0" xfId="0" applyNumberFormat="1" applyFont="1" applyFill="1" applyBorder="1" applyAlignment="1" applyProtection="1">
      <alignment horizontal="center" vertical="center"/>
      <protection locked="0"/>
    </xf>
    <xf numFmtId="178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14" fillId="4" borderId="15" xfId="0" applyFont="1" applyFill="1" applyBorder="1" applyAlignment="1" applyProtection="1">
      <alignment horizontal="center" vertical="center"/>
    </xf>
    <xf numFmtId="0" fontId="5" fillId="5" borderId="0" xfId="0" applyFont="1" applyFill="1" applyBorder="1" applyAlignment="1" applyProtection="1">
      <alignment horizontal="center" vertical="center"/>
      <protection locked="0"/>
    </xf>
    <xf numFmtId="0" fontId="5" fillId="5" borderId="14" xfId="0" applyFont="1" applyFill="1" applyBorder="1" applyAlignment="1" applyProtection="1">
      <alignment horizontal="center" vertical="center"/>
      <protection locked="0"/>
    </xf>
    <xf numFmtId="183" fontId="5" fillId="5" borderId="0" xfId="0" applyNumberFormat="1" applyFont="1" applyFill="1" applyBorder="1" applyAlignment="1" applyProtection="1">
      <alignment horizontal="center" vertical="center"/>
      <protection locked="0"/>
    </xf>
    <xf numFmtId="183" fontId="5" fillId="5" borderId="14" xfId="0" applyNumberFormat="1" applyFont="1" applyFill="1" applyBorder="1" applyAlignment="1" applyProtection="1">
      <alignment horizontal="center" vertical="center"/>
      <protection locked="0"/>
    </xf>
    <xf numFmtId="184" fontId="5" fillId="5" borderId="0" xfId="1" applyNumberFormat="1" applyFont="1" applyFill="1" applyBorder="1" applyAlignment="1" applyProtection="1">
      <alignment horizontal="center" vertical="center"/>
      <protection locked="0"/>
    </xf>
    <xf numFmtId="184" fontId="5" fillId="5" borderId="14" xfId="1" applyNumberFormat="1" applyFont="1" applyFill="1" applyBorder="1" applyAlignment="1" applyProtection="1">
      <alignment horizontal="center" vertical="center"/>
      <protection locked="0"/>
    </xf>
    <xf numFmtId="184" fontId="1" fillId="5" borderId="0" xfId="1" applyNumberFormat="1" applyFont="1" applyFill="1" applyBorder="1" applyAlignment="1" applyProtection="1">
      <alignment horizontal="center" vertical="center"/>
      <protection locked="0"/>
    </xf>
    <xf numFmtId="184" fontId="1" fillId="5" borderId="14" xfId="1" applyNumberFormat="1" applyFont="1" applyFill="1" applyBorder="1" applyAlignment="1" applyProtection="1">
      <alignment horizontal="center" vertical="center"/>
      <protection locked="0"/>
    </xf>
    <xf numFmtId="185" fontId="1" fillId="5" borderId="15" xfId="0" applyNumberFormat="1" applyFont="1" applyFill="1" applyBorder="1" applyAlignment="1" applyProtection="1">
      <alignment horizontal="center" vertical="center"/>
      <protection locked="0"/>
    </xf>
    <xf numFmtId="185" fontId="1" fillId="5" borderId="16" xfId="0" applyNumberFormat="1" applyFont="1" applyFill="1" applyBorder="1" applyAlignment="1" applyProtection="1">
      <alignment horizontal="center" vertical="center"/>
      <protection locked="0"/>
    </xf>
    <xf numFmtId="0" fontId="6" fillId="4" borderId="0" xfId="0" applyFont="1" applyFill="1" applyBorder="1" applyAlignment="1" applyProtection="1">
      <alignment horizontal="center" vertical="center" wrapText="1"/>
    </xf>
    <xf numFmtId="0" fontId="5" fillId="5" borderId="13" xfId="0" applyFont="1" applyFill="1" applyBorder="1" applyAlignment="1" applyProtection="1">
      <alignment horizontal="center" vertical="center"/>
      <protection locked="0"/>
    </xf>
    <xf numFmtId="0" fontId="14" fillId="4" borderId="18" xfId="0" applyFont="1" applyFill="1" applyBorder="1" applyAlignment="1" applyProtection="1">
      <alignment horizontal="center" vertical="center"/>
    </xf>
    <xf numFmtId="0" fontId="14" fillId="4" borderId="16" xfId="0" applyFont="1" applyFill="1" applyBorder="1" applyAlignment="1" applyProtection="1">
      <alignment horizontal="center" vertical="center"/>
    </xf>
    <xf numFmtId="0" fontId="6" fillId="4" borderId="21" xfId="0" applyFont="1" applyFill="1" applyBorder="1" applyAlignment="1" applyProtection="1">
      <alignment horizontal="center" vertical="center" wrapText="1"/>
    </xf>
    <xf numFmtId="0" fontId="6" fillId="4" borderId="22" xfId="0" applyFont="1" applyFill="1" applyBorder="1" applyAlignment="1" applyProtection="1">
      <alignment horizontal="center" vertical="center" wrapText="1"/>
    </xf>
    <xf numFmtId="0" fontId="6" fillId="4" borderId="23" xfId="0" applyFont="1" applyFill="1" applyBorder="1" applyAlignment="1" applyProtection="1">
      <alignment horizontal="center" vertical="center" wrapText="1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14" fontId="5" fillId="5" borderId="12" xfId="0" applyNumberFormat="1" applyFont="1" applyFill="1" applyBorder="1" applyAlignment="1" applyProtection="1">
      <alignment horizontal="center" vertical="center"/>
      <protection locked="0"/>
    </xf>
    <xf numFmtId="14" fontId="5" fillId="5" borderId="19" xfId="0" applyNumberFormat="1" applyFont="1" applyFill="1" applyBorder="1" applyAlignment="1" applyProtection="1">
      <alignment horizontal="center" vertical="center"/>
      <protection locked="0"/>
    </xf>
    <xf numFmtId="14" fontId="5" fillId="5" borderId="18" xfId="0" applyNumberFormat="1" applyFont="1" applyFill="1" applyBorder="1" applyAlignment="1" applyProtection="1">
      <alignment horizontal="center" vertical="center"/>
      <protection locked="0"/>
    </xf>
    <xf numFmtId="0" fontId="5" fillId="5" borderId="16" xfId="0" applyFont="1" applyFill="1" applyBorder="1" applyAlignment="1" applyProtection="1">
      <alignment horizontal="center" vertical="center"/>
      <protection locked="0"/>
    </xf>
    <xf numFmtId="0" fontId="14" fillId="4" borderId="13" xfId="0" applyFont="1" applyFill="1" applyBorder="1" applyAlignment="1" applyProtection="1">
      <alignment horizontal="center" vertical="center"/>
    </xf>
    <xf numFmtId="0" fontId="14" fillId="4" borderId="14" xfId="0" applyFont="1" applyFill="1" applyBorder="1" applyAlignment="1" applyProtection="1">
      <alignment horizontal="center" vertical="center"/>
    </xf>
    <xf numFmtId="0" fontId="6" fillId="4" borderId="13" xfId="0" applyFont="1" applyFill="1" applyBorder="1" applyAlignment="1" applyProtection="1">
      <alignment horizontal="center" vertical="center"/>
      <protection locked="0"/>
    </xf>
    <xf numFmtId="0" fontId="6" fillId="4" borderId="14" xfId="0" applyFont="1" applyFill="1" applyBorder="1" applyAlignment="1" applyProtection="1">
      <alignment horizontal="center" vertical="center"/>
      <protection locked="0"/>
    </xf>
    <xf numFmtId="14" fontId="5" fillId="5" borderId="13" xfId="0" applyNumberFormat="1" applyFont="1" applyFill="1" applyBorder="1" applyAlignment="1" applyProtection="1">
      <alignment horizontal="center" vertical="center"/>
      <protection locked="0"/>
    </xf>
    <xf numFmtId="14" fontId="5" fillId="5" borderId="14" xfId="0" applyNumberFormat="1" applyFont="1" applyFill="1" applyBorder="1" applyAlignment="1" applyProtection="1">
      <alignment horizontal="center" vertical="center"/>
      <protection locked="0"/>
    </xf>
    <xf numFmtId="0" fontId="15" fillId="4" borderId="12" xfId="0" applyFont="1" applyFill="1" applyBorder="1" applyAlignment="1" applyProtection="1">
      <alignment horizontal="center" vertical="center"/>
      <protection locked="0"/>
    </xf>
    <xf numFmtId="0" fontId="15" fillId="4" borderId="17" xfId="0" applyFont="1" applyFill="1" applyBorder="1" applyAlignment="1" applyProtection="1">
      <alignment horizontal="center" vertical="center"/>
      <protection locked="0"/>
    </xf>
    <xf numFmtId="0" fontId="15" fillId="4" borderId="19" xfId="0" applyFont="1" applyFill="1" applyBorder="1" applyAlignment="1" applyProtection="1">
      <alignment horizontal="center" vertical="center"/>
      <protection locked="0"/>
    </xf>
    <xf numFmtId="0" fontId="15" fillId="4" borderId="18" xfId="0" applyFont="1" applyFill="1" applyBorder="1" applyAlignment="1" applyProtection="1">
      <alignment horizontal="center" vertical="center"/>
      <protection locked="0"/>
    </xf>
    <xf numFmtId="0" fontId="15" fillId="4" borderId="15" xfId="0" applyFont="1" applyFill="1" applyBorder="1" applyAlignment="1" applyProtection="1">
      <alignment horizontal="center" vertical="center"/>
      <protection locked="0"/>
    </xf>
    <xf numFmtId="0" fontId="15" fillId="4" borderId="16" xfId="0" applyFont="1" applyFill="1" applyBorder="1" applyAlignment="1" applyProtection="1">
      <alignment horizontal="center" vertical="center"/>
      <protection locked="0"/>
    </xf>
    <xf numFmtId="0" fontId="6" fillId="4" borderId="18" xfId="0" applyFont="1" applyFill="1" applyBorder="1" applyAlignment="1" applyProtection="1">
      <alignment horizontal="center" vertical="center"/>
      <protection locked="0"/>
    </xf>
    <xf numFmtId="0" fontId="6" fillId="4" borderId="15" xfId="0" applyFont="1" applyFill="1" applyBorder="1" applyAlignment="1" applyProtection="1">
      <alignment horizontal="center" vertical="center"/>
      <protection locked="0"/>
    </xf>
    <xf numFmtId="0" fontId="6" fillId="4" borderId="0" xfId="0" applyFont="1" applyFill="1" applyBorder="1" applyAlignment="1" applyProtection="1">
      <alignment horizontal="center" vertical="center"/>
      <protection locked="0"/>
    </xf>
    <xf numFmtId="177" fontId="8" fillId="11" borderId="0" xfId="0" applyNumberFormat="1" applyFont="1" applyFill="1" applyAlignment="1" applyProtection="1">
      <alignment horizontal="center" vertical="center"/>
      <protection locked="0"/>
    </xf>
    <xf numFmtId="0" fontId="14" fillId="4" borderId="21" xfId="0" applyFont="1" applyFill="1" applyBorder="1" applyAlignment="1" applyProtection="1">
      <alignment horizontal="center" vertical="center"/>
    </xf>
    <xf numFmtId="0" fontId="14" fillId="4" borderId="23" xfId="0" applyFont="1" applyFill="1" applyBorder="1" applyAlignment="1" applyProtection="1">
      <alignment horizontal="center" vertical="center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320040</xdr:colOff>
          <xdr:row>8</xdr:row>
          <xdr:rowOff>99060</xdr:rowOff>
        </xdr:from>
        <xdr:to>
          <xdr:col>2</xdr:col>
          <xdr:colOff>586740</xdr:colOff>
          <xdr:row>11</xdr:row>
          <xdr:rowOff>68580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1F 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8</xdr:row>
          <xdr:rowOff>91440</xdr:rowOff>
        </xdr:from>
        <xdr:to>
          <xdr:col>4</xdr:col>
          <xdr:colOff>441960</xdr:colOff>
          <xdr:row>11</xdr:row>
          <xdr:rowOff>68580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2F Calibration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541020</xdr:colOff>
          <xdr:row>5</xdr:row>
          <xdr:rowOff>121920</xdr:rowOff>
        </xdr:from>
        <xdr:to>
          <xdr:col>32</xdr:col>
          <xdr:colOff>670560</xdr:colOff>
          <xdr:row>9</xdr:row>
          <xdr:rowOff>15240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O202"/>
  <sheetViews>
    <sheetView topLeftCell="D4" workbookViewId="0">
      <selection activeCell="H25" sqref="H25"/>
    </sheetView>
  </sheetViews>
  <sheetFormatPr defaultColWidth="10.09765625" defaultRowHeight="15.6" x14ac:dyDescent="0.4"/>
  <cols>
    <col min="1" max="8" width="10.09765625" style="1"/>
    <col min="9" max="10" width="10.3984375" style="1" bestFit="1" customWidth="1"/>
    <col min="11" max="12" width="10.09765625" style="1"/>
    <col min="13" max="13" width="10.8984375" style="1" bestFit="1" customWidth="1"/>
    <col min="14" max="14" width="10.09765625" style="1"/>
    <col min="15" max="15" width="10.5" style="1" customWidth="1"/>
    <col min="16" max="16" width="10.09765625" style="1" customWidth="1"/>
    <col min="17" max="16384" width="10.09765625" style="1"/>
  </cols>
  <sheetData>
    <row r="1" spans="1:41" x14ac:dyDescent="0.4">
      <c r="A1" s="1">
        <f>1</f>
        <v>1</v>
      </c>
      <c r="B1" s="1">
        <f>A1+1</f>
        <v>2</v>
      </c>
      <c r="C1" s="1">
        <f t="shared" ref="C1:A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>P1+1</f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  <c r="Y1" s="1">
        <f t="shared" si="0"/>
        <v>25</v>
      </c>
      <c r="Z1" s="1">
        <f t="shared" si="0"/>
        <v>26</v>
      </c>
      <c r="AA1" s="1">
        <f t="shared" si="0"/>
        <v>27</v>
      </c>
      <c r="AB1" s="1">
        <f t="shared" si="0"/>
        <v>28</v>
      </c>
      <c r="AC1" s="1">
        <f t="shared" si="0"/>
        <v>29</v>
      </c>
      <c r="AD1" s="1">
        <f t="shared" si="0"/>
        <v>30</v>
      </c>
      <c r="AE1" s="1">
        <f t="shared" si="0"/>
        <v>31</v>
      </c>
      <c r="AF1" s="1">
        <f t="shared" si="0"/>
        <v>32</v>
      </c>
      <c r="AG1" s="1">
        <f t="shared" si="0"/>
        <v>33</v>
      </c>
      <c r="AH1" s="1">
        <f t="shared" si="0"/>
        <v>34</v>
      </c>
      <c r="AI1" s="1">
        <f t="shared" si="0"/>
        <v>35</v>
      </c>
      <c r="AJ1" s="1">
        <f t="shared" si="0"/>
        <v>36</v>
      </c>
      <c r="AK1" s="1">
        <f t="shared" si="0"/>
        <v>37</v>
      </c>
      <c r="AL1" s="1">
        <f t="shared" si="0"/>
        <v>38</v>
      </c>
      <c r="AM1" s="1">
        <f t="shared" si="0"/>
        <v>39</v>
      </c>
      <c r="AN1" s="1">
        <f t="shared" si="0"/>
        <v>40</v>
      </c>
      <c r="AO1" s="1">
        <f t="shared" si="0"/>
        <v>41</v>
      </c>
    </row>
    <row r="2" spans="1:41" x14ac:dyDescent="0.4">
      <c r="A2" s="63" t="s">
        <v>0</v>
      </c>
      <c r="B2" s="63"/>
      <c r="C2" s="63"/>
      <c r="D2" s="63"/>
      <c r="E2" s="63"/>
      <c r="F2" s="63"/>
      <c r="G2" s="63"/>
      <c r="H2" s="63"/>
      <c r="I2" s="63"/>
      <c r="J2" s="63"/>
      <c r="K2" s="63"/>
      <c r="L2" s="63"/>
      <c r="M2" s="63"/>
      <c r="N2" s="63"/>
      <c r="O2" s="63"/>
      <c r="P2" s="63"/>
      <c r="Q2" s="63"/>
      <c r="R2" s="63"/>
      <c r="S2" s="63"/>
      <c r="T2" s="63"/>
      <c r="U2" s="63"/>
      <c r="V2" s="63"/>
    </row>
    <row r="3" spans="1:41" x14ac:dyDescent="0.4">
      <c r="A3" s="63"/>
      <c r="B3" s="63"/>
      <c r="C3" s="63"/>
      <c r="D3" s="63"/>
      <c r="E3" s="63"/>
      <c r="F3" s="63"/>
      <c r="G3" s="63"/>
      <c r="H3" s="63"/>
      <c r="I3" s="63"/>
      <c r="J3" s="63"/>
      <c r="K3" s="63"/>
      <c r="L3" s="63"/>
      <c r="M3" s="63"/>
      <c r="N3" s="63"/>
      <c r="O3" s="63"/>
      <c r="P3" s="63"/>
      <c r="Q3" s="63"/>
      <c r="R3" s="63"/>
      <c r="S3" s="63"/>
      <c r="T3" s="63"/>
      <c r="U3" s="63"/>
      <c r="V3" s="63"/>
    </row>
    <row r="4" spans="1:41" x14ac:dyDescent="0.4">
      <c r="A4" s="1">
        <f>4</f>
        <v>4</v>
      </c>
      <c r="B4" s="56" t="s">
        <v>1</v>
      </c>
      <c r="C4" s="56"/>
      <c r="D4" s="58">
        <v>1</v>
      </c>
      <c r="E4" s="58"/>
    </row>
    <row r="5" spans="1:41" x14ac:dyDescent="0.4">
      <c r="A5" s="1">
        <f>A4+1</f>
        <v>5</v>
      </c>
      <c r="B5" s="56" t="s">
        <v>29</v>
      </c>
      <c r="C5" s="56"/>
      <c r="D5" s="57">
        <v>44815</v>
      </c>
      <c r="E5" s="58"/>
      <c r="G5" s="64" t="s">
        <v>2</v>
      </c>
      <c r="H5" s="2" t="s">
        <v>3</v>
      </c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41" x14ac:dyDescent="0.4">
      <c r="A6" s="1">
        <f t="shared" ref="A6:A69" si="1">A5+1</f>
        <v>6</v>
      </c>
      <c r="G6" s="65"/>
      <c r="H6" s="66" t="s">
        <v>4</v>
      </c>
      <c r="I6" s="60"/>
      <c r="L6" s="51" t="s">
        <v>75</v>
      </c>
      <c r="M6" s="51"/>
      <c r="N6" s="51"/>
      <c r="O6" s="59" t="s">
        <v>76</v>
      </c>
      <c r="P6" s="60"/>
      <c r="R6" s="51" t="s">
        <v>5</v>
      </c>
      <c r="S6" s="51"/>
      <c r="T6" s="51"/>
    </row>
    <row r="7" spans="1:41" x14ac:dyDescent="0.4">
      <c r="A7" s="1">
        <f t="shared" si="1"/>
        <v>7</v>
      </c>
      <c r="B7" s="56" t="s">
        <v>6</v>
      </c>
      <c r="C7" s="56"/>
      <c r="D7" s="58">
        <v>0</v>
      </c>
      <c r="E7" s="58"/>
      <c r="G7" s="65"/>
      <c r="H7" s="61"/>
      <c r="I7" s="62"/>
      <c r="L7" s="51"/>
      <c r="M7" s="51"/>
      <c r="N7" s="51"/>
      <c r="O7" s="61"/>
      <c r="P7" s="62"/>
      <c r="R7" s="51"/>
      <c r="S7" s="51"/>
      <c r="T7" s="51"/>
    </row>
    <row r="8" spans="1:41" x14ac:dyDescent="0.4">
      <c r="A8" s="1">
        <f t="shared" si="1"/>
        <v>8</v>
      </c>
      <c r="B8" s="56" t="s">
        <v>7</v>
      </c>
      <c r="C8" s="56"/>
      <c r="D8" s="58">
        <v>0.01</v>
      </c>
      <c r="E8" s="58"/>
      <c r="G8" s="65"/>
      <c r="I8" s="3" t="s">
        <v>8</v>
      </c>
      <c r="J8" s="3" t="s">
        <v>9</v>
      </c>
      <c r="K8" s="3" t="s">
        <v>10</v>
      </c>
      <c r="R8" s="51" t="s">
        <v>11</v>
      </c>
      <c r="S8" s="51"/>
      <c r="T8" s="4">
        <v>3</v>
      </c>
    </row>
    <row r="9" spans="1:41" x14ac:dyDescent="0.4">
      <c r="A9" s="1">
        <f t="shared" si="1"/>
        <v>9</v>
      </c>
      <c r="G9" s="65"/>
      <c r="H9" s="3" t="s">
        <v>12</v>
      </c>
      <c r="I9" s="5">
        <v>7.9129827002378028E-2</v>
      </c>
      <c r="J9" s="6">
        <v>1.1919304891329596E-2</v>
      </c>
      <c r="K9" s="6">
        <v>-0.8771262742377044</v>
      </c>
      <c r="N9" s="7">
        <v>44815</v>
      </c>
    </row>
    <row r="10" spans="1:41" x14ac:dyDescent="0.4">
      <c r="A10" s="1">
        <f t="shared" si="1"/>
        <v>10</v>
      </c>
      <c r="G10" s="65"/>
      <c r="H10" s="8" t="s">
        <v>13</v>
      </c>
      <c r="I10" s="52" t="s">
        <v>14</v>
      </c>
      <c r="J10" s="53"/>
      <c r="L10" s="9" t="s">
        <v>15</v>
      </c>
      <c r="M10" s="9" t="s">
        <v>28</v>
      </c>
      <c r="N10" s="8" t="s">
        <v>16</v>
      </c>
      <c r="O10" s="9" t="s">
        <v>28</v>
      </c>
      <c r="P10" s="8" t="s">
        <v>16</v>
      </c>
      <c r="R10" s="54" t="s">
        <v>17</v>
      </c>
      <c r="S10" s="54" t="s">
        <v>18</v>
      </c>
      <c r="T10" s="54" t="s">
        <v>19</v>
      </c>
      <c r="U10" s="54" t="s">
        <v>20</v>
      </c>
      <c r="V10" s="54" t="s">
        <v>21</v>
      </c>
      <c r="W10" s="54" t="s">
        <v>22</v>
      </c>
    </row>
    <row r="11" spans="1:41" x14ac:dyDescent="0.4">
      <c r="A11" s="1">
        <f t="shared" si="1"/>
        <v>11</v>
      </c>
      <c r="G11" s="65"/>
      <c r="H11" s="10">
        <v>0.25</v>
      </c>
      <c r="I11" s="11">
        <v>9.6154639886528535E-3</v>
      </c>
      <c r="J11" s="12"/>
      <c r="L11" s="13">
        <v>1</v>
      </c>
      <c r="M11" s="49">
        <v>44818</v>
      </c>
      <c r="N11" s="14">
        <v>3.5114930000000002</v>
      </c>
      <c r="O11" s="49">
        <v>44818</v>
      </c>
      <c r="P11" s="14">
        <v>3.5114930000000002</v>
      </c>
      <c r="R11" s="55"/>
      <c r="S11" s="55"/>
      <c r="T11" s="55"/>
      <c r="U11" s="55"/>
      <c r="V11" s="55"/>
      <c r="W11" s="55"/>
    </row>
    <row r="12" spans="1:41" x14ac:dyDescent="0.4">
      <c r="A12" s="1">
        <f t="shared" si="1"/>
        <v>12</v>
      </c>
      <c r="G12" s="65"/>
      <c r="H12" s="10">
        <v>0.5</v>
      </c>
      <c r="I12" s="11">
        <v>1.1162364581838124E-2</v>
      </c>
      <c r="J12" s="12"/>
      <c r="L12" s="13">
        <f>L11+1</f>
        <v>2</v>
      </c>
      <c r="M12" s="49">
        <v>44819</v>
      </c>
      <c r="N12" s="14">
        <v>3.5124149999999998</v>
      </c>
      <c r="O12" s="49">
        <v>44819</v>
      </c>
      <c r="P12" s="14">
        <v>3.5124149999999998</v>
      </c>
      <c r="R12" s="15">
        <v>0.25</v>
      </c>
      <c r="S12" s="15">
        <v>1</v>
      </c>
      <c r="T12" s="16">
        <v>9.1889999999999993E-3</v>
      </c>
      <c r="U12" s="11">
        <v>1.7714085993766398E-3</v>
      </c>
      <c r="V12" s="11">
        <v>1.7714085993766886E-3</v>
      </c>
      <c r="W12" s="17">
        <v>-4.87890977618477E-17</v>
      </c>
    </row>
    <row r="13" spans="1:41" x14ac:dyDescent="0.4">
      <c r="A13" s="1">
        <f t="shared" si="1"/>
        <v>13</v>
      </c>
      <c r="C13" s="18" t="s">
        <v>22</v>
      </c>
      <c r="D13" s="67" t="s">
        <v>23</v>
      </c>
      <c r="E13" s="67"/>
      <c r="G13" s="65"/>
      <c r="H13" s="10">
        <v>0.75</v>
      </c>
      <c r="I13" s="11">
        <v>1.1729751309235568E-2</v>
      </c>
      <c r="J13" s="12"/>
      <c r="L13" s="13">
        <f t="shared" ref="L13:L53" si="2">L12+1</f>
        <v>3</v>
      </c>
      <c r="M13" s="49">
        <v>44910</v>
      </c>
      <c r="N13" s="14">
        <v>3.7925620000000002</v>
      </c>
      <c r="O13" s="49">
        <v>44910</v>
      </c>
      <c r="P13" s="14">
        <v>3.7925620000000002</v>
      </c>
      <c r="R13" s="15">
        <v>0.5</v>
      </c>
      <c r="S13" s="15">
        <v>2</v>
      </c>
      <c r="T13" s="16">
        <v>9.3720000000000001E-3</v>
      </c>
      <c r="U13" s="11">
        <v>4.9630522901371625E-3</v>
      </c>
      <c r="V13" s="11">
        <v>4.9630522901371495E-3</v>
      </c>
      <c r="W13" s="17">
        <v>1.3010426069826053E-17</v>
      </c>
    </row>
    <row r="14" spans="1:41" x14ac:dyDescent="0.4">
      <c r="A14" s="1">
        <f t="shared" si="1"/>
        <v>14</v>
      </c>
      <c r="D14" s="67"/>
      <c r="E14" s="67"/>
      <c r="G14" s="65"/>
      <c r="H14" s="10">
        <v>1</v>
      </c>
      <c r="I14" s="11">
        <v>1.2738326744606043E-2</v>
      </c>
      <c r="J14" s="12"/>
      <c r="L14" s="13">
        <f t="shared" si="2"/>
        <v>4</v>
      </c>
      <c r="M14" s="49">
        <v>45001</v>
      </c>
      <c r="N14" s="14">
        <v>3.8730349999999998</v>
      </c>
      <c r="O14" s="49">
        <v>45001</v>
      </c>
      <c r="P14" s="14">
        <v>3.8730349999999998</v>
      </c>
      <c r="R14" s="15">
        <v>0.75</v>
      </c>
      <c r="S14" s="15">
        <v>3</v>
      </c>
      <c r="T14" s="16">
        <v>9.4859999999999996E-3</v>
      </c>
      <c r="U14" s="11">
        <v>8.9659423531971497E-3</v>
      </c>
      <c r="V14" s="11">
        <v>8.9659423531971722E-3</v>
      </c>
      <c r="W14" s="17">
        <v>-2.2551405187698492E-17</v>
      </c>
    </row>
    <row r="15" spans="1:41" x14ac:dyDescent="0.4">
      <c r="A15" s="1">
        <f t="shared" si="1"/>
        <v>15</v>
      </c>
      <c r="D15" s="67"/>
      <c r="E15" s="67"/>
      <c r="G15" s="65"/>
      <c r="H15" s="10">
        <v>2</v>
      </c>
      <c r="I15" s="11">
        <v>8.8252457576316525E-3</v>
      </c>
      <c r="J15" s="12"/>
      <c r="L15" s="13">
        <f t="shared" si="2"/>
        <v>5</v>
      </c>
      <c r="M15" s="49">
        <v>45092</v>
      </c>
      <c r="N15" s="14">
        <v>3.9020980000000001</v>
      </c>
      <c r="O15" s="49">
        <v>45092</v>
      </c>
      <c r="P15" s="14">
        <v>3.9020980000000001</v>
      </c>
      <c r="R15" s="15">
        <v>1</v>
      </c>
      <c r="S15" s="15">
        <v>4</v>
      </c>
      <c r="T15" s="16">
        <v>9.6360000000000005E-3</v>
      </c>
      <c r="U15" s="11">
        <v>1.3624316007604213E-2</v>
      </c>
      <c r="V15" s="11">
        <v>1.3624316007604206E-2</v>
      </c>
      <c r="W15" s="17">
        <v>6.9388939039072284E-18</v>
      </c>
    </row>
    <row r="16" spans="1:41" x14ac:dyDescent="0.4">
      <c r="A16" s="1">
        <f t="shared" si="1"/>
        <v>16</v>
      </c>
      <c r="G16" s="65"/>
      <c r="H16" s="10">
        <v>3</v>
      </c>
      <c r="I16" s="11">
        <v>1.0273480057599883E-2</v>
      </c>
      <c r="J16" s="12"/>
      <c r="L16" s="13">
        <f t="shared" si="2"/>
        <v>6</v>
      </c>
      <c r="M16" s="49">
        <v>45184</v>
      </c>
      <c r="N16" s="14">
        <v>3.9204439999999998</v>
      </c>
      <c r="O16" s="49">
        <v>45184</v>
      </c>
      <c r="P16" s="14">
        <v>3.9204439999999998</v>
      </c>
      <c r="R16" s="15">
        <v>2</v>
      </c>
      <c r="S16" s="15">
        <v>5</v>
      </c>
      <c r="T16" s="16">
        <v>8.6180000000000007E-3</v>
      </c>
      <c r="U16" s="11">
        <v>2.0325396119212937E-2</v>
      </c>
      <c r="V16" s="11">
        <v>2.0325396119212968E-2</v>
      </c>
      <c r="W16" s="17">
        <v>-3.1225022567582528E-17</v>
      </c>
    </row>
    <row r="17" spans="1:23" x14ac:dyDescent="0.4">
      <c r="A17" s="1">
        <f t="shared" si="1"/>
        <v>17</v>
      </c>
      <c r="D17" s="68">
        <v>45202.835729166669</v>
      </c>
      <c r="E17" s="68"/>
      <c r="G17" s="65"/>
      <c r="H17" s="10">
        <v>5</v>
      </c>
      <c r="I17" s="11">
        <v>1.1472470786756934E-2</v>
      </c>
      <c r="J17" s="12"/>
      <c r="L17" s="13">
        <f t="shared" si="2"/>
        <v>7</v>
      </c>
      <c r="M17" s="49">
        <v>45366</v>
      </c>
      <c r="N17" s="14">
        <v>3.9238849999999998</v>
      </c>
      <c r="O17" s="49">
        <v>45366</v>
      </c>
      <c r="P17" s="14">
        <v>3.9238849999999998</v>
      </c>
      <c r="R17" s="15">
        <v>3</v>
      </c>
      <c r="S17" s="15">
        <v>7</v>
      </c>
      <c r="T17" s="16">
        <v>7.5290000000000001E-3</v>
      </c>
      <c r="U17" s="11">
        <v>2.8178321240633547E-2</v>
      </c>
      <c r="V17" s="11">
        <v>2.8178321240633571E-2</v>
      </c>
      <c r="W17" s="17">
        <v>-2.4286128663675299E-17</v>
      </c>
    </row>
    <row r="18" spans="1:23" x14ac:dyDescent="0.4">
      <c r="A18" s="1">
        <f t="shared" si="1"/>
        <v>18</v>
      </c>
      <c r="D18" s="68">
        <v>45202.835729166669</v>
      </c>
      <c r="E18" s="68"/>
      <c r="G18" s="65"/>
      <c r="H18" s="10"/>
      <c r="I18" s="11"/>
      <c r="J18" s="12"/>
      <c r="L18" s="13">
        <f t="shared" si="2"/>
        <v>8</v>
      </c>
      <c r="M18" s="49">
        <v>45549</v>
      </c>
      <c r="N18" s="14">
        <v>3.9116110000000002</v>
      </c>
      <c r="O18" s="49">
        <v>45549</v>
      </c>
      <c r="P18" s="14">
        <v>3.9116110000000002</v>
      </c>
      <c r="R18" s="15">
        <v>5</v>
      </c>
      <c r="S18" s="15">
        <v>10</v>
      </c>
      <c r="T18" s="16">
        <v>6.8240000000000002E-3</v>
      </c>
      <c r="U18" s="11">
        <v>4.1090962313551214E-2</v>
      </c>
      <c r="V18" s="11">
        <v>4.1090962313551214E-2</v>
      </c>
      <c r="W18" s="17">
        <v>0</v>
      </c>
    </row>
    <row r="19" spans="1:23" x14ac:dyDescent="0.4">
      <c r="A19" s="1">
        <f t="shared" si="1"/>
        <v>19</v>
      </c>
      <c r="G19" s="65"/>
      <c r="H19" s="10"/>
      <c r="I19" s="11"/>
      <c r="J19" s="12"/>
      <c r="L19" s="13">
        <f t="shared" si="2"/>
        <v>9</v>
      </c>
      <c r="M19" s="49">
        <v>45914</v>
      </c>
      <c r="N19" s="14">
        <v>3.899302</v>
      </c>
      <c r="O19" s="49">
        <v>45914</v>
      </c>
      <c r="P19" s="14">
        <v>3.899302</v>
      </c>
      <c r="R19" s="15"/>
      <c r="S19" s="15"/>
      <c r="T19" s="16"/>
      <c r="U19" s="11"/>
      <c r="V19" s="11"/>
      <c r="W19" s="17"/>
    </row>
    <row r="20" spans="1:23" x14ac:dyDescent="0.4">
      <c r="A20" s="1">
        <f t="shared" si="1"/>
        <v>20</v>
      </c>
      <c r="G20" s="65"/>
      <c r="H20" s="10"/>
      <c r="I20" s="11"/>
      <c r="J20" s="12"/>
      <c r="L20" s="13">
        <f t="shared" si="2"/>
        <v>10</v>
      </c>
      <c r="M20" s="49">
        <v>46281</v>
      </c>
      <c r="N20" s="14">
        <v>3.9023029999999999</v>
      </c>
      <c r="O20" s="49">
        <v>46281</v>
      </c>
      <c r="P20" s="14">
        <v>3.9023029999999999</v>
      </c>
      <c r="R20" s="15"/>
      <c r="S20" s="15"/>
      <c r="T20" s="16"/>
      <c r="U20" s="11"/>
      <c r="V20" s="11"/>
      <c r="W20" s="17"/>
    </row>
    <row r="21" spans="1:23" x14ac:dyDescent="0.4">
      <c r="A21" s="1">
        <f t="shared" si="1"/>
        <v>21</v>
      </c>
      <c r="G21" s="65"/>
      <c r="H21" s="10"/>
      <c r="I21" s="11"/>
      <c r="J21" s="12"/>
      <c r="L21" s="13">
        <f t="shared" si="2"/>
        <v>11</v>
      </c>
      <c r="M21" s="49">
        <v>46645</v>
      </c>
      <c r="N21" s="14">
        <v>3.9025310000000002</v>
      </c>
      <c r="O21" s="49">
        <v>46645</v>
      </c>
      <c r="P21" s="14">
        <v>3.9025310000000002</v>
      </c>
      <c r="R21" s="15"/>
      <c r="S21" s="15"/>
      <c r="T21" s="16"/>
      <c r="U21" s="11"/>
      <c r="V21" s="11"/>
      <c r="W21" s="17"/>
    </row>
    <row r="22" spans="1:23" x14ac:dyDescent="0.4">
      <c r="A22" s="1">
        <f t="shared" si="1"/>
        <v>22</v>
      </c>
      <c r="G22" s="65"/>
      <c r="H22" s="10"/>
      <c r="I22" s="11"/>
      <c r="J22" s="12"/>
      <c r="L22" s="13">
        <f t="shared" si="2"/>
        <v>12</v>
      </c>
      <c r="M22" s="49">
        <v>47010</v>
      </c>
      <c r="N22" s="14">
        <v>3.9081440000000001</v>
      </c>
      <c r="O22" s="49">
        <v>47010</v>
      </c>
      <c r="P22" s="14">
        <v>3.9081440000000001</v>
      </c>
      <c r="R22" s="15"/>
      <c r="S22" s="15"/>
      <c r="T22" s="16"/>
      <c r="U22" s="11"/>
      <c r="V22" s="11"/>
      <c r="W22" s="17"/>
    </row>
    <row r="23" spans="1:23" x14ac:dyDescent="0.4">
      <c r="A23" s="1">
        <f t="shared" si="1"/>
        <v>23</v>
      </c>
      <c r="B23" s="56" t="s">
        <v>24</v>
      </c>
      <c r="C23" s="56"/>
      <c r="D23" s="58">
        <v>1</v>
      </c>
      <c r="E23" s="58"/>
      <c r="G23" s="65"/>
      <c r="H23" s="10"/>
      <c r="I23" s="11"/>
      <c r="J23" s="12"/>
      <c r="L23" s="13">
        <f t="shared" si="2"/>
        <v>13</v>
      </c>
      <c r="M23" s="49">
        <v>47375</v>
      </c>
      <c r="N23" s="14">
        <v>3.9137569999999999</v>
      </c>
      <c r="O23" s="49">
        <v>47375</v>
      </c>
      <c r="P23" s="14">
        <v>3.9137569999999999</v>
      </c>
      <c r="R23" s="15"/>
      <c r="S23" s="15"/>
      <c r="T23" s="16"/>
      <c r="U23" s="11"/>
      <c r="V23" s="11"/>
      <c r="W23" s="17"/>
    </row>
    <row r="24" spans="1:23" x14ac:dyDescent="0.4">
      <c r="A24" s="1">
        <f t="shared" si="1"/>
        <v>24</v>
      </c>
      <c r="B24" s="56" t="s">
        <v>25</v>
      </c>
      <c r="C24" s="56"/>
      <c r="D24" s="58">
        <v>0</v>
      </c>
      <c r="E24" s="58"/>
      <c r="G24" s="65"/>
      <c r="H24" s="10"/>
      <c r="I24" s="11"/>
      <c r="J24" s="12"/>
      <c r="L24" s="13">
        <f t="shared" si="2"/>
        <v>14</v>
      </c>
      <c r="M24" s="49">
        <v>47740</v>
      </c>
      <c r="N24" s="14">
        <v>3.9222540000000001</v>
      </c>
      <c r="O24" s="49">
        <v>47740</v>
      </c>
      <c r="P24" s="14">
        <v>3.9222540000000001</v>
      </c>
      <c r="R24" s="15"/>
      <c r="S24" s="15"/>
      <c r="T24" s="16"/>
      <c r="U24" s="11"/>
      <c r="V24" s="11"/>
      <c r="W24" s="17"/>
    </row>
    <row r="25" spans="1:23" x14ac:dyDescent="0.4">
      <c r="A25" s="1">
        <f t="shared" si="1"/>
        <v>25</v>
      </c>
      <c r="B25" s="56" t="s">
        <v>26</v>
      </c>
      <c r="C25" s="56"/>
      <c r="D25" s="58">
        <v>-0.1</v>
      </c>
      <c r="E25" s="58"/>
      <c r="G25" s="65"/>
      <c r="H25" s="10"/>
      <c r="I25" s="11"/>
      <c r="J25" s="12"/>
      <c r="L25" s="13">
        <f t="shared" si="2"/>
        <v>15</v>
      </c>
      <c r="M25" s="49">
        <v>48108</v>
      </c>
      <c r="N25" s="14">
        <v>3.9337179999999998</v>
      </c>
      <c r="O25" s="49">
        <v>48108</v>
      </c>
      <c r="P25" s="14">
        <v>3.9337179999999998</v>
      </c>
      <c r="R25" s="15"/>
      <c r="S25" s="15"/>
      <c r="T25" s="16"/>
      <c r="U25" s="11"/>
      <c r="V25" s="11"/>
      <c r="W25" s="17"/>
    </row>
    <row r="26" spans="1:23" x14ac:dyDescent="0.4">
      <c r="A26" s="1">
        <f t="shared" si="1"/>
        <v>26</v>
      </c>
      <c r="B26" s="56" t="s">
        <v>27</v>
      </c>
      <c r="C26" s="56"/>
      <c r="D26" s="58">
        <v>0.15</v>
      </c>
      <c r="E26" s="58"/>
      <c r="G26" s="65"/>
      <c r="H26" s="10"/>
      <c r="I26" s="11"/>
      <c r="J26" s="12"/>
      <c r="L26" s="13">
        <f t="shared" si="2"/>
        <v>16</v>
      </c>
      <c r="M26" s="49">
        <v>48472</v>
      </c>
      <c r="N26" s="14">
        <v>3.9453279999999999</v>
      </c>
      <c r="O26" s="49">
        <v>48472</v>
      </c>
      <c r="P26" s="14">
        <v>3.9453279999999999</v>
      </c>
      <c r="R26" s="15"/>
      <c r="S26" s="15"/>
      <c r="T26" s="16"/>
      <c r="U26" s="11"/>
      <c r="V26" s="11"/>
      <c r="W26" s="17"/>
    </row>
    <row r="27" spans="1:23" x14ac:dyDescent="0.4">
      <c r="A27" s="1">
        <f t="shared" si="1"/>
        <v>27</v>
      </c>
      <c r="G27" s="65"/>
      <c r="H27" s="10"/>
      <c r="I27" s="11"/>
      <c r="J27" s="12"/>
      <c r="L27" s="13">
        <f t="shared" si="2"/>
        <v>17</v>
      </c>
      <c r="M27" s="49">
        <v>49201</v>
      </c>
      <c r="N27" s="14">
        <v>3.9689730000000001</v>
      </c>
      <c r="O27" s="49">
        <v>49201</v>
      </c>
      <c r="P27" s="14">
        <v>3.9689730000000001</v>
      </c>
      <c r="R27" s="15"/>
      <c r="S27" s="15"/>
      <c r="T27" s="16"/>
      <c r="U27" s="11"/>
      <c r="V27" s="11"/>
      <c r="W27" s="17"/>
    </row>
    <row r="28" spans="1:23" x14ac:dyDescent="0.4">
      <c r="A28" s="1">
        <f t="shared" si="1"/>
        <v>28</v>
      </c>
      <c r="G28" s="65"/>
      <c r="H28" s="10"/>
      <c r="I28" s="11"/>
      <c r="J28" s="12"/>
      <c r="L28" s="13">
        <f t="shared" si="2"/>
        <v>18</v>
      </c>
      <c r="M28" s="49">
        <v>50299</v>
      </c>
      <c r="N28" s="14">
        <v>3.9608210000000001</v>
      </c>
      <c r="O28" s="49">
        <v>50299</v>
      </c>
      <c r="P28" s="14">
        <v>3.9608210000000001</v>
      </c>
      <c r="R28" s="15"/>
      <c r="S28" s="15"/>
      <c r="T28" s="16"/>
      <c r="U28" s="11"/>
      <c r="V28" s="11"/>
      <c r="W28" s="17"/>
    </row>
    <row r="29" spans="1:23" x14ac:dyDescent="0.4">
      <c r="A29" s="1">
        <f t="shared" si="1"/>
        <v>29</v>
      </c>
      <c r="G29" s="65"/>
      <c r="H29" s="10"/>
      <c r="I29" s="11"/>
      <c r="J29" s="12"/>
      <c r="L29" s="13">
        <f t="shared" si="2"/>
        <v>19</v>
      </c>
      <c r="M29" s="49">
        <v>52123</v>
      </c>
      <c r="N29" s="14">
        <v>3.8029289999999998</v>
      </c>
      <c r="O29" s="49">
        <v>52123</v>
      </c>
      <c r="P29" s="14">
        <v>3.8029289999999998</v>
      </c>
      <c r="R29" s="15"/>
      <c r="S29" s="15"/>
      <c r="T29" s="16"/>
      <c r="U29" s="11"/>
      <c r="V29" s="11"/>
      <c r="W29" s="17"/>
    </row>
    <row r="30" spans="1:23" x14ac:dyDescent="0.4">
      <c r="A30" s="1">
        <f t="shared" si="1"/>
        <v>30</v>
      </c>
      <c r="G30" s="65"/>
      <c r="H30" s="10"/>
      <c r="I30" s="11"/>
      <c r="J30" s="12"/>
      <c r="L30" s="13">
        <f t="shared" si="2"/>
        <v>20</v>
      </c>
      <c r="M30" s="49">
        <v>53950</v>
      </c>
      <c r="N30" s="14">
        <v>3.6413120000000001</v>
      </c>
      <c r="O30" s="49">
        <v>53950</v>
      </c>
      <c r="P30" s="14">
        <v>3.6413120000000001</v>
      </c>
      <c r="R30" s="15"/>
      <c r="S30" s="15"/>
      <c r="T30" s="16"/>
      <c r="U30" s="11"/>
      <c r="V30" s="11"/>
      <c r="W30" s="17"/>
    </row>
    <row r="31" spans="1:23" x14ac:dyDescent="0.4">
      <c r="A31" s="1">
        <f t="shared" si="1"/>
        <v>31</v>
      </c>
      <c r="G31" s="65"/>
      <c r="H31" s="10"/>
      <c r="I31" s="11"/>
      <c r="J31" s="12"/>
      <c r="L31" s="13">
        <f t="shared" si="2"/>
        <v>21</v>
      </c>
      <c r="M31" s="49">
        <v>55776</v>
      </c>
      <c r="N31" s="14">
        <v>3.552136</v>
      </c>
      <c r="O31" s="49">
        <v>55776</v>
      </c>
      <c r="P31" s="14">
        <v>3.552136</v>
      </c>
      <c r="R31" s="15"/>
      <c r="S31" s="15"/>
      <c r="T31" s="16"/>
      <c r="U31" s="11"/>
      <c r="V31" s="11"/>
      <c r="W31" s="17"/>
    </row>
    <row r="32" spans="1:23" x14ac:dyDescent="0.4">
      <c r="A32" s="1">
        <f t="shared" si="1"/>
        <v>32</v>
      </c>
      <c r="G32" s="65"/>
      <c r="H32" s="10"/>
      <c r="I32" s="11"/>
      <c r="J32" s="12"/>
      <c r="L32" s="13">
        <f t="shared" si="2"/>
        <v>22</v>
      </c>
      <c r="M32" s="50"/>
      <c r="N32" s="19"/>
      <c r="O32" s="50"/>
      <c r="P32" s="19"/>
      <c r="R32" s="15"/>
      <c r="S32" s="15"/>
      <c r="T32" s="16"/>
      <c r="U32" s="11"/>
      <c r="V32" s="11"/>
      <c r="W32" s="17"/>
    </row>
    <row r="33" spans="1:23" x14ac:dyDescent="0.4">
      <c r="A33" s="1">
        <f t="shared" si="1"/>
        <v>33</v>
      </c>
      <c r="G33" s="65"/>
      <c r="H33" s="10"/>
      <c r="I33" s="11"/>
      <c r="J33" s="12"/>
      <c r="L33" s="13">
        <f t="shared" si="2"/>
        <v>23</v>
      </c>
      <c r="M33" s="50"/>
      <c r="N33" s="19"/>
      <c r="O33" s="50"/>
      <c r="P33" s="19"/>
      <c r="R33" s="15"/>
      <c r="S33" s="15"/>
      <c r="T33" s="16"/>
      <c r="U33" s="11"/>
      <c r="V33" s="11"/>
      <c r="W33" s="17"/>
    </row>
    <row r="34" spans="1:23" x14ac:dyDescent="0.4">
      <c r="A34" s="1">
        <f t="shared" si="1"/>
        <v>34</v>
      </c>
      <c r="G34" s="65"/>
      <c r="H34" s="10"/>
      <c r="I34" s="11"/>
      <c r="J34" s="12"/>
      <c r="L34" s="13">
        <f t="shared" si="2"/>
        <v>24</v>
      </c>
      <c r="M34" s="50"/>
      <c r="N34" s="19"/>
      <c r="O34" s="50"/>
      <c r="P34" s="19"/>
      <c r="R34" s="15"/>
      <c r="S34" s="15"/>
      <c r="T34" s="16"/>
      <c r="U34" s="11"/>
      <c r="V34" s="11"/>
      <c r="W34" s="17"/>
    </row>
    <row r="35" spans="1:23" x14ac:dyDescent="0.4">
      <c r="A35" s="1">
        <f t="shared" si="1"/>
        <v>35</v>
      </c>
      <c r="G35" s="65"/>
      <c r="H35" s="10"/>
      <c r="I35" s="11"/>
      <c r="J35" s="12"/>
      <c r="L35" s="13">
        <f t="shared" si="2"/>
        <v>25</v>
      </c>
      <c r="M35" s="50"/>
      <c r="N35" s="19"/>
      <c r="O35" s="50"/>
      <c r="P35" s="19"/>
      <c r="R35" s="15"/>
      <c r="S35" s="15"/>
      <c r="T35" s="16"/>
      <c r="U35" s="11"/>
      <c r="V35" s="11"/>
      <c r="W35" s="17"/>
    </row>
    <row r="36" spans="1:23" x14ac:dyDescent="0.4">
      <c r="A36" s="1">
        <f t="shared" si="1"/>
        <v>36</v>
      </c>
      <c r="G36" s="65"/>
      <c r="H36" s="10"/>
      <c r="I36" s="11"/>
      <c r="J36" s="12"/>
      <c r="L36" s="13">
        <f t="shared" si="2"/>
        <v>26</v>
      </c>
      <c r="M36" s="50"/>
      <c r="N36" s="19"/>
      <c r="O36" s="50"/>
      <c r="P36" s="19"/>
      <c r="R36" s="15"/>
      <c r="S36" s="15"/>
      <c r="T36" s="16"/>
      <c r="U36" s="11"/>
      <c r="V36" s="11"/>
      <c r="W36" s="17"/>
    </row>
    <row r="37" spans="1:23" x14ac:dyDescent="0.4">
      <c r="A37" s="1">
        <f t="shared" si="1"/>
        <v>37</v>
      </c>
      <c r="G37" s="65"/>
      <c r="H37" s="10"/>
      <c r="I37" s="11"/>
      <c r="J37" s="12"/>
      <c r="L37" s="13">
        <f t="shared" si="2"/>
        <v>27</v>
      </c>
      <c r="M37" s="50"/>
      <c r="N37" s="19"/>
      <c r="O37" s="50"/>
      <c r="P37" s="19"/>
      <c r="R37" s="15"/>
      <c r="S37" s="15"/>
      <c r="T37" s="16"/>
      <c r="U37" s="11"/>
      <c r="V37" s="11"/>
      <c r="W37" s="17"/>
    </row>
    <row r="38" spans="1:23" x14ac:dyDescent="0.4">
      <c r="A38" s="1">
        <f t="shared" si="1"/>
        <v>38</v>
      </c>
      <c r="G38" s="65"/>
      <c r="H38" s="10"/>
      <c r="I38" s="11"/>
      <c r="J38" s="12"/>
      <c r="L38" s="13">
        <f t="shared" si="2"/>
        <v>28</v>
      </c>
      <c r="M38" s="50"/>
      <c r="N38" s="19"/>
      <c r="O38" s="50"/>
      <c r="P38" s="19"/>
      <c r="R38" s="15"/>
      <c r="S38" s="15"/>
      <c r="T38" s="16"/>
      <c r="U38" s="11"/>
      <c r="V38" s="11"/>
      <c r="W38" s="17"/>
    </row>
    <row r="39" spans="1:23" x14ac:dyDescent="0.4">
      <c r="A39" s="1">
        <f t="shared" si="1"/>
        <v>39</v>
      </c>
      <c r="G39" s="65"/>
      <c r="H39" s="10"/>
      <c r="I39" s="11"/>
      <c r="J39" s="12"/>
      <c r="L39" s="13">
        <f t="shared" si="2"/>
        <v>29</v>
      </c>
      <c r="M39" s="50"/>
      <c r="N39" s="19"/>
      <c r="O39" s="50"/>
      <c r="P39" s="19"/>
      <c r="R39" s="15"/>
      <c r="S39" s="15"/>
      <c r="T39" s="16"/>
      <c r="U39" s="11"/>
      <c r="V39" s="11"/>
      <c r="W39" s="17"/>
    </row>
    <row r="40" spans="1:23" x14ac:dyDescent="0.4">
      <c r="A40" s="1">
        <f t="shared" si="1"/>
        <v>40</v>
      </c>
      <c r="G40" s="65"/>
      <c r="H40" s="10"/>
      <c r="I40" s="11"/>
      <c r="J40" s="12"/>
      <c r="L40" s="13">
        <f t="shared" si="2"/>
        <v>30</v>
      </c>
      <c r="M40" s="50"/>
      <c r="N40" s="19"/>
      <c r="O40" s="50"/>
      <c r="P40" s="19"/>
      <c r="R40" s="15"/>
      <c r="S40" s="15"/>
      <c r="T40" s="16"/>
      <c r="U40" s="11"/>
      <c r="V40" s="11"/>
      <c r="W40" s="17"/>
    </row>
    <row r="41" spans="1:23" x14ac:dyDescent="0.4">
      <c r="A41" s="1">
        <f t="shared" si="1"/>
        <v>41</v>
      </c>
      <c r="G41" s="20"/>
      <c r="H41" s="10"/>
      <c r="I41" s="11"/>
      <c r="J41" s="12"/>
      <c r="L41" s="13">
        <f t="shared" si="2"/>
        <v>31</v>
      </c>
      <c r="M41" s="50"/>
      <c r="N41" s="19"/>
      <c r="O41" s="50"/>
      <c r="P41" s="19"/>
      <c r="R41" s="15"/>
      <c r="S41" s="15"/>
      <c r="T41" s="16"/>
      <c r="U41" s="11"/>
      <c r="V41" s="11"/>
      <c r="W41" s="17"/>
    </row>
    <row r="42" spans="1:23" x14ac:dyDescent="0.4">
      <c r="A42" s="1">
        <f t="shared" si="1"/>
        <v>42</v>
      </c>
      <c r="G42" s="20"/>
      <c r="H42" s="10"/>
      <c r="I42" s="11"/>
      <c r="J42" s="12"/>
      <c r="L42" s="13">
        <f t="shared" si="2"/>
        <v>32</v>
      </c>
      <c r="M42" s="50"/>
      <c r="N42" s="19"/>
      <c r="O42" s="50"/>
      <c r="P42" s="19"/>
      <c r="R42" s="15"/>
      <c r="S42" s="15"/>
      <c r="T42" s="16"/>
      <c r="U42" s="11"/>
      <c r="V42" s="11"/>
      <c r="W42" s="17"/>
    </row>
    <row r="43" spans="1:23" x14ac:dyDescent="0.4">
      <c r="A43" s="1">
        <f t="shared" si="1"/>
        <v>43</v>
      </c>
      <c r="G43" s="20"/>
      <c r="H43" s="10"/>
      <c r="I43" s="11"/>
      <c r="J43" s="12"/>
      <c r="L43" s="13">
        <f t="shared" si="2"/>
        <v>33</v>
      </c>
      <c r="M43" s="50"/>
      <c r="N43" s="19"/>
      <c r="O43" s="50"/>
      <c r="P43" s="19"/>
      <c r="R43" s="15"/>
      <c r="S43" s="15"/>
      <c r="T43" s="16"/>
      <c r="U43" s="11"/>
      <c r="V43" s="11"/>
      <c r="W43" s="17"/>
    </row>
    <row r="44" spans="1:23" x14ac:dyDescent="0.4">
      <c r="A44" s="1">
        <f t="shared" si="1"/>
        <v>44</v>
      </c>
      <c r="G44" s="20"/>
      <c r="H44" s="10"/>
      <c r="I44" s="11"/>
      <c r="J44" s="12"/>
      <c r="L44" s="13">
        <f t="shared" si="2"/>
        <v>34</v>
      </c>
      <c r="M44" s="50"/>
      <c r="N44" s="19"/>
      <c r="O44" s="50"/>
      <c r="P44" s="19"/>
      <c r="R44" s="15"/>
      <c r="S44" s="15"/>
      <c r="T44" s="16"/>
      <c r="U44" s="11"/>
      <c r="V44" s="11"/>
      <c r="W44" s="17"/>
    </row>
    <row r="45" spans="1:23" x14ac:dyDescent="0.4">
      <c r="A45" s="1">
        <f t="shared" si="1"/>
        <v>45</v>
      </c>
      <c r="G45" s="20"/>
      <c r="H45" s="10"/>
      <c r="I45" s="11"/>
      <c r="J45" s="12"/>
      <c r="L45" s="13">
        <f t="shared" si="2"/>
        <v>35</v>
      </c>
      <c r="M45" s="50"/>
      <c r="N45" s="19"/>
      <c r="O45" s="50"/>
      <c r="P45" s="19"/>
      <c r="R45" s="15"/>
      <c r="S45" s="15"/>
      <c r="T45" s="16"/>
      <c r="U45" s="11"/>
      <c r="V45" s="11"/>
      <c r="W45" s="17"/>
    </row>
    <row r="46" spans="1:23" x14ac:dyDescent="0.4">
      <c r="A46" s="1">
        <f t="shared" si="1"/>
        <v>46</v>
      </c>
      <c r="G46" s="20"/>
      <c r="H46" s="10"/>
      <c r="I46" s="11"/>
      <c r="J46" s="12"/>
      <c r="L46" s="13">
        <f t="shared" si="2"/>
        <v>36</v>
      </c>
      <c r="M46" s="50"/>
      <c r="N46" s="19"/>
      <c r="O46" s="50"/>
      <c r="P46" s="19"/>
      <c r="R46" s="15"/>
      <c r="S46" s="15"/>
      <c r="T46" s="16"/>
      <c r="U46" s="11"/>
      <c r="V46" s="11"/>
      <c r="W46" s="17"/>
    </row>
    <row r="47" spans="1:23" x14ac:dyDescent="0.4">
      <c r="A47" s="1">
        <f t="shared" si="1"/>
        <v>47</v>
      </c>
      <c r="G47" s="20"/>
      <c r="H47" s="10"/>
      <c r="I47" s="11"/>
      <c r="J47" s="12"/>
      <c r="L47" s="13">
        <f t="shared" si="2"/>
        <v>37</v>
      </c>
      <c r="M47" s="50"/>
      <c r="N47" s="19"/>
      <c r="O47" s="50"/>
      <c r="P47" s="19"/>
      <c r="R47" s="15"/>
      <c r="S47" s="15"/>
      <c r="T47" s="16"/>
      <c r="U47" s="11"/>
      <c r="V47" s="11"/>
      <c r="W47" s="17"/>
    </row>
    <row r="48" spans="1:23" x14ac:dyDescent="0.4">
      <c r="A48" s="1">
        <f t="shared" si="1"/>
        <v>48</v>
      </c>
      <c r="G48" s="20"/>
      <c r="H48" s="10"/>
      <c r="I48" s="11"/>
      <c r="J48" s="12"/>
      <c r="L48" s="13">
        <f t="shared" si="2"/>
        <v>38</v>
      </c>
      <c r="M48" s="50"/>
      <c r="N48" s="19"/>
      <c r="O48" s="50"/>
      <c r="P48" s="19"/>
      <c r="R48" s="15"/>
      <c r="S48" s="15"/>
      <c r="T48" s="16"/>
      <c r="U48" s="11"/>
      <c r="V48" s="11"/>
      <c r="W48" s="17"/>
    </row>
    <row r="49" spans="1:23" x14ac:dyDescent="0.4">
      <c r="A49" s="1">
        <f t="shared" si="1"/>
        <v>49</v>
      </c>
      <c r="G49" s="20"/>
      <c r="H49" s="10"/>
      <c r="I49" s="11"/>
      <c r="J49" s="12"/>
      <c r="L49" s="13">
        <f t="shared" si="2"/>
        <v>39</v>
      </c>
      <c r="M49" s="50"/>
      <c r="N49" s="19"/>
      <c r="O49" s="50"/>
      <c r="P49" s="19"/>
      <c r="R49" s="15"/>
      <c r="S49" s="15"/>
      <c r="T49" s="16"/>
      <c r="U49" s="11"/>
      <c r="V49" s="11"/>
      <c r="W49" s="17"/>
    </row>
    <row r="50" spans="1:23" x14ac:dyDescent="0.4">
      <c r="A50" s="1">
        <f t="shared" si="1"/>
        <v>50</v>
      </c>
      <c r="G50" s="20"/>
      <c r="H50" s="10"/>
      <c r="I50" s="11"/>
      <c r="J50" s="12"/>
      <c r="L50" s="13">
        <f t="shared" si="2"/>
        <v>40</v>
      </c>
      <c r="M50" s="50"/>
      <c r="N50" s="19"/>
      <c r="O50" s="50"/>
      <c r="P50" s="19"/>
      <c r="R50" s="15"/>
      <c r="S50" s="15"/>
      <c r="T50" s="16"/>
      <c r="U50" s="11"/>
      <c r="V50" s="11"/>
      <c r="W50" s="17"/>
    </row>
    <row r="51" spans="1:23" x14ac:dyDescent="0.4">
      <c r="A51" s="1">
        <f t="shared" si="1"/>
        <v>51</v>
      </c>
      <c r="G51" s="20"/>
      <c r="H51" s="10"/>
      <c r="I51" s="11"/>
      <c r="J51" s="12"/>
      <c r="L51" s="13">
        <f t="shared" si="2"/>
        <v>41</v>
      </c>
      <c r="M51" s="50"/>
      <c r="N51" s="19"/>
      <c r="O51" s="50"/>
      <c r="P51" s="19"/>
      <c r="R51" s="15"/>
      <c r="S51" s="15"/>
      <c r="T51" s="16"/>
      <c r="U51" s="11"/>
      <c r="V51" s="11"/>
      <c r="W51" s="17"/>
    </row>
    <row r="52" spans="1:23" x14ac:dyDescent="0.4">
      <c r="A52" s="1">
        <f t="shared" si="1"/>
        <v>52</v>
      </c>
      <c r="G52" s="20"/>
      <c r="H52" s="10"/>
      <c r="I52" s="11"/>
      <c r="J52" s="12"/>
      <c r="L52" s="13">
        <f t="shared" si="2"/>
        <v>42</v>
      </c>
      <c r="M52" s="50"/>
      <c r="N52" s="19"/>
      <c r="O52" s="50"/>
      <c r="P52" s="19"/>
      <c r="R52" s="15"/>
      <c r="S52" s="15"/>
      <c r="T52" s="16"/>
      <c r="U52" s="11"/>
      <c r="V52" s="11"/>
      <c r="W52" s="17"/>
    </row>
    <row r="53" spans="1:23" x14ac:dyDescent="0.4">
      <c r="A53" s="1">
        <f t="shared" si="1"/>
        <v>53</v>
      </c>
      <c r="G53" s="20"/>
      <c r="H53" s="10"/>
      <c r="I53" s="11"/>
      <c r="J53" s="12"/>
      <c r="L53" s="13">
        <f t="shared" si="2"/>
        <v>43</v>
      </c>
      <c r="M53" s="50"/>
      <c r="N53" s="19"/>
      <c r="O53" s="50"/>
      <c r="P53" s="19"/>
      <c r="R53" s="15"/>
      <c r="S53" s="15"/>
      <c r="T53" s="16"/>
      <c r="U53" s="11"/>
      <c r="V53" s="11"/>
      <c r="W53" s="17"/>
    </row>
    <row r="54" spans="1:23" x14ac:dyDescent="0.4">
      <c r="A54" s="1">
        <f t="shared" si="1"/>
        <v>54</v>
      </c>
    </row>
    <row r="55" spans="1:23" ht="15.6" customHeight="1" x14ac:dyDescent="0.4">
      <c r="A55" s="1">
        <f t="shared" si="1"/>
        <v>55</v>
      </c>
    </row>
    <row r="56" spans="1:23" x14ac:dyDescent="0.4">
      <c r="A56" s="1">
        <f t="shared" si="1"/>
        <v>56</v>
      </c>
    </row>
    <row r="57" spans="1:23" x14ac:dyDescent="0.4">
      <c r="A57" s="1">
        <f t="shared" si="1"/>
        <v>57</v>
      </c>
    </row>
    <row r="58" spans="1:23" x14ac:dyDescent="0.4">
      <c r="A58" s="1">
        <f t="shared" si="1"/>
        <v>58</v>
      </c>
    </row>
    <row r="59" spans="1:23" x14ac:dyDescent="0.4">
      <c r="A59" s="1">
        <f t="shared" si="1"/>
        <v>59</v>
      </c>
    </row>
    <row r="60" spans="1:23" x14ac:dyDescent="0.4">
      <c r="A60" s="1">
        <f t="shared" si="1"/>
        <v>60</v>
      </c>
    </row>
    <row r="61" spans="1:23" x14ac:dyDescent="0.4">
      <c r="A61" s="1">
        <f t="shared" si="1"/>
        <v>61</v>
      </c>
    </row>
    <row r="62" spans="1:23" x14ac:dyDescent="0.4">
      <c r="A62" s="1">
        <f t="shared" si="1"/>
        <v>62</v>
      </c>
    </row>
    <row r="63" spans="1:23" x14ac:dyDescent="0.4">
      <c r="A63" s="1">
        <f t="shared" si="1"/>
        <v>63</v>
      </c>
    </row>
    <row r="64" spans="1:23" x14ac:dyDescent="0.4">
      <c r="A64" s="1">
        <f t="shared" si="1"/>
        <v>64</v>
      </c>
    </row>
    <row r="65" spans="1:1" x14ac:dyDescent="0.4">
      <c r="A65" s="1">
        <f t="shared" si="1"/>
        <v>65</v>
      </c>
    </row>
    <row r="66" spans="1:1" x14ac:dyDescent="0.4">
      <c r="A66" s="1">
        <f t="shared" si="1"/>
        <v>66</v>
      </c>
    </row>
    <row r="67" spans="1:1" x14ac:dyDescent="0.4">
      <c r="A67" s="1">
        <f t="shared" si="1"/>
        <v>67</v>
      </c>
    </row>
    <row r="68" spans="1:1" x14ac:dyDescent="0.4">
      <c r="A68" s="1">
        <f t="shared" si="1"/>
        <v>68</v>
      </c>
    </row>
    <row r="69" spans="1:1" x14ac:dyDescent="0.4">
      <c r="A69" s="1">
        <f t="shared" si="1"/>
        <v>69</v>
      </c>
    </row>
    <row r="70" spans="1:1" x14ac:dyDescent="0.4">
      <c r="A70" s="1">
        <f t="shared" ref="A70:A133" si="3">A69+1</f>
        <v>70</v>
      </c>
    </row>
    <row r="71" spans="1:1" x14ac:dyDescent="0.4">
      <c r="A71" s="1">
        <f t="shared" si="3"/>
        <v>71</v>
      </c>
    </row>
    <row r="72" spans="1:1" x14ac:dyDescent="0.4">
      <c r="A72" s="1">
        <f t="shared" si="3"/>
        <v>72</v>
      </c>
    </row>
    <row r="73" spans="1:1" x14ac:dyDescent="0.4">
      <c r="A73" s="1">
        <f t="shared" si="3"/>
        <v>73</v>
      </c>
    </row>
    <row r="74" spans="1:1" x14ac:dyDescent="0.4">
      <c r="A74" s="1">
        <f t="shared" si="3"/>
        <v>74</v>
      </c>
    </row>
    <row r="75" spans="1:1" x14ac:dyDescent="0.4">
      <c r="A75" s="1">
        <f t="shared" si="3"/>
        <v>75</v>
      </c>
    </row>
    <row r="76" spans="1:1" x14ac:dyDescent="0.4">
      <c r="A76" s="1">
        <f t="shared" si="3"/>
        <v>76</v>
      </c>
    </row>
    <row r="77" spans="1:1" x14ac:dyDescent="0.4">
      <c r="A77" s="1">
        <f t="shared" si="3"/>
        <v>77</v>
      </c>
    </row>
    <row r="78" spans="1:1" x14ac:dyDescent="0.4">
      <c r="A78" s="1">
        <f t="shared" si="3"/>
        <v>78</v>
      </c>
    </row>
    <row r="79" spans="1:1" x14ac:dyDescent="0.4">
      <c r="A79" s="1">
        <f t="shared" si="3"/>
        <v>79</v>
      </c>
    </row>
    <row r="80" spans="1:1" x14ac:dyDescent="0.4">
      <c r="A80" s="1">
        <f t="shared" si="3"/>
        <v>80</v>
      </c>
    </row>
    <row r="81" spans="1:1" x14ac:dyDescent="0.4">
      <c r="A81" s="1">
        <f t="shared" si="3"/>
        <v>81</v>
      </c>
    </row>
    <row r="82" spans="1:1" x14ac:dyDescent="0.4">
      <c r="A82" s="1">
        <f t="shared" si="3"/>
        <v>82</v>
      </c>
    </row>
    <row r="83" spans="1:1" x14ac:dyDescent="0.4">
      <c r="A83" s="1">
        <f t="shared" si="3"/>
        <v>83</v>
      </c>
    </row>
    <row r="84" spans="1:1" x14ac:dyDescent="0.4">
      <c r="A84" s="1">
        <f t="shared" si="3"/>
        <v>84</v>
      </c>
    </row>
    <row r="85" spans="1:1" x14ac:dyDescent="0.4">
      <c r="A85" s="1">
        <f t="shared" si="3"/>
        <v>85</v>
      </c>
    </row>
    <row r="86" spans="1:1" x14ac:dyDescent="0.4">
      <c r="A86" s="1">
        <f t="shared" si="3"/>
        <v>86</v>
      </c>
    </row>
    <row r="87" spans="1:1" x14ac:dyDescent="0.4">
      <c r="A87" s="1">
        <f t="shared" si="3"/>
        <v>87</v>
      </c>
    </row>
    <row r="88" spans="1:1" x14ac:dyDescent="0.4">
      <c r="A88" s="1">
        <f t="shared" si="3"/>
        <v>88</v>
      </c>
    </row>
    <row r="89" spans="1:1" x14ac:dyDescent="0.4">
      <c r="A89" s="1">
        <f t="shared" si="3"/>
        <v>89</v>
      </c>
    </row>
    <row r="90" spans="1:1" x14ac:dyDescent="0.4">
      <c r="A90" s="1">
        <f t="shared" si="3"/>
        <v>90</v>
      </c>
    </row>
    <row r="91" spans="1:1" x14ac:dyDescent="0.4">
      <c r="A91" s="1">
        <f t="shared" si="3"/>
        <v>91</v>
      </c>
    </row>
    <row r="92" spans="1:1" x14ac:dyDescent="0.4">
      <c r="A92" s="1">
        <f t="shared" si="3"/>
        <v>92</v>
      </c>
    </row>
    <row r="93" spans="1:1" x14ac:dyDescent="0.4">
      <c r="A93" s="1">
        <f t="shared" si="3"/>
        <v>93</v>
      </c>
    </row>
    <row r="94" spans="1:1" x14ac:dyDescent="0.4">
      <c r="A94" s="1">
        <f t="shared" si="3"/>
        <v>94</v>
      </c>
    </row>
    <row r="95" spans="1:1" x14ac:dyDescent="0.4">
      <c r="A95" s="1">
        <f t="shared" si="3"/>
        <v>95</v>
      </c>
    </row>
    <row r="96" spans="1:1" x14ac:dyDescent="0.4">
      <c r="A96" s="1">
        <f t="shared" si="3"/>
        <v>96</v>
      </c>
    </row>
    <row r="97" spans="1:1" x14ac:dyDescent="0.4">
      <c r="A97" s="1">
        <f t="shared" si="3"/>
        <v>97</v>
      </c>
    </row>
    <row r="98" spans="1:1" x14ac:dyDescent="0.4">
      <c r="A98" s="1">
        <f t="shared" si="3"/>
        <v>98</v>
      </c>
    </row>
    <row r="99" spans="1:1" x14ac:dyDescent="0.4">
      <c r="A99" s="1">
        <f t="shared" si="3"/>
        <v>99</v>
      </c>
    </row>
    <row r="100" spans="1:1" x14ac:dyDescent="0.4">
      <c r="A100" s="1">
        <f t="shared" si="3"/>
        <v>100</v>
      </c>
    </row>
    <row r="101" spans="1:1" x14ac:dyDescent="0.4">
      <c r="A101" s="1">
        <f t="shared" si="3"/>
        <v>101</v>
      </c>
    </row>
    <row r="102" spans="1:1" x14ac:dyDescent="0.4">
      <c r="A102" s="1">
        <f t="shared" si="3"/>
        <v>102</v>
      </c>
    </row>
    <row r="103" spans="1:1" x14ac:dyDescent="0.4">
      <c r="A103" s="1">
        <f t="shared" si="3"/>
        <v>103</v>
      </c>
    </row>
    <row r="104" spans="1:1" x14ac:dyDescent="0.4">
      <c r="A104" s="1">
        <f t="shared" si="3"/>
        <v>104</v>
      </c>
    </row>
    <row r="105" spans="1:1" x14ac:dyDescent="0.4">
      <c r="A105" s="1">
        <f t="shared" si="3"/>
        <v>105</v>
      </c>
    </row>
    <row r="106" spans="1:1" x14ac:dyDescent="0.4">
      <c r="A106" s="1">
        <f t="shared" si="3"/>
        <v>106</v>
      </c>
    </row>
    <row r="107" spans="1:1" x14ac:dyDescent="0.4">
      <c r="A107" s="1">
        <f t="shared" si="3"/>
        <v>107</v>
      </c>
    </row>
    <row r="108" spans="1:1" x14ac:dyDescent="0.4">
      <c r="A108" s="1">
        <f t="shared" si="3"/>
        <v>108</v>
      </c>
    </row>
    <row r="109" spans="1:1" x14ac:dyDescent="0.4">
      <c r="A109" s="1">
        <f t="shared" si="3"/>
        <v>109</v>
      </c>
    </row>
    <row r="110" spans="1:1" x14ac:dyDescent="0.4">
      <c r="A110" s="1">
        <f t="shared" si="3"/>
        <v>110</v>
      </c>
    </row>
    <row r="111" spans="1:1" x14ac:dyDescent="0.4">
      <c r="A111" s="1">
        <f t="shared" si="3"/>
        <v>111</v>
      </c>
    </row>
    <row r="112" spans="1:1" x14ac:dyDescent="0.4">
      <c r="A112" s="1">
        <f t="shared" si="3"/>
        <v>112</v>
      </c>
    </row>
    <row r="113" spans="1:1" x14ac:dyDescent="0.4">
      <c r="A113" s="1">
        <f t="shared" si="3"/>
        <v>113</v>
      </c>
    </row>
    <row r="114" spans="1:1" x14ac:dyDescent="0.4">
      <c r="A114" s="1">
        <f t="shared" si="3"/>
        <v>114</v>
      </c>
    </row>
    <row r="115" spans="1:1" x14ac:dyDescent="0.4">
      <c r="A115" s="1">
        <f t="shared" si="3"/>
        <v>115</v>
      </c>
    </row>
    <row r="116" spans="1:1" x14ac:dyDescent="0.4">
      <c r="A116" s="1">
        <f t="shared" si="3"/>
        <v>116</v>
      </c>
    </row>
    <row r="117" spans="1:1" x14ac:dyDescent="0.4">
      <c r="A117" s="1">
        <f t="shared" si="3"/>
        <v>117</v>
      </c>
    </row>
    <row r="118" spans="1:1" x14ac:dyDescent="0.4">
      <c r="A118" s="1">
        <f t="shared" si="3"/>
        <v>118</v>
      </c>
    </row>
    <row r="119" spans="1:1" x14ac:dyDescent="0.4">
      <c r="A119" s="1">
        <f t="shared" si="3"/>
        <v>119</v>
      </c>
    </row>
    <row r="120" spans="1:1" x14ac:dyDescent="0.4">
      <c r="A120" s="1">
        <f t="shared" si="3"/>
        <v>120</v>
      </c>
    </row>
    <row r="121" spans="1:1" x14ac:dyDescent="0.4">
      <c r="A121" s="1">
        <f t="shared" si="3"/>
        <v>121</v>
      </c>
    </row>
    <row r="122" spans="1:1" x14ac:dyDescent="0.4">
      <c r="A122" s="1">
        <f t="shared" si="3"/>
        <v>122</v>
      </c>
    </row>
    <row r="123" spans="1:1" x14ac:dyDescent="0.4">
      <c r="A123" s="1">
        <f t="shared" si="3"/>
        <v>123</v>
      </c>
    </row>
    <row r="124" spans="1:1" x14ac:dyDescent="0.4">
      <c r="A124" s="1">
        <f t="shared" si="3"/>
        <v>124</v>
      </c>
    </row>
    <row r="125" spans="1:1" x14ac:dyDescent="0.4">
      <c r="A125" s="1">
        <f t="shared" si="3"/>
        <v>125</v>
      </c>
    </row>
    <row r="126" spans="1:1" x14ac:dyDescent="0.4">
      <c r="A126" s="1">
        <f t="shared" si="3"/>
        <v>126</v>
      </c>
    </row>
    <row r="127" spans="1:1" x14ac:dyDescent="0.4">
      <c r="A127" s="1">
        <f t="shared" si="3"/>
        <v>127</v>
      </c>
    </row>
    <row r="128" spans="1:1" x14ac:dyDescent="0.4">
      <c r="A128" s="1">
        <f t="shared" si="3"/>
        <v>128</v>
      </c>
    </row>
    <row r="129" spans="1:1" x14ac:dyDescent="0.4">
      <c r="A129" s="1">
        <f t="shared" si="3"/>
        <v>129</v>
      </c>
    </row>
    <row r="130" spans="1:1" x14ac:dyDescent="0.4">
      <c r="A130" s="1">
        <f t="shared" si="3"/>
        <v>130</v>
      </c>
    </row>
    <row r="131" spans="1:1" x14ac:dyDescent="0.4">
      <c r="A131" s="1">
        <f t="shared" si="3"/>
        <v>131</v>
      </c>
    </row>
    <row r="132" spans="1:1" x14ac:dyDescent="0.4">
      <c r="A132" s="1">
        <f t="shared" si="3"/>
        <v>132</v>
      </c>
    </row>
    <row r="133" spans="1:1" x14ac:dyDescent="0.4">
      <c r="A133" s="1">
        <f t="shared" si="3"/>
        <v>133</v>
      </c>
    </row>
    <row r="134" spans="1:1" x14ac:dyDescent="0.4">
      <c r="A134" s="1">
        <f t="shared" ref="A134:A197" si="4">A133+1</f>
        <v>134</v>
      </c>
    </row>
    <row r="135" spans="1:1" x14ac:dyDescent="0.4">
      <c r="A135" s="1">
        <f t="shared" si="4"/>
        <v>135</v>
      </c>
    </row>
    <row r="136" spans="1:1" x14ac:dyDescent="0.4">
      <c r="A136" s="1">
        <f t="shared" si="4"/>
        <v>136</v>
      </c>
    </row>
    <row r="137" spans="1:1" x14ac:dyDescent="0.4">
      <c r="A137" s="1">
        <f t="shared" si="4"/>
        <v>137</v>
      </c>
    </row>
    <row r="138" spans="1:1" x14ac:dyDescent="0.4">
      <c r="A138" s="1">
        <f t="shared" si="4"/>
        <v>138</v>
      </c>
    </row>
    <row r="139" spans="1:1" x14ac:dyDescent="0.4">
      <c r="A139" s="1">
        <f t="shared" si="4"/>
        <v>139</v>
      </c>
    </row>
    <row r="140" spans="1:1" x14ac:dyDescent="0.4">
      <c r="A140" s="1">
        <f t="shared" si="4"/>
        <v>140</v>
      </c>
    </row>
    <row r="141" spans="1:1" x14ac:dyDescent="0.4">
      <c r="A141" s="1">
        <f t="shared" si="4"/>
        <v>141</v>
      </c>
    </row>
    <row r="142" spans="1:1" x14ac:dyDescent="0.4">
      <c r="A142" s="1">
        <f t="shared" si="4"/>
        <v>142</v>
      </c>
    </row>
    <row r="143" spans="1:1" x14ac:dyDescent="0.4">
      <c r="A143" s="1">
        <f t="shared" si="4"/>
        <v>143</v>
      </c>
    </row>
    <row r="144" spans="1:1" x14ac:dyDescent="0.4">
      <c r="A144" s="1">
        <f t="shared" si="4"/>
        <v>144</v>
      </c>
    </row>
    <row r="145" spans="1:1" x14ac:dyDescent="0.4">
      <c r="A145" s="1">
        <f t="shared" si="4"/>
        <v>145</v>
      </c>
    </row>
    <row r="146" spans="1:1" x14ac:dyDescent="0.4">
      <c r="A146" s="1">
        <f t="shared" si="4"/>
        <v>146</v>
      </c>
    </row>
    <row r="147" spans="1:1" x14ac:dyDescent="0.4">
      <c r="A147" s="1">
        <f t="shared" si="4"/>
        <v>147</v>
      </c>
    </row>
    <row r="148" spans="1:1" x14ac:dyDescent="0.4">
      <c r="A148" s="1">
        <f t="shared" si="4"/>
        <v>148</v>
      </c>
    </row>
    <row r="149" spans="1:1" x14ac:dyDescent="0.4">
      <c r="A149" s="1">
        <f t="shared" si="4"/>
        <v>149</v>
      </c>
    </row>
    <row r="150" spans="1:1" x14ac:dyDescent="0.4">
      <c r="A150" s="1">
        <f t="shared" si="4"/>
        <v>150</v>
      </c>
    </row>
    <row r="151" spans="1:1" x14ac:dyDescent="0.4">
      <c r="A151" s="1">
        <f t="shared" si="4"/>
        <v>151</v>
      </c>
    </row>
    <row r="152" spans="1:1" x14ac:dyDescent="0.4">
      <c r="A152" s="1">
        <f t="shared" si="4"/>
        <v>152</v>
      </c>
    </row>
    <row r="153" spans="1:1" x14ac:dyDescent="0.4">
      <c r="A153" s="1">
        <f t="shared" si="4"/>
        <v>153</v>
      </c>
    </row>
    <row r="154" spans="1:1" x14ac:dyDescent="0.4">
      <c r="A154" s="1">
        <f t="shared" si="4"/>
        <v>154</v>
      </c>
    </row>
    <row r="155" spans="1:1" x14ac:dyDescent="0.4">
      <c r="A155" s="1">
        <f t="shared" si="4"/>
        <v>155</v>
      </c>
    </row>
    <row r="156" spans="1:1" x14ac:dyDescent="0.4">
      <c r="A156" s="1">
        <f t="shared" si="4"/>
        <v>156</v>
      </c>
    </row>
    <row r="157" spans="1:1" x14ac:dyDescent="0.4">
      <c r="A157" s="1">
        <f t="shared" si="4"/>
        <v>157</v>
      </c>
    </row>
    <row r="158" spans="1:1" x14ac:dyDescent="0.4">
      <c r="A158" s="1">
        <f t="shared" si="4"/>
        <v>158</v>
      </c>
    </row>
    <row r="159" spans="1:1" x14ac:dyDescent="0.4">
      <c r="A159" s="1">
        <f t="shared" si="4"/>
        <v>159</v>
      </c>
    </row>
    <row r="160" spans="1:1" x14ac:dyDescent="0.4">
      <c r="A160" s="1">
        <f t="shared" si="4"/>
        <v>160</v>
      </c>
    </row>
    <row r="161" spans="1:1" x14ac:dyDescent="0.4">
      <c r="A161" s="1">
        <f t="shared" si="4"/>
        <v>161</v>
      </c>
    </row>
    <row r="162" spans="1:1" x14ac:dyDescent="0.4">
      <c r="A162" s="1">
        <f t="shared" si="4"/>
        <v>162</v>
      </c>
    </row>
    <row r="163" spans="1:1" x14ac:dyDescent="0.4">
      <c r="A163" s="1">
        <f t="shared" si="4"/>
        <v>163</v>
      </c>
    </row>
    <row r="164" spans="1:1" x14ac:dyDescent="0.4">
      <c r="A164" s="1">
        <f t="shared" si="4"/>
        <v>164</v>
      </c>
    </row>
    <row r="165" spans="1:1" x14ac:dyDescent="0.4">
      <c r="A165" s="1">
        <f t="shared" si="4"/>
        <v>165</v>
      </c>
    </row>
    <row r="166" spans="1:1" x14ac:dyDescent="0.4">
      <c r="A166" s="1">
        <f t="shared" si="4"/>
        <v>166</v>
      </c>
    </row>
    <row r="167" spans="1:1" x14ac:dyDescent="0.4">
      <c r="A167" s="1">
        <f t="shared" si="4"/>
        <v>167</v>
      </c>
    </row>
    <row r="168" spans="1:1" x14ac:dyDescent="0.4">
      <c r="A168" s="1">
        <f t="shared" si="4"/>
        <v>168</v>
      </c>
    </row>
    <row r="169" spans="1:1" x14ac:dyDescent="0.4">
      <c r="A169" s="1">
        <f t="shared" si="4"/>
        <v>169</v>
      </c>
    </row>
    <row r="170" spans="1:1" x14ac:dyDescent="0.4">
      <c r="A170" s="1">
        <f t="shared" si="4"/>
        <v>170</v>
      </c>
    </row>
    <row r="171" spans="1:1" x14ac:dyDescent="0.4">
      <c r="A171" s="1">
        <f t="shared" si="4"/>
        <v>171</v>
      </c>
    </row>
    <row r="172" spans="1:1" x14ac:dyDescent="0.4">
      <c r="A172" s="1">
        <f t="shared" si="4"/>
        <v>172</v>
      </c>
    </row>
    <row r="173" spans="1:1" x14ac:dyDescent="0.4">
      <c r="A173" s="1">
        <f t="shared" si="4"/>
        <v>173</v>
      </c>
    </row>
    <row r="174" spans="1:1" x14ac:dyDescent="0.4">
      <c r="A174" s="1">
        <f t="shared" si="4"/>
        <v>174</v>
      </c>
    </row>
    <row r="175" spans="1:1" x14ac:dyDescent="0.4">
      <c r="A175" s="1">
        <f t="shared" si="4"/>
        <v>175</v>
      </c>
    </row>
    <row r="176" spans="1:1" x14ac:dyDescent="0.4">
      <c r="A176" s="1">
        <f t="shared" si="4"/>
        <v>176</v>
      </c>
    </row>
    <row r="177" spans="1:1" x14ac:dyDescent="0.4">
      <c r="A177" s="1">
        <f t="shared" si="4"/>
        <v>177</v>
      </c>
    </row>
    <row r="178" spans="1:1" x14ac:dyDescent="0.4">
      <c r="A178" s="1">
        <f t="shared" si="4"/>
        <v>178</v>
      </c>
    </row>
    <row r="179" spans="1:1" x14ac:dyDescent="0.4">
      <c r="A179" s="1">
        <f t="shared" si="4"/>
        <v>179</v>
      </c>
    </row>
    <row r="180" spans="1:1" x14ac:dyDescent="0.4">
      <c r="A180" s="1">
        <f t="shared" si="4"/>
        <v>180</v>
      </c>
    </row>
    <row r="181" spans="1:1" x14ac:dyDescent="0.4">
      <c r="A181" s="1">
        <f t="shared" si="4"/>
        <v>181</v>
      </c>
    </row>
    <row r="182" spans="1:1" x14ac:dyDescent="0.4">
      <c r="A182" s="1">
        <f t="shared" si="4"/>
        <v>182</v>
      </c>
    </row>
    <row r="183" spans="1:1" x14ac:dyDescent="0.4">
      <c r="A183" s="1">
        <f t="shared" si="4"/>
        <v>183</v>
      </c>
    </row>
    <row r="184" spans="1:1" x14ac:dyDescent="0.4">
      <c r="A184" s="1">
        <f t="shared" si="4"/>
        <v>184</v>
      </c>
    </row>
    <row r="185" spans="1:1" x14ac:dyDescent="0.4">
      <c r="A185" s="1">
        <f t="shared" si="4"/>
        <v>185</v>
      </c>
    </row>
    <row r="186" spans="1:1" x14ac:dyDescent="0.4">
      <c r="A186" s="1">
        <f t="shared" si="4"/>
        <v>186</v>
      </c>
    </row>
    <row r="187" spans="1:1" x14ac:dyDescent="0.4">
      <c r="A187" s="1">
        <f t="shared" si="4"/>
        <v>187</v>
      </c>
    </row>
    <row r="188" spans="1:1" x14ac:dyDescent="0.4">
      <c r="A188" s="1">
        <f t="shared" si="4"/>
        <v>188</v>
      </c>
    </row>
    <row r="189" spans="1:1" x14ac:dyDescent="0.4">
      <c r="A189" s="1">
        <f t="shared" si="4"/>
        <v>189</v>
      </c>
    </row>
    <row r="190" spans="1:1" x14ac:dyDescent="0.4">
      <c r="A190" s="1">
        <f t="shared" si="4"/>
        <v>190</v>
      </c>
    </row>
    <row r="191" spans="1:1" x14ac:dyDescent="0.4">
      <c r="A191" s="1">
        <f t="shared" si="4"/>
        <v>191</v>
      </c>
    </row>
    <row r="192" spans="1:1" x14ac:dyDescent="0.4">
      <c r="A192" s="1">
        <f t="shared" si="4"/>
        <v>192</v>
      </c>
    </row>
    <row r="193" spans="1:1" x14ac:dyDescent="0.4">
      <c r="A193" s="1">
        <f t="shared" si="4"/>
        <v>193</v>
      </c>
    </row>
    <row r="194" spans="1:1" x14ac:dyDescent="0.4">
      <c r="A194" s="1">
        <f t="shared" si="4"/>
        <v>194</v>
      </c>
    </row>
    <row r="195" spans="1:1" x14ac:dyDescent="0.4">
      <c r="A195" s="1">
        <f t="shared" si="4"/>
        <v>195</v>
      </c>
    </row>
    <row r="196" spans="1:1" x14ac:dyDescent="0.4">
      <c r="A196" s="1">
        <f t="shared" si="4"/>
        <v>196</v>
      </c>
    </row>
    <row r="197" spans="1:1" x14ac:dyDescent="0.4">
      <c r="A197" s="1">
        <f t="shared" si="4"/>
        <v>197</v>
      </c>
    </row>
    <row r="198" spans="1:1" x14ac:dyDescent="0.4">
      <c r="A198" s="1">
        <f t="shared" ref="A198:A202" si="5">A197+1</f>
        <v>198</v>
      </c>
    </row>
    <row r="199" spans="1:1" x14ac:dyDescent="0.4">
      <c r="A199" s="1">
        <f t="shared" si="5"/>
        <v>199</v>
      </c>
    </row>
    <row r="200" spans="1:1" x14ac:dyDescent="0.4">
      <c r="A200" s="1">
        <f t="shared" si="5"/>
        <v>200</v>
      </c>
    </row>
    <row r="201" spans="1:1" x14ac:dyDescent="0.4">
      <c r="A201" s="1">
        <f t="shared" si="5"/>
        <v>201</v>
      </c>
    </row>
    <row r="202" spans="1:1" x14ac:dyDescent="0.4">
      <c r="A202" s="1">
        <f t="shared" si="5"/>
        <v>202</v>
      </c>
    </row>
  </sheetData>
  <mergeCells count="33">
    <mergeCell ref="B26:C26"/>
    <mergeCell ref="D26:E26"/>
    <mergeCell ref="D25:E25"/>
    <mergeCell ref="U10:U11"/>
    <mergeCell ref="V10:V11"/>
    <mergeCell ref="W10:W11"/>
    <mergeCell ref="D13:E15"/>
    <mergeCell ref="D17:E17"/>
    <mergeCell ref="D18:E18"/>
    <mergeCell ref="T10:T11"/>
    <mergeCell ref="A2:V3"/>
    <mergeCell ref="B4:C4"/>
    <mergeCell ref="D4:E4"/>
    <mergeCell ref="G5:G40"/>
    <mergeCell ref="H6:I7"/>
    <mergeCell ref="L6:N7"/>
    <mergeCell ref="R6:T7"/>
    <mergeCell ref="B7:C7"/>
    <mergeCell ref="D7:E7"/>
    <mergeCell ref="B8:C8"/>
    <mergeCell ref="B23:C23"/>
    <mergeCell ref="D23:E23"/>
    <mergeCell ref="B24:C24"/>
    <mergeCell ref="D24:E24"/>
    <mergeCell ref="B25:C25"/>
    <mergeCell ref="D8:E8"/>
    <mergeCell ref="R8:S8"/>
    <mergeCell ref="I10:J10"/>
    <mergeCell ref="R10:R11"/>
    <mergeCell ref="S10:S11"/>
    <mergeCell ref="B5:C5"/>
    <mergeCell ref="D5:E5"/>
    <mergeCell ref="O6:P7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heet1.HW1FCali">
                <anchor moveWithCells="1" sizeWithCells="1">
                  <from>
                    <xdr:col>1</xdr:col>
                    <xdr:colOff>320040</xdr:colOff>
                    <xdr:row>8</xdr:row>
                    <xdr:rowOff>99060</xdr:rowOff>
                  </from>
                  <to>
                    <xdr:col>2</xdr:col>
                    <xdr:colOff>586740</xdr:colOff>
                    <xdr:row>11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Sheet1.HW2FCali">
                <anchor moveWithCells="1" sizeWithCells="1">
                  <from>
                    <xdr:col>3</xdr:col>
                    <xdr:colOff>114300</xdr:colOff>
                    <xdr:row>8</xdr:row>
                    <xdr:rowOff>91440</xdr:rowOff>
                  </from>
                  <to>
                    <xdr:col>4</xdr:col>
                    <xdr:colOff>441960</xdr:colOff>
                    <xdr:row>11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E61"/>
  <sheetViews>
    <sheetView tabSelected="1" topLeftCell="X4" workbookViewId="0">
      <selection activeCell="AE9" sqref="AE9"/>
    </sheetView>
  </sheetViews>
  <sheetFormatPr defaultColWidth="12.5" defaultRowHeight="17.399999999999999" x14ac:dyDescent="0.4"/>
  <cols>
    <col min="1" max="1" width="12.5" style="21"/>
    <col min="2" max="3" width="12.5" style="28"/>
    <col min="4" max="19" width="12.5" style="21"/>
    <col min="20" max="20" width="12.5" style="29"/>
    <col min="21" max="21" width="12.5" style="30"/>
    <col min="22" max="22" width="12.5" style="21"/>
    <col min="23" max="23" width="12.5" style="29"/>
    <col min="24" max="24" width="12.5" style="36"/>
    <col min="25" max="25" width="12.5" style="29"/>
    <col min="26" max="26" width="12.5" style="38"/>
    <col min="27" max="27" width="12.5" style="21"/>
    <col min="28" max="28" width="12.5" style="43"/>
    <col min="29" max="30" width="12.5" style="44"/>
    <col min="31" max="31" width="12.5" style="46"/>
    <col min="32" max="32" width="12.5" style="48"/>
    <col min="33" max="35" width="12.5" style="44"/>
    <col min="36" max="36" width="12.5" style="46"/>
    <col min="37" max="37" width="12.5" style="48"/>
    <col min="38" max="16384" width="12.5" style="21"/>
  </cols>
  <sheetData>
    <row r="1" spans="1:57" x14ac:dyDescent="0.4">
      <c r="A1" s="22">
        <v>1</v>
      </c>
      <c r="B1" s="22">
        <f>A1+1</f>
        <v>2</v>
      </c>
      <c r="C1" s="22">
        <f t="shared" ref="C1:BE1" si="0">B1+1</f>
        <v>3</v>
      </c>
      <c r="D1" s="22">
        <f t="shared" si="0"/>
        <v>4</v>
      </c>
      <c r="E1" s="22">
        <f t="shared" si="0"/>
        <v>5</v>
      </c>
      <c r="F1" s="22">
        <f t="shared" si="0"/>
        <v>6</v>
      </c>
      <c r="G1" s="22">
        <f t="shared" si="0"/>
        <v>7</v>
      </c>
      <c r="H1" s="22">
        <f t="shared" si="0"/>
        <v>8</v>
      </c>
      <c r="I1" s="22">
        <f t="shared" si="0"/>
        <v>9</v>
      </c>
      <c r="J1" s="22">
        <f t="shared" si="0"/>
        <v>10</v>
      </c>
      <c r="K1" s="22">
        <f t="shared" si="0"/>
        <v>11</v>
      </c>
      <c r="L1" s="22">
        <f t="shared" si="0"/>
        <v>12</v>
      </c>
      <c r="M1" s="22">
        <f t="shared" si="0"/>
        <v>13</v>
      </c>
      <c r="N1" s="22">
        <f t="shared" si="0"/>
        <v>14</v>
      </c>
      <c r="O1" s="22">
        <f t="shared" si="0"/>
        <v>15</v>
      </c>
      <c r="P1" s="22">
        <f t="shared" si="0"/>
        <v>16</v>
      </c>
      <c r="Q1" s="22">
        <f t="shared" si="0"/>
        <v>17</v>
      </c>
      <c r="R1" s="22">
        <f t="shared" si="0"/>
        <v>18</v>
      </c>
      <c r="S1" s="22">
        <f t="shared" si="0"/>
        <v>19</v>
      </c>
      <c r="T1" s="22">
        <f t="shared" si="0"/>
        <v>20</v>
      </c>
      <c r="U1" s="22">
        <f t="shared" si="0"/>
        <v>21</v>
      </c>
      <c r="V1" s="22">
        <f t="shared" si="0"/>
        <v>22</v>
      </c>
      <c r="W1" s="22">
        <f t="shared" si="0"/>
        <v>23</v>
      </c>
      <c r="X1" s="22">
        <f t="shared" si="0"/>
        <v>24</v>
      </c>
      <c r="Y1" s="22">
        <f t="shared" si="0"/>
        <v>25</v>
      </c>
      <c r="Z1" s="22">
        <f t="shared" si="0"/>
        <v>26</v>
      </c>
      <c r="AA1" s="22">
        <f t="shared" si="0"/>
        <v>27</v>
      </c>
      <c r="AB1" s="22">
        <f t="shared" si="0"/>
        <v>28</v>
      </c>
      <c r="AC1" s="22">
        <f t="shared" si="0"/>
        <v>29</v>
      </c>
      <c r="AD1" s="22">
        <f t="shared" si="0"/>
        <v>30</v>
      </c>
      <c r="AE1" s="22">
        <f t="shared" si="0"/>
        <v>31</v>
      </c>
      <c r="AF1" s="22">
        <f t="shared" si="0"/>
        <v>32</v>
      </c>
      <c r="AG1" s="22">
        <f t="shared" si="0"/>
        <v>33</v>
      </c>
      <c r="AH1" s="22">
        <f t="shared" si="0"/>
        <v>34</v>
      </c>
      <c r="AI1" s="22">
        <f t="shared" si="0"/>
        <v>35</v>
      </c>
      <c r="AJ1" s="22">
        <f t="shared" si="0"/>
        <v>36</v>
      </c>
      <c r="AK1" s="22">
        <f t="shared" si="0"/>
        <v>37</v>
      </c>
      <c r="AL1" s="22">
        <f t="shared" si="0"/>
        <v>38</v>
      </c>
      <c r="AM1" s="22">
        <f t="shared" si="0"/>
        <v>39</v>
      </c>
      <c r="AN1" s="22">
        <f t="shared" si="0"/>
        <v>40</v>
      </c>
      <c r="AO1" s="22">
        <f t="shared" si="0"/>
        <v>41</v>
      </c>
      <c r="AP1" s="22">
        <f t="shared" si="0"/>
        <v>42</v>
      </c>
      <c r="AQ1" s="22">
        <f t="shared" si="0"/>
        <v>43</v>
      </c>
      <c r="AR1" s="22">
        <f t="shared" si="0"/>
        <v>44</v>
      </c>
      <c r="AS1" s="22">
        <f t="shared" si="0"/>
        <v>45</v>
      </c>
      <c r="AT1" s="22">
        <f t="shared" si="0"/>
        <v>46</v>
      </c>
      <c r="AU1" s="22">
        <f t="shared" si="0"/>
        <v>47</v>
      </c>
      <c r="AV1" s="22">
        <f t="shared" si="0"/>
        <v>48</v>
      </c>
      <c r="AW1" s="22">
        <f t="shared" si="0"/>
        <v>49</v>
      </c>
      <c r="AX1" s="22">
        <f t="shared" si="0"/>
        <v>50</v>
      </c>
      <c r="AY1" s="22">
        <f t="shared" si="0"/>
        <v>51</v>
      </c>
      <c r="AZ1" s="22">
        <f t="shared" si="0"/>
        <v>52</v>
      </c>
      <c r="BA1" s="22">
        <f t="shared" si="0"/>
        <v>53</v>
      </c>
      <c r="BB1" s="22">
        <f t="shared" si="0"/>
        <v>54</v>
      </c>
      <c r="BC1" s="22">
        <f t="shared" si="0"/>
        <v>55</v>
      </c>
      <c r="BD1" s="22">
        <f t="shared" si="0"/>
        <v>56</v>
      </c>
      <c r="BE1" s="22">
        <f t="shared" si="0"/>
        <v>57</v>
      </c>
    </row>
    <row r="2" spans="1:57" x14ac:dyDescent="0.4">
      <c r="A2" s="22">
        <f>A1+1</f>
        <v>2</v>
      </c>
      <c r="B2" s="21"/>
      <c r="C2" s="21"/>
      <c r="T2" s="21"/>
      <c r="U2" s="21"/>
      <c r="W2" s="21"/>
      <c r="X2" s="21"/>
      <c r="Y2" s="21"/>
      <c r="Z2" s="21"/>
      <c r="AB2" s="21"/>
      <c r="AC2" s="21"/>
      <c r="AD2" s="21"/>
      <c r="AE2" s="21"/>
      <c r="AF2" s="21"/>
      <c r="AG2" s="21"/>
      <c r="AH2" s="21"/>
      <c r="AI2" s="21"/>
      <c r="AJ2" s="21"/>
      <c r="AK2" s="21"/>
    </row>
    <row r="3" spans="1:57" x14ac:dyDescent="0.4">
      <c r="A3" s="22">
        <f t="shared" ref="A3:A61" si="1">A2+1</f>
        <v>3</v>
      </c>
      <c r="B3" s="69" t="s">
        <v>30</v>
      </c>
      <c r="C3" s="69"/>
      <c r="D3" s="70">
        <v>44815</v>
      </c>
      <c r="E3" s="71"/>
      <c r="F3" s="72" t="s">
        <v>31</v>
      </c>
      <c r="G3" s="72"/>
      <c r="H3" s="71">
        <v>0</v>
      </c>
      <c r="I3" s="71"/>
      <c r="J3" s="72" t="s">
        <v>32</v>
      </c>
      <c r="K3" s="72"/>
      <c r="L3" s="71">
        <v>10000</v>
      </c>
      <c r="M3" s="71"/>
      <c r="O3" s="120" t="s">
        <v>50</v>
      </c>
      <c r="P3" s="121"/>
      <c r="Q3" s="121"/>
      <c r="R3" s="122"/>
      <c r="T3" s="118" t="s">
        <v>56</v>
      </c>
      <c r="U3" s="119"/>
      <c r="W3" s="145" t="s">
        <v>77</v>
      </c>
      <c r="X3" s="146"/>
      <c r="Y3" s="145" t="s">
        <v>78</v>
      </c>
      <c r="Z3" s="146"/>
      <c r="AB3" s="84" t="s">
        <v>66</v>
      </c>
      <c r="AC3" s="85"/>
      <c r="AD3" s="85"/>
      <c r="AE3" s="85"/>
      <c r="AF3" s="85"/>
      <c r="AG3" s="85"/>
      <c r="AH3" s="85"/>
      <c r="AI3" s="85"/>
      <c r="AJ3" s="85"/>
      <c r="AK3" s="85"/>
      <c r="AL3" s="85"/>
      <c r="AM3" s="86"/>
    </row>
    <row r="4" spans="1:57" x14ac:dyDescent="0.4">
      <c r="A4" s="22">
        <f t="shared" si="1"/>
        <v>4</v>
      </c>
      <c r="B4" s="21"/>
      <c r="C4" s="21"/>
      <c r="O4" s="123" t="s">
        <v>49</v>
      </c>
      <c r="P4" s="124"/>
      <c r="Q4" s="125">
        <v>44039</v>
      </c>
      <c r="R4" s="126"/>
      <c r="T4" s="31" t="s">
        <v>57</v>
      </c>
      <c r="U4" s="32" t="s">
        <v>58</v>
      </c>
      <c r="W4" s="39" t="s">
        <v>60</v>
      </c>
      <c r="X4" s="40" t="s">
        <v>16</v>
      </c>
      <c r="Y4" s="39" t="s">
        <v>60</v>
      </c>
      <c r="Z4" s="40" t="s">
        <v>16</v>
      </c>
      <c r="AB4" s="87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9"/>
    </row>
    <row r="5" spans="1:57" x14ac:dyDescent="0.4">
      <c r="A5" s="22">
        <f t="shared" si="1"/>
        <v>5</v>
      </c>
      <c r="B5" s="84" t="s">
        <v>48</v>
      </c>
      <c r="C5" s="85"/>
      <c r="D5" s="85"/>
      <c r="E5" s="85"/>
      <c r="F5" s="85"/>
      <c r="G5" s="85"/>
      <c r="H5" s="85"/>
      <c r="I5" s="85"/>
      <c r="J5" s="85"/>
      <c r="K5" s="85"/>
      <c r="L5" s="85"/>
      <c r="M5" s="86"/>
      <c r="O5" s="131" t="s">
        <v>51</v>
      </c>
      <c r="P5" s="132"/>
      <c r="Q5" s="133">
        <v>47691</v>
      </c>
      <c r="R5" s="134"/>
      <c r="T5" s="26">
        <v>45292</v>
      </c>
      <c r="U5" s="27">
        <v>45651</v>
      </c>
      <c r="W5" s="34">
        <v>45292</v>
      </c>
      <c r="X5" s="35">
        <v>3.5000000000000003E-2</v>
      </c>
      <c r="Y5" s="34">
        <v>45292</v>
      </c>
      <c r="Z5" s="37">
        <v>3.5000000000000003E-2</v>
      </c>
      <c r="AB5" s="21"/>
      <c r="AC5" s="21"/>
      <c r="AD5" s="21"/>
      <c r="AE5" s="21"/>
      <c r="AF5" s="21"/>
      <c r="AG5" s="21"/>
      <c r="AH5" s="21"/>
      <c r="AI5" s="21"/>
      <c r="AJ5" s="21"/>
      <c r="AK5" s="21"/>
    </row>
    <row r="6" spans="1:57" x14ac:dyDescent="0.4">
      <c r="A6" s="22">
        <f t="shared" si="1"/>
        <v>6</v>
      </c>
      <c r="B6" s="87"/>
      <c r="C6" s="88"/>
      <c r="D6" s="88"/>
      <c r="E6" s="88"/>
      <c r="F6" s="88"/>
      <c r="G6" s="88"/>
      <c r="H6" s="88"/>
      <c r="I6" s="88"/>
      <c r="J6" s="88"/>
      <c r="K6" s="88"/>
      <c r="L6" s="88"/>
      <c r="M6" s="89"/>
      <c r="O6" s="129" t="s">
        <v>43</v>
      </c>
      <c r="P6" s="130"/>
      <c r="Q6" s="117">
        <v>1</v>
      </c>
      <c r="R6" s="107"/>
      <c r="W6" s="29">
        <v>44769</v>
      </c>
      <c r="X6" s="36">
        <v>3.5000000000000003E-2</v>
      </c>
      <c r="Y6" s="29">
        <v>44769</v>
      </c>
      <c r="Z6" s="38">
        <v>0.03</v>
      </c>
      <c r="AB6" s="72" t="s">
        <v>67</v>
      </c>
      <c r="AC6" s="72"/>
      <c r="AD6" s="71">
        <v>0</v>
      </c>
      <c r="AE6" s="71"/>
      <c r="AF6" s="21"/>
      <c r="AG6" s="21"/>
      <c r="AH6" s="21"/>
      <c r="AI6" s="21"/>
      <c r="AJ6" s="21"/>
      <c r="AK6" s="21"/>
    </row>
    <row r="7" spans="1:57" x14ac:dyDescent="0.4">
      <c r="A7" s="22">
        <f t="shared" si="1"/>
        <v>7</v>
      </c>
      <c r="B7" s="72" t="s">
        <v>33</v>
      </c>
      <c r="C7" s="72"/>
      <c r="D7" s="73">
        <v>1</v>
      </c>
      <c r="E7" s="74"/>
      <c r="F7" s="72" t="s">
        <v>34</v>
      </c>
      <c r="G7" s="72"/>
      <c r="H7" s="73">
        <v>1</v>
      </c>
      <c r="I7" s="74"/>
      <c r="J7" s="23"/>
      <c r="K7" s="23"/>
      <c r="L7" s="23"/>
      <c r="M7" s="23"/>
      <c r="O7" s="118" t="str">
        <f>IF(Q6&gt;0,"Phase2날짜","")</f>
        <v>Phase2날짜</v>
      </c>
      <c r="P7" s="119"/>
      <c r="Q7" s="127">
        <v>45865</v>
      </c>
      <c r="R7" s="128"/>
      <c r="W7" s="29">
        <v>44815</v>
      </c>
      <c r="X7" s="36">
        <v>0.03</v>
      </c>
      <c r="Y7" s="29">
        <v>44815</v>
      </c>
      <c r="Z7" s="36">
        <v>0.03</v>
      </c>
      <c r="AB7" s="72" t="s">
        <v>80</v>
      </c>
      <c r="AC7" s="72"/>
      <c r="AD7" s="71">
        <v>0</v>
      </c>
      <c r="AE7" s="71"/>
      <c r="AF7" s="21"/>
      <c r="AG7" s="21"/>
      <c r="AH7" s="21"/>
      <c r="AI7" s="21"/>
      <c r="AJ7" s="21"/>
      <c r="AK7" s="21"/>
    </row>
    <row r="8" spans="1:57" x14ac:dyDescent="0.4">
      <c r="A8" s="22">
        <f t="shared" si="1"/>
        <v>8</v>
      </c>
      <c r="B8" s="23"/>
      <c r="C8" s="23"/>
      <c r="D8" s="23"/>
      <c r="E8" s="23"/>
      <c r="F8" s="23"/>
      <c r="G8" s="23"/>
      <c r="H8" s="23"/>
      <c r="I8" s="23"/>
      <c r="J8" s="23"/>
      <c r="K8" s="24"/>
      <c r="L8" s="24"/>
      <c r="M8" s="24"/>
      <c r="AB8" s="21"/>
      <c r="AC8" s="21"/>
      <c r="AD8" s="21"/>
      <c r="AE8" s="21"/>
      <c r="AF8" s="21"/>
      <c r="AG8" s="21"/>
      <c r="AH8" s="21"/>
      <c r="AI8" s="21"/>
      <c r="AJ8" s="21"/>
      <c r="AK8" s="21"/>
    </row>
    <row r="9" spans="1:57" x14ac:dyDescent="0.4">
      <c r="A9" s="22">
        <f t="shared" si="1"/>
        <v>9</v>
      </c>
      <c r="B9" s="75" t="str">
        <f>"기초금리정보"</f>
        <v>기초금리정보</v>
      </c>
      <c r="C9" s="76"/>
      <c r="D9" s="81" t="s">
        <v>35</v>
      </c>
      <c r="E9" s="81"/>
      <c r="F9" s="106">
        <v>0</v>
      </c>
      <c r="G9" s="107"/>
      <c r="H9" s="25"/>
      <c r="I9" s="24"/>
      <c r="J9" s="93" t="str">
        <f>IF(OR(F10 = 0, F10 = 2, F10 = 4), "RefType = "&amp;F10&amp;" 이므로 Ref Swap 금리정보 사용안함", "사용")</f>
        <v>사용</v>
      </c>
      <c r="K9" s="94"/>
      <c r="L9" s="94"/>
      <c r="M9" s="95"/>
      <c r="O9" s="83" t="s">
        <v>53</v>
      </c>
      <c r="P9" s="83"/>
      <c r="Q9" s="83"/>
      <c r="R9" s="83"/>
      <c r="AB9" s="21"/>
      <c r="AC9" s="21"/>
      <c r="AD9" s="21"/>
      <c r="AE9" s="21"/>
      <c r="AF9" s="21"/>
      <c r="AG9" s="21"/>
      <c r="AH9" s="21"/>
      <c r="AI9" s="21"/>
      <c r="AJ9" s="21"/>
      <c r="AK9" s="21"/>
    </row>
    <row r="10" spans="1:57" ht="17.399999999999999" customHeight="1" x14ac:dyDescent="0.4">
      <c r="A10" s="22">
        <f t="shared" si="1"/>
        <v>10</v>
      </c>
      <c r="B10" s="77"/>
      <c r="C10" s="78"/>
      <c r="D10" s="81" t="s">
        <v>36</v>
      </c>
      <c r="E10" s="82"/>
      <c r="F10" s="108">
        <v>1</v>
      </c>
      <c r="G10" s="109"/>
      <c r="H10" s="93" t="str">
        <f xml:space="preserve"> "Swap 레퍼런스금리정보"</f>
        <v>Swap 레퍼런스금리정보</v>
      </c>
      <c r="I10" s="94"/>
      <c r="J10" s="97" t="str">
        <f>IF(OR(F10 = 0, F10 = 2, F10 = 4), "", "연 지급횟수")</f>
        <v>연 지급횟수</v>
      </c>
      <c r="K10" s="98"/>
      <c r="L10" s="99">
        <v>4</v>
      </c>
      <c r="M10" s="100"/>
      <c r="O10" s="83" t="s">
        <v>52</v>
      </c>
      <c r="P10" s="83"/>
      <c r="Q10" s="117">
        <v>4</v>
      </c>
      <c r="R10" s="107"/>
      <c r="AB10" s="131" t="s">
        <v>79</v>
      </c>
      <c r="AC10" s="143"/>
      <c r="AD10" s="144">
        <v>322.39183581738507</v>
      </c>
      <c r="AE10" s="144"/>
      <c r="AF10" s="21"/>
      <c r="AG10" s="21"/>
      <c r="AH10" s="21"/>
      <c r="AI10" s="21"/>
      <c r="AJ10" s="21"/>
      <c r="AK10" s="21"/>
    </row>
    <row r="11" spans="1:57" x14ac:dyDescent="0.4">
      <c r="A11" s="22">
        <f t="shared" si="1"/>
        <v>11</v>
      </c>
      <c r="B11" s="77"/>
      <c r="C11" s="78"/>
      <c r="D11" s="83" t="s">
        <v>37</v>
      </c>
      <c r="E11" s="83"/>
      <c r="F11" s="106">
        <v>0</v>
      </c>
      <c r="G11" s="107"/>
      <c r="H11" s="96"/>
      <c r="I11" s="97"/>
      <c r="J11" s="97" t="str">
        <f>IF(F11=0, "만기", "입력X, 아래만기2개입력")</f>
        <v>만기</v>
      </c>
      <c r="K11" s="98"/>
      <c r="L11" s="103">
        <v>10</v>
      </c>
      <c r="M11" s="104"/>
      <c r="O11" s="83" t="s">
        <v>54</v>
      </c>
      <c r="P11" s="83"/>
      <c r="Q11" s="117">
        <v>0</v>
      </c>
      <c r="R11" s="107"/>
      <c r="AB11" s="21"/>
      <c r="AC11" s="21"/>
      <c r="AD11" s="21"/>
      <c r="AE11" s="21"/>
      <c r="AF11" s="21"/>
      <c r="AG11" s="21"/>
      <c r="AH11" s="21"/>
      <c r="AI11" s="21"/>
      <c r="AJ11" s="21"/>
      <c r="AK11" s="21"/>
    </row>
    <row r="12" spans="1:57" x14ac:dyDescent="0.4">
      <c r="A12" s="22">
        <f t="shared" si="1"/>
        <v>12</v>
      </c>
      <c r="B12" s="77"/>
      <c r="C12" s="78"/>
      <c r="D12" s="83" t="s">
        <v>38</v>
      </c>
      <c r="E12" s="83"/>
      <c r="F12" s="110">
        <v>10</v>
      </c>
      <c r="G12" s="111"/>
      <c r="H12" s="101" t="str">
        <f>"ex) Deposit 3M -&gt; 연 지급횟수= 4, 만기= 0.25 ||  ex2) CMT 5Y 연 지급횟수=2, 만기 5"</f>
        <v>ex) Deposit 3M -&gt; 연 지급횟수= 4, 만기= 0.25 ||  ex2) CMT 5Y 연 지급횟수=2, 만기 5</v>
      </c>
      <c r="I12" s="101"/>
      <c r="J12" s="101"/>
      <c r="K12" s="101"/>
      <c r="L12" s="101"/>
      <c r="M12" s="102"/>
      <c r="O12" s="118" t="s">
        <v>55</v>
      </c>
      <c r="P12" s="119"/>
      <c r="Q12" s="117">
        <v>4</v>
      </c>
      <c r="R12" s="107"/>
      <c r="AB12" s="21"/>
      <c r="AC12" s="21"/>
      <c r="AD12" s="21"/>
      <c r="AE12" s="21"/>
      <c r="AF12" s="21"/>
      <c r="AG12" s="21"/>
      <c r="AH12" s="21"/>
      <c r="AI12" s="21"/>
      <c r="AJ12" s="21"/>
      <c r="AK12" s="21"/>
    </row>
    <row r="13" spans="1:57" x14ac:dyDescent="0.4">
      <c r="A13" s="22">
        <f t="shared" si="1"/>
        <v>13</v>
      </c>
      <c r="B13" s="77"/>
      <c r="C13" s="78"/>
      <c r="D13" s="83" t="s">
        <v>39</v>
      </c>
      <c r="E13" s="81"/>
      <c r="F13" s="112">
        <v>-1</v>
      </c>
      <c r="G13" s="113"/>
      <c r="H13" s="90" t="str">
        <f>IF(F11&gt;0,"PowerSpreadFlag 1일때 입력","입력필요X")</f>
        <v>입력필요X</v>
      </c>
      <c r="I13" s="90"/>
      <c r="J13" s="90" t="str">
        <f>IF(F11&gt;0,"만기1","")</f>
        <v/>
      </c>
      <c r="K13" s="90"/>
      <c r="L13" s="91">
        <v>10</v>
      </c>
      <c r="M13" s="92"/>
      <c r="AB13" s="21"/>
      <c r="AC13" s="21"/>
      <c r="AD13" s="21"/>
      <c r="AE13" s="21"/>
      <c r="AF13" s="21"/>
      <c r="AG13" s="21"/>
      <c r="AH13" s="21"/>
      <c r="AI13" s="21"/>
      <c r="AJ13" s="21"/>
      <c r="AK13" s="21"/>
    </row>
    <row r="14" spans="1:57" x14ac:dyDescent="0.4">
      <c r="A14" s="22">
        <f t="shared" si="1"/>
        <v>14</v>
      </c>
      <c r="B14" s="79"/>
      <c r="C14" s="80"/>
      <c r="D14" s="105" t="s">
        <v>40</v>
      </c>
      <c r="E14" s="105"/>
      <c r="F14" s="114">
        <v>1</v>
      </c>
      <c r="G14" s="115"/>
      <c r="H14" s="90"/>
      <c r="I14" s="90"/>
      <c r="J14" s="90" t="str">
        <f>IF(F11&gt;0,"만기2","")</f>
        <v/>
      </c>
      <c r="K14" s="90"/>
      <c r="L14" s="91">
        <v>5</v>
      </c>
      <c r="M14" s="92"/>
      <c r="AB14" s="21"/>
      <c r="AC14" s="21"/>
      <c r="AD14" s="21"/>
      <c r="AE14" s="21"/>
      <c r="AF14" s="21"/>
      <c r="AG14" s="21"/>
      <c r="AH14" s="21"/>
      <c r="AI14" s="21"/>
      <c r="AJ14" s="21"/>
      <c r="AK14" s="21"/>
    </row>
    <row r="15" spans="1:57" x14ac:dyDescent="0.4">
      <c r="A15" s="22">
        <f t="shared" si="1"/>
        <v>15</v>
      </c>
      <c r="B15" s="21"/>
      <c r="C15" s="21"/>
      <c r="AB15" s="141" t="s">
        <v>73</v>
      </c>
      <c r="AC15" s="142"/>
      <c r="AD15" s="142"/>
      <c r="AE15" s="142"/>
      <c r="AF15" s="142"/>
      <c r="AG15" s="141" t="s">
        <v>74</v>
      </c>
      <c r="AH15" s="142"/>
      <c r="AI15" s="142"/>
      <c r="AJ15" s="142"/>
      <c r="AK15" s="142"/>
    </row>
    <row r="16" spans="1:57" x14ac:dyDescent="0.4">
      <c r="A16" s="22">
        <f t="shared" si="1"/>
        <v>16</v>
      </c>
      <c r="B16" s="116" t="s">
        <v>41</v>
      </c>
      <c r="C16" s="116"/>
      <c r="D16" s="83" t="s">
        <v>42</v>
      </c>
      <c r="E16" s="83"/>
      <c r="F16" s="110">
        <v>0</v>
      </c>
      <c r="G16" s="111"/>
      <c r="J16" s="69" t="str">
        <f>IF(F11&gt;0, "Payoff = "&amp;L13&amp;"Y-"&amp;L14&amp;"Y","")</f>
        <v/>
      </c>
      <c r="K16" s="69"/>
      <c r="L16" s="69"/>
      <c r="M16" s="69"/>
      <c r="AB16" s="39" t="s">
        <v>68</v>
      </c>
      <c r="AC16" s="39" t="s">
        <v>69</v>
      </c>
      <c r="AD16" s="39" t="s">
        <v>70</v>
      </c>
      <c r="AE16" s="39" t="s">
        <v>71</v>
      </c>
      <c r="AF16" s="39" t="s">
        <v>72</v>
      </c>
      <c r="AG16" s="39" t="s">
        <v>68</v>
      </c>
      <c r="AH16" s="39" t="s">
        <v>69</v>
      </c>
      <c r="AI16" s="39" t="s">
        <v>70</v>
      </c>
      <c r="AJ16" s="39" t="s">
        <v>71</v>
      </c>
      <c r="AK16" s="39" t="s">
        <v>72</v>
      </c>
    </row>
    <row r="17" spans="1:37" x14ac:dyDescent="0.4">
      <c r="A17" s="22">
        <f t="shared" si="1"/>
        <v>17</v>
      </c>
      <c r="B17" s="116"/>
      <c r="C17" s="116"/>
      <c r="D17" s="83" t="s">
        <v>44</v>
      </c>
      <c r="E17" s="83"/>
      <c r="F17" s="110">
        <v>0</v>
      </c>
      <c r="G17" s="111"/>
      <c r="AB17" s="41">
        <v>20200727</v>
      </c>
      <c r="AC17" s="42">
        <v>20201027</v>
      </c>
      <c r="AD17" s="42">
        <v>20201027</v>
      </c>
      <c r="AE17" s="45">
        <v>0</v>
      </c>
      <c r="AF17" s="47">
        <v>0</v>
      </c>
      <c r="AG17" s="42">
        <v>20200727</v>
      </c>
      <c r="AH17" s="42">
        <v>20201027</v>
      </c>
      <c r="AI17" s="42">
        <v>20201027</v>
      </c>
      <c r="AJ17" s="45">
        <v>0</v>
      </c>
      <c r="AK17" s="47">
        <v>0</v>
      </c>
    </row>
    <row r="18" spans="1:37" x14ac:dyDescent="0.4">
      <c r="A18" s="22">
        <f t="shared" si="1"/>
        <v>18</v>
      </c>
      <c r="B18" s="116"/>
      <c r="C18" s="116"/>
      <c r="D18" s="83" t="s">
        <v>45</v>
      </c>
      <c r="E18" s="83"/>
      <c r="F18" s="106">
        <v>1</v>
      </c>
      <c r="G18" s="107"/>
      <c r="AB18" s="43">
        <v>20201027</v>
      </c>
      <c r="AC18" s="44">
        <v>20210127</v>
      </c>
      <c r="AD18" s="44">
        <v>20210127</v>
      </c>
      <c r="AE18" s="46">
        <v>0</v>
      </c>
      <c r="AF18" s="48">
        <v>0</v>
      </c>
      <c r="AG18" s="44">
        <v>20201027</v>
      </c>
      <c r="AH18" s="44">
        <v>20210127</v>
      </c>
      <c r="AI18" s="44">
        <v>20210127</v>
      </c>
      <c r="AJ18" s="46">
        <v>0</v>
      </c>
      <c r="AK18" s="48">
        <v>0</v>
      </c>
    </row>
    <row r="19" spans="1:37" x14ac:dyDescent="0.4">
      <c r="A19" s="22">
        <f t="shared" si="1"/>
        <v>19</v>
      </c>
      <c r="B19" s="21"/>
      <c r="C19" s="21"/>
      <c r="AB19" s="43">
        <v>20210127</v>
      </c>
      <c r="AC19" s="44">
        <v>20210427</v>
      </c>
      <c r="AD19" s="44">
        <v>20210427</v>
      </c>
      <c r="AE19" s="46">
        <v>0</v>
      </c>
      <c r="AF19" s="48">
        <v>0</v>
      </c>
      <c r="AG19" s="44">
        <v>20210127</v>
      </c>
      <c r="AH19" s="44">
        <v>20210427</v>
      </c>
      <c r="AI19" s="44">
        <v>20210427</v>
      </c>
      <c r="AJ19" s="46">
        <v>0</v>
      </c>
      <c r="AK19" s="48">
        <v>0</v>
      </c>
    </row>
    <row r="20" spans="1:37" x14ac:dyDescent="0.4">
      <c r="A20" s="22">
        <f t="shared" si="1"/>
        <v>20</v>
      </c>
      <c r="B20" s="21"/>
      <c r="C20" s="21"/>
      <c r="AB20" s="43">
        <v>20210427</v>
      </c>
      <c r="AC20" s="44">
        <v>20210727</v>
      </c>
      <c r="AD20" s="44">
        <v>20210727</v>
      </c>
      <c r="AE20" s="46">
        <v>0</v>
      </c>
      <c r="AF20" s="48">
        <v>0</v>
      </c>
      <c r="AG20" s="44">
        <v>20210427</v>
      </c>
      <c r="AH20" s="44">
        <v>20210727</v>
      </c>
      <c r="AI20" s="44">
        <v>20210727</v>
      </c>
      <c r="AJ20" s="46">
        <v>0</v>
      </c>
      <c r="AK20" s="48">
        <v>0</v>
      </c>
    </row>
    <row r="21" spans="1:37" x14ac:dyDescent="0.4">
      <c r="A21" s="22">
        <f t="shared" si="1"/>
        <v>21</v>
      </c>
      <c r="B21" s="116" t="s">
        <v>46</v>
      </c>
      <c r="C21" s="116"/>
      <c r="D21" s="83" t="s">
        <v>42</v>
      </c>
      <c r="E21" s="83"/>
      <c r="F21" s="110">
        <v>0</v>
      </c>
      <c r="G21" s="111"/>
      <c r="AB21" s="43">
        <v>20210727</v>
      </c>
      <c r="AC21" s="44">
        <v>20211027</v>
      </c>
      <c r="AD21" s="44">
        <v>20211027</v>
      </c>
      <c r="AE21" s="46">
        <v>0</v>
      </c>
      <c r="AF21" s="48">
        <v>0</v>
      </c>
      <c r="AG21" s="44">
        <v>20210727</v>
      </c>
      <c r="AH21" s="44">
        <v>20211027</v>
      </c>
      <c r="AI21" s="44">
        <v>20211027</v>
      </c>
      <c r="AJ21" s="46">
        <v>0</v>
      </c>
      <c r="AK21" s="48">
        <v>0</v>
      </c>
    </row>
    <row r="22" spans="1:37" x14ac:dyDescent="0.4">
      <c r="A22" s="22">
        <f t="shared" si="1"/>
        <v>22</v>
      </c>
      <c r="B22" s="116"/>
      <c r="C22" s="116"/>
      <c r="D22" s="83" t="s">
        <v>44</v>
      </c>
      <c r="E22" s="83"/>
      <c r="F22" s="110">
        <v>0</v>
      </c>
      <c r="G22" s="111"/>
      <c r="AB22" s="43">
        <v>20211027</v>
      </c>
      <c r="AC22" s="44">
        <v>20220127</v>
      </c>
      <c r="AD22" s="44">
        <v>20220127</v>
      </c>
      <c r="AE22" s="46">
        <v>0</v>
      </c>
      <c r="AF22" s="48">
        <v>0</v>
      </c>
      <c r="AG22" s="44">
        <v>20211027</v>
      </c>
      <c r="AH22" s="44">
        <v>20220127</v>
      </c>
      <c r="AI22" s="44">
        <v>20220127</v>
      </c>
      <c r="AJ22" s="46">
        <v>0</v>
      </c>
      <c r="AK22" s="48">
        <v>0</v>
      </c>
    </row>
    <row r="23" spans="1:37" x14ac:dyDescent="0.4">
      <c r="A23" s="22">
        <f t="shared" si="1"/>
        <v>23</v>
      </c>
      <c r="B23" s="116"/>
      <c r="C23" s="116"/>
      <c r="D23" s="83" t="s">
        <v>45</v>
      </c>
      <c r="E23" s="83"/>
      <c r="F23" s="106">
        <v>1</v>
      </c>
      <c r="G23" s="107"/>
      <c r="AB23" s="43">
        <v>20220127</v>
      </c>
      <c r="AC23" s="44">
        <v>20220427</v>
      </c>
      <c r="AD23" s="44">
        <v>20220427</v>
      </c>
      <c r="AE23" s="46">
        <v>0</v>
      </c>
      <c r="AF23" s="48">
        <v>0</v>
      </c>
      <c r="AG23" s="44">
        <v>20220127</v>
      </c>
      <c r="AH23" s="44">
        <v>20220427</v>
      </c>
      <c r="AI23" s="44">
        <v>20220427</v>
      </c>
      <c r="AJ23" s="46">
        <v>0</v>
      </c>
      <c r="AK23" s="48">
        <v>0</v>
      </c>
    </row>
    <row r="24" spans="1:37" x14ac:dyDescent="0.4">
      <c r="A24" s="22">
        <f t="shared" si="1"/>
        <v>24</v>
      </c>
      <c r="B24" s="21"/>
      <c r="C24" s="21"/>
      <c r="AB24" s="43">
        <v>20220427</v>
      </c>
      <c r="AC24" s="44">
        <v>20220727</v>
      </c>
      <c r="AD24" s="44">
        <v>20220727</v>
      </c>
      <c r="AE24" s="46">
        <v>0</v>
      </c>
      <c r="AF24" s="48">
        <v>0</v>
      </c>
      <c r="AG24" s="44">
        <v>20220427</v>
      </c>
      <c r="AH24" s="44">
        <v>20220727</v>
      </c>
      <c r="AI24" s="44">
        <v>20220727</v>
      </c>
      <c r="AJ24" s="46">
        <v>0</v>
      </c>
      <c r="AK24" s="48">
        <v>0</v>
      </c>
    </row>
    <row r="25" spans="1:37" x14ac:dyDescent="0.4">
      <c r="A25" s="22">
        <f t="shared" si="1"/>
        <v>25</v>
      </c>
      <c r="B25" s="84" t="s">
        <v>47</v>
      </c>
      <c r="C25" s="85"/>
      <c r="D25" s="85"/>
      <c r="E25" s="85"/>
      <c r="F25" s="85"/>
      <c r="G25" s="85"/>
      <c r="H25" s="85"/>
      <c r="I25" s="85"/>
      <c r="J25" s="85"/>
      <c r="K25" s="85"/>
      <c r="L25" s="85"/>
      <c r="M25" s="86"/>
      <c r="AB25" s="43">
        <v>20220727</v>
      </c>
      <c r="AC25" s="44">
        <v>20221027</v>
      </c>
      <c r="AD25" s="44">
        <v>20221027</v>
      </c>
      <c r="AE25" s="46">
        <v>3.5000000000000003E-2</v>
      </c>
      <c r="AF25" s="48">
        <v>88.219178082191789</v>
      </c>
      <c r="AG25" s="44">
        <v>20220727</v>
      </c>
      <c r="AH25" s="44">
        <v>20221027</v>
      </c>
      <c r="AI25" s="44">
        <v>20221027</v>
      </c>
      <c r="AJ25" s="46">
        <v>0.03</v>
      </c>
      <c r="AK25" s="48">
        <v>100</v>
      </c>
    </row>
    <row r="26" spans="1:37" x14ac:dyDescent="0.4">
      <c r="A26" s="22">
        <f t="shared" si="1"/>
        <v>26</v>
      </c>
      <c r="B26" s="87"/>
      <c r="C26" s="88"/>
      <c r="D26" s="88"/>
      <c r="E26" s="88"/>
      <c r="F26" s="88"/>
      <c r="G26" s="88"/>
      <c r="H26" s="88"/>
      <c r="I26" s="88"/>
      <c r="J26" s="88"/>
      <c r="K26" s="88"/>
      <c r="L26" s="88"/>
      <c r="M26" s="89"/>
      <c r="AB26" s="43">
        <v>20221027</v>
      </c>
      <c r="AC26" s="44">
        <v>20230127</v>
      </c>
      <c r="AD26" s="44">
        <v>20230127</v>
      </c>
      <c r="AE26" s="46">
        <v>3.7727569620922004E-2</v>
      </c>
      <c r="AF26" s="48">
        <v>95.094148085611636</v>
      </c>
      <c r="AG26" s="44">
        <v>20221027</v>
      </c>
      <c r="AH26" s="44">
        <v>20230127</v>
      </c>
      <c r="AI26" s="44">
        <v>20230127</v>
      </c>
      <c r="AJ26" s="46">
        <v>3.7760128373319428E-2</v>
      </c>
      <c r="AK26" s="48">
        <v>100</v>
      </c>
    </row>
    <row r="27" spans="1:37" x14ac:dyDescent="0.4">
      <c r="A27" s="22">
        <f t="shared" si="1"/>
        <v>27</v>
      </c>
      <c r="B27" s="72" t="s">
        <v>33</v>
      </c>
      <c r="C27" s="72"/>
      <c r="D27" s="73">
        <v>1</v>
      </c>
      <c r="E27" s="74"/>
      <c r="F27" s="72" t="s">
        <v>34</v>
      </c>
      <c r="G27" s="72"/>
      <c r="H27" s="73">
        <v>1</v>
      </c>
      <c r="I27" s="74"/>
      <c r="AB27" s="43">
        <v>20230127</v>
      </c>
      <c r="AC27" s="44">
        <v>20230427</v>
      </c>
      <c r="AD27" s="44">
        <v>20230427</v>
      </c>
      <c r="AE27" s="46">
        <v>3.7764277951729409E-2</v>
      </c>
      <c r="AF27" s="48">
        <v>93.117397689195798</v>
      </c>
      <c r="AG27" s="44">
        <v>20230127</v>
      </c>
      <c r="AH27" s="44">
        <v>20230427</v>
      </c>
      <c r="AI27" s="44">
        <v>20230427</v>
      </c>
      <c r="AJ27" s="46">
        <v>3.7794246739848505E-2</v>
      </c>
      <c r="AK27" s="48">
        <v>100</v>
      </c>
    </row>
    <row r="28" spans="1:37" x14ac:dyDescent="0.4">
      <c r="A28" s="22">
        <f t="shared" si="1"/>
        <v>28</v>
      </c>
      <c r="B28" s="23"/>
      <c r="C28" s="23"/>
      <c r="D28" s="23"/>
      <c r="E28" s="23"/>
      <c r="F28" s="23"/>
      <c r="G28" s="23"/>
      <c r="H28" s="23"/>
      <c r="I28" s="23"/>
      <c r="J28" s="23"/>
      <c r="K28" s="24"/>
      <c r="L28" s="24"/>
      <c r="M28" s="24"/>
      <c r="AB28" s="43">
        <v>20230427</v>
      </c>
      <c r="AC28" s="44">
        <v>20230727</v>
      </c>
      <c r="AD28" s="44">
        <v>20230727</v>
      </c>
      <c r="AE28" s="46">
        <v>3.7805837288601728E-2</v>
      </c>
      <c r="AF28" s="48">
        <v>94.255649130486503</v>
      </c>
      <c r="AG28" s="44">
        <v>20230427</v>
      </c>
      <c r="AH28" s="44">
        <v>20230727</v>
      </c>
      <c r="AI28" s="44">
        <v>20230727</v>
      </c>
      <c r="AJ28" s="46">
        <v>3.7841011685802318E-2</v>
      </c>
      <c r="AK28" s="48">
        <v>100</v>
      </c>
    </row>
    <row r="29" spans="1:37" x14ac:dyDescent="0.4">
      <c r="A29" s="22">
        <f t="shared" si="1"/>
        <v>29</v>
      </c>
      <c r="B29" s="75" t="str">
        <f>"기초금리정보"</f>
        <v>기초금리정보</v>
      </c>
      <c r="C29" s="76"/>
      <c r="D29" s="81" t="s">
        <v>35</v>
      </c>
      <c r="E29" s="81"/>
      <c r="F29" s="106">
        <v>3</v>
      </c>
      <c r="G29" s="107"/>
      <c r="H29" s="25"/>
      <c r="I29" s="24"/>
      <c r="J29" s="93" t="str">
        <f>IF(OR(F30 = 0, F30 = 2, F30 = 4), "RefType = "&amp;F30&amp;" 이므로 Ref Swap 금리정보 사용안함", "사용")</f>
        <v>사용</v>
      </c>
      <c r="K29" s="94"/>
      <c r="L29" s="94"/>
      <c r="M29" s="95"/>
      <c r="O29" s="83" t="s">
        <v>59</v>
      </c>
      <c r="P29" s="83"/>
      <c r="Q29" s="83"/>
      <c r="R29" s="83"/>
      <c r="AB29" s="43">
        <v>20230727</v>
      </c>
      <c r="AC29" s="44">
        <v>20231027</v>
      </c>
      <c r="AD29" s="44">
        <v>20231027</v>
      </c>
      <c r="AE29" s="46">
        <v>3.7843895557200087E-2</v>
      </c>
      <c r="AF29" s="48">
        <v>95.387353185271451</v>
      </c>
      <c r="AG29" s="44">
        <v>20230727</v>
      </c>
      <c r="AH29" s="44">
        <v>20231027</v>
      </c>
      <c r="AI29" s="44">
        <v>20231027</v>
      </c>
      <c r="AJ29" s="46">
        <v>3.7880441104539204E-2</v>
      </c>
      <c r="AK29" s="48">
        <v>100</v>
      </c>
    </row>
    <row r="30" spans="1:37" x14ac:dyDescent="0.4">
      <c r="A30" s="22">
        <f t="shared" si="1"/>
        <v>30</v>
      </c>
      <c r="B30" s="77"/>
      <c r="C30" s="78"/>
      <c r="D30" s="81" t="s">
        <v>36</v>
      </c>
      <c r="E30" s="82"/>
      <c r="F30" s="108">
        <v>1</v>
      </c>
      <c r="G30" s="109"/>
      <c r="H30" s="93" t="str">
        <f xml:space="preserve"> "Swap 레퍼런스금리정보"</f>
        <v>Swap 레퍼런스금리정보</v>
      </c>
      <c r="I30" s="94"/>
      <c r="J30" s="97" t="str">
        <f>IF(OR(F30 = 0, F30 = 2, F30 = 4), "", "연 지급횟수")</f>
        <v>연 지급횟수</v>
      </c>
      <c r="K30" s="98"/>
      <c r="L30" s="99">
        <v>4</v>
      </c>
      <c r="M30" s="100"/>
      <c r="O30" s="83" t="s">
        <v>52</v>
      </c>
      <c r="P30" s="83"/>
      <c r="Q30" s="117">
        <v>4</v>
      </c>
      <c r="R30" s="107"/>
      <c r="AB30" s="43">
        <v>20231027</v>
      </c>
      <c r="AC30" s="44">
        <v>20240129</v>
      </c>
      <c r="AD30" s="44">
        <v>20240129</v>
      </c>
      <c r="AE30" s="46">
        <v>3.7868336894053098E-2</v>
      </c>
      <c r="AF30" s="48">
        <v>97.523936110712086</v>
      </c>
      <c r="AG30" s="44">
        <v>20231027</v>
      </c>
      <c r="AH30" s="44">
        <v>20240129</v>
      </c>
      <c r="AI30" s="44">
        <v>20240129</v>
      </c>
      <c r="AJ30" s="46">
        <v>3.7902326595896971E-2</v>
      </c>
      <c r="AK30" s="48">
        <v>100</v>
      </c>
    </row>
    <row r="31" spans="1:37" x14ac:dyDescent="0.4">
      <c r="A31" s="22">
        <f t="shared" si="1"/>
        <v>31</v>
      </c>
      <c r="B31" s="77"/>
      <c r="C31" s="78"/>
      <c r="D31" s="83" t="s">
        <v>37</v>
      </c>
      <c r="E31" s="83"/>
      <c r="F31" s="106">
        <v>0</v>
      </c>
      <c r="G31" s="107"/>
      <c r="H31" s="96"/>
      <c r="I31" s="97"/>
      <c r="J31" s="97" t="str">
        <f>IF(F31=0, "만기", "입력X, 아래만기2개입력")</f>
        <v>만기</v>
      </c>
      <c r="K31" s="98"/>
      <c r="L31" s="103">
        <v>10</v>
      </c>
      <c r="M31" s="104"/>
      <c r="O31" s="83" t="s">
        <v>54</v>
      </c>
      <c r="P31" s="83"/>
      <c r="Q31" s="117">
        <v>0</v>
      </c>
      <c r="R31" s="107"/>
      <c r="AB31" s="43">
        <v>20240129</v>
      </c>
      <c r="AC31" s="44">
        <v>20240429</v>
      </c>
      <c r="AD31" s="44">
        <v>20240429</v>
      </c>
      <c r="AE31" s="46">
        <v>3.7870031471650918E-2</v>
      </c>
      <c r="AF31" s="48">
        <v>94.415694901924198</v>
      </c>
      <c r="AG31" s="44">
        <v>20240129</v>
      </c>
      <c r="AH31" s="44">
        <v>20240429</v>
      </c>
      <c r="AI31" s="44">
        <v>20240429</v>
      </c>
      <c r="AJ31" s="46">
        <v>3.7908558265472458E-2</v>
      </c>
      <c r="AK31" s="48">
        <v>100</v>
      </c>
    </row>
    <row r="32" spans="1:37" x14ac:dyDescent="0.4">
      <c r="A32" s="22">
        <f t="shared" si="1"/>
        <v>32</v>
      </c>
      <c r="B32" s="77"/>
      <c r="C32" s="78"/>
      <c r="D32" s="83" t="s">
        <v>38</v>
      </c>
      <c r="E32" s="83"/>
      <c r="F32" s="110">
        <v>10</v>
      </c>
      <c r="G32" s="111"/>
      <c r="H32" s="101" t="str">
        <f>"ex) Deposit 3M -&gt; 연 지급횟수= 4, 만기= 0.25 ||  ex2) CMT 5Y 연 지급횟수=2, 만기 5"</f>
        <v>ex) Deposit 3M -&gt; 연 지급횟수= 4, 만기= 0.25 ||  ex2) CMT 5Y 연 지급횟수=2, 만기 5</v>
      </c>
      <c r="I32" s="101"/>
      <c r="J32" s="101"/>
      <c r="K32" s="101"/>
      <c r="L32" s="101"/>
      <c r="M32" s="102"/>
      <c r="O32" s="118" t="s">
        <v>55</v>
      </c>
      <c r="P32" s="119"/>
      <c r="Q32" s="117">
        <v>4</v>
      </c>
      <c r="R32" s="107"/>
      <c r="AB32" s="43">
        <v>20240429</v>
      </c>
      <c r="AC32" s="44">
        <v>20240729</v>
      </c>
      <c r="AD32" s="44">
        <v>20240729</v>
      </c>
      <c r="AE32" s="46">
        <v>3.7891585168134637E-2</v>
      </c>
      <c r="AF32" s="48">
        <v>94.469431515075399</v>
      </c>
      <c r="AG32" s="44">
        <v>20240429</v>
      </c>
      <c r="AH32" s="44">
        <v>20240729</v>
      </c>
      <c r="AI32" s="44">
        <v>20240729</v>
      </c>
      <c r="AJ32" s="46">
        <v>3.7905562721387218E-2</v>
      </c>
      <c r="AK32" s="48">
        <v>100</v>
      </c>
    </row>
    <row r="33" spans="1:37" x14ac:dyDescent="0.4">
      <c r="A33" s="22">
        <f t="shared" si="1"/>
        <v>33</v>
      </c>
      <c r="B33" s="77"/>
      <c r="C33" s="78"/>
      <c r="D33" s="83" t="s">
        <v>39</v>
      </c>
      <c r="E33" s="81"/>
      <c r="F33" s="112">
        <v>-1</v>
      </c>
      <c r="G33" s="113"/>
      <c r="H33" s="90" t="str">
        <f>IF(F31&gt;0,"PowerSpreadFlag 1일때 입력","입력필요X")</f>
        <v>입력필요X</v>
      </c>
      <c r="I33" s="90"/>
      <c r="J33" s="90" t="str">
        <f>IF(F31&gt;0,"만기1","")</f>
        <v/>
      </c>
      <c r="K33" s="90"/>
      <c r="L33" s="91">
        <v>10</v>
      </c>
      <c r="M33" s="92"/>
      <c r="AB33" s="43">
        <v>20240729</v>
      </c>
      <c r="AC33" s="44">
        <v>20241028</v>
      </c>
      <c r="AD33" s="44">
        <v>20241028</v>
      </c>
      <c r="AE33" s="46">
        <v>3.7922479109205237E-2</v>
      </c>
      <c r="AF33" s="48">
        <v>94.546454765415803</v>
      </c>
      <c r="AG33" s="44">
        <v>20240729</v>
      </c>
      <c r="AH33" s="44">
        <v>20241028</v>
      </c>
      <c r="AI33" s="44">
        <v>20241028</v>
      </c>
      <c r="AJ33" s="46">
        <v>3.7963526407622163E-2</v>
      </c>
      <c r="AK33" s="48">
        <v>100</v>
      </c>
    </row>
    <row r="34" spans="1:37" x14ac:dyDescent="0.4">
      <c r="A34" s="22">
        <f t="shared" si="1"/>
        <v>34</v>
      </c>
      <c r="B34" s="79"/>
      <c r="C34" s="80"/>
      <c r="D34" s="105" t="s">
        <v>40</v>
      </c>
      <c r="E34" s="105"/>
      <c r="F34" s="114">
        <v>1</v>
      </c>
      <c r="G34" s="115"/>
      <c r="H34" s="90"/>
      <c r="I34" s="90"/>
      <c r="J34" s="90" t="str">
        <f>IF(F31&gt;0,"만기2","")</f>
        <v/>
      </c>
      <c r="K34" s="90"/>
      <c r="L34" s="91">
        <v>5</v>
      </c>
      <c r="M34" s="92"/>
      <c r="AB34" s="43">
        <v>20241028</v>
      </c>
      <c r="AC34" s="44">
        <v>20250127</v>
      </c>
      <c r="AD34" s="44">
        <v>20250127</v>
      </c>
      <c r="AE34" s="46">
        <v>3.7967044732921403E-2</v>
      </c>
      <c r="AF34" s="48">
        <v>94.657563580708143</v>
      </c>
      <c r="AG34" s="44">
        <v>20241028</v>
      </c>
      <c r="AH34" s="44">
        <v>20250127</v>
      </c>
      <c r="AI34" s="44">
        <v>20250127</v>
      </c>
      <c r="AJ34" s="46">
        <v>3.8006074130112859E-2</v>
      </c>
      <c r="AK34" s="48">
        <v>100</v>
      </c>
    </row>
    <row r="35" spans="1:37" x14ac:dyDescent="0.4">
      <c r="A35" s="22">
        <f t="shared" si="1"/>
        <v>35</v>
      </c>
      <c r="B35" s="21"/>
      <c r="C35" s="21"/>
      <c r="AB35" s="43">
        <v>20250127</v>
      </c>
      <c r="AC35" s="44">
        <v>20250428</v>
      </c>
      <c r="AD35" s="44">
        <v>20250428</v>
      </c>
      <c r="AE35" s="46">
        <v>3.801310031977826E-2</v>
      </c>
      <c r="AF35" s="48">
        <v>94.772387098625259</v>
      </c>
      <c r="AG35" s="44">
        <v>20250127</v>
      </c>
      <c r="AH35" s="44">
        <v>20250428</v>
      </c>
      <c r="AI35" s="44">
        <v>20250428</v>
      </c>
      <c r="AJ35" s="46">
        <v>3.8049420624020308E-2</v>
      </c>
      <c r="AK35" s="48">
        <v>100</v>
      </c>
    </row>
    <row r="36" spans="1:37" x14ac:dyDescent="0.4">
      <c r="A36" s="22">
        <f t="shared" si="1"/>
        <v>36</v>
      </c>
      <c r="B36" s="116" t="s">
        <v>41</v>
      </c>
      <c r="C36" s="116"/>
      <c r="D36" s="83" t="s">
        <v>42</v>
      </c>
      <c r="E36" s="83"/>
      <c r="F36" s="110">
        <v>0.04</v>
      </c>
      <c r="G36" s="111"/>
      <c r="J36" s="69" t="str">
        <f>IF(F31&gt;0, "Payoff = "&amp;L33&amp;"Y-"&amp;L34&amp;"Y","")</f>
        <v/>
      </c>
      <c r="K36" s="69"/>
      <c r="L36" s="69"/>
      <c r="M36" s="69"/>
      <c r="AB36" s="43">
        <v>20250428</v>
      </c>
      <c r="AC36" s="44">
        <v>20250728</v>
      </c>
      <c r="AD36" s="44">
        <v>20250728</v>
      </c>
      <c r="AE36" s="46">
        <v>3.8061433793993786E-2</v>
      </c>
      <c r="AF36" s="48">
        <v>94.892889732970801</v>
      </c>
      <c r="AG36" s="44">
        <v>20250428</v>
      </c>
      <c r="AH36" s="44">
        <v>20250728</v>
      </c>
      <c r="AI36" s="44">
        <v>20250728</v>
      </c>
      <c r="AJ36" s="46">
        <v>3.8102785921078054E-2</v>
      </c>
      <c r="AK36" s="48">
        <v>100</v>
      </c>
    </row>
    <row r="37" spans="1:37" x14ac:dyDescent="0.4">
      <c r="A37" s="22">
        <f t="shared" si="1"/>
        <v>37</v>
      </c>
      <c r="B37" s="116"/>
      <c r="C37" s="116"/>
      <c r="D37" s="83" t="s">
        <v>44</v>
      </c>
      <c r="E37" s="83"/>
      <c r="F37" s="110">
        <v>0</v>
      </c>
      <c r="G37" s="111"/>
      <c r="AB37" s="43">
        <v>20250728</v>
      </c>
      <c r="AC37" s="44">
        <v>20251027</v>
      </c>
      <c r="AD37" s="44">
        <v>20251027</v>
      </c>
      <c r="AE37" s="46">
        <v>3.8112172767687059E-2</v>
      </c>
      <c r="AF37" s="48">
        <v>95.019389639986912</v>
      </c>
      <c r="AG37" s="44">
        <v>20250728</v>
      </c>
      <c r="AH37" s="44">
        <v>20251027</v>
      </c>
      <c r="AI37" s="44">
        <v>20251027</v>
      </c>
      <c r="AJ37" s="46">
        <v>3.8154961848425609E-2</v>
      </c>
      <c r="AK37" s="48">
        <v>75</v>
      </c>
    </row>
    <row r="38" spans="1:37" x14ac:dyDescent="0.4">
      <c r="A38" s="22">
        <f t="shared" si="1"/>
        <v>38</v>
      </c>
      <c r="B38" s="116"/>
      <c r="C38" s="116"/>
      <c r="D38" s="83" t="s">
        <v>45</v>
      </c>
      <c r="E38" s="83"/>
      <c r="F38" s="106">
        <v>0</v>
      </c>
      <c r="G38" s="107"/>
      <c r="AB38" s="43">
        <v>20251027</v>
      </c>
      <c r="AC38" s="44">
        <v>20260127</v>
      </c>
      <c r="AD38" s="44">
        <v>20260127</v>
      </c>
      <c r="AE38" s="46">
        <v>3.8151111629773672E-2</v>
      </c>
      <c r="AF38" s="48">
        <v>96.161706025730908</v>
      </c>
      <c r="AG38" s="44">
        <v>20251027</v>
      </c>
      <c r="AH38" s="44">
        <v>20260127</v>
      </c>
      <c r="AI38" s="44">
        <v>20260127</v>
      </c>
      <c r="AJ38" s="46">
        <v>3.8191117654769659E-2</v>
      </c>
      <c r="AK38" s="48">
        <v>75</v>
      </c>
    </row>
    <row r="39" spans="1:37" x14ac:dyDescent="0.4">
      <c r="A39" s="22">
        <f t="shared" si="1"/>
        <v>39</v>
      </c>
      <c r="B39" s="21"/>
      <c r="C39" s="21"/>
      <c r="AB39" s="43">
        <v>20260127</v>
      </c>
      <c r="AC39" s="44">
        <v>20260427</v>
      </c>
      <c r="AD39" s="44">
        <v>20260427</v>
      </c>
      <c r="AE39" s="46">
        <v>3.8177728881800266E-2</v>
      </c>
      <c r="AF39" s="48">
        <v>94.136865735945861</v>
      </c>
      <c r="AG39" s="44">
        <v>20260127</v>
      </c>
      <c r="AH39" s="44">
        <v>20260427</v>
      </c>
      <c r="AI39" s="44">
        <v>20260427</v>
      </c>
      <c r="AJ39" s="46">
        <v>3.8206433563265765E-2</v>
      </c>
      <c r="AK39" s="48">
        <v>75</v>
      </c>
    </row>
    <row r="40" spans="1:37" x14ac:dyDescent="0.4">
      <c r="A40" s="22">
        <f t="shared" si="1"/>
        <v>40</v>
      </c>
      <c r="B40" s="21"/>
      <c r="C40" s="21"/>
      <c r="AB40" s="43">
        <v>20260427</v>
      </c>
      <c r="AC40" s="44">
        <v>20260727</v>
      </c>
      <c r="AD40" s="44">
        <v>20260727</v>
      </c>
      <c r="AE40" s="46">
        <v>3.8199766488626857E-2</v>
      </c>
      <c r="AF40" s="48">
        <v>95.237773985343679</v>
      </c>
      <c r="AG40" s="44">
        <v>20260427</v>
      </c>
      <c r="AH40" s="44">
        <v>20260727</v>
      </c>
      <c r="AI40" s="44">
        <v>20260727</v>
      </c>
      <c r="AJ40" s="46">
        <v>3.824244298940125E-2</v>
      </c>
      <c r="AK40" s="48">
        <v>75</v>
      </c>
    </row>
    <row r="41" spans="1:37" x14ac:dyDescent="0.4">
      <c r="A41" s="22">
        <f t="shared" si="1"/>
        <v>41</v>
      </c>
      <c r="B41" s="116" t="s">
        <v>46</v>
      </c>
      <c r="C41" s="116"/>
      <c r="D41" s="83" t="s">
        <v>42</v>
      </c>
      <c r="E41" s="83"/>
      <c r="F41" s="110">
        <v>0.03</v>
      </c>
      <c r="G41" s="111"/>
      <c r="AB41" s="43">
        <v>20260727</v>
      </c>
      <c r="AC41" s="44">
        <v>20261027</v>
      </c>
      <c r="AD41" s="44">
        <v>20261027</v>
      </c>
      <c r="AE41" s="46">
        <v>3.8223247836300628E-2</v>
      </c>
      <c r="AF41" s="48">
        <v>96.343528792867346</v>
      </c>
      <c r="AG41" s="44">
        <v>20260727</v>
      </c>
      <c r="AH41" s="44">
        <v>20261027</v>
      </c>
      <c r="AI41" s="44">
        <v>20261027</v>
      </c>
      <c r="AJ41" s="46">
        <v>3.8267355702868384E-2</v>
      </c>
      <c r="AK41" s="48">
        <v>75</v>
      </c>
    </row>
    <row r="42" spans="1:37" x14ac:dyDescent="0.4">
      <c r="A42" s="22">
        <f t="shared" si="1"/>
        <v>42</v>
      </c>
      <c r="B42" s="116"/>
      <c r="C42" s="116"/>
      <c r="D42" s="83" t="s">
        <v>44</v>
      </c>
      <c r="E42" s="83"/>
      <c r="F42" s="110">
        <v>0</v>
      </c>
      <c r="G42" s="111"/>
      <c r="AB42" s="43">
        <v>20261027</v>
      </c>
      <c r="AC42" s="44">
        <v>20270127</v>
      </c>
      <c r="AD42" s="44">
        <v>20270127</v>
      </c>
      <c r="AE42" s="46">
        <v>3.8246666291338272E-2</v>
      </c>
      <c r="AF42" s="48">
        <v>96.402556131592362</v>
      </c>
      <c r="AG42" s="44">
        <v>20261027</v>
      </c>
      <c r="AH42" s="44">
        <v>20270127</v>
      </c>
      <c r="AI42" s="44">
        <v>20270127</v>
      </c>
      <c r="AJ42" s="46">
        <v>3.8279508187899602E-2</v>
      </c>
      <c r="AK42" s="48">
        <v>75</v>
      </c>
    </row>
    <row r="43" spans="1:37" x14ac:dyDescent="0.4">
      <c r="A43" s="22">
        <f t="shared" si="1"/>
        <v>43</v>
      </c>
      <c r="B43" s="116"/>
      <c r="C43" s="116"/>
      <c r="D43" s="83" t="s">
        <v>45</v>
      </c>
      <c r="E43" s="83"/>
      <c r="F43" s="106">
        <v>0</v>
      </c>
      <c r="G43" s="107"/>
      <c r="AB43" s="43">
        <v>20270127</v>
      </c>
      <c r="AC43" s="44">
        <v>20270427</v>
      </c>
      <c r="AD43" s="44">
        <v>20270427</v>
      </c>
      <c r="AE43" s="46">
        <v>3.8266826531105837E-2</v>
      </c>
      <c r="AF43" s="48">
        <v>94.356558569849994</v>
      </c>
      <c r="AG43" s="44">
        <v>20270127</v>
      </c>
      <c r="AH43" s="44">
        <v>20270427</v>
      </c>
      <c r="AI43" s="44">
        <v>20270427</v>
      </c>
      <c r="AJ43" s="46">
        <v>3.8296992777761621E-2</v>
      </c>
      <c r="AK43" s="48">
        <v>75</v>
      </c>
    </row>
    <row r="44" spans="1:37" x14ac:dyDescent="0.4">
      <c r="A44" s="22">
        <f t="shared" si="1"/>
        <v>44</v>
      </c>
      <c r="B44" s="21"/>
      <c r="C44" s="21"/>
      <c r="AB44" s="43">
        <v>20270427</v>
      </c>
      <c r="AC44" s="44">
        <v>20270727</v>
      </c>
      <c r="AD44" s="44">
        <v>20270727</v>
      </c>
      <c r="AE44" s="46">
        <v>3.8286303262755464E-2</v>
      </c>
      <c r="AF44" s="48">
        <v>95.45352320303418</v>
      </c>
      <c r="AG44" s="44">
        <v>20270427</v>
      </c>
      <c r="AH44" s="44">
        <v>20270727</v>
      </c>
      <c r="AI44" s="44">
        <v>20270727</v>
      </c>
      <c r="AJ44" s="46">
        <v>3.8321787570628943E-2</v>
      </c>
      <c r="AK44" s="48">
        <v>75</v>
      </c>
    </row>
    <row r="45" spans="1:37" ht="17.399999999999999" customHeight="1" x14ac:dyDescent="0.4">
      <c r="A45" s="22">
        <f t="shared" si="1"/>
        <v>45</v>
      </c>
      <c r="B45" s="135" t="s">
        <v>61</v>
      </c>
      <c r="C45" s="136"/>
      <c r="D45" s="136"/>
      <c r="E45" s="136"/>
      <c r="F45" s="136"/>
      <c r="G45" s="137"/>
      <c r="AB45" s="43">
        <v>20270727</v>
      </c>
      <c r="AC45" s="44">
        <v>20271027</v>
      </c>
      <c r="AD45" s="44">
        <v>20271027</v>
      </c>
      <c r="AE45" s="46">
        <v>3.8305807020152516E-2</v>
      </c>
      <c r="AF45" s="48">
        <v>96.551623174083062</v>
      </c>
      <c r="AG45" s="44">
        <v>20270727</v>
      </c>
      <c r="AH45" s="44">
        <v>20271027</v>
      </c>
      <c r="AI45" s="44">
        <v>20271027</v>
      </c>
      <c r="AJ45" s="46">
        <v>3.8342673622151761E-2</v>
      </c>
      <c r="AK45" s="48">
        <v>75</v>
      </c>
    </row>
    <row r="46" spans="1:37" ht="17.399999999999999" customHeight="1" x14ac:dyDescent="0.4">
      <c r="A46" s="22">
        <f t="shared" si="1"/>
        <v>46</v>
      </c>
      <c r="B46" s="138"/>
      <c r="C46" s="139"/>
      <c r="D46" s="139"/>
      <c r="E46" s="139"/>
      <c r="F46" s="139"/>
      <c r="G46" s="140"/>
      <c r="AB46" s="43">
        <v>20271027</v>
      </c>
      <c r="AC46" s="44">
        <v>20280131</v>
      </c>
      <c r="AD46" s="44">
        <v>20280131</v>
      </c>
      <c r="AE46" s="46">
        <v>3.8276309887245605E-2</v>
      </c>
      <c r="AF46" s="48">
        <v>100.67193833357747</v>
      </c>
      <c r="AG46" s="44">
        <v>20271027</v>
      </c>
      <c r="AH46" s="44">
        <v>20280131</v>
      </c>
      <c r="AI46" s="44">
        <v>20280131</v>
      </c>
      <c r="AJ46" s="46">
        <v>3.8310511185375269E-2</v>
      </c>
      <c r="AK46" s="48">
        <v>75</v>
      </c>
    </row>
    <row r="47" spans="1:37" x14ac:dyDescent="0.4">
      <c r="A47" s="22">
        <f t="shared" si="1"/>
        <v>47</v>
      </c>
      <c r="B47" s="39" t="s">
        <v>62</v>
      </c>
      <c r="C47" s="40" t="s">
        <v>63</v>
      </c>
      <c r="D47" s="40" t="s">
        <v>64</v>
      </c>
      <c r="E47" s="40" t="s">
        <v>65</v>
      </c>
      <c r="AB47" s="43">
        <v>20280131</v>
      </c>
      <c r="AC47" s="44">
        <v>20280427</v>
      </c>
      <c r="AD47" s="44">
        <v>20280427</v>
      </c>
      <c r="AE47" s="46">
        <v>3.8184978944197152E-2</v>
      </c>
      <c r="AF47" s="48">
        <v>91.016251182058966</v>
      </c>
      <c r="AG47" s="44">
        <v>20280131</v>
      </c>
      <c r="AH47" s="44">
        <v>20280427</v>
      </c>
      <c r="AI47" s="44">
        <v>20280427</v>
      </c>
      <c r="AJ47" s="46">
        <v>3.819423539222578E-2</v>
      </c>
      <c r="AK47" s="48">
        <v>75</v>
      </c>
    </row>
    <row r="48" spans="1:37" x14ac:dyDescent="0.4">
      <c r="A48" s="22">
        <f t="shared" si="1"/>
        <v>48</v>
      </c>
      <c r="B48" s="28">
        <v>45865</v>
      </c>
      <c r="C48" s="28">
        <v>45865</v>
      </c>
      <c r="D48" s="33">
        <v>0</v>
      </c>
      <c r="E48" s="33">
        <f>COUNT(B48:B1048576)</f>
        <v>1</v>
      </c>
      <c r="AB48" s="43">
        <v>20280427</v>
      </c>
      <c r="AC48" s="44">
        <v>20280727</v>
      </c>
      <c r="AD48" s="44">
        <v>20280727</v>
      </c>
      <c r="AE48" s="46">
        <v>3.808945238417704E-2</v>
      </c>
      <c r="AF48" s="48">
        <v>94.962744300276995</v>
      </c>
      <c r="AG48" s="44">
        <v>20280427</v>
      </c>
      <c r="AH48" s="44">
        <v>20280727</v>
      </c>
      <c r="AI48" s="44">
        <v>20280727</v>
      </c>
      <c r="AJ48" s="46">
        <v>3.8112934822588845E-2</v>
      </c>
      <c r="AK48" s="48">
        <v>75</v>
      </c>
    </row>
    <row r="49" spans="1:37" x14ac:dyDescent="0.4">
      <c r="A49" s="22">
        <f t="shared" si="1"/>
        <v>49</v>
      </c>
      <c r="AB49" s="43">
        <v>20280727</v>
      </c>
      <c r="AC49" s="44">
        <v>20281027</v>
      </c>
      <c r="AD49" s="44">
        <v>20281027</v>
      </c>
      <c r="AE49" s="46">
        <v>3.7987357728064094E-2</v>
      </c>
      <c r="AF49" s="48">
        <v>95.74895646525745</v>
      </c>
      <c r="AG49" s="44">
        <v>20280727</v>
      </c>
      <c r="AH49" s="44">
        <v>20281027</v>
      </c>
      <c r="AI49" s="44">
        <v>20281027</v>
      </c>
      <c r="AJ49" s="46">
        <v>3.8012003341140285E-2</v>
      </c>
      <c r="AK49" s="48">
        <v>75</v>
      </c>
    </row>
    <row r="50" spans="1:37" x14ac:dyDescent="0.4">
      <c r="A50" s="22">
        <f t="shared" si="1"/>
        <v>50</v>
      </c>
      <c r="AB50" s="43">
        <v>20281027</v>
      </c>
      <c r="AC50" s="44">
        <v>20290129</v>
      </c>
      <c r="AD50" s="44">
        <v>20290129</v>
      </c>
      <c r="AE50" s="46">
        <v>3.7878751393304454E-2</v>
      </c>
      <c r="AF50" s="48">
        <v>97.550757012893655</v>
      </c>
      <c r="AG50" s="44">
        <v>20281027</v>
      </c>
      <c r="AH50" s="44">
        <v>20290129</v>
      </c>
      <c r="AI50" s="44">
        <v>20290129</v>
      </c>
      <c r="AJ50" s="46">
        <v>3.7900629367374733E-2</v>
      </c>
      <c r="AK50" s="48">
        <v>75</v>
      </c>
    </row>
    <row r="51" spans="1:37" x14ac:dyDescent="0.4">
      <c r="A51" s="22">
        <f t="shared" si="1"/>
        <v>51</v>
      </c>
      <c r="AB51" s="43">
        <v>20290129</v>
      </c>
      <c r="AC51" s="44">
        <v>20290427</v>
      </c>
      <c r="AD51" s="44">
        <v>20290427</v>
      </c>
      <c r="AE51" s="46">
        <v>3.7756426950197416E-2</v>
      </c>
      <c r="AF51" s="48">
        <v>91.029193742941715</v>
      </c>
      <c r="AG51" s="44">
        <v>20290129</v>
      </c>
      <c r="AH51" s="44">
        <v>20290427</v>
      </c>
      <c r="AI51" s="44">
        <v>20290427</v>
      </c>
      <c r="AJ51" s="46">
        <v>3.7791931959298627E-2</v>
      </c>
      <c r="AK51" s="48">
        <v>75</v>
      </c>
    </row>
    <row r="52" spans="1:37" x14ac:dyDescent="0.4">
      <c r="A52" s="22">
        <f t="shared" si="1"/>
        <v>52</v>
      </c>
      <c r="AB52" s="43">
        <v>20290427</v>
      </c>
      <c r="AC52" s="44">
        <v>20290727</v>
      </c>
      <c r="AD52" s="44">
        <v>20290727</v>
      </c>
      <c r="AE52" s="46">
        <v>3.7647884508745844E-2</v>
      </c>
      <c r="AF52" s="48">
        <v>93.861849049201965</v>
      </c>
      <c r="AG52" s="44">
        <v>20290427</v>
      </c>
      <c r="AH52" s="44">
        <v>20290727</v>
      </c>
      <c r="AI52" s="44">
        <v>20290727</v>
      </c>
      <c r="AJ52" s="46">
        <v>3.7671703639355202E-2</v>
      </c>
      <c r="AK52" s="48">
        <v>75</v>
      </c>
    </row>
    <row r="53" spans="1:37" x14ac:dyDescent="0.4">
      <c r="A53" s="22">
        <f t="shared" si="1"/>
        <v>53</v>
      </c>
      <c r="AB53" s="43">
        <v>20290727</v>
      </c>
      <c r="AC53" s="44">
        <v>20291029</v>
      </c>
      <c r="AD53" s="44">
        <v>20291029</v>
      </c>
      <c r="AE53" s="46">
        <v>3.7524344794442978E-2</v>
      </c>
      <c r="AF53" s="48">
        <v>96.638038648702462</v>
      </c>
      <c r="AG53" s="44">
        <v>20290727</v>
      </c>
      <c r="AH53" s="44">
        <v>20291029</v>
      </c>
      <c r="AI53" s="44">
        <v>20291029</v>
      </c>
      <c r="AJ53" s="46">
        <v>3.7549290276429281E-2</v>
      </c>
      <c r="AK53" s="48">
        <v>75</v>
      </c>
    </row>
    <row r="54" spans="1:37" x14ac:dyDescent="0.4">
      <c r="A54" s="22">
        <f t="shared" si="1"/>
        <v>54</v>
      </c>
      <c r="AB54" s="43">
        <v>20291029</v>
      </c>
      <c r="AC54" s="44">
        <v>20300128</v>
      </c>
      <c r="AD54" s="44">
        <v>20300128</v>
      </c>
      <c r="AE54" s="46">
        <v>3.7382043074640492E-2</v>
      </c>
      <c r="AF54" s="48">
        <v>93.199066295679046</v>
      </c>
      <c r="AG54" s="44">
        <v>20291029</v>
      </c>
      <c r="AH54" s="44">
        <v>20300128</v>
      </c>
      <c r="AI54" s="44">
        <v>20300128</v>
      </c>
      <c r="AJ54" s="46">
        <v>3.7420673027822079E-2</v>
      </c>
      <c r="AK54" s="48">
        <v>75</v>
      </c>
    </row>
    <row r="55" spans="1:37" x14ac:dyDescent="0.4">
      <c r="A55" s="22">
        <f t="shared" si="1"/>
        <v>55</v>
      </c>
      <c r="AB55" s="43">
        <v>20300128</v>
      </c>
      <c r="AC55" s="44">
        <v>20300429</v>
      </c>
      <c r="AD55" s="44">
        <v>20300429</v>
      </c>
      <c r="AE55" s="46">
        <v>3.7240599359135651E-2</v>
      </c>
      <c r="AF55" s="48">
        <v>92.846425799488884</v>
      </c>
      <c r="AG55" s="44">
        <v>20300128</v>
      </c>
      <c r="AH55" s="44">
        <v>20300429</v>
      </c>
      <c r="AI55" s="44">
        <v>20300429</v>
      </c>
      <c r="AJ55" s="46">
        <v>3.72766467348878E-2</v>
      </c>
      <c r="AK55" s="48">
        <v>75</v>
      </c>
    </row>
    <row r="56" spans="1:37" x14ac:dyDescent="0.4">
      <c r="A56" s="22">
        <f t="shared" si="1"/>
        <v>56</v>
      </c>
      <c r="AB56" s="43">
        <v>20300429</v>
      </c>
      <c r="AC56" s="44">
        <v>20300729</v>
      </c>
      <c r="AD56" s="44">
        <v>20300729</v>
      </c>
      <c r="AE56" s="46">
        <v>3.7093197018921831E-2</v>
      </c>
      <c r="AF56" s="48">
        <v>92.47892955402429</v>
      </c>
      <c r="AG56" s="44">
        <v>20300429</v>
      </c>
      <c r="AH56" s="44">
        <v>20300729</v>
      </c>
      <c r="AI56" s="44">
        <v>20300729</v>
      </c>
      <c r="AJ56" s="46">
        <v>3.7133985068388456E-2</v>
      </c>
      <c r="AK56" s="48">
        <v>75</v>
      </c>
    </row>
    <row r="57" spans="1:37" x14ac:dyDescent="0.4">
      <c r="A57" s="22">
        <f t="shared" si="1"/>
        <v>57</v>
      </c>
    </row>
    <row r="58" spans="1:37" x14ac:dyDescent="0.4">
      <c r="A58" s="22">
        <f t="shared" si="1"/>
        <v>58</v>
      </c>
    </row>
    <row r="59" spans="1:37" x14ac:dyDescent="0.4">
      <c r="A59" s="22">
        <f t="shared" si="1"/>
        <v>59</v>
      </c>
    </row>
    <row r="60" spans="1:37" x14ac:dyDescent="0.4">
      <c r="A60" s="22">
        <f t="shared" si="1"/>
        <v>60</v>
      </c>
    </row>
    <row r="61" spans="1:37" x14ac:dyDescent="0.4">
      <c r="A61" s="22">
        <f t="shared" si="1"/>
        <v>61</v>
      </c>
    </row>
  </sheetData>
  <mergeCells count="132">
    <mergeCell ref="AB6:AC6"/>
    <mergeCell ref="AD6:AE6"/>
    <mergeCell ref="AB3:AM4"/>
    <mergeCell ref="AB15:AF15"/>
    <mergeCell ref="AG15:AK15"/>
    <mergeCell ref="AB10:AC10"/>
    <mergeCell ref="AD10:AE10"/>
    <mergeCell ref="W3:X3"/>
    <mergeCell ref="Y3:Z3"/>
    <mergeCell ref="AB7:AC7"/>
    <mergeCell ref="AD7:AE7"/>
    <mergeCell ref="J36:M36"/>
    <mergeCell ref="B45:G46"/>
    <mergeCell ref="O29:R29"/>
    <mergeCell ref="O30:P30"/>
    <mergeCell ref="Q30:R30"/>
    <mergeCell ref="O31:P31"/>
    <mergeCell ref="Q31:R31"/>
    <mergeCell ref="O32:P32"/>
    <mergeCell ref="Q32:R32"/>
    <mergeCell ref="D41:E41"/>
    <mergeCell ref="F41:G41"/>
    <mergeCell ref="D42:E42"/>
    <mergeCell ref="F42:G42"/>
    <mergeCell ref="D43:E43"/>
    <mergeCell ref="F43:G43"/>
    <mergeCell ref="B41:C43"/>
    <mergeCell ref="B36:C38"/>
    <mergeCell ref="D36:E36"/>
    <mergeCell ref="F36:G36"/>
    <mergeCell ref="D37:E37"/>
    <mergeCell ref="F37:G37"/>
    <mergeCell ref="D38:E38"/>
    <mergeCell ref="F38:G38"/>
    <mergeCell ref="L34:M34"/>
    <mergeCell ref="O11:P11"/>
    <mergeCell ref="Q11:R11"/>
    <mergeCell ref="O12:P12"/>
    <mergeCell ref="Q12:R12"/>
    <mergeCell ref="T3:U3"/>
    <mergeCell ref="O10:P10"/>
    <mergeCell ref="O9:R9"/>
    <mergeCell ref="O3:R3"/>
    <mergeCell ref="O4:P4"/>
    <mergeCell ref="Q4:R4"/>
    <mergeCell ref="Q10:R10"/>
    <mergeCell ref="O7:P7"/>
    <mergeCell ref="Q7:R7"/>
    <mergeCell ref="O6:P6"/>
    <mergeCell ref="Q6:R6"/>
    <mergeCell ref="O5:P5"/>
    <mergeCell ref="Q5:R5"/>
    <mergeCell ref="B29:C34"/>
    <mergeCell ref="D29:E29"/>
    <mergeCell ref="F29:G29"/>
    <mergeCell ref="J29:M29"/>
    <mergeCell ref="D30:E30"/>
    <mergeCell ref="F30:G30"/>
    <mergeCell ref="H30:I31"/>
    <mergeCell ref="J30:K30"/>
    <mergeCell ref="L30:M30"/>
    <mergeCell ref="D31:E31"/>
    <mergeCell ref="D33:E33"/>
    <mergeCell ref="F33:G33"/>
    <mergeCell ref="H33:I34"/>
    <mergeCell ref="J33:K33"/>
    <mergeCell ref="L33:M33"/>
    <mergeCell ref="D34:E34"/>
    <mergeCell ref="F34:G34"/>
    <mergeCell ref="J34:K34"/>
    <mergeCell ref="F31:G31"/>
    <mergeCell ref="J31:K31"/>
    <mergeCell ref="L31:M31"/>
    <mergeCell ref="D32:E32"/>
    <mergeCell ref="F32:G32"/>
    <mergeCell ref="H32:M32"/>
    <mergeCell ref="B25:M26"/>
    <mergeCell ref="B27:C27"/>
    <mergeCell ref="D27:E27"/>
    <mergeCell ref="F27:G27"/>
    <mergeCell ref="H27:I27"/>
    <mergeCell ref="B21:C23"/>
    <mergeCell ref="D18:E18"/>
    <mergeCell ref="F18:G18"/>
    <mergeCell ref="B16:C18"/>
    <mergeCell ref="D21:E21"/>
    <mergeCell ref="F21:G21"/>
    <mergeCell ref="D23:E23"/>
    <mergeCell ref="F23:G23"/>
    <mergeCell ref="F16:G16"/>
    <mergeCell ref="D17:E17"/>
    <mergeCell ref="F17:G17"/>
    <mergeCell ref="J16:M16"/>
    <mergeCell ref="D22:E22"/>
    <mergeCell ref="F22:G22"/>
    <mergeCell ref="D16:E16"/>
    <mergeCell ref="J11:K11"/>
    <mergeCell ref="L11:M11"/>
    <mergeCell ref="D13:E13"/>
    <mergeCell ref="D14:E14"/>
    <mergeCell ref="F9:G9"/>
    <mergeCell ref="F10:G10"/>
    <mergeCell ref="F11:G11"/>
    <mergeCell ref="F12:G12"/>
    <mergeCell ref="F13:G13"/>
    <mergeCell ref="F14:G14"/>
    <mergeCell ref="J13:K13"/>
    <mergeCell ref="L13:M13"/>
    <mergeCell ref="B3:C3"/>
    <mergeCell ref="D3:E3"/>
    <mergeCell ref="F3:G3"/>
    <mergeCell ref="H3:I3"/>
    <mergeCell ref="J3:K3"/>
    <mergeCell ref="L3:M3"/>
    <mergeCell ref="H7:I7"/>
    <mergeCell ref="B9:C14"/>
    <mergeCell ref="D9:E9"/>
    <mergeCell ref="D10:E10"/>
    <mergeCell ref="D11:E11"/>
    <mergeCell ref="D12:E12"/>
    <mergeCell ref="B5:M6"/>
    <mergeCell ref="B7:C7"/>
    <mergeCell ref="D7:E7"/>
    <mergeCell ref="F7:G7"/>
    <mergeCell ref="J14:K14"/>
    <mergeCell ref="L14:M14"/>
    <mergeCell ref="J9:M9"/>
    <mergeCell ref="H10:I11"/>
    <mergeCell ref="J10:K10"/>
    <mergeCell ref="L10:M10"/>
    <mergeCell ref="H12:M12"/>
    <mergeCell ref="H13:I14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4" r:id="rId3" name="Button 16">
              <controlPr defaultSize="0" print="0" autoFill="0" autoPict="0" macro="[0]!Sheet2.HullWhitePricing">
                <anchor moveWithCells="1" sizeWithCells="1">
                  <from>
                    <xdr:col>31</xdr:col>
                    <xdr:colOff>541020</xdr:colOff>
                    <xdr:row>5</xdr:row>
                    <xdr:rowOff>121920</xdr:rowOff>
                  </from>
                  <to>
                    <xdr:col>32</xdr:col>
                    <xdr:colOff>670560</xdr:colOff>
                    <xdr:row>9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Calibration</vt:lpstr>
      <vt:lpstr>Pricing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2024-08-09T07:40:17Z</dcterms:created>
  <dcterms:modified xsi:type="dcterms:W3CDTF">2024-09-04T14:24:19Z</dcterms:modified>
</cp:coreProperties>
</file>