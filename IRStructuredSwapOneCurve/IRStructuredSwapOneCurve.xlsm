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tructuredSwapOneCurve\"/>
    </mc:Choice>
  </mc:AlternateContent>
  <bookViews>
    <workbookView xWindow="0" yWindow="0" windowWidth="23016" windowHeight="9084" activeTab="1"/>
  </bookViews>
  <sheets>
    <sheet name="Calibration" sheetId="1" r:id="rId1"/>
    <sheet name="Pricing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1" i="2" l="1"/>
  <c r="AO30" i="2" l="1"/>
  <c r="AO29" i="2"/>
  <c r="AO28" i="2"/>
  <c r="AO27" i="2"/>
  <c r="AO26" i="2"/>
  <c r="AO25" i="2"/>
  <c r="AO24" i="2"/>
  <c r="AO23" i="2"/>
  <c r="AO22" i="2"/>
  <c r="AO21" i="2"/>
  <c r="AO20" i="2"/>
  <c r="AO19" i="2"/>
  <c r="AO18" i="2"/>
  <c r="AO17" i="2"/>
  <c r="AO16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M30" i="2"/>
  <c r="AM29" i="2"/>
  <c r="AM28" i="2"/>
  <c r="AM27" i="2"/>
  <c r="AM26" i="2"/>
  <c r="AM25" i="2"/>
  <c r="AM24" i="2"/>
  <c r="AM23" i="2"/>
  <c r="AM22" i="2"/>
  <c r="AM21" i="2"/>
  <c r="AM20" i="2"/>
  <c r="AM19" i="2"/>
  <c r="AM18" i="2"/>
  <c r="AM17" i="2"/>
  <c r="AM16" i="2"/>
  <c r="H12" i="1"/>
  <c r="H11" i="1"/>
  <c r="J41" i="2" l="1"/>
  <c r="J37" i="2"/>
  <c r="J21" i="2"/>
  <c r="J17" i="2"/>
  <c r="J36" i="2"/>
  <c r="J16" i="2"/>
  <c r="O7" i="2" l="1"/>
  <c r="J34" i="2"/>
  <c r="J33" i="2"/>
  <c r="H33" i="2"/>
  <c r="H32" i="2"/>
  <c r="J31" i="2"/>
  <c r="J30" i="2"/>
  <c r="H30" i="2"/>
  <c r="J29" i="2"/>
  <c r="B29" i="2"/>
  <c r="J14" i="2"/>
  <c r="J13" i="2"/>
  <c r="J11" i="2"/>
  <c r="H13" i="2"/>
  <c r="H12" i="2"/>
  <c r="H10" i="2"/>
  <c r="J10" i="2"/>
  <c r="J9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105" i="1" l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L13" i="1" l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12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>
  <authors>
    <author>DAESUN IM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1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J27" authorId="0" shapeId="0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H3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>
      <text>
        <r>
          <rPr>
            <b/>
            <sz val="9"/>
            <color indexed="81"/>
            <rFont val="Tahoma"/>
            <family val="2"/>
          </rPr>
          <t>ZeroCouponSwap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D47" authorId="0" shapeId="0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<sst xmlns="http://schemas.openxmlformats.org/spreadsheetml/2006/main" count="122" uniqueCount="87">
  <si>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</si>
  <si>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</si>
  <si>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</si>
  <si>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</si>
  <si>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</si>
  <si>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</si>
  <si>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</si>
  <si>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</si>
  <si>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</si>
  <si>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</si>
  <si>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</si>
  <si>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</si>
  <si>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</si>
  <si>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</si>
  <si>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</si>
  <si>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</si>
  <si>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</si>
  <si>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</si>
  <si>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</si>
  <si>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</si>
  <si>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</si>
  <si>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</si>
  <si>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</si>
  <si>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</si>
  <si>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</si>
  <si>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</si>
  <si>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</si>
  <si>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</si>
  <si>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</si>
  <si>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</si>
  <si>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</si>
  <si>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NAFlag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</si>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</sst>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  <numFmt numFmtId="188" formatCode="0.00000"/>
  </numFmts>
  <fonts count="18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 applyAlignment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 applyAlignment="1">
      <alignment vertical="center"/>
    </xf>
    <xf numFmtId="177" fontId="8" fillId="11" borderId="10" xfId="0" applyNumberFormat="1" applyFont="1" applyFill="1" applyBorder="1" applyAlignment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 applyAlignment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 applyAlignment="1" applyProtection="1">
      <alignment vertical="center"/>
    </xf>
    <xf numFmtId="180" fontId="9" fillId="14" borderId="10" xfId="0" applyNumberFormat="1" applyFont="1" applyFill="1" applyBorder="1" applyAlignment="1" applyProtection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 applyAlignment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0" xfId="0" applyFill="1" applyBorder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Alignment="1" applyProtection="1">
      <alignment vertical="center"/>
      <protection locked="0"/>
    </xf>
    <xf numFmtId="14" fontId="5" fillId="5" borderId="19" xfId="0" applyNumberFormat="1" applyFont="1" applyFill="1" applyBorder="1" applyAlignment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 applyBorder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 applyAlignment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41" fontId="0" fillId="2" borderId="0" xfId="2" applyFont="1" applyFill="1">
      <alignment vertical="center"/>
    </xf>
    <xf numFmtId="188" fontId="0" fillId="2" borderId="0" xfId="0" applyNumberFormat="1" applyFill="1">
      <alignment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10" borderId="9" xfId="0" applyFont="1" applyFill="1" applyBorder="1" applyAlignment="1" applyProtection="1">
      <alignment horizontal="center" vertical="center" wrapText="1"/>
    </xf>
    <xf numFmtId="0" fontId="6" fillId="10" borderId="11" xfId="0" applyFont="1" applyFill="1" applyBorder="1" applyAlignment="1" applyProtection="1">
      <alignment horizontal="center" vertical="center" wrapText="1"/>
    </xf>
    <xf numFmtId="49" fontId="9" fillId="8" borderId="0" xfId="0" applyNumberFormat="1" applyFont="1" applyFill="1" applyBorder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0" fontId="14" fillId="4" borderId="0" xfId="0" applyFont="1" applyFill="1" applyAlignment="1" applyProtection="1">
      <alignment horizontal="center" vertical="center"/>
      <protection locked="0"/>
    </xf>
    <xf numFmtId="0" fontId="5" fillId="5" borderId="0" xfId="0" applyFont="1" applyFill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178" fontId="5" fillId="15" borderId="0" xfId="0" applyNumberFormat="1" applyFont="1" applyFill="1" applyBorder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NumberFormat="1" applyFont="1" applyFill="1" applyAlignment="1" applyProtection="1">
      <alignment horizontal="center" vertical="center"/>
      <protection locked="0"/>
    </xf>
    <xf numFmtId="0" fontId="4" fillId="10" borderId="12" xfId="0" applyFont="1" applyFill="1" applyBorder="1" applyAlignment="1" applyProtection="1">
      <alignment horizontal="center" vertical="center"/>
    </xf>
    <xf numFmtId="0" fontId="4" fillId="10" borderId="17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Border="1" applyAlignment="1" applyProtection="1">
      <alignment horizontal="center" vertical="center"/>
    </xf>
    <xf numFmtId="183" fontId="5" fillId="5" borderId="0" xfId="0" applyNumberFormat="1" applyFont="1" applyFill="1" applyBorder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4" fillId="10" borderId="13" xfId="0" applyFont="1" applyFill="1" applyBorder="1" applyAlignment="1" applyProtection="1">
      <alignment horizontal="center" vertical="center"/>
    </xf>
    <xf numFmtId="0" fontId="5" fillId="15" borderId="0" xfId="0" applyFont="1" applyFill="1" applyBorder="1" applyAlignment="1" applyProtection="1">
      <alignment horizontal="center" vertical="center"/>
      <protection locked="0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Border="1" applyAlignment="1" applyProtection="1">
      <alignment horizontal="center" vertical="center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3" fontId="5" fillId="15" borderId="0" xfId="0" applyNumberFormat="1" applyFont="1" applyFill="1" applyBorder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 applyProtection="1">
      <alignment horizontal="center" vertical="center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 wrapText="1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 applyProtection="1">
      <alignment horizontal="center" vertical="center"/>
    </xf>
    <xf numFmtId="0" fontId="14" fillId="4" borderId="23" xfId="0" applyFont="1" applyFill="1" applyBorder="1" applyAlignment="1" applyProtection="1">
      <alignment horizontal="center" vertical="center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0" fontId="14" fillId="4" borderId="18" xfId="0" applyFont="1" applyFill="1" applyBorder="1" applyAlignment="1" applyProtection="1">
      <alignment horizontal="center" vertical="center"/>
    </xf>
    <xf numFmtId="0" fontId="14" fillId="4" borderId="16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 wrapText="1"/>
    </xf>
    <xf numFmtId="0" fontId="6" fillId="4" borderId="19" xfId="0" applyFont="1" applyFill="1" applyBorder="1" applyAlignment="1" applyProtection="1">
      <alignment horizontal="center" vertical="center" wrapText="1"/>
    </xf>
    <xf numFmtId="0" fontId="6" fillId="4" borderId="13" xfId="0" applyFont="1" applyFill="1" applyBorder="1" applyAlignment="1" applyProtection="1">
      <alignment horizontal="center" vertical="center" wrapText="1"/>
    </xf>
    <xf numFmtId="0" fontId="6" fillId="4" borderId="14" xfId="0" applyFont="1" applyFill="1" applyBorder="1" applyAlignment="1" applyProtection="1">
      <alignment horizontal="center" vertical="center" wrapText="1"/>
    </xf>
    <xf numFmtId="0" fontId="6" fillId="4" borderId="18" xfId="0" applyFont="1" applyFill="1" applyBorder="1" applyAlignment="1" applyProtection="1">
      <alignment horizontal="center" vertical="center" wrapText="1"/>
    </xf>
    <xf numFmtId="0" fontId="6" fillId="4" borderId="16" xfId="0" applyFont="1" applyFill="1" applyBorder="1" applyAlignment="1" applyProtection="1">
      <alignment horizontal="center" vertical="center" wrapText="1"/>
    </xf>
    <xf numFmtId="0" fontId="6" fillId="4" borderId="21" xfId="0" applyFont="1" applyFill="1" applyBorder="1" applyAlignment="1" applyProtection="1">
      <alignment horizontal="center" vertical="center" wrapText="1"/>
    </xf>
    <xf numFmtId="0" fontId="6" fillId="4" borderId="22" xfId="0" applyFont="1" applyFill="1" applyBorder="1" applyAlignment="1" applyProtection="1">
      <alignment horizontal="center" vertical="center" wrapText="1"/>
    </xf>
    <xf numFmtId="0" fontId="6" fillId="4" borderId="23" xfId="0" applyFont="1" applyFill="1" applyBorder="1" applyAlignment="1" applyProtection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 applyProtection="1">
      <alignment horizontal="center" vertical="center"/>
    </xf>
    <xf numFmtId="0" fontId="14" fillId="4" borderId="14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</xf>
    <xf numFmtId="0" fontId="16" fillId="2" borderId="14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202"/>
  <sheetViews>
    <sheetView workbookViewId="0">
      <selection activeCell="J14" sqref="J14"/>
    </sheetView>
  </sheetViews>
  <sheetFormatPr defaultColWidth="10.09765625" defaultRowHeight="15.6" x14ac:dyDescent="0.4"/>
  <cols>
    <col min="1" max="8" width="10.09765625" style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59" t="s">
        <v>0</v>
      </c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</row>
    <row r="3" spans="1:41" x14ac:dyDescent="0.4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</row>
    <row r="4" spans="1:41" x14ac:dyDescent="0.4">
      <c r="A4" s="1">
        <f>4</f>
        <v>4</v>
      </c>
      <c r="B4" s="53" t="s">
        <v>1</v>
      </c>
      <c r="C4" s="53"/>
      <c r="D4" s="54">
        <v>1</v>
      </c>
      <c r="E4" s="54"/>
    </row>
    <row r="5" spans="1:41" x14ac:dyDescent="0.4">
      <c r="A5" s="1">
        <f>A4+1</f>
        <v>5</v>
      </c>
      <c r="B5" s="53" t="s">
        <v>29</v>
      </c>
      <c r="C5" s="53"/>
      <c r="D5" s="69">
        <v>45538</v>
      </c>
      <c r="E5" s="54"/>
      <c r="G5" s="60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1"/>
      <c r="H6" s="62" t="s">
        <v>4</v>
      </c>
      <c r="I6" s="63"/>
      <c r="L6" s="66" t="s">
        <v>75</v>
      </c>
      <c r="M6" s="66"/>
      <c r="N6" s="66"/>
      <c r="O6" s="70" t="s">
        <v>76</v>
      </c>
      <c r="P6" s="63"/>
      <c r="R6" s="66" t="s">
        <v>5</v>
      </c>
      <c r="S6" s="66"/>
      <c r="T6" s="66"/>
    </row>
    <row r="7" spans="1:41" x14ac:dyDescent="0.4">
      <c r="A7" s="1">
        <f t="shared" si="1"/>
        <v>7</v>
      </c>
      <c r="B7" s="53" t="s">
        <v>6</v>
      </c>
      <c r="C7" s="53"/>
      <c r="D7" s="54">
        <v>0</v>
      </c>
      <c r="E7" s="54"/>
      <c r="G7" s="61"/>
      <c r="H7" s="64"/>
      <c r="I7" s="65"/>
      <c r="L7" s="66"/>
      <c r="M7" s="66"/>
      <c r="N7" s="66"/>
      <c r="O7" s="64"/>
      <c r="P7" s="65"/>
      <c r="R7" s="66"/>
      <c r="S7" s="66"/>
      <c r="T7" s="66"/>
    </row>
    <row r="8" spans="1:41" x14ac:dyDescent="0.4">
      <c r="A8" s="1">
        <f t="shared" si="1"/>
        <v>8</v>
      </c>
      <c r="B8" s="53" t="s">
        <v>7</v>
      </c>
      <c r="C8" s="53"/>
      <c r="D8" s="54">
        <v>0.01</v>
      </c>
      <c r="E8" s="54"/>
      <c r="G8" s="61"/>
      <c r="I8" s="3" t="s">
        <v>8</v>
      </c>
      <c r="J8" s="3" t="s">
        <v>9</v>
      </c>
      <c r="K8" s="3" t="s">
        <v>10</v>
      </c>
      <c r="R8" s="66" t="s">
        <v>11</v>
      </c>
      <c r="S8" s="66"/>
      <c r="T8" s="4">
        <v>3</v>
      </c>
    </row>
    <row r="9" spans="1:41" x14ac:dyDescent="0.4">
      <c r="A9" s="1">
        <f t="shared" si="1"/>
        <v>9</v>
      </c>
      <c r="G9" s="61"/>
      <c r="H9" s="3" t="s">
        <v>12</v>
      </c>
      <c r="I9" s="5">
        <v>7.0499999999999998E-3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1"/>
      <c r="H10" s="8" t="s">
        <v>13</v>
      </c>
      <c r="I10" s="67" t="s">
        <v>14</v>
      </c>
      <c r="J10" s="68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5" t="s">
        <v>17</v>
      </c>
      <c r="S10" s="55" t="s">
        <v>18</v>
      </c>
      <c r="T10" s="55" t="s">
        <v>19</v>
      </c>
      <c r="U10" s="55" t="s">
        <v>20</v>
      </c>
      <c r="V10" s="55" t="s">
        <v>21</v>
      </c>
      <c r="W10" s="55" t="s">
        <v>22</v>
      </c>
    </row>
    <row r="11" spans="1:41" x14ac:dyDescent="0.4">
      <c r="A11" s="1">
        <f t="shared" si="1"/>
        <v>11</v>
      </c>
      <c r="G11" s="61"/>
      <c r="H11" s="10">
        <f>1/365</f>
        <v>2.7397260273972603E-3</v>
      </c>
      <c r="I11" s="11">
        <v>7.1815999999999998E-3</v>
      </c>
      <c r="J11" s="12"/>
      <c r="L11" s="13">
        <v>1</v>
      </c>
      <c r="M11" s="47">
        <v>45539</v>
      </c>
      <c r="N11" s="14">
        <v>3.5068000000000001</v>
      </c>
      <c r="O11" s="47">
        <v>45539</v>
      </c>
      <c r="P11" s="14">
        <v>3.5068000000000001</v>
      </c>
      <c r="R11" s="56"/>
      <c r="S11" s="56"/>
      <c r="T11" s="56"/>
      <c r="U11" s="56"/>
      <c r="V11" s="56"/>
      <c r="W11" s="56"/>
    </row>
    <row r="12" spans="1:41" x14ac:dyDescent="0.4">
      <c r="A12" s="1">
        <f t="shared" si="1"/>
        <v>12</v>
      </c>
      <c r="G12" s="61"/>
      <c r="H12" s="10">
        <f>31/365</f>
        <v>8.4931506849315067E-2</v>
      </c>
      <c r="I12" s="11">
        <v>7.1815999999999998E-3</v>
      </c>
      <c r="J12" s="12"/>
      <c r="L12" s="13">
        <f>L11+1</f>
        <v>2</v>
      </c>
      <c r="M12" s="47">
        <v>45540</v>
      </c>
      <c r="N12" s="14">
        <v>3.5068000000000001</v>
      </c>
      <c r="O12" s="47">
        <v>45540</v>
      </c>
      <c r="P12" s="14">
        <v>3.5068000000000001</v>
      </c>
      <c r="R12" s="15">
        <v>0.25</v>
      </c>
      <c r="S12" s="15">
        <v>1</v>
      </c>
      <c r="T12" s="16">
        <v>9.1889999999999993E-3</v>
      </c>
      <c r="U12" s="11">
        <v>1.7714085993766398E-3</v>
      </c>
      <c r="V12" s="11">
        <v>1.7714085993766886E-3</v>
      </c>
      <c r="W12" s="17">
        <v>-4.87890977618477E-17</v>
      </c>
    </row>
    <row r="13" spans="1:41" x14ac:dyDescent="0.4">
      <c r="A13" s="1">
        <f t="shared" si="1"/>
        <v>13</v>
      </c>
      <c r="C13" s="18" t="s">
        <v>22</v>
      </c>
      <c r="D13" s="57" t="s">
        <v>23</v>
      </c>
      <c r="E13" s="57"/>
      <c r="G13" s="61"/>
      <c r="H13" s="10">
        <v>0.25</v>
      </c>
      <c r="I13" s="11">
        <v>6.6679E-3</v>
      </c>
      <c r="J13" s="12"/>
      <c r="L13" s="13">
        <f t="shared" ref="L13:L53" si="2">L12+1</f>
        <v>3</v>
      </c>
      <c r="M13" s="47">
        <v>45630</v>
      </c>
      <c r="N13" s="14">
        <v>3.4948999999999999</v>
      </c>
      <c r="O13" s="47">
        <v>45630</v>
      </c>
      <c r="P13" s="14">
        <v>3.4948999999999999</v>
      </c>
      <c r="R13" s="15">
        <v>0.5</v>
      </c>
      <c r="S13" s="15">
        <v>2</v>
      </c>
      <c r="T13" s="16">
        <v>9.3720000000000001E-3</v>
      </c>
      <c r="U13" s="11">
        <v>4.9630522901371625E-3</v>
      </c>
      <c r="V13" s="11">
        <v>4.9630522901371495E-3</v>
      </c>
      <c r="W13" s="17">
        <v>1.3010426069826053E-17</v>
      </c>
    </row>
    <row r="14" spans="1:41" x14ac:dyDescent="0.4">
      <c r="A14" s="1">
        <f t="shared" si="1"/>
        <v>14</v>
      </c>
      <c r="D14" s="57"/>
      <c r="E14" s="57"/>
      <c r="G14" s="61"/>
      <c r="H14" s="10">
        <v>0.5</v>
      </c>
      <c r="I14" s="11">
        <v>6.6254E-3</v>
      </c>
      <c r="J14" s="12"/>
      <c r="L14" s="13">
        <f t="shared" si="2"/>
        <v>4</v>
      </c>
      <c r="M14" s="47">
        <v>45720</v>
      </c>
      <c r="N14" s="14">
        <v>3.3959000000000001</v>
      </c>
      <c r="O14" s="47">
        <v>45720</v>
      </c>
      <c r="P14" s="14">
        <v>3.3959000000000001</v>
      </c>
      <c r="R14" s="15">
        <v>0.75</v>
      </c>
      <c r="S14" s="15">
        <v>3</v>
      </c>
      <c r="T14" s="16">
        <v>9.4859999999999996E-3</v>
      </c>
      <c r="U14" s="11">
        <v>8.9659423531971497E-3</v>
      </c>
      <c r="V14" s="11">
        <v>8.9659423531971722E-3</v>
      </c>
      <c r="W14" s="17">
        <v>-2.2551405187698492E-17</v>
      </c>
    </row>
    <row r="15" spans="1:41" x14ac:dyDescent="0.4">
      <c r="A15" s="1">
        <f t="shared" si="1"/>
        <v>15</v>
      </c>
      <c r="D15" s="57"/>
      <c r="E15" s="57"/>
      <c r="G15" s="61"/>
      <c r="H15" s="10">
        <v>1</v>
      </c>
      <c r="I15" s="11">
        <v>6.3022E-3</v>
      </c>
      <c r="J15" s="12"/>
      <c r="L15" s="13">
        <f t="shared" si="2"/>
        <v>5</v>
      </c>
      <c r="M15" s="47">
        <v>45812</v>
      </c>
      <c r="N15" s="14">
        <v>3.2936000000000001</v>
      </c>
      <c r="O15" s="47">
        <v>45812</v>
      </c>
      <c r="P15" s="14">
        <v>3.2936000000000001</v>
      </c>
      <c r="R15" s="15">
        <v>1</v>
      </c>
      <c r="S15" s="15">
        <v>4</v>
      </c>
      <c r="T15" s="16">
        <v>9.6360000000000005E-3</v>
      </c>
      <c r="U15" s="11">
        <v>1.3624316007604213E-2</v>
      </c>
      <c r="V15" s="11">
        <v>1.3624316007604206E-2</v>
      </c>
      <c r="W15" s="17">
        <v>6.9388939039072284E-18</v>
      </c>
    </row>
    <row r="16" spans="1:41" x14ac:dyDescent="0.4">
      <c r="A16" s="1">
        <f t="shared" si="1"/>
        <v>16</v>
      </c>
      <c r="G16" s="61"/>
      <c r="H16" s="10">
        <v>2</v>
      </c>
      <c r="I16" s="11">
        <v>5.6702999999999996E-3</v>
      </c>
      <c r="J16" s="12"/>
      <c r="L16" s="13">
        <f t="shared" si="2"/>
        <v>6</v>
      </c>
      <c r="M16" s="47">
        <v>45904</v>
      </c>
      <c r="N16" s="14">
        <v>3.1911</v>
      </c>
      <c r="O16" s="47">
        <v>45904</v>
      </c>
      <c r="P16" s="14">
        <v>3.1911</v>
      </c>
      <c r="R16" s="15">
        <v>2</v>
      </c>
      <c r="S16" s="15">
        <v>5</v>
      </c>
      <c r="T16" s="16">
        <v>8.6180000000000007E-3</v>
      </c>
      <c r="U16" s="11">
        <v>2.0325396119212937E-2</v>
      </c>
      <c r="V16" s="11">
        <v>2.0325396119212968E-2</v>
      </c>
      <c r="W16" s="17">
        <v>-3.1225022567582528E-17</v>
      </c>
    </row>
    <row r="17" spans="1:23" x14ac:dyDescent="0.4">
      <c r="A17" s="1">
        <f t="shared" si="1"/>
        <v>17</v>
      </c>
      <c r="D17" s="58">
        <v>45202.835729166669</v>
      </c>
      <c r="E17" s="58"/>
      <c r="G17" s="61"/>
      <c r="H17" s="10">
        <v>3</v>
      </c>
      <c r="I17" s="11">
        <v>5.5912000000000002E-3</v>
      </c>
      <c r="J17" s="12"/>
      <c r="L17" s="13">
        <f t="shared" si="2"/>
        <v>7</v>
      </c>
      <c r="M17" s="47">
        <v>46085</v>
      </c>
      <c r="N17" s="14">
        <v>3.0758000000000001</v>
      </c>
      <c r="O17" s="47">
        <v>46085</v>
      </c>
      <c r="P17" s="14">
        <v>3.0758000000000001</v>
      </c>
      <c r="R17" s="15">
        <v>3</v>
      </c>
      <c r="S17" s="15">
        <v>7</v>
      </c>
      <c r="T17" s="16">
        <v>7.5290000000000001E-3</v>
      </c>
      <c r="U17" s="11">
        <v>2.8178321240633547E-2</v>
      </c>
      <c r="V17" s="11">
        <v>2.8178321240633571E-2</v>
      </c>
      <c r="W17" s="17">
        <v>-2.4286128663675299E-17</v>
      </c>
    </row>
    <row r="18" spans="1:23" x14ac:dyDescent="0.4">
      <c r="A18" s="1">
        <f t="shared" si="1"/>
        <v>18</v>
      </c>
      <c r="D18" s="58">
        <v>45202.835729166669</v>
      </c>
      <c r="E18" s="58"/>
      <c r="G18" s="61"/>
      <c r="H18" s="10">
        <v>4.01</v>
      </c>
      <c r="I18" s="11">
        <v>4.9401000000000002E-3</v>
      </c>
      <c r="J18" s="12"/>
      <c r="L18" s="13">
        <f t="shared" si="2"/>
        <v>8</v>
      </c>
      <c r="M18" s="47">
        <v>46269</v>
      </c>
      <c r="N18" s="14">
        <v>3.0028999999999999</v>
      </c>
      <c r="O18" s="47">
        <v>46269</v>
      </c>
      <c r="P18" s="14">
        <v>3.0028999999999999</v>
      </c>
      <c r="R18" s="15">
        <v>5</v>
      </c>
      <c r="S18" s="15">
        <v>10</v>
      </c>
      <c r="T18" s="16">
        <v>6.8240000000000002E-3</v>
      </c>
      <c r="U18" s="11">
        <v>4.1090962313551214E-2</v>
      </c>
      <c r="V18" s="11">
        <v>4.1090962313551214E-2</v>
      </c>
      <c r="W18" s="17">
        <v>0</v>
      </c>
    </row>
    <row r="19" spans="1:23" x14ac:dyDescent="0.4">
      <c r="A19" s="1">
        <f t="shared" si="1"/>
        <v>19</v>
      </c>
      <c r="G19" s="61"/>
      <c r="H19" s="10">
        <v>5</v>
      </c>
      <c r="I19" s="11">
        <v>5.0549999999999996E-3</v>
      </c>
      <c r="J19" s="12"/>
      <c r="L19" s="13">
        <f t="shared" si="2"/>
        <v>9</v>
      </c>
      <c r="M19" s="47">
        <v>46636</v>
      </c>
      <c r="N19" s="14">
        <v>2.9298999999999999</v>
      </c>
      <c r="O19" s="47">
        <v>46636</v>
      </c>
      <c r="P19" s="14">
        <v>2.9298999999999999</v>
      </c>
      <c r="R19" s="15"/>
      <c r="S19" s="15"/>
      <c r="T19" s="16"/>
      <c r="U19" s="11"/>
      <c r="V19" s="11"/>
      <c r="W19" s="17"/>
    </row>
    <row r="20" spans="1:23" x14ac:dyDescent="0.4">
      <c r="A20" s="1">
        <f t="shared" si="1"/>
        <v>20</v>
      </c>
      <c r="G20" s="61"/>
      <c r="H20" s="10">
        <v>7</v>
      </c>
      <c r="I20" s="11">
        <v>5.1679999999999999E-3</v>
      </c>
      <c r="J20" s="12"/>
      <c r="L20" s="13">
        <f t="shared" si="2"/>
        <v>10</v>
      </c>
      <c r="M20" s="47">
        <v>47000</v>
      </c>
      <c r="N20" s="14">
        <v>2.8999000000000001</v>
      </c>
      <c r="O20" s="47">
        <v>47000</v>
      </c>
      <c r="P20" s="14">
        <v>2.8999000000000001</v>
      </c>
      <c r="R20" s="15"/>
      <c r="S20" s="15"/>
      <c r="T20" s="16"/>
      <c r="U20" s="11"/>
      <c r="V20" s="11"/>
      <c r="W20" s="17"/>
    </row>
    <row r="21" spans="1:23" x14ac:dyDescent="0.4">
      <c r="A21" s="1">
        <f t="shared" si="1"/>
        <v>21</v>
      </c>
      <c r="G21" s="61"/>
      <c r="H21" s="10">
        <v>9.23</v>
      </c>
      <c r="I21" s="11">
        <v>5.0507E-3</v>
      </c>
      <c r="J21" s="12"/>
      <c r="L21" s="13">
        <f t="shared" si="2"/>
        <v>11</v>
      </c>
      <c r="M21" s="47">
        <v>47365</v>
      </c>
      <c r="N21" s="14">
        <v>2.8929</v>
      </c>
      <c r="O21" s="47">
        <v>47365</v>
      </c>
      <c r="P21" s="14">
        <v>2.8929</v>
      </c>
      <c r="R21" s="15"/>
      <c r="S21" s="15"/>
      <c r="T21" s="16"/>
      <c r="U21" s="11"/>
      <c r="V21" s="11"/>
      <c r="W21" s="17"/>
    </row>
    <row r="22" spans="1:23" x14ac:dyDescent="0.4">
      <c r="A22" s="1">
        <f t="shared" si="1"/>
        <v>22</v>
      </c>
      <c r="G22" s="61"/>
      <c r="H22" s="10">
        <v>39.229999999999997</v>
      </c>
      <c r="I22" s="11">
        <v>5.0507E-3</v>
      </c>
      <c r="J22" s="12"/>
      <c r="L22" s="13">
        <f t="shared" si="2"/>
        <v>12</v>
      </c>
      <c r="M22" s="47">
        <v>47730</v>
      </c>
      <c r="N22" s="14">
        <v>2.8881999999999999</v>
      </c>
      <c r="O22" s="47">
        <v>47730</v>
      </c>
      <c r="P22" s="14">
        <v>2.8881999999999999</v>
      </c>
      <c r="R22" s="15"/>
      <c r="S22" s="15"/>
      <c r="T22" s="16"/>
      <c r="U22" s="11"/>
      <c r="V22" s="11"/>
      <c r="W22" s="17"/>
    </row>
    <row r="23" spans="1:23" x14ac:dyDescent="0.4">
      <c r="A23" s="1">
        <f t="shared" si="1"/>
        <v>23</v>
      </c>
      <c r="B23" s="53" t="s">
        <v>24</v>
      </c>
      <c r="C23" s="53"/>
      <c r="D23" s="54">
        <v>1</v>
      </c>
      <c r="E23" s="54"/>
      <c r="G23" s="61"/>
      <c r="H23" s="10"/>
      <c r="I23" s="11"/>
      <c r="J23" s="12"/>
      <c r="L23" s="13">
        <f t="shared" si="2"/>
        <v>13</v>
      </c>
      <c r="M23" s="47">
        <v>48095</v>
      </c>
      <c r="N23" s="14">
        <v>2.8969</v>
      </c>
      <c r="O23" s="47">
        <v>48095</v>
      </c>
      <c r="P23" s="14">
        <v>2.8969</v>
      </c>
      <c r="R23" s="15"/>
      <c r="S23" s="15"/>
      <c r="T23" s="16"/>
      <c r="U23" s="11"/>
      <c r="V23" s="11"/>
      <c r="W23" s="17"/>
    </row>
    <row r="24" spans="1:23" x14ac:dyDescent="0.4">
      <c r="A24" s="1">
        <f t="shared" si="1"/>
        <v>24</v>
      </c>
      <c r="B24" s="53" t="s">
        <v>25</v>
      </c>
      <c r="C24" s="53"/>
      <c r="D24" s="54">
        <v>0</v>
      </c>
      <c r="E24" s="54"/>
      <c r="G24" s="61"/>
      <c r="H24" s="10"/>
      <c r="I24" s="11"/>
      <c r="J24" s="12"/>
      <c r="L24" s="13">
        <f t="shared" si="2"/>
        <v>14</v>
      </c>
      <c r="M24" s="47">
        <v>48463</v>
      </c>
      <c r="N24" s="14">
        <v>2.9081999999999999</v>
      </c>
      <c r="O24" s="47">
        <v>48463</v>
      </c>
      <c r="P24" s="14">
        <v>2.9081999999999999</v>
      </c>
      <c r="R24" s="15"/>
      <c r="S24" s="15"/>
      <c r="T24" s="16"/>
      <c r="U24" s="11"/>
      <c r="V24" s="11"/>
      <c r="W24" s="17"/>
    </row>
    <row r="25" spans="1:23" x14ac:dyDescent="0.4">
      <c r="A25" s="1">
        <f t="shared" si="1"/>
        <v>25</v>
      </c>
      <c r="B25" s="53" t="s">
        <v>26</v>
      </c>
      <c r="C25" s="53"/>
      <c r="D25" s="54">
        <v>-0.1</v>
      </c>
      <c r="E25" s="54"/>
      <c r="G25" s="61"/>
      <c r="H25" s="10"/>
      <c r="I25" s="11"/>
      <c r="J25" s="12"/>
      <c r="L25" s="13">
        <f t="shared" si="2"/>
        <v>15</v>
      </c>
      <c r="M25" s="47">
        <v>48827</v>
      </c>
      <c r="N25" s="14">
        <v>2.9110999999999998</v>
      </c>
      <c r="O25" s="47">
        <v>48827</v>
      </c>
      <c r="P25" s="14">
        <v>2.9110999999999998</v>
      </c>
      <c r="R25" s="15"/>
      <c r="S25" s="15"/>
      <c r="T25" s="16"/>
      <c r="U25" s="11"/>
      <c r="V25" s="11"/>
      <c r="W25" s="17"/>
    </row>
    <row r="26" spans="1:23" x14ac:dyDescent="0.4">
      <c r="A26" s="1">
        <f t="shared" si="1"/>
        <v>26</v>
      </c>
      <c r="B26" s="53" t="s">
        <v>27</v>
      </c>
      <c r="C26" s="53"/>
      <c r="D26" s="54">
        <v>0.15</v>
      </c>
      <c r="E26" s="54"/>
      <c r="G26" s="61"/>
      <c r="H26" s="10"/>
      <c r="I26" s="11"/>
      <c r="J26" s="12"/>
      <c r="L26" s="13">
        <f t="shared" si="2"/>
        <v>16</v>
      </c>
      <c r="M26" s="47">
        <v>49191</v>
      </c>
      <c r="N26" s="14">
        <v>2.9253999999999998</v>
      </c>
      <c r="O26" s="47">
        <v>49191</v>
      </c>
      <c r="P26" s="14">
        <v>2.9253999999999998</v>
      </c>
      <c r="R26" s="15"/>
      <c r="S26" s="15"/>
      <c r="T26" s="16"/>
      <c r="U26" s="11"/>
      <c r="V26" s="11"/>
      <c r="W26" s="17"/>
    </row>
    <row r="27" spans="1:23" x14ac:dyDescent="0.4">
      <c r="A27" s="1">
        <f t="shared" si="1"/>
        <v>27</v>
      </c>
      <c r="G27" s="61"/>
      <c r="H27" s="10"/>
      <c r="I27" s="11"/>
      <c r="J27" s="12"/>
      <c r="L27" s="13">
        <f t="shared" si="2"/>
        <v>17</v>
      </c>
      <c r="M27" s="47">
        <v>49922</v>
      </c>
      <c r="N27" s="14">
        <v>2.9455</v>
      </c>
      <c r="O27" s="47">
        <v>49922</v>
      </c>
      <c r="P27" s="14">
        <v>2.9455</v>
      </c>
      <c r="R27" s="15"/>
      <c r="S27" s="15"/>
      <c r="T27" s="16"/>
      <c r="U27" s="11"/>
      <c r="V27" s="11"/>
      <c r="W27" s="17"/>
    </row>
    <row r="28" spans="1:23" x14ac:dyDescent="0.4">
      <c r="A28" s="1">
        <f t="shared" si="1"/>
        <v>28</v>
      </c>
      <c r="G28" s="61"/>
      <c r="H28" s="10"/>
      <c r="I28" s="11"/>
      <c r="J28" s="12"/>
      <c r="L28" s="13">
        <f t="shared" si="2"/>
        <v>18</v>
      </c>
      <c r="M28" s="47">
        <v>51018</v>
      </c>
      <c r="N28" s="14">
        <v>2.9357000000000002</v>
      </c>
      <c r="O28" s="47">
        <v>51018</v>
      </c>
      <c r="P28" s="14">
        <v>2.9357000000000002</v>
      </c>
      <c r="R28" s="15"/>
      <c r="S28" s="15"/>
      <c r="T28" s="16"/>
      <c r="U28" s="11"/>
      <c r="V28" s="11"/>
      <c r="W28" s="17"/>
    </row>
    <row r="29" spans="1:23" x14ac:dyDescent="0.4">
      <c r="A29" s="1">
        <f t="shared" si="1"/>
        <v>29</v>
      </c>
      <c r="G29" s="61"/>
      <c r="H29" s="10"/>
      <c r="I29" s="11"/>
      <c r="J29" s="12"/>
      <c r="L29" s="13">
        <f t="shared" si="2"/>
        <v>19</v>
      </c>
      <c r="M29" s="47">
        <v>52845</v>
      </c>
      <c r="N29" s="14">
        <v>2.8538000000000001</v>
      </c>
      <c r="O29" s="47">
        <v>52845</v>
      </c>
      <c r="P29" s="14">
        <v>2.8538000000000001</v>
      </c>
      <c r="R29" s="15"/>
      <c r="S29" s="15"/>
      <c r="T29" s="16"/>
      <c r="U29" s="11"/>
      <c r="V29" s="11"/>
      <c r="W29" s="17"/>
    </row>
    <row r="30" spans="1:23" x14ac:dyDescent="0.4">
      <c r="A30" s="1">
        <f t="shared" si="1"/>
        <v>30</v>
      </c>
      <c r="G30" s="61"/>
      <c r="H30" s="10"/>
      <c r="I30" s="11"/>
      <c r="J30" s="12"/>
      <c r="L30" s="13">
        <f t="shared" si="2"/>
        <v>20</v>
      </c>
      <c r="M30" s="47">
        <v>54672</v>
      </c>
      <c r="N30" s="14">
        <v>2.7635000000000001</v>
      </c>
      <c r="O30" s="47">
        <v>54672</v>
      </c>
      <c r="P30" s="14">
        <v>2.7635000000000001</v>
      </c>
      <c r="R30" s="15"/>
      <c r="S30" s="15"/>
      <c r="T30" s="16"/>
      <c r="U30" s="11"/>
      <c r="V30" s="11"/>
      <c r="W30" s="17"/>
    </row>
    <row r="31" spans="1:23" x14ac:dyDescent="0.4">
      <c r="A31" s="1">
        <f t="shared" si="1"/>
        <v>31</v>
      </c>
      <c r="G31" s="61"/>
      <c r="H31" s="10"/>
      <c r="I31" s="11"/>
      <c r="J31" s="12"/>
      <c r="L31" s="13">
        <f t="shared" si="2"/>
        <v>21</v>
      </c>
      <c r="M31" s="47">
        <v>56496</v>
      </c>
      <c r="N31" s="14">
        <v>2.5066999999999999</v>
      </c>
      <c r="O31" s="47">
        <v>56496</v>
      </c>
      <c r="P31" s="14">
        <v>2.5066999999999999</v>
      </c>
      <c r="R31" s="15"/>
      <c r="S31" s="15"/>
      <c r="T31" s="16"/>
      <c r="U31" s="11"/>
      <c r="V31" s="11"/>
      <c r="W31" s="17"/>
    </row>
    <row r="32" spans="1:23" x14ac:dyDescent="0.4">
      <c r="A32" s="1">
        <f t="shared" si="1"/>
        <v>32</v>
      </c>
      <c r="G32" s="61"/>
      <c r="H32" s="10"/>
      <c r="I32" s="11"/>
      <c r="J32" s="12"/>
      <c r="L32" s="13">
        <f t="shared" si="2"/>
        <v>22</v>
      </c>
      <c r="M32" s="48"/>
      <c r="N32" s="19"/>
      <c r="O32" s="48"/>
      <c r="P32" s="19"/>
      <c r="R32" s="15"/>
      <c r="S32" s="15"/>
      <c r="T32" s="16"/>
      <c r="U32" s="11"/>
      <c r="V32" s="11"/>
      <c r="W32" s="17"/>
    </row>
    <row r="33" spans="1:23" x14ac:dyDescent="0.4">
      <c r="A33" s="1">
        <f t="shared" si="1"/>
        <v>33</v>
      </c>
      <c r="G33" s="61"/>
      <c r="H33" s="10"/>
      <c r="I33" s="11"/>
      <c r="J33" s="12"/>
      <c r="L33" s="13">
        <f t="shared" si="2"/>
        <v>23</v>
      </c>
      <c r="M33" s="48"/>
      <c r="N33" s="19"/>
      <c r="O33" s="48"/>
      <c r="P33" s="19"/>
      <c r="R33" s="15"/>
      <c r="S33" s="15"/>
      <c r="T33" s="16"/>
      <c r="U33" s="11"/>
      <c r="V33" s="11"/>
      <c r="W33" s="17"/>
    </row>
    <row r="34" spans="1:23" x14ac:dyDescent="0.4">
      <c r="A34" s="1">
        <f t="shared" si="1"/>
        <v>34</v>
      </c>
      <c r="G34" s="61"/>
      <c r="H34" s="10"/>
      <c r="I34" s="11"/>
      <c r="J34" s="12"/>
      <c r="L34" s="13">
        <f t="shared" si="2"/>
        <v>24</v>
      </c>
      <c r="M34" s="48"/>
      <c r="N34" s="19"/>
      <c r="O34" s="48"/>
      <c r="P34" s="19"/>
      <c r="R34" s="15"/>
      <c r="S34" s="15"/>
      <c r="T34" s="16"/>
      <c r="U34" s="11"/>
      <c r="V34" s="11"/>
      <c r="W34" s="17"/>
    </row>
    <row r="35" spans="1:23" x14ac:dyDescent="0.4">
      <c r="A35" s="1">
        <f t="shared" si="1"/>
        <v>35</v>
      </c>
      <c r="G35" s="61"/>
      <c r="H35" s="10"/>
      <c r="I35" s="11"/>
      <c r="J35" s="12"/>
      <c r="L35" s="13">
        <f t="shared" si="2"/>
        <v>25</v>
      </c>
      <c r="M35" s="48"/>
      <c r="N35" s="19"/>
      <c r="O35" s="48"/>
      <c r="P35" s="19"/>
      <c r="R35" s="15"/>
      <c r="S35" s="15"/>
      <c r="T35" s="16"/>
      <c r="U35" s="11"/>
      <c r="V35" s="11"/>
      <c r="W35" s="17"/>
    </row>
    <row r="36" spans="1:23" x14ac:dyDescent="0.4">
      <c r="A36" s="1">
        <f t="shared" si="1"/>
        <v>36</v>
      </c>
      <c r="G36" s="61"/>
      <c r="H36" s="10"/>
      <c r="I36" s="11"/>
      <c r="J36" s="12"/>
      <c r="L36" s="13">
        <f t="shared" si="2"/>
        <v>26</v>
      </c>
      <c r="M36" s="48"/>
      <c r="N36" s="19"/>
      <c r="O36" s="48"/>
      <c r="P36" s="19"/>
      <c r="R36" s="15"/>
      <c r="S36" s="15"/>
      <c r="T36" s="16"/>
      <c r="U36" s="11"/>
      <c r="V36" s="11"/>
      <c r="W36" s="17"/>
    </row>
    <row r="37" spans="1:23" x14ac:dyDescent="0.4">
      <c r="A37" s="1">
        <f t="shared" si="1"/>
        <v>37</v>
      </c>
      <c r="G37" s="61"/>
      <c r="H37" s="10"/>
      <c r="I37" s="11"/>
      <c r="J37" s="12"/>
      <c r="L37" s="13">
        <f t="shared" si="2"/>
        <v>27</v>
      </c>
      <c r="M37" s="48"/>
      <c r="N37" s="19"/>
      <c r="O37" s="48"/>
      <c r="P37" s="19"/>
      <c r="R37" s="15"/>
      <c r="S37" s="15"/>
      <c r="T37" s="16"/>
      <c r="U37" s="11"/>
      <c r="V37" s="11"/>
      <c r="W37" s="17"/>
    </row>
    <row r="38" spans="1:23" x14ac:dyDescent="0.4">
      <c r="A38" s="1">
        <f t="shared" si="1"/>
        <v>38</v>
      </c>
      <c r="G38" s="61"/>
      <c r="H38" s="10"/>
      <c r="I38" s="11"/>
      <c r="J38" s="12"/>
      <c r="L38" s="13">
        <f t="shared" si="2"/>
        <v>28</v>
      </c>
      <c r="M38" s="48"/>
      <c r="N38" s="19"/>
      <c r="O38" s="48"/>
      <c r="P38" s="19"/>
      <c r="R38" s="15"/>
      <c r="S38" s="15"/>
      <c r="T38" s="16"/>
      <c r="U38" s="11"/>
      <c r="V38" s="11"/>
      <c r="W38" s="17"/>
    </row>
    <row r="39" spans="1:23" x14ac:dyDescent="0.4">
      <c r="A39" s="1">
        <f t="shared" si="1"/>
        <v>39</v>
      </c>
      <c r="G39" s="61"/>
      <c r="H39" s="10"/>
      <c r="I39" s="11"/>
      <c r="J39" s="12"/>
      <c r="L39" s="13">
        <f t="shared" si="2"/>
        <v>29</v>
      </c>
      <c r="M39" s="48"/>
      <c r="N39" s="19"/>
      <c r="O39" s="48"/>
      <c r="P39" s="19"/>
      <c r="R39" s="15"/>
      <c r="S39" s="15"/>
      <c r="T39" s="16"/>
      <c r="U39" s="11"/>
      <c r="V39" s="11"/>
      <c r="W39" s="17"/>
    </row>
    <row r="40" spans="1:23" x14ac:dyDescent="0.4">
      <c r="A40" s="1">
        <f t="shared" si="1"/>
        <v>40</v>
      </c>
      <c r="G40" s="61"/>
      <c r="H40" s="10"/>
      <c r="I40" s="11"/>
      <c r="J40" s="12"/>
      <c r="L40" s="13">
        <f t="shared" si="2"/>
        <v>30</v>
      </c>
      <c r="M40" s="48"/>
      <c r="N40" s="19"/>
      <c r="O40" s="48"/>
      <c r="P40" s="19"/>
      <c r="R40" s="15"/>
      <c r="S40" s="15"/>
      <c r="T40" s="16"/>
      <c r="U40" s="11"/>
      <c r="V40" s="11"/>
      <c r="W40" s="17"/>
    </row>
    <row r="41" spans="1:23" x14ac:dyDescent="0.4">
      <c r="A41" s="1">
        <f t="shared" si="1"/>
        <v>41</v>
      </c>
      <c r="G41" s="20"/>
      <c r="H41" s="10"/>
      <c r="I41" s="11"/>
      <c r="J41" s="12"/>
      <c r="L41" s="13">
        <f t="shared" si="2"/>
        <v>31</v>
      </c>
      <c r="M41" s="48"/>
      <c r="N41" s="19"/>
      <c r="O41" s="48"/>
      <c r="P41" s="19"/>
      <c r="R41" s="15"/>
      <c r="S41" s="15"/>
      <c r="T41" s="16"/>
      <c r="U41" s="11"/>
      <c r="V41" s="11"/>
      <c r="W41" s="17"/>
    </row>
    <row r="42" spans="1:23" x14ac:dyDescent="0.4">
      <c r="A42" s="1">
        <f t="shared" si="1"/>
        <v>42</v>
      </c>
      <c r="G42" s="20"/>
      <c r="H42" s="10"/>
      <c r="I42" s="11"/>
      <c r="J42" s="12"/>
      <c r="L42" s="13">
        <f t="shared" si="2"/>
        <v>32</v>
      </c>
      <c r="M42" s="48"/>
      <c r="N42" s="19"/>
      <c r="O42" s="48"/>
      <c r="P42" s="19"/>
      <c r="R42" s="15"/>
      <c r="S42" s="15"/>
      <c r="T42" s="16"/>
      <c r="U42" s="11"/>
      <c r="V42" s="11"/>
      <c r="W42" s="17"/>
    </row>
    <row r="43" spans="1:23" x14ac:dyDescent="0.4">
      <c r="A43" s="1">
        <f t="shared" si="1"/>
        <v>43</v>
      </c>
      <c r="G43" s="20"/>
      <c r="H43" s="10"/>
      <c r="I43" s="11"/>
      <c r="J43" s="12"/>
      <c r="L43" s="13">
        <f t="shared" si="2"/>
        <v>33</v>
      </c>
      <c r="M43" s="48"/>
      <c r="N43" s="19"/>
      <c r="O43" s="48"/>
      <c r="P43" s="19"/>
      <c r="R43" s="15"/>
      <c r="S43" s="15"/>
      <c r="T43" s="16"/>
      <c r="U43" s="11"/>
      <c r="V43" s="11"/>
      <c r="W43" s="17"/>
    </row>
    <row r="44" spans="1:23" x14ac:dyDescent="0.4">
      <c r="A44" s="1">
        <f t="shared" si="1"/>
        <v>44</v>
      </c>
      <c r="G44" s="20"/>
      <c r="H44" s="10"/>
      <c r="I44" s="11"/>
      <c r="J44" s="12"/>
      <c r="L44" s="13">
        <f t="shared" si="2"/>
        <v>34</v>
      </c>
      <c r="M44" s="48"/>
      <c r="N44" s="19"/>
      <c r="O44" s="48"/>
      <c r="P44" s="19"/>
      <c r="R44" s="15"/>
      <c r="S44" s="15"/>
      <c r="T44" s="16"/>
      <c r="U44" s="11"/>
      <c r="V44" s="11"/>
      <c r="W44" s="17"/>
    </row>
    <row r="45" spans="1:23" x14ac:dyDescent="0.4">
      <c r="A45" s="1">
        <f t="shared" si="1"/>
        <v>45</v>
      </c>
      <c r="G45" s="20"/>
      <c r="H45" s="10"/>
      <c r="I45" s="11"/>
      <c r="J45" s="12"/>
      <c r="L45" s="13">
        <f t="shared" si="2"/>
        <v>35</v>
      </c>
      <c r="M45" s="48"/>
      <c r="N45" s="19"/>
      <c r="O45" s="48"/>
      <c r="P45" s="19"/>
      <c r="R45" s="15"/>
      <c r="S45" s="15"/>
      <c r="T45" s="16"/>
      <c r="U45" s="11"/>
      <c r="V45" s="11"/>
      <c r="W45" s="17"/>
    </row>
    <row r="46" spans="1:23" x14ac:dyDescent="0.4">
      <c r="A46" s="1">
        <f t="shared" si="1"/>
        <v>46</v>
      </c>
      <c r="G46" s="20"/>
      <c r="H46" s="10"/>
      <c r="I46" s="11"/>
      <c r="J46" s="12"/>
      <c r="L46" s="13">
        <f t="shared" si="2"/>
        <v>36</v>
      </c>
      <c r="M46" s="48"/>
      <c r="N46" s="19"/>
      <c r="O46" s="48"/>
      <c r="P46" s="19"/>
      <c r="R46" s="15"/>
      <c r="S46" s="15"/>
      <c r="T46" s="16"/>
      <c r="U46" s="11"/>
      <c r="V46" s="11"/>
      <c r="W46" s="17"/>
    </row>
    <row r="47" spans="1:23" x14ac:dyDescent="0.4">
      <c r="A47" s="1">
        <f t="shared" si="1"/>
        <v>47</v>
      </c>
      <c r="G47" s="20"/>
      <c r="H47" s="10"/>
      <c r="I47" s="11"/>
      <c r="J47" s="12"/>
      <c r="L47" s="13">
        <f t="shared" si="2"/>
        <v>37</v>
      </c>
      <c r="M47" s="48"/>
      <c r="N47" s="19"/>
      <c r="O47" s="48"/>
      <c r="P47" s="19"/>
      <c r="R47" s="15"/>
      <c r="S47" s="15"/>
      <c r="T47" s="16"/>
      <c r="U47" s="11"/>
      <c r="V47" s="11"/>
      <c r="W47" s="17"/>
    </row>
    <row r="48" spans="1:23" x14ac:dyDescent="0.4">
      <c r="A48" s="1">
        <f t="shared" si="1"/>
        <v>48</v>
      </c>
      <c r="G48" s="20"/>
      <c r="H48" s="10"/>
      <c r="I48" s="11"/>
      <c r="J48" s="12"/>
      <c r="L48" s="13">
        <f t="shared" si="2"/>
        <v>38</v>
      </c>
      <c r="M48" s="48"/>
      <c r="N48" s="19"/>
      <c r="O48" s="48"/>
      <c r="P48" s="19"/>
      <c r="R48" s="15"/>
      <c r="S48" s="15"/>
      <c r="T48" s="16"/>
      <c r="U48" s="11"/>
      <c r="V48" s="11"/>
      <c r="W48" s="17"/>
    </row>
    <row r="49" spans="1:23" x14ac:dyDescent="0.4">
      <c r="A49" s="1">
        <f t="shared" si="1"/>
        <v>49</v>
      </c>
      <c r="G49" s="20"/>
      <c r="H49" s="10"/>
      <c r="I49" s="11"/>
      <c r="J49" s="12"/>
      <c r="L49" s="13">
        <f t="shared" si="2"/>
        <v>39</v>
      </c>
      <c r="M49" s="48"/>
      <c r="N49" s="19"/>
      <c r="O49" s="48"/>
      <c r="P49" s="19"/>
      <c r="R49" s="15"/>
      <c r="S49" s="15"/>
      <c r="T49" s="16"/>
      <c r="U49" s="11"/>
      <c r="V49" s="11"/>
      <c r="W49" s="17"/>
    </row>
    <row r="50" spans="1:23" x14ac:dyDescent="0.4">
      <c r="A50" s="1">
        <f t="shared" si="1"/>
        <v>50</v>
      </c>
      <c r="G50" s="20"/>
      <c r="H50" s="10"/>
      <c r="I50" s="11"/>
      <c r="J50" s="12"/>
      <c r="L50" s="13">
        <f t="shared" si="2"/>
        <v>40</v>
      </c>
      <c r="M50" s="48"/>
      <c r="N50" s="19"/>
      <c r="O50" s="48"/>
      <c r="P50" s="19"/>
      <c r="R50" s="15"/>
      <c r="S50" s="15"/>
      <c r="T50" s="16"/>
      <c r="U50" s="11"/>
      <c r="V50" s="11"/>
      <c r="W50" s="17"/>
    </row>
    <row r="51" spans="1:23" x14ac:dyDescent="0.4">
      <c r="A51" s="1">
        <f t="shared" si="1"/>
        <v>51</v>
      </c>
      <c r="G51" s="20"/>
      <c r="H51" s="10"/>
      <c r="I51" s="11"/>
      <c r="J51" s="12"/>
      <c r="L51" s="13">
        <f t="shared" si="2"/>
        <v>41</v>
      </c>
      <c r="M51" s="48"/>
      <c r="N51" s="19"/>
      <c r="O51" s="48"/>
      <c r="P51" s="19"/>
      <c r="R51" s="15"/>
      <c r="S51" s="15"/>
      <c r="T51" s="16"/>
      <c r="U51" s="11"/>
      <c r="V51" s="11"/>
      <c r="W51" s="17"/>
    </row>
    <row r="52" spans="1:23" x14ac:dyDescent="0.4">
      <c r="A52" s="1">
        <f t="shared" si="1"/>
        <v>52</v>
      </c>
      <c r="G52" s="20"/>
      <c r="H52" s="10"/>
      <c r="I52" s="11"/>
      <c r="J52" s="12"/>
      <c r="L52" s="13">
        <f t="shared" si="2"/>
        <v>42</v>
      </c>
      <c r="M52" s="48"/>
      <c r="N52" s="19"/>
      <c r="O52" s="48"/>
      <c r="P52" s="19"/>
      <c r="R52" s="15"/>
      <c r="S52" s="15"/>
      <c r="T52" s="16"/>
      <c r="U52" s="11"/>
      <c r="V52" s="11"/>
      <c r="W52" s="17"/>
    </row>
    <row r="53" spans="1:23" x14ac:dyDescent="0.4">
      <c r="A53" s="1">
        <f t="shared" si="1"/>
        <v>53</v>
      </c>
      <c r="G53" s="20"/>
      <c r="H53" s="10"/>
      <c r="I53" s="11"/>
      <c r="J53" s="12"/>
      <c r="L53" s="13">
        <f t="shared" si="2"/>
        <v>43</v>
      </c>
      <c r="M53" s="48"/>
      <c r="N53" s="19"/>
      <c r="O53" s="48"/>
      <c r="P53" s="19"/>
      <c r="R53" s="15"/>
      <c r="S53" s="15"/>
      <c r="T53" s="16"/>
      <c r="U53" s="11"/>
      <c r="V53" s="11"/>
      <c r="W53" s="17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R8:S8"/>
    <mergeCell ref="I10:J10"/>
    <mergeCell ref="R10:R11"/>
    <mergeCell ref="S10:S11"/>
    <mergeCell ref="B5:C5"/>
    <mergeCell ref="D5:E5"/>
    <mergeCell ref="O6:P7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W10:W11"/>
    <mergeCell ref="D13:E15"/>
    <mergeCell ref="D17:E17"/>
    <mergeCell ref="D18:E18"/>
    <mergeCell ref="T10:T11"/>
    <mergeCell ref="B26:C26"/>
    <mergeCell ref="D26:E26"/>
    <mergeCell ref="D25:E25"/>
    <mergeCell ref="U10:U11"/>
    <mergeCell ref="V10:V11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76"/>
  <sheetViews>
    <sheetView tabSelected="1" topLeftCell="V7" workbookViewId="0">
      <selection activeCell="B48" sqref="B48:B60"/>
    </sheetView>
  </sheetViews>
  <sheetFormatPr defaultColWidth="12.5" defaultRowHeight="17.399999999999999" x14ac:dyDescent="0.4"/>
  <cols>
    <col min="1" max="1" width="12.5" style="21"/>
    <col min="2" max="3" width="12.5" style="28"/>
    <col min="4" max="19" width="12.5" style="21"/>
    <col min="20" max="20" width="12.5" style="29"/>
    <col min="21" max="21" width="12.5" style="30"/>
    <col min="22" max="22" width="12.5" style="21"/>
    <col min="23" max="23" width="12.5" style="29"/>
    <col min="24" max="24" width="12.5" style="36"/>
    <col min="25" max="25" width="12.5" style="29"/>
    <col min="26" max="26" width="12.5" style="38"/>
    <col min="27" max="27" width="12.5" style="21"/>
    <col min="28" max="28" width="12.5" style="43"/>
    <col min="29" max="30" width="12.5" style="44"/>
    <col min="31" max="31" width="12.5" style="46"/>
    <col min="32" max="32" width="17.59765625" style="50" bestFit="1" customWidth="1"/>
    <col min="33" max="35" width="12.5" style="44"/>
    <col min="36" max="36" width="12.5" style="46"/>
    <col min="37" max="37" width="18.09765625" style="50" bestFit="1" customWidth="1"/>
    <col min="38" max="39" width="12.5" style="21"/>
    <col min="40" max="40" width="15.3984375" style="21" bestFit="1" customWidth="1"/>
    <col min="41" max="16384" width="12.5" style="21"/>
  </cols>
  <sheetData>
    <row r="1" spans="1:57" x14ac:dyDescent="0.4">
      <c r="A1" s="22">
        <v>1</v>
      </c>
      <c r="B1" s="22">
        <f>A1+1</f>
        <v>2</v>
      </c>
      <c r="C1" s="22">
        <f t="shared" ref="C1:BE1" si="0">B1+1</f>
        <v>3</v>
      </c>
      <c r="D1" s="22">
        <f t="shared" si="0"/>
        <v>4</v>
      </c>
      <c r="E1" s="22">
        <f t="shared" si="0"/>
        <v>5</v>
      </c>
      <c r="F1" s="22">
        <f t="shared" si="0"/>
        <v>6</v>
      </c>
      <c r="G1" s="22">
        <f t="shared" si="0"/>
        <v>7</v>
      </c>
      <c r="H1" s="22">
        <f t="shared" si="0"/>
        <v>8</v>
      </c>
      <c r="I1" s="22">
        <f t="shared" si="0"/>
        <v>9</v>
      </c>
      <c r="J1" s="22">
        <f t="shared" si="0"/>
        <v>10</v>
      </c>
      <c r="K1" s="22">
        <f t="shared" si="0"/>
        <v>11</v>
      </c>
      <c r="L1" s="22">
        <f t="shared" si="0"/>
        <v>12</v>
      </c>
      <c r="M1" s="22">
        <f t="shared" si="0"/>
        <v>13</v>
      </c>
      <c r="N1" s="22">
        <f t="shared" si="0"/>
        <v>14</v>
      </c>
      <c r="O1" s="22">
        <f t="shared" si="0"/>
        <v>15</v>
      </c>
      <c r="P1" s="22">
        <f t="shared" si="0"/>
        <v>16</v>
      </c>
      <c r="Q1" s="22">
        <f t="shared" si="0"/>
        <v>17</v>
      </c>
      <c r="R1" s="22">
        <f t="shared" si="0"/>
        <v>18</v>
      </c>
      <c r="S1" s="22">
        <f t="shared" si="0"/>
        <v>19</v>
      </c>
      <c r="T1" s="22">
        <f t="shared" si="0"/>
        <v>20</v>
      </c>
      <c r="U1" s="22">
        <f t="shared" si="0"/>
        <v>21</v>
      </c>
      <c r="V1" s="22">
        <f t="shared" si="0"/>
        <v>22</v>
      </c>
      <c r="W1" s="22">
        <f t="shared" si="0"/>
        <v>23</v>
      </c>
      <c r="X1" s="22">
        <f t="shared" si="0"/>
        <v>24</v>
      </c>
      <c r="Y1" s="22">
        <f t="shared" si="0"/>
        <v>25</v>
      </c>
      <c r="Z1" s="22">
        <f t="shared" si="0"/>
        <v>26</v>
      </c>
      <c r="AA1" s="22">
        <f t="shared" si="0"/>
        <v>27</v>
      </c>
      <c r="AB1" s="22">
        <f t="shared" si="0"/>
        <v>28</v>
      </c>
      <c r="AC1" s="22">
        <f t="shared" si="0"/>
        <v>29</v>
      </c>
      <c r="AD1" s="22">
        <f t="shared" si="0"/>
        <v>30</v>
      </c>
      <c r="AE1" s="22">
        <f t="shared" si="0"/>
        <v>31</v>
      </c>
      <c r="AF1" s="22">
        <f t="shared" si="0"/>
        <v>32</v>
      </c>
      <c r="AG1" s="22">
        <f t="shared" si="0"/>
        <v>33</v>
      </c>
      <c r="AH1" s="22">
        <f t="shared" si="0"/>
        <v>34</v>
      </c>
      <c r="AI1" s="22">
        <f t="shared" si="0"/>
        <v>35</v>
      </c>
      <c r="AJ1" s="22">
        <f t="shared" si="0"/>
        <v>36</v>
      </c>
      <c r="AK1" s="22">
        <f t="shared" si="0"/>
        <v>37</v>
      </c>
      <c r="AL1" s="22">
        <f t="shared" si="0"/>
        <v>38</v>
      </c>
      <c r="AM1" s="22">
        <f t="shared" si="0"/>
        <v>39</v>
      </c>
      <c r="AN1" s="22">
        <f t="shared" si="0"/>
        <v>40</v>
      </c>
      <c r="AO1" s="22">
        <f t="shared" si="0"/>
        <v>41</v>
      </c>
      <c r="AP1" s="22">
        <f t="shared" si="0"/>
        <v>42</v>
      </c>
      <c r="AQ1" s="22">
        <f t="shared" si="0"/>
        <v>43</v>
      </c>
      <c r="AR1" s="22">
        <f t="shared" si="0"/>
        <v>44</v>
      </c>
      <c r="AS1" s="22">
        <f t="shared" si="0"/>
        <v>45</v>
      </c>
      <c r="AT1" s="22">
        <f t="shared" si="0"/>
        <v>46</v>
      </c>
      <c r="AU1" s="22">
        <f t="shared" si="0"/>
        <v>47</v>
      </c>
      <c r="AV1" s="22">
        <f t="shared" si="0"/>
        <v>48</v>
      </c>
      <c r="AW1" s="22">
        <f t="shared" si="0"/>
        <v>49</v>
      </c>
      <c r="AX1" s="22">
        <f t="shared" si="0"/>
        <v>50</v>
      </c>
      <c r="AY1" s="22">
        <f t="shared" si="0"/>
        <v>51</v>
      </c>
      <c r="AZ1" s="22">
        <f t="shared" si="0"/>
        <v>52</v>
      </c>
      <c r="BA1" s="22">
        <f t="shared" si="0"/>
        <v>53</v>
      </c>
      <c r="BB1" s="22">
        <f t="shared" si="0"/>
        <v>54</v>
      </c>
      <c r="BC1" s="22">
        <f t="shared" si="0"/>
        <v>55</v>
      </c>
      <c r="BD1" s="22">
        <f t="shared" si="0"/>
        <v>56</v>
      </c>
      <c r="BE1" s="22">
        <f t="shared" si="0"/>
        <v>57</v>
      </c>
    </row>
    <row r="2" spans="1:57" x14ac:dyDescent="0.4">
      <c r="A2" s="22">
        <f>A1+1</f>
        <v>2</v>
      </c>
      <c r="B2" s="21"/>
      <c r="C2" s="21"/>
      <c r="T2" s="21"/>
      <c r="U2" s="21"/>
      <c r="W2" s="21"/>
      <c r="X2" s="21"/>
      <c r="Y2" s="21"/>
      <c r="Z2" s="21"/>
      <c r="AB2" s="21"/>
      <c r="AC2" s="21"/>
      <c r="AD2" s="21"/>
      <c r="AE2" s="21"/>
      <c r="AF2" s="21"/>
      <c r="AG2" s="21"/>
      <c r="AH2" s="21"/>
      <c r="AI2" s="21"/>
      <c r="AJ2" s="21"/>
      <c r="AK2" s="21"/>
    </row>
    <row r="3" spans="1:57" x14ac:dyDescent="0.4">
      <c r="A3" s="22">
        <f t="shared" ref="A3:A61" si="1">A2+1</f>
        <v>3</v>
      </c>
      <c r="B3" s="150" t="s">
        <v>30</v>
      </c>
      <c r="C3" s="150"/>
      <c r="D3" s="151">
        <v>45538</v>
      </c>
      <c r="E3" s="111"/>
      <c r="F3" s="71" t="s">
        <v>31</v>
      </c>
      <c r="G3" s="71"/>
      <c r="H3" s="111">
        <v>0</v>
      </c>
      <c r="I3" s="111"/>
      <c r="J3" s="71" t="s">
        <v>32</v>
      </c>
      <c r="K3" s="71"/>
      <c r="L3" s="152">
        <v>40000000000</v>
      </c>
      <c r="M3" s="152"/>
      <c r="O3" s="134" t="s">
        <v>50</v>
      </c>
      <c r="P3" s="135"/>
      <c r="Q3" s="135"/>
      <c r="R3" s="136"/>
      <c r="T3" s="126" t="s">
        <v>56</v>
      </c>
      <c r="U3" s="127"/>
      <c r="W3" s="117" t="s">
        <v>77</v>
      </c>
      <c r="X3" s="118"/>
      <c r="Y3" s="117" t="s">
        <v>78</v>
      </c>
      <c r="Z3" s="118"/>
      <c r="AB3" s="82" t="s">
        <v>66</v>
      </c>
      <c r="AC3" s="83"/>
      <c r="AD3" s="83"/>
      <c r="AE3" s="83"/>
      <c r="AF3" s="83"/>
      <c r="AG3" s="83"/>
      <c r="AH3" s="83"/>
      <c r="AI3" s="83"/>
      <c r="AJ3" s="83"/>
      <c r="AK3" s="83"/>
      <c r="AL3" s="83"/>
      <c r="AM3" s="84"/>
    </row>
    <row r="4" spans="1:57" x14ac:dyDescent="0.4">
      <c r="A4" s="22">
        <f t="shared" si="1"/>
        <v>4</v>
      </c>
      <c r="B4" s="21"/>
      <c r="C4" s="21"/>
      <c r="O4" s="137" t="s">
        <v>49</v>
      </c>
      <c r="P4" s="138"/>
      <c r="Q4" s="139">
        <v>43819</v>
      </c>
      <c r="R4" s="140"/>
      <c r="T4" s="31" t="s">
        <v>57</v>
      </c>
      <c r="U4" s="32" t="s">
        <v>58</v>
      </c>
      <c r="W4" s="39" t="s">
        <v>60</v>
      </c>
      <c r="X4" s="40" t="s">
        <v>16</v>
      </c>
      <c r="Y4" s="39" t="s">
        <v>60</v>
      </c>
      <c r="Z4" s="40" t="s">
        <v>16</v>
      </c>
      <c r="AB4" s="85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7"/>
    </row>
    <row r="5" spans="1:57" x14ac:dyDescent="0.4">
      <c r="A5" s="22">
        <f t="shared" si="1"/>
        <v>5</v>
      </c>
      <c r="B5" s="82" t="s">
        <v>48</v>
      </c>
      <c r="C5" s="83"/>
      <c r="D5" s="83"/>
      <c r="E5" s="83"/>
      <c r="F5" s="83"/>
      <c r="G5" s="83"/>
      <c r="H5" s="83"/>
      <c r="I5" s="83"/>
      <c r="J5" s="83"/>
      <c r="K5" s="83"/>
      <c r="L5" s="83"/>
      <c r="M5" s="84"/>
      <c r="O5" s="114" t="s">
        <v>51</v>
      </c>
      <c r="P5" s="145"/>
      <c r="Q5" s="146">
        <v>49298</v>
      </c>
      <c r="R5" s="147"/>
      <c r="T5" s="26">
        <v>45292</v>
      </c>
      <c r="U5" s="27">
        <v>45651</v>
      </c>
      <c r="W5" s="34">
        <v>45292</v>
      </c>
      <c r="X5" s="35">
        <v>3.6999999999999998E-2</v>
      </c>
      <c r="Y5" s="34">
        <v>45292</v>
      </c>
      <c r="Z5" s="37">
        <v>3.5000000000000003E-2</v>
      </c>
      <c r="AB5" s="21"/>
      <c r="AC5" s="21"/>
      <c r="AD5" s="21"/>
      <c r="AE5" s="21"/>
      <c r="AF5" s="21"/>
      <c r="AG5" s="21"/>
      <c r="AH5" s="21"/>
      <c r="AI5" s="21"/>
      <c r="AJ5" s="21"/>
      <c r="AK5" s="21"/>
    </row>
    <row r="6" spans="1:57" x14ac:dyDescent="0.4">
      <c r="A6" s="22">
        <f t="shared" si="1"/>
        <v>6</v>
      </c>
      <c r="B6" s="85"/>
      <c r="C6" s="86"/>
      <c r="D6" s="86"/>
      <c r="E6" s="86"/>
      <c r="F6" s="86"/>
      <c r="G6" s="86"/>
      <c r="H6" s="86"/>
      <c r="I6" s="86"/>
      <c r="J6" s="86"/>
      <c r="K6" s="86"/>
      <c r="L6" s="86"/>
      <c r="M6" s="87"/>
      <c r="O6" s="143" t="s">
        <v>43</v>
      </c>
      <c r="P6" s="144"/>
      <c r="Q6" s="125">
        <v>0</v>
      </c>
      <c r="R6" s="73"/>
      <c r="W6" s="29">
        <v>44769</v>
      </c>
      <c r="X6" s="36">
        <v>3.6999999999999998E-2</v>
      </c>
      <c r="Y6" s="29">
        <v>44769</v>
      </c>
      <c r="Z6" s="38">
        <v>0.03</v>
      </c>
      <c r="AB6" s="71" t="s">
        <v>67</v>
      </c>
      <c r="AC6" s="71"/>
      <c r="AD6" s="111">
        <v>0</v>
      </c>
      <c r="AE6" s="111"/>
      <c r="AF6" s="21"/>
      <c r="AG6" s="21"/>
      <c r="AH6" s="21"/>
      <c r="AI6" s="21"/>
      <c r="AJ6" s="21"/>
      <c r="AK6" s="21"/>
    </row>
    <row r="7" spans="1:57" x14ac:dyDescent="0.4">
      <c r="A7" s="22">
        <f t="shared" si="1"/>
        <v>7</v>
      </c>
      <c r="B7" s="71" t="s">
        <v>33</v>
      </c>
      <c r="C7" s="71"/>
      <c r="D7" s="88">
        <v>0</v>
      </c>
      <c r="E7" s="89"/>
      <c r="F7" s="71" t="s">
        <v>34</v>
      </c>
      <c r="G7" s="71"/>
      <c r="H7" s="88">
        <v>1</v>
      </c>
      <c r="I7" s="89"/>
      <c r="J7" s="71" t="s">
        <v>86</v>
      </c>
      <c r="K7" s="71"/>
      <c r="L7" s="72">
        <v>0</v>
      </c>
      <c r="M7" s="73"/>
      <c r="O7" s="126" t="str">
        <f>IF(Q6&gt;0,"Phase2날짜","")</f>
        <v/>
      </c>
      <c r="P7" s="127"/>
      <c r="Q7" s="141">
        <v>45865</v>
      </c>
      <c r="R7" s="142"/>
      <c r="W7" s="29">
        <v>44815</v>
      </c>
      <c r="X7" s="36">
        <v>3.6999999999999998E-2</v>
      </c>
      <c r="Y7" s="29">
        <v>44815</v>
      </c>
      <c r="Z7" s="36">
        <v>0.03</v>
      </c>
      <c r="AB7" s="71" t="s">
        <v>80</v>
      </c>
      <c r="AC7" s="71"/>
      <c r="AD7" s="111">
        <v>0</v>
      </c>
      <c r="AE7" s="111"/>
      <c r="AF7" s="21"/>
      <c r="AG7" s="21"/>
      <c r="AH7" s="21"/>
      <c r="AI7" s="21"/>
      <c r="AJ7" s="21"/>
      <c r="AK7" s="21"/>
    </row>
    <row r="8" spans="1:57" x14ac:dyDescent="0.4">
      <c r="A8" s="22">
        <f t="shared" si="1"/>
        <v>8</v>
      </c>
      <c r="B8" s="23"/>
      <c r="C8" s="23"/>
      <c r="D8" s="23"/>
      <c r="E8" s="23"/>
      <c r="F8" s="23"/>
      <c r="G8" s="23"/>
      <c r="H8" s="23"/>
      <c r="I8" s="23"/>
      <c r="J8" s="23"/>
      <c r="K8" s="24"/>
      <c r="L8" s="24"/>
      <c r="M8" s="24"/>
      <c r="W8" s="29">
        <v>45463</v>
      </c>
      <c r="X8" s="36">
        <v>3.5999999999999997E-2</v>
      </c>
      <c r="Y8" s="29">
        <v>45463</v>
      </c>
      <c r="Z8" s="36">
        <v>3.5999999999999997E-2</v>
      </c>
      <c r="AB8" s="21"/>
      <c r="AC8" s="21"/>
      <c r="AD8" s="21"/>
      <c r="AE8" s="21"/>
      <c r="AF8" s="21"/>
      <c r="AG8" s="21"/>
      <c r="AH8" s="21"/>
      <c r="AI8" s="21"/>
      <c r="AJ8" s="21"/>
      <c r="AK8" s="21"/>
    </row>
    <row r="9" spans="1:57" x14ac:dyDescent="0.4">
      <c r="A9" s="22">
        <f t="shared" si="1"/>
        <v>9</v>
      </c>
      <c r="B9" s="128" t="str">
        <f>"기초금리정보"</f>
        <v>기초금리정보</v>
      </c>
      <c r="C9" s="129"/>
      <c r="D9" s="93" t="s">
        <v>35</v>
      </c>
      <c r="E9" s="93"/>
      <c r="F9" s="72">
        <v>0</v>
      </c>
      <c r="G9" s="73"/>
      <c r="H9" s="25"/>
      <c r="I9" s="24"/>
      <c r="J9" s="90" t="str">
        <f>IF(OR(F10 = 0, F10 = 2, F10 = 4), "RefType = "&amp;F10&amp;" 이므로 Ref Swap 금리정보 사용안함", "사용")</f>
        <v>사용</v>
      </c>
      <c r="K9" s="91"/>
      <c r="L9" s="91"/>
      <c r="M9" s="92"/>
      <c r="O9" s="100" t="s">
        <v>53</v>
      </c>
      <c r="P9" s="100"/>
      <c r="Q9" s="100"/>
      <c r="R9" s="100"/>
      <c r="AB9" s="21"/>
      <c r="AC9" s="21"/>
      <c r="AD9" s="21"/>
      <c r="AE9" s="21"/>
      <c r="AF9" s="21"/>
      <c r="AG9" s="21"/>
      <c r="AH9" s="21"/>
      <c r="AI9" s="21"/>
      <c r="AJ9" s="21"/>
      <c r="AK9" s="21"/>
    </row>
    <row r="10" spans="1:57" ht="17.399999999999999" customHeight="1" x14ac:dyDescent="0.4">
      <c r="A10" s="22">
        <f t="shared" si="1"/>
        <v>10</v>
      </c>
      <c r="B10" s="130"/>
      <c r="C10" s="131"/>
      <c r="D10" s="93" t="s">
        <v>36</v>
      </c>
      <c r="E10" s="94"/>
      <c r="F10" s="95">
        <v>1</v>
      </c>
      <c r="G10" s="96"/>
      <c r="H10" s="90" t="str">
        <f xml:space="preserve"> "Swap 레퍼런스금리정보"</f>
        <v>Swap 레퍼런스금리정보</v>
      </c>
      <c r="I10" s="91"/>
      <c r="J10" s="78" t="str">
        <f>IF(OR(F10 = 0, F10 = 2, F10 = 4), "", "연 지급횟수")</f>
        <v>연 지급횟수</v>
      </c>
      <c r="K10" s="79"/>
      <c r="L10" s="98">
        <v>4</v>
      </c>
      <c r="M10" s="99"/>
      <c r="O10" s="100" t="s">
        <v>52</v>
      </c>
      <c r="P10" s="100"/>
      <c r="Q10" s="125">
        <v>4</v>
      </c>
      <c r="R10" s="73"/>
      <c r="AB10" s="114" t="s">
        <v>79</v>
      </c>
      <c r="AC10" s="115"/>
      <c r="AD10" s="116">
        <v>617072227.77157176</v>
      </c>
      <c r="AE10" s="116"/>
      <c r="AF10" s="21"/>
      <c r="AG10" s="21"/>
      <c r="AH10" s="21"/>
      <c r="AI10" s="21"/>
      <c r="AJ10" s="21"/>
      <c r="AK10" s="21"/>
    </row>
    <row r="11" spans="1:57" x14ac:dyDescent="0.4">
      <c r="A11" s="22">
        <f t="shared" si="1"/>
        <v>11</v>
      </c>
      <c r="B11" s="130"/>
      <c r="C11" s="131"/>
      <c r="D11" s="100" t="s">
        <v>37</v>
      </c>
      <c r="E11" s="100"/>
      <c r="F11" s="72">
        <v>0</v>
      </c>
      <c r="G11" s="73"/>
      <c r="H11" s="97"/>
      <c r="I11" s="78"/>
      <c r="J11" s="78" t="str">
        <f>IF(F11=0, "만기", "입력X, 아래만기2개입력")</f>
        <v>만기</v>
      </c>
      <c r="K11" s="79"/>
      <c r="L11" s="80">
        <v>0.25</v>
      </c>
      <c r="M11" s="81"/>
      <c r="O11" s="100" t="s">
        <v>54</v>
      </c>
      <c r="P11" s="100"/>
      <c r="Q11" s="125">
        <v>0</v>
      </c>
      <c r="R11" s="73"/>
      <c r="AB11" s="21"/>
      <c r="AC11" s="21"/>
      <c r="AD11" s="21">
        <v>617072227.77157176</v>
      </c>
      <c r="AE11" s="21" t="b">
        <f>AD10=AD11</f>
        <v>1</v>
      </c>
      <c r="AF11" s="21"/>
      <c r="AG11" s="21"/>
      <c r="AH11" s="21"/>
      <c r="AI11" s="21"/>
      <c r="AJ11" s="21"/>
      <c r="AK11" s="21"/>
    </row>
    <row r="12" spans="1:57" x14ac:dyDescent="0.4">
      <c r="A12" s="22">
        <f t="shared" si="1"/>
        <v>12</v>
      </c>
      <c r="B12" s="130"/>
      <c r="C12" s="131"/>
      <c r="D12" s="100" t="s">
        <v>38</v>
      </c>
      <c r="E12" s="100"/>
      <c r="F12" s="109">
        <v>1</v>
      </c>
      <c r="G12" s="110"/>
      <c r="H12" s="148" t="str">
        <f>"ex) Deposit 3M -&gt; 연 지급횟수= 4, 만기= 0.25 ||  ex2) CMT 5Y 연 지급횟수=2, 만기 5"</f>
        <v>ex) Deposit 3M -&gt; 연 지급횟수= 4, 만기= 0.25 ||  ex2) CMT 5Y 연 지급횟수=2, 만기 5</v>
      </c>
      <c r="I12" s="148"/>
      <c r="J12" s="148"/>
      <c r="K12" s="148"/>
      <c r="L12" s="148"/>
      <c r="M12" s="149"/>
      <c r="O12" s="126" t="s">
        <v>55</v>
      </c>
      <c r="P12" s="127"/>
      <c r="Q12" s="125">
        <v>4</v>
      </c>
      <c r="R12" s="73"/>
      <c r="AB12" s="21"/>
      <c r="AC12" s="21"/>
      <c r="AD12" s="21"/>
      <c r="AE12" s="21"/>
      <c r="AF12" s="21"/>
      <c r="AG12" s="21"/>
      <c r="AH12" s="21"/>
      <c r="AI12" s="21"/>
      <c r="AJ12" s="21"/>
      <c r="AK12" s="21"/>
    </row>
    <row r="13" spans="1:57" x14ac:dyDescent="0.4">
      <c r="A13" s="22">
        <f t="shared" si="1"/>
        <v>13</v>
      </c>
      <c r="B13" s="130"/>
      <c r="C13" s="131"/>
      <c r="D13" s="100" t="s">
        <v>39</v>
      </c>
      <c r="E13" s="93"/>
      <c r="F13" s="101">
        <v>-1</v>
      </c>
      <c r="G13" s="102"/>
      <c r="H13" s="77" t="str">
        <f>IF(F11&gt;0,"PowerSpreadFlag 1일때 입력","입력필요X")</f>
        <v>입력필요X</v>
      </c>
      <c r="I13" s="77"/>
      <c r="J13" s="77" t="str">
        <f>IF(F11&gt;0,"만기1","")</f>
        <v/>
      </c>
      <c r="K13" s="77"/>
      <c r="L13" s="103">
        <v>10</v>
      </c>
      <c r="M13" s="104"/>
      <c r="AB13" s="21"/>
      <c r="AC13" s="21"/>
      <c r="AD13" s="21"/>
      <c r="AE13" s="21"/>
      <c r="AF13" s="21"/>
      <c r="AG13" s="21"/>
      <c r="AH13" s="21"/>
      <c r="AI13" s="21"/>
      <c r="AJ13" s="21"/>
      <c r="AK13" s="21"/>
    </row>
    <row r="14" spans="1:57" x14ac:dyDescent="0.4">
      <c r="A14" s="22">
        <f t="shared" si="1"/>
        <v>14</v>
      </c>
      <c r="B14" s="132"/>
      <c r="C14" s="133"/>
      <c r="D14" s="105" t="s">
        <v>40</v>
      </c>
      <c r="E14" s="105"/>
      <c r="F14" s="106">
        <v>1</v>
      </c>
      <c r="G14" s="107"/>
      <c r="H14" s="77"/>
      <c r="I14" s="77"/>
      <c r="J14" s="77" t="str">
        <f>IF(F11&gt;0,"만기2","")</f>
        <v/>
      </c>
      <c r="K14" s="77"/>
      <c r="L14" s="103">
        <v>5</v>
      </c>
      <c r="M14" s="104"/>
      <c r="AB14" s="21"/>
      <c r="AC14" s="21"/>
      <c r="AD14" s="21"/>
      <c r="AE14" s="21"/>
      <c r="AF14" s="21"/>
      <c r="AG14" s="21"/>
      <c r="AH14" s="21"/>
      <c r="AI14" s="21"/>
      <c r="AJ14" s="21"/>
      <c r="AK14" s="21"/>
    </row>
    <row r="15" spans="1:57" x14ac:dyDescent="0.4">
      <c r="A15" s="22">
        <f t="shared" si="1"/>
        <v>15</v>
      </c>
      <c r="B15" s="21"/>
      <c r="C15" s="21"/>
      <c r="AB15" s="112" t="s">
        <v>73</v>
      </c>
      <c r="AC15" s="113"/>
      <c r="AD15" s="113"/>
      <c r="AE15" s="113"/>
      <c r="AF15" s="113"/>
      <c r="AG15" s="112" t="s">
        <v>74</v>
      </c>
      <c r="AH15" s="113"/>
      <c r="AI15" s="113"/>
      <c r="AJ15" s="113"/>
      <c r="AK15" s="113"/>
      <c r="AM15" s="52">
        <v>1.0202</v>
      </c>
    </row>
    <row r="16" spans="1:57" x14ac:dyDescent="0.4">
      <c r="A16" s="22">
        <f t="shared" si="1"/>
        <v>16</v>
      </c>
      <c r="B16" s="108" t="s">
        <v>41</v>
      </c>
      <c r="C16" s="108"/>
      <c r="D16" s="100" t="s">
        <v>81</v>
      </c>
      <c r="E16" s="100"/>
      <c r="F16" s="109">
        <v>-1E-4</v>
      </c>
      <c r="G16" s="110"/>
      <c r="H16" s="74" t="s">
        <v>84</v>
      </c>
      <c r="I16" s="75"/>
      <c r="J16" s="76" t="str">
        <f>IF(F11&gt;0, F13&amp;" &lt; "&amp;F10&amp;" x Rate("&amp;L13&amp;"Y-"&amp;L14&amp;"Y) &lt; "&amp;F12,F13&amp;" &lt; "&amp;F10&amp;" x Rate("&amp;L11&amp;"Y) &lt; "&amp;F12)</f>
        <v>-1 &lt; 1 x Rate(0.25Y) &lt; 1</v>
      </c>
      <c r="K16" s="76"/>
      <c r="L16" s="76"/>
      <c r="M16" s="76"/>
      <c r="AB16" s="39" t="s">
        <v>68</v>
      </c>
      <c r="AC16" s="39" t="s">
        <v>69</v>
      </c>
      <c r="AD16" s="39" t="s">
        <v>70</v>
      </c>
      <c r="AE16" s="39" t="s">
        <v>71</v>
      </c>
      <c r="AF16" s="39" t="s">
        <v>72</v>
      </c>
      <c r="AG16" s="39" t="s">
        <v>68</v>
      </c>
      <c r="AH16" s="39" t="s">
        <v>69</v>
      </c>
      <c r="AI16" s="39" t="s">
        <v>70</v>
      </c>
      <c r="AJ16" s="39" t="s">
        <v>71</v>
      </c>
      <c r="AK16" s="39" t="s">
        <v>72</v>
      </c>
      <c r="AL16" s="21">
        <v>1</v>
      </c>
      <c r="AM16" s="52">
        <f>ROUNDUP($AM$15^AL16,4)</f>
        <v>1.0202</v>
      </c>
      <c r="AN16" s="51">
        <f>(AM16-1)*$L$3</f>
        <v>807999999.99999988</v>
      </c>
      <c r="AO16" s="21">
        <f>($AM$15^AL16)</f>
        <v>1.0202</v>
      </c>
    </row>
    <row r="17" spans="1:41" x14ac:dyDescent="0.4">
      <c r="A17" s="22">
        <f t="shared" si="1"/>
        <v>17</v>
      </c>
      <c r="B17" s="108"/>
      <c r="C17" s="108"/>
      <c r="D17" s="100" t="s">
        <v>44</v>
      </c>
      <c r="E17" s="100"/>
      <c r="F17" s="109">
        <v>0</v>
      </c>
      <c r="G17" s="110"/>
      <c r="H17" s="74" t="s">
        <v>82</v>
      </c>
      <c r="I17" s="75"/>
      <c r="J17" s="76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76"/>
      <c r="L17" s="76"/>
      <c r="M17" s="76"/>
      <c r="AB17" s="41">
        <v>20191220</v>
      </c>
      <c r="AC17" s="42">
        <v>20200320</v>
      </c>
      <c r="AD17" s="42">
        <v>20200320</v>
      </c>
      <c r="AE17" s="45">
        <v>0</v>
      </c>
      <c r="AF17" s="49">
        <v>0</v>
      </c>
      <c r="AG17" s="42">
        <v>20191220</v>
      </c>
      <c r="AH17" s="42">
        <v>20341220</v>
      </c>
      <c r="AI17" s="42">
        <v>20341220</v>
      </c>
      <c r="AJ17" s="45">
        <v>0</v>
      </c>
      <c r="AK17" s="49">
        <v>13996000000</v>
      </c>
      <c r="AL17" s="21">
        <v>2</v>
      </c>
      <c r="AM17" s="52">
        <f t="shared" ref="AM17:AM30" si="2">ROUNDUP($AM$15^AL17,4)</f>
        <v>1.0408999999999999</v>
      </c>
      <c r="AN17" s="51">
        <f t="shared" ref="AN17:AN30" si="3">(AM17-1)*$L$3</f>
        <v>1635999999.9999974</v>
      </c>
      <c r="AO17" s="21">
        <f t="shared" ref="AO17:AO30" si="4">($AM$15^AL17)</f>
        <v>1.0408080399999999</v>
      </c>
    </row>
    <row r="18" spans="1:41" x14ac:dyDescent="0.4">
      <c r="A18" s="22">
        <f t="shared" si="1"/>
        <v>18</v>
      </c>
      <c r="B18" s="108"/>
      <c r="C18" s="108"/>
      <c r="D18" s="100" t="s">
        <v>45</v>
      </c>
      <c r="E18" s="100"/>
      <c r="F18" s="72">
        <v>1</v>
      </c>
      <c r="G18" s="73"/>
      <c r="H18" s="74"/>
      <c r="I18" s="75"/>
      <c r="J18" s="76"/>
      <c r="K18" s="76"/>
      <c r="L18" s="76"/>
      <c r="M18" s="76"/>
      <c r="AB18" s="43">
        <v>20200320</v>
      </c>
      <c r="AC18" s="44">
        <v>20200622</v>
      </c>
      <c r="AD18" s="44">
        <v>20200622</v>
      </c>
      <c r="AE18" s="46">
        <v>0</v>
      </c>
      <c r="AF18" s="50">
        <v>0</v>
      </c>
      <c r="AL18" s="21">
        <v>3</v>
      </c>
      <c r="AM18" s="52">
        <f t="shared" si="2"/>
        <v>1.0619000000000001</v>
      </c>
      <c r="AN18" s="51">
        <f t="shared" si="3"/>
        <v>2476000000.0000029</v>
      </c>
      <c r="AO18" s="21">
        <f t="shared" si="4"/>
        <v>1.0618323624079999</v>
      </c>
    </row>
    <row r="19" spans="1:41" x14ac:dyDescent="0.4">
      <c r="A19" s="22">
        <f t="shared" si="1"/>
        <v>19</v>
      </c>
      <c r="B19" s="21"/>
      <c r="C19" s="21"/>
      <c r="AB19" s="43">
        <v>20200622</v>
      </c>
      <c r="AC19" s="44">
        <v>20200921</v>
      </c>
      <c r="AD19" s="44">
        <v>20200921</v>
      </c>
      <c r="AE19" s="46">
        <v>0</v>
      </c>
      <c r="AF19" s="50">
        <v>0</v>
      </c>
      <c r="AL19" s="21">
        <v>4</v>
      </c>
      <c r="AM19" s="52">
        <f t="shared" si="2"/>
        <v>1.0832999999999999</v>
      </c>
      <c r="AN19" s="51">
        <f t="shared" si="3"/>
        <v>3331999999.9999971</v>
      </c>
      <c r="AO19" s="21">
        <f t="shared" si="4"/>
        <v>1.0832813761286415</v>
      </c>
    </row>
    <row r="20" spans="1:41" x14ac:dyDescent="0.4">
      <c r="A20" s="22">
        <f t="shared" si="1"/>
        <v>20</v>
      </c>
      <c r="B20" s="21"/>
      <c r="C20" s="21"/>
      <c r="AB20" s="43">
        <v>20200921</v>
      </c>
      <c r="AC20" s="44">
        <v>20201221</v>
      </c>
      <c r="AD20" s="44">
        <v>20201221</v>
      </c>
      <c r="AE20" s="46">
        <v>0</v>
      </c>
      <c r="AF20" s="50">
        <v>0</v>
      </c>
      <c r="AL20" s="21">
        <v>5</v>
      </c>
      <c r="AM20" s="52">
        <f t="shared" si="2"/>
        <v>1.1052</v>
      </c>
      <c r="AN20" s="51">
        <f t="shared" si="3"/>
        <v>4207999999.9999986</v>
      </c>
      <c r="AO20" s="21">
        <f t="shared" si="4"/>
        <v>1.1051636599264401</v>
      </c>
    </row>
    <row r="21" spans="1:41" x14ac:dyDescent="0.4">
      <c r="A21" s="22">
        <f t="shared" si="1"/>
        <v>21</v>
      </c>
      <c r="B21" s="108" t="s">
        <v>46</v>
      </c>
      <c r="C21" s="108"/>
      <c r="D21" s="100" t="s">
        <v>42</v>
      </c>
      <c r="E21" s="100"/>
      <c r="F21" s="109">
        <v>-1E-4</v>
      </c>
      <c r="G21" s="110"/>
      <c r="H21" s="74" t="s">
        <v>83</v>
      </c>
      <c r="I21" s="75"/>
      <c r="J21" s="76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76"/>
      <c r="L21" s="76"/>
      <c r="M21" s="76"/>
      <c r="AB21" s="43">
        <v>20201221</v>
      </c>
      <c r="AC21" s="44">
        <v>20210322</v>
      </c>
      <c r="AD21" s="44">
        <v>20210322</v>
      </c>
      <c r="AE21" s="46">
        <v>0</v>
      </c>
      <c r="AF21" s="50">
        <v>0</v>
      </c>
      <c r="AL21" s="21">
        <v>6</v>
      </c>
      <c r="AM21" s="52">
        <f t="shared" si="2"/>
        <v>1.1274999999999999</v>
      </c>
      <c r="AN21" s="51">
        <f t="shared" si="3"/>
        <v>5099999999.9999981</v>
      </c>
      <c r="AO21" s="21">
        <f t="shared" si="4"/>
        <v>1.1274879658569541</v>
      </c>
    </row>
    <row r="22" spans="1:41" x14ac:dyDescent="0.4">
      <c r="A22" s="22">
        <f t="shared" si="1"/>
        <v>22</v>
      </c>
      <c r="B22" s="108"/>
      <c r="C22" s="108"/>
      <c r="D22" s="100" t="s">
        <v>44</v>
      </c>
      <c r="E22" s="100"/>
      <c r="F22" s="109">
        <v>0</v>
      </c>
      <c r="G22" s="110"/>
      <c r="H22" s="74"/>
      <c r="I22" s="75"/>
      <c r="J22" s="76"/>
      <c r="K22" s="76"/>
      <c r="L22" s="76"/>
      <c r="M22" s="76"/>
      <c r="AB22" s="43">
        <v>20210322</v>
      </c>
      <c r="AC22" s="44">
        <v>20210621</v>
      </c>
      <c r="AD22" s="44">
        <v>20210621</v>
      </c>
      <c r="AE22" s="46">
        <v>0</v>
      </c>
      <c r="AF22" s="50">
        <v>0</v>
      </c>
      <c r="AL22" s="21">
        <v>7</v>
      </c>
      <c r="AM22" s="52">
        <f t="shared" si="2"/>
        <v>1.1502999999999999</v>
      </c>
      <c r="AN22" s="51">
        <f t="shared" si="3"/>
        <v>6011999999.9999952</v>
      </c>
      <c r="AO22" s="21">
        <f t="shared" si="4"/>
        <v>1.1502632227672647</v>
      </c>
    </row>
    <row r="23" spans="1:41" x14ac:dyDescent="0.4">
      <c r="A23" s="22">
        <f t="shared" si="1"/>
        <v>23</v>
      </c>
      <c r="B23" s="108"/>
      <c r="C23" s="108"/>
      <c r="D23" s="100" t="s">
        <v>45</v>
      </c>
      <c r="E23" s="100"/>
      <c r="F23" s="72">
        <v>1</v>
      </c>
      <c r="G23" s="73"/>
      <c r="AB23" s="43">
        <v>20210621</v>
      </c>
      <c r="AC23" s="44">
        <v>20210923</v>
      </c>
      <c r="AD23" s="44">
        <v>20210923</v>
      </c>
      <c r="AE23" s="46">
        <v>0</v>
      </c>
      <c r="AF23" s="50">
        <v>0</v>
      </c>
      <c r="AL23" s="21">
        <v>8</v>
      </c>
      <c r="AM23" s="52">
        <f t="shared" si="2"/>
        <v>1.1735</v>
      </c>
      <c r="AN23" s="51">
        <f t="shared" si="3"/>
        <v>6939999999.999999</v>
      </c>
      <c r="AO23" s="21">
        <f t="shared" si="4"/>
        <v>1.1734985398671633</v>
      </c>
    </row>
    <row r="24" spans="1:41" x14ac:dyDescent="0.4">
      <c r="A24" s="22">
        <f t="shared" si="1"/>
        <v>24</v>
      </c>
      <c r="B24" s="21"/>
      <c r="C24" s="21"/>
      <c r="AB24" s="43">
        <v>20210923</v>
      </c>
      <c r="AC24" s="44">
        <v>20211220</v>
      </c>
      <c r="AD24" s="44">
        <v>20211220</v>
      </c>
      <c r="AE24" s="46">
        <v>0</v>
      </c>
      <c r="AF24" s="50">
        <v>0</v>
      </c>
      <c r="AL24" s="21">
        <v>9</v>
      </c>
      <c r="AM24" s="52">
        <f t="shared" si="2"/>
        <v>1.1973</v>
      </c>
      <c r="AN24" s="51">
        <f t="shared" si="3"/>
        <v>7892000000.000001</v>
      </c>
      <c r="AO24" s="21">
        <f t="shared" si="4"/>
        <v>1.1972032103724801</v>
      </c>
    </row>
    <row r="25" spans="1:41" x14ac:dyDescent="0.4">
      <c r="A25" s="22">
        <f t="shared" si="1"/>
        <v>25</v>
      </c>
      <c r="B25" s="82" t="s">
        <v>47</v>
      </c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4"/>
      <c r="AB25" s="43">
        <v>20211220</v>
      </c>
      <c r="AC25" s="44">
        <v>20220321</v>
      </c>
      <c r="AD25" s="44">
        <v>20220321</v>
      </c>
      <c r="AE25" s="46">
        <v>0</v>
      </c>
      <c r="AF25" s="50">
        <v>0</v>
      </c>
      <c r="AL25" s="21">
        <v>10</v>
      </c>
      <c r="AM25" s="52">
        <f t="shared" si="2"/>
        <v>1.2214</v>
      </c>
      <c r="AN25" s="51">
        <f t="shared" si="3"/>
        <v>8856000000.0000019</v>
      </c>
      <c r="AO25" s="21">
        <f t="shared" si="4"/>
        <v>1.2213867152220041</v>
      </c>
    </row>
    <row r="26" spans="1:41" x14ac:dyDescent="0.4">
      <c r="A26" s="22">
        <f t="shared" si="1"/>
        <v>26</v>
      </c>
      <c r="B26" s="85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7"/>
      <c r="AB26" s="43">
        <v>20220321</v>
      </c>
      <c r="AC26" s="44">
        <v>20220620</v>
      </c>
      <c r="AD26" s="44">
        <v>20220620</v>
      </c>
      <c r="AE26" s="46">
        <v>0</v>
      </c>
      <c r="AF26" s="50">
        <v>0</v>
      </c>
      <c r="AL26" s="21">
        <v>11</v>
      </c>
      <c r="AM26" s="52">
        <f t="shared" si="2"/>
        <v>1.2461</v>
      </c>
      <c r="AN26" s="51">
        <f t="shared" si="3"/>
        <v>9844000000</v>
      </c>
      <c r="AO26" s="21">
        <f t="shared" si="4"/>
        <v>1.2460587268694885</v>
      </c>
    </row>
    <row r="27" spans="1:41" x14ac:dyDescent="0.4">
      <c r="A27" s="22">
        <f t="shared" si="1"/>
        <v>27</v>
      </c>
      <c r="B27" s="71" t="s">
        <v>33</v>
      </c>
      <c r="C27" s="71"/>
      <c r="D27" s="88">
        <v>1</v>
      </c>
      <c r="E27" s="89"/>
      <c r="F27" s="71" t="s">
        <v>34</v>
      </c>
      <c r="G27" s="71"/>
      <c r="H27" s="88">
        <v>1</v>
      </c>
      <c r="I27" s="89"/>
      <c r="J27" s="71" t="s">
        <v>86</v>
      </c>
      <c r="K27" s="71"/>
      <c r="L27" s="72">
        <v>4</v>
      </c>
      <c r="M27" s="73"/>
      <c r="AB27" s="43">
        <v>20220620</v>
      </c>
      <c r="AC27" s="44">
        <v>20220920</v>
      </c>
      <c r="AD27" s="44">
        <v>20220920</v>
      </c>
      <c r="AE27" s="46">
        <v>0</v>
      </c>
      <c r="AF27" s="50">
        <v>0</v>
      </c>
      <c r="AL27" s="21">
        <v>12</v>
      </c>
      <c r="AM27" s="52">
        <f t="shared" si="2"/>
        <v>1.2713000000000001</v>
      </c>
      <c r="AN27" s="51">
        <f t="shared" si="3"/>
        <v>10852000000.000004</v>
      </c>
      <c r="AO27" s="21">
        <f t="shared" si="4"/>
        <v>1.2712291131522522</v>
      </c>
    </row>
    <row r="28" spans="1:41" x14ac:dyDescent="0.4">
      <c r="A28" s="22">
        <f t="shared" si="1"/>
        <v>28</v>
      </c>
      <c r="B28" s="23"/>
      <c r="C28" s="23"/>
      <c r="D28" s="23"/>
      <c r="E28" s="23"/>
      <c r="F28" s="23"/>
      <c r="G28" s="23"/>
      <c r="H28" s="23"/>
      <c r="I28" s="23"/>
      <c r="J28" s="23"/>
      <c r="K28" s="24"/>
      <c r="L28" s="24"/>
      <c r="M28" s="24"/>
      <c r="AB28" s="43">
        <v>20220920</v>
      </c>
      <c r="AC28" s="44">
        <v>20221220</v>
      </c>
      <c r="AD28" s="44">
        <v>20221220</v>
      </c>
      <c r="AE28" s="46">
        <v>0</v>
      </c>
      <c r="AF28" s="50">
        <v>0</v>
      </c>
      <c r="AL28" s="21">
        <v>13</v>
      </c>
      <c r="AM28" s="52">
        <f t="shared" si="2"/>
        <v>1.2969999999999999</v>
      </c>
      <c r="AN28" s="51">
        <f t="shared" si="3"/>
        <v>11879999999.999998</v>
      </c>
      <c r="AO28" s="21">
        <f t="shared" si="4"/>
        <v>1.2969079412379276</v>
      </c>
    </row>
    <row r="29" spans="1:41" x14ac:dyDescent="0.4">
      <c r="A29" s="22">
        <f t="shared" si="1"/>
        <v>29</v>
      </c>
      <c r="B29" s="128" t="str">
        <f>"기초금리정보"</f>
        <v>기초금리정보</v>
      </c>
      <c r="C29" s="129"/>
      <c r="D29" s="93" t="s">
        <v>35</v>
      </c>
      <c r="E29" s="93"/>
      <c r="F29" s="72">
        <v>3</v>
      </c>
      <c r="G29" s="73"/>
      <c r="H29" s="25"/>
      <c r="I29" s="24"/>
      <c r="J29" s="90" t="str">
        <f>IF(OR(F30 = 0, F30 = 2, F30 = 4), "RefType = "&amp;F30&amp;" 이므로 Ref Swap 금리정보 사용안함", "사용")</f>
        <v>RefType = 0 이므로 Ref Swap 금리정보 사용안함</v>
      </c>
      <c r="K29" s="91"/>
      <c r="L29" s="91"/>
      <c r="M29" s="92"/>
      <c r="O29" s="100" t="s">
        <v>59</v>
      </c>
      <c r="P29" s="100"/>
      <c r="Q29" s="100"/>
      <c r="R29" s="100"/>
      <c r="AB29" s="43">
        <v>20221220</v>
      </c>
      <c r="AC29" s="44">
        <v>20230320</v>
      </c>
      <c r="AD29" s="44">
        <v>20230320</v>
      </c>
      <c r="AE29" s="46">
        <v>0</v>
      </c>
      <c r="AF29" s="50">
        <v>0</v>
      </c>
      <c r="AL29" s="21">
        <v>14</v>
      </c>
      <c r="AM29" s="52">
        <f t="shared" si="2"/>
        <v>1.3231999999999999</v>
      </c>
      <c r="AN29" s="51">
        <f t="shared" si="3"/>
        <v>12927999999.999998</v>
      </c>
      <c r="AO29" s="21">
        <f t="shared" si="4"/>
        <v>1.3231054816509338</v>
      </c>
    </row>
    <row r="30" spans="1:41" x14ac:dyDescent="0.4">
      <c r="A30" s="22">
        <f t="shared" si="1"/>
        <v>30</v>
      </c>
      <c r="B30" s="130"/>
      <c r="C30" s="131"/>
      <c r="D30" s="93" t="s">
        <v>36</v>
      </c>
      <c r="E30" s="94"/>
      <c r="F30" s="95">
        <v>0</v>
      </c>
      <c r="G30" s="96"/>
      <c r="H30" s="90" t="str">
        <f xml:space="preserve"> "Swap 레퍼런스금리정보"</f>
        <v>Swap 레퍼런스금리정보</v>
      </c>
      <c r="I30" s="91"/>
      <c r="J30" s="78" t="str">
        <f>IF(OR(F30 = 0, F30 = 2, F30 = 4), "", "연 지급횟수")</f>
        <v/>
      </c>
      <c r="K30" s="79"/>
      <c r="L30" s="98">
        <v>4</v>
      </c>
      <c r="M30" s="99"/>
      <c r="O30" s="100" t="s">
        <v>52</v>
      </c>
      <c r="P30" s="100"/>
      <c r="Q30" s="125">
        <v>0</v>
      </c>
      <c r="R30" s="73"/>
      <c r="AB30" s="43">
        <v>20230320</v>
      </c>
      <c r="AC30" s="44">
        <v>20230620</v>
      </c>
      <c r="AD30" s="44">
        <v>20230620</v>
      </c>
      <c r="AE30" s="46">
        <v>0</v>
      </c>
      <c r="AF30" s="50">
        <v>0</v>
      </c>
      <c r="AL30" s="21">
        <v>15</v>
      </c>
      <c r="AM30" s="52">
        <f t="shared" si="2"/>
        <v>1.3499000000000001</v>
      </c>
      <c r="AN30" s="51">
        <f t="shared" si="3"/>
        <v>13996000000.000004</v>
      </c>
      <c r="AO30" s="21">
        <f t="shared" si="4"/>
        <v>1.3498322123802828</v>
      </c>
    </row>
    <row r="31" spans="1:41" x14ac:dyDescent="0.4">
      <c r="A31" s="22">
        <f t="shared" si="1"/>
        <v>31</v>
      </c>
      <c r="B31" s="130"/>
      <c r="C31" s="131"/>
      <c r="D31" s="100" t="s">
        <v>37</v>
      </c>
      <c r="E31" s="100"/>
      <c r="F31" s="72">
        <v>0</v>
      </c>
      <c r="G31" s="73"/>
      <c r="H31" s="97"/>
      <c r="I31" s="78"/>
      <c r="J31" s="78" t="str">
        <f>IF(F31=0, "만기", "입력X, 아래만기2개입력")</f>
        <v>만기</v>
      </c>
      <c r="K31" s="79"/>
      <c r="L31" s="80">
        <v>10</v>
      </c>
      <c r="M31" s="81"/>
      <c r="O31" s="100" t="s">
        <v>54</v>
      </c>
      <c r="P31" s="100"/>
      <c r="Q31" s="125">
        <v>0</v>
      </c>
      <c r="R31" s="73"/>
      <c r="AB31" s="43">
        <v>20230620</v>
      </c>
      <c r="AC31" s="44">
        <v>20230920</v>
      </c>
      <c r="AD31" s="44">
        <v>20230920</v>
      </c>
      <c r="AE31" s="46">
        <v>0</v>
      </c>
      <c r="AF31" s="50">
        <v>0</v>
      </c>
    </row>
    <row r="32" spans="1:41" x14ac:dyDescent="0.4">
      <c r="A32" s="22">
        <f t="shared" si="1"/>
        <v>32</v>
      </c>
      <c r="B32" s="130"/>
      <c r="C32" s="131"/>
      <c r="D32" s="100" t="s">
        <v>38</v>
      </c>
      <c r="E32" s="100"/>
      <c r="F32" s="109">
        <v>0.8</v>
      </c>
      <c r="G32" s="110"/>
      <c r="H32" s="148" t="str">
        <f>"ex) Deposit 3M -&gt; 연 지급횟수= 4, 만기= 0.25 ||  ex2) CMT 5Y 연 지급횟수=2, 만기 5"</f>
        <v>ex) Deposit 3M -&gt; 연 지급횟수= 4, 만기= 0.25 ||  ex2) CMT 5Y 연 지급횟수=2, 만기 5</v>
      </c>
      <c r="I32" s="148"/>
      <c r="J32" s="148"/>
      <c r="K32" s="148"/>
      <c r="L32" s="148"/>
      <c r="M32" s="149"/>
      <c r="O32" s="126" t="s">
        <v>55</v>
      </c>
      <c r="P32" s="127"/>
      <c r="Q32" s="125">
        <v>0</v>
      </c>
      <c r="R32" s="73"/>
      <c r="AB32" s="43">
        <v>20230920</v>
      </c>
      <c r="AC32" s="44">
        <v>20231220</v>
      </c>
      <c r="AD32" s="44">
        <v>20231220</v>
      </c>
      <c r="AE32" s="46">
        <v>0</v>
      </c>
      <c r="AF32" s="50">
        <v>0</v>
      </c>
    </row>
    <row r="33" spans="1:32" x14ac:dyDescent="0.4">
      <c r="A33" s="22">
        <f t="shared" si="1"/>
        <v>33</v>
      </c>
      <c r="B33" s="130"/>
      <c r="C33" s="131"/>
      <c r="D33" s="100" t="s">
        <v>39</v>
      </c>
      <c r="E33" s="93"/>
      <c r="F33" s="101">
        <v>-0.8</v>
      </c>
      <c r="G33" s="102"/>
      <c r="H33" s="77" t="str">
        <f>IF(F31&gt;0,"PowerSpreadFlag 1일때 입력","입력필요X")</f>
        <v>입력필요X</v>
      </c>
      <c r="I33" s="77"/>
      <c r="J33" s="77" t="str">
        <f>IF(F31&gt;0,"만기1","")</f>
        <v/>
      </c>
      <c r="K33" s="77"/>
      <c r="L33" s="103">
        <v>10</v>
      </c>
      <c r="M33" s="104"/>
      <c r="AB33" s="43">
        <v>20231220</v>
      </c>
      <c r="AC33" s="44">
        <v>20240320</v>
      </c>
      <c r="AD33" s="44">
        <v>20240320</v>
      </c>
      <c r="AE33" s="46">
        <v>0</v>
      </c>
      <c r="AF33" s="50">
        <v>0</v>
      </c>
    </row>
    <row r="34" spans="1:32" x14ac:dyDescent="0.4">
      <c r="A34" s="22">
        <f t="shared" si="1"/>
        <v>34</v>
      </c>
      <c r="B34" s="132"/>
      <c r="C34" s="133"/>
      <c r="D34" s="105" t="s">
        <v>40</v>
      </c>
      <c r="E34" s="105"/>
      <c r="F34" s="106">
        <v>0</v>
      </c>
      <c r="G34" s="107"/>
      <c r="H34" s="77"/>
      <c r="I34" s="77"/>
      <c r="J34" s="77" t="str">
        <f>IF(F31&gt;0,"만기2","")</f>
        <v/>
      </c>
      <c r="K34" s="77"/>
      <c r="L34" s="103">
        <v>5</v>
      </c>
      <c r="M34" s="104"/>
      <c r="AB34" s="43">
        <v>20240320</v>
      </c>
      <c r="AC34" s="44">
        <v>20240620</v>
      </c>
      <c r="AD34" s="44">
        <v>20240620</v>
      </c>
      <c r="AE34" s="46">
        <v>0</v>
      </c>
      <c r="AF34" s="50">
        <v>0</v>
      </c>
    </row>
    <row r="35" spans="1:32" x14ac:dyDescent="0.4">
      <c r="A35" s="22">
        <f t="shared" si="1"/>
        <v>35</v>
      </c>
      <c r="B35" s="21"/>
      <c r="C35" s="21"/>
      <c r="AB35" s="43">
        <v>20240620</v>
      </c>
      <c r="AC35" s="44">
        <v>20240920</v>
      </c>
      <c r="AD35" s="44">
        <v>20240920</v>
      </c>
      <c r="AE35" s="46">
        <v>3.5999999999999997E-2</v>
      </c>
      <c r="AF35" s="50">
        <v>361950684.93150681</v>
      </c>
    </row>
    <row r="36" spans="1:32" x14ac:dyDescent="0.4">
      <c r="A36" s="22">
        <f t="shared" si="1"/>
        <v>36</v>
      </c>
      <c r="B36" s="108" t="s">
        <v>41</v>
      </c>
      <c r="C36" s="108"/>
      <c r="D36" s="100" t="s">
        <v>42</v>
      </c>
      <c r="E36" s="100"/>
      <c r="F36" s="109">
        <v>2.0199999999999999E-2</v>
      </c>
      <c r="G36" s="110"/>
      <c r="H36" s="74" t="s">
        <v>85</v>
      </c>
      <c r="I36" s="75"/>
      <c r="J36" s="76" t="str">
        <f>IF(F31&gt;0, F33&amp;" &lt; "&amp;F30&amp;" x Rate("&amp;L33&amp;"Y-"&amp;L34&amp;"Y) &lt; "&amp;F32,F33&amp;" &lt; "&amp;F30&amp;" x Rate("&amp;L31&amp;"Y) &lt; "&amp;F32)</f>
        <v>-0.8 &lt; 0 x Rate(10Y) &lt; 0.8</v>
      </c>
      <c r="K36" s="76"/>
      <c r="L36" s="76"/>
      <c r="M36" s="76"/>
      <c r="AB36" s="43">
        <v>20240920</v>
      </c>
      <c r="AC36" s="44">
        <v>20241220</v>
      </c>
      <c r="AD36" s="44">
        <v>20241220</v>
      </c>
      <c r="AE36" s="46">
        <v>3.4872512734248087E-2</v>
      </c>
      <c r="AF36" s="50">
        <v>346772455.76072061</v>
      </c>
    </row>
    <row r="37" spans="1:32" x14ac:dyDescent="0.4">
      <c r="A37" s="22">
        <f t="shared" si="1"/>
        <v>37</v>
      </c>
      <c r="B37" s="108"/>
      <c r="C37" s="108"/>
      <c r="D37" s="100" t="s">
        <v>44</v>
      </c>
      <c r="E37" s="100"/>
      <c r="F37" s="109">
        <v>0</v>
      </c>
      <c r="G37" s="110"/>
      <c r="H37" s="74" t="s">
        <v>82</v>
      </c>
      <c r="I37" s="75"/>
      <c r="J37" s="76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76"/>
      <c r="L37" s="76"/>
      <c r="M37" s="76"/>
      <c r="AB37" s="43">
        <v>20241220</v>
      </c>
      <c r="AC37" s="44">
        <v>20250320</v>
      </c>
      <c r="AD37" s="44">
        <v>20250320</v>
      </c>
      <c r="AE37" s="46">
        <v>3.2722231048873729E-2</v>
      </c>
      <c r="AF37" s="50">
        <v>321753511.71491897</v>
      </c>
    </row>
    <row r="38" spans="1:32" x14ac:dyDescent="0.4">
      <c r="A38" s="22">
        <f t="shared" si="1"/>
        <v>38</v>
      </c>
      <c r="B38" s="108"/>
      <c r="C38" s="108"/>
      <c r="D38" s="100" t="s">
        <v>45</v>
      </c>
      <c r="E38" s="100"/>
      <c r="F38" s="72">
        <v>0</v>
      </c>
      <c r="G38" s="73"/>
      <c r="H38" s="74"/>
      <c r="I38" s="75"/>
      <c r="J38" s="76"/>
      <c r="K38" s="76"/>
      <c r="L38" s="76"/>
      <c r="M38" s="76"/>
      <c r="AB38" s="43">
        <v>20250320</v>
      </c>
      <c r="AC38" s="44">
        <v>20250620</v>
      </c>
      <c r="AD38" s="44">
        <v>20250620</v>
      </c>
      <c r="AE38" s="46">
        <v>3.0673428196006047E-2</v>
      </c>
      <c r="AF38" s="50">
        <v>308247166.46932125</v>
      </c>
    </row>
    <row r="39" spans="1:32" x14ac:dyDescent="0.4">
      <c r="A39" s="22">
        <f t="shared" si="1"/>
        <v>39</v>
      </c>
      <c r="B39" s="21"/>
      <c r="C39" s="21"/>
      <c r="AB39" s="43">
        <v>20250620</v>
      </c>
      <c r="AC39" s="44">
        <v>20250922</v>
      </c>
      <c r="AD39" s="44">
        <v>20250922</v>
      </c>
      <c r="AE39" s="46">
        <v>2.8937749694158556E-2</v>
      </c>
      <c r="AF39" s="50">
        <v>297068325.61653745</v>
      </c>
    </row>
    <row r="40" spans="1:32" x14ac:dyDescent="0.4">
      <c r="A40" s="22">
        <f t="shared" si="1"/>
        <v>40</v>
      </c>
      <c r="B40" s="21"/>
      <c r="C40" s="21"/>
      <c r="AB40" s="43">
        <v>20250922</v>
      </c>
      <c r="AC40" s="44">
        <v>20251222</v>
      </c>
      <c r="AD40" s="44">
        <v>20251222</v>
      </c>
      <c r="AE40" s="46">
        <v>2.8874069026077809E-2</v>
      </c>
      <c r="AF40" s="50">
        <v>286952359.60252941</v>
      </c>
    </row>
    <row r="41" spans="1:32" x14ac:dyDescent="0.4">
      <c r="A41" s="22">
        <f t="shared" si="1"/>
        <v>41</v>
      </c>
      <c r="B41" s="108" t="s">
        <v>46</v>
      </c>
      <c r="C41" s="108"/>
      <c r="D41" s="100" t="s">
        <v>42</v>
      </c>
      <c r="E41" s="100"/>
      <c r="F41" s="109">
        <v>2.0199999999999999E-2</v>
      </c>
      <c r="G41" s="110"/>
      <c r="H41" s="74" t="s">
        <v>83</v>
      </c>
      <c r="I41" s="75"/>
      <c r="J41" s="76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76"/>
      <c r="L41" s="76"/>
      <c r="M41" s="76"/>
      <c r="AB41" s="43">
        <v>20251222</v>
      </c>
      <c r="AC41" s="44">
        <v>20260320</v>
      </c>
      <c r="AD41" s="44">
        <v>20260320</v>
      </c>
      <c r="AE41" s="46">
        <v>2.7993083505002628E-2</v>
      </c>
      <c r="AF41" s="50">
        <v>268996312.15783358</v>
      </c>
    </row>
    <row r="42" spans="1:32" x14ac:dyDescent="0.4">
      <c r="A42" s="22">
        <f t="shared" si="1"/>
        <v>42</v>
      </c>
      <c r="B42" s="108"/>
      <c r="C42" s="108"/>
      <c r="D42" s="100" t="s">
        <v>44</v>
      </c>
      <c r="E42" s="100"/>
      <c r="F42" s="109">
        <v>0</v>
      </c>
      <c r="G42" s="110"/>
      <c r="H42" s="74"/>
      <c r="I42" s="75"/>
      <c r="J42" s="76"/>
      <c r="K42" s="76"/>
      <c r="L42" s="76"/>
      <c r="M42" s="76"/>
      <c r="AB42" s="43">
        <v>20260320</v>
      </c>
      <c r="AC42" s="44">
        <v>20260622</v>
      </c>
      <c r="AD42" s="44">
        <v>20260622</v>
      </c>
      <c r="AE42" s="46">
        <v>2.8193589036820243E-2</v>
      </c>
      <c r="AF42" s="50">
        <v>289402451.44779211</v>
      </c>
    </row>
    <row r="43" spans="1:32" x14ac:dyDescent="0.4">
      <c r="A43" s="22">
        <f t="shared" si="1"/>
        <v>43</v>
      </c>
      <c r="B43" s="108"/>
      <c r="C43" s="108"/>
      <c r="D43" s="100" t="s">
        <v>45</v>
      </c>
      <c r="E43" s="100"/>
      <c r="F43" s="72">
        <v>0</v>
      </c>
      <c r="G43" s="73"/>
      <c r="AB43" s="43">
        <v>20260622</v>
      </c>
      <c r="AC43" s="44">
        <v>20260921</v>
      </c>
      <c r="AD43" s="44">
        <v>20260921</v>
      </c>
      <c r="AE43" s="46">
        <v>2.7740433133838973E-2</v>
      </c>
      <c r="AF43" s="50">
        <v>275647059.19773662</v>
      </c>
    </row>
    <row r="44" spans="1:32" x14ac:dyDescent="0.4">
      <c r="A44" s="22">
        <f t="shared" si="1"/>
        <v>44</v>
      </c>
      <c r="B44" s="21"/>
      <c r="C44" s="21"/>
      <c r="AB44" s="43">
        <v>20260921</v>
      </c>
      <c r="AC44" s="44">
        <v>20261221</v>
      </c>
      <c r="AD44" s="44">
        <v>20261221</v>
      </c>
      <c r="AE44" s="46">
        <v>2.8426688852163574E-2</v>
      </c>
      <c r="AF44" s="50">
        <v>282490814.85445321</v>
      </c>
    </row>
    <row r="45" spans="1:32" ht="17.399999999999999" customHeight="1" x14ac:dyDescent="0.4">
      <c r="A45" s="22">
        <f t="shared" si="1"/>
        <v>45</v>
      </c>
      <c r="B45" s="119" t="s">
        <v>61</v>
      </c>
      <c r="C45" s="120"/>
      <c r="D45" s="120"/>
      <c r="E45" s="120"/>
      <c r="F45" s="120"/>
      <c r="G45" s="121"/>
      <c r="AB45" s="43">
        <v>20261221</v>
      </c>
      <c r="AC45" s="44">
        <v>20270322</v>
      </c>
      <c r="AD45" s="44">
        <v>20270322</v>
      </c>
      <c r="AE45" s="46">
        <v>2.8062122577862308E-2</v>
      </c>
      <c r="AF45" s="50">
        <v>278855140.22854471</v>
      </c>
    </row>
    <row r="46" spans="1:32" ht="17.399999999999999" customHeight="1" x14ac:dyDescent="0.4">
      <c r="A46" s="22">
        <f t="shared" si="1"/>
        <v>46</v>
      </c>
      <c r="B46" s="122"/>
      <c r="C46" s="123"/>
      <c r="D46" s="123"/>
      <c r="E46" s="123"/>
      <c r="F46" s="123"/>
      <c r="G46" s="124"/>
      <c r="AB46" s="43">
        <v>20270322</v>
      </c>
      <c r="AC46" s="44">
        <v>20270621</v>
      </c>
      <c r="AD46" s="44">
        <v>20270621</v>
      </c>
      <c r="AE46" s="46">
        <v>2.7696636924874524E-2</v>
      </c>
      <c r="AF46" s="50">
        <v>275210297.00422817</v>
      </c>
    </row>
    <row r="47" spans="1:32" x14ac:dyDescent="0.4">
      <c r="A47" s="22">
        <f t="shared" si="1"/>
        <v>47</v>
      </c>
      <c r="B47" s="39" t="s">
        <v>62</v>
      </c>
      <c r="C47" s="40" t="s">
        <v>63</v>
      </c>
      <c r="D47" s="40" t="s">
        <v>64</v>
      </c>
      <c r="E47" s="40" t="s">
        <v>65</v>
      </c>
      <c r="AB47" s="43">
        <v>20270621</v>
      </c>
      <c r="AC47" s="44">
        <v>20270920</v>
      </c>
      <c r="AD47" s="44">
        <v>20270920</v>
      </c>
      <c r="AE47" s="46">
        <v>2.7544967547695129E-2</v>
      </c>
      <c r="AF47" s="50">
        <v>273697758.55783635</v>
      </c>
    </row>
    <row r="48" spans="1:32" x14ac:dyDescent="0.4">
      <c r="A48" s="22">
        <f t="shared" si="1"/>
        <v>48</v>
      </c>
      <c r="B48" s="28">
        <v>44524</v>
      </c>
      <c r="C48" s="28">
        <v>44550</v>
      </c>
      <c r="D48" s="33">
        <v>0</v>
      </c>
      <c r="E48" s="33">
        <f>COUNT(B48:B1048576)</f>
        <v>13</v>
      </c>
      <c r="G48" s="21">
        <v>44524</v>
      </c>
      <c r="AB48" s="43">
        <v>20270920</v>
      </c>
      <c r="AC48" s="44">
        <v>20271220</v>
      </c>
      <c r="AD48" s="44">
        <v>20271220</v>
      </c>
      <c r="AE48" s="46">
        <v>2.8396124312462814E-2</v>
      </c>
      <c r="AF48" s="50">
        <v>282186006.8420949</v>
      </c>
    </row>
    <row r="49" spans="1:32" x14ac:dyDescent="0.4">
      <c r="A49" s="22">
        <f t="shared" si="1"/>
        <v>49</v>
      </c>
      <c r="B49" s="28">
        <v>44889</v>
      </c>
      <c r="C49" s="28">
        <v>44915</v>
      </c>
      <c r="G49" s="21">
        <v>44889</v>
      </c>
      <c r="AB49" s="43">
        <v>20271220</v>
      </c>
      <c r="AC49" s="44">
        <v>20280320</v>
      </c>
      <c r="AD49" s="44">
        <v>20280320</v>
      </c>
      <c r="AE49" s="46">
        <v>2.824505954018049E-2</v>
      </c>
      <c r="AF49" s="50">
        <v>280679497.8801561</v>
      </c>
    </row>
    <row r="50" spans="1:32" x14ac:dyDescent="0.4">
      <c r="A50" s="22">
        <f t="shared" si="1"/>
        <v>50</v>
      </c>
      <c r="B50" s="28">
        <v>45254</v>
      </c>
      <c r="C50" s="28">
        <v>45280</v>
      </c>
      <c r="G50" s="21">
        <v>45254</v>
      </c>
      <c r="AB50" s="43">
        <v>20280320</v>
      </c>
      <c r="AC50" s="44">
        <v>20280620</v>
      </c>
      <c r="AD50" s="44">
        <v>20280620</v>
      </c>
      <c r="AE50" s="46">
        <v>2.8094251354206314E-2</v>
      </c>
      <c r="AF50" s="50">
        <v>282243410.91364175</v>
      </c>
    </row>
    <row r="51" spans="1:32" x14ac:dyDescent="0.4">
      <c r="A51" s="22">
        <f t="shared" si="1"/>
        <v>51</v>
      </c>
      <c r="B51" s="28">
        <v>45622</v>
      </c>
      <c r="C51" s="28">
        <v>45646</v>
      </c>
      <c r="G51" s="21">
        <v>45622</v>
      </c>
      <c r="AB51" s="43">
        <v>20280620</v>
      </c>
      <c r="AC51" s="44">
        <v>20280920</v>
      </c>
      <c r="AD51" s="44">
        <v>20280920</v>
      </c>
      <c r="AE51" s="46">
        <v>2.8105227457989341E-2</v>
      </c>
      <c r="AF51" s="50">
        <v>282354074.09698844</v>
      </c>
    </row>
    <row r="52" spans="1:32" x14ac:dyDescent="0.4">
      <c r="A52" s="22">
        <f t="shared" si="1"/>
        <v>52</v>
      </c>
      <c r="B52" s="28">
        <v>45987</v>
      </c>
      <c r="C52" s="28">
        <v>46013</v>
      </c>
      <c r="G52" s="21">
        <v>45987</v>
      </c>
      <c r="AB52" s="43">
        <v>20280920</v>
      </c>
      <c r="AC52" s="44">
        <v>20281220</v>
      </c>
      <c r="AD52" s="44">
        <v>20281220</v>
      </c>
      <c r="AE52" s="46">
        <v>2.8797990969092836E-2</v>
      </c>
      <c r="AF52" s="50">
        <v>286193663.36300802</v>
      </c>
    </row>
    <row r="53" spans="1:32" x14ac:dyDescent="0.4">
      <c r="A53" s="22">
        <f t="shared" si="1"/>
        <v>53</v>
      </c>
      <c r="B53" s="28">
        <v>46351</v>
      </c>
      <c r="C53" s="28">
        <v>46377</v>
      </c>
      <c r="G53" s="21">
        <v>46351</v>
      </c>
      <c r="AB53" s="43">
        <v>20281220</v>
      </c>
      <c r="AC53" s="44">
        <v>20290320</v>
      </c>
      <c r="AD53" s="44">
        <v>20290320</v>
      </c>
      <c r="AE53" s="46">
        <v>2.8761898239595751E-2</v>
      </c>
      <c r="AF53" s="50">
        <v>282692694.96587592</v>
      </c>
    </row>
    <row r="54" spans="1:32" x14ac:dyDescent="0.4">
      <c r="A54" s="22">
        <f t="shared" si="1"/>
        <v>54</v>
      </c>
      <c r="B54" s="28">
        <v>46715</v>
      </c>
      <c r="C54" s="28">
        <v>46741</v>
      </c>
      <c r="G54" s="21">
        <v>46715</v>
      </c>
      <c r="AB54" s="43">
        <v>20290320</v>
      </c>
      <c r="AC54" s="44">
        <v>20290620</v>
      </c>
      <c r="AD54" s="44">
        <v>20290620</v>
      </c>
      <c r="AE54" s="46">
        <v>2.8729006619326564E-2</v>
      </c>
      <c r="AF54" s="50">
        <v>288643135.2304706</v>
      </c>
    </row>
    <row r="55" spans="1:32" x14ac:dyDescent="0.4">
      <c r="A55" s="22">
        <f t="shared" si="1"/>
        <v>55</v>
      </c>
      <c r="B55" s="28">
        <v>47081</v>
      </c>
      <c r="C55" s="28">
        <v>47107</v>
      </c>
      <c r="G55" s="21">
        <v>47081</v>
      </c>
      <c r="AB55" s="43">
        <v>20290620</v>
      </c>
      <c r="AC55" s="44">
        <v>20290920</v>
      </c>
      <c r="AD55" s="44">
        <v>20290920</v>
      </c>
      <c r="AE55" s="46">
        <v>2.8713807924688039E-2</v>
      </c>
      <c r="AF55" s="50">
        <v>288489899.07630682</v>
      </c>
    </row>
    <row r="56" spans="1:32" x14ac:dyDescent="0.4">
      <c r="A56" s="22">
        <f t="shared" si="1"/>
        <v>56</v>
      </c>
      <c r="B56" s="28">
        <v>47448</v>
      </c>
      <c r="C56" s="28">
        <v>47472</v>
      </c>
      <c r="G56" s="21">
        <v>47448</v>
      </c>
      <c r="AB56" s="43">
        <v>20290920</v>
      </c>
      <c r="AC56" s="44">
        <v>20291220</v>
      </c>
      <c r="AD56" s="44">
        <v>20291220</v>
      </c>
      <c r="AE56" s="46">
        <v>2.878074883097758E-2</v>
      </c>
      <c r="AF56" s="50">
        <v>286021714.36920106</v>
      </c>
    </row>
    <row r="57" spans="1:32" x14ac:dyDescent="0.4">
      <c r="A57" s="22">
        <f t="shared" si="1"/>
        <v>57</v>
      </c>
      <c r="B57" s="28">
        <v>47813</v>
      </c>
      <c r="C57" s="28">
        <v>47837</v>
      </c>
      <c r="G57" s="21">
        <v>47813</v>
      </c>
      <c r="AB57" s="43">
        <v>20291220</v>
      </c>
      <c r="AC57" s="44">
        <v>20300320</v>
      </c>
      <c r="AD57" s="44">
        <v>20300320</v>
      </c>
      <c r="AE57" s="46">
        <v>2.8756143411202733E-2</v>
      </c>
      <c r="AF57" s="50">
        <v>282635935.0146023</v>
      </c>
    </row>
    <row r="58" spans="1:32" x14ac:dyDescent="0.4">
      <c r="A58" s="22">
        <f t="shared" si="1"/>
        <v>58</v>
      </c>
      <c r="B58" s="28">
        <v>48178</v>
      </c>
      <c r="C58" s="28">
        <v>48204</v>
      </c>
      <c r="G58" s="21">
        <v>48178</v>
      </c>
      <c r="AB58" s="43">
        <v>20300320</v>
      </c>
      <c r="AC58" s="44">
        <v>20300620</v>
      </c>
      <c r="AD58" s="44">
        <v>20300620</v>
      </c>
      <c r="AE58" s="46">
        <v>2.8734802196335053E-2</v>
      </c>
      <c r="AF58" s="50">
        <v>288701567.34935069</v>
      </c>
    </row>
    <row r="59" spans="1:32" x14ac:dyDescent="0.4">
      <c r="A59" s="22">
        <f t="shared" si="1"/>
        <v>59</v>
      </c>
      <c r="B59" s="28">
        <v>48542</v>
      </c>
      <c r="C59" s="28">
        <v>48568</v>
      </c>
      <c r="G59" s="21">
        <v>48542</v>
      </c>
      <c r="AB59" s="43">
        <v>20300620</v>
      </c>
      <c r="AC59" s="44">
        <v>20300920</v>
      </c>
      <c r="AD59" s="44">
        <v>20300920</v>
      </c>
      <c r="AE59" s="46">
        <v>2.8852936037590576E-2</v>
      </c>
      <c r="AF59" s="50">
        <v>289892615.39269406</v>
      </c>
    </row>
    <row r="60" spans="1:32" x14ac:dyDescent="0.4">
      <c r="A60" s="22">
        <f t="shared" si="1"/>
        <v>60</v>
      </c>
      <c r="B60" s="28">
        <v>48907</v>
      </c>
      <c r="C60" s="28">
        <v>48933</v>
      </c>
      <c r="G60" s="21">
        <v>48907</v>
      </c>
      <c r="AB60" s="43">
        <v>20300920</v>
      </c>
      <c r="AC60" s="44">
        <v>20301220</v>
      </c>
      <c r="AD60" s="44">
        <v>20301220</v>
      </c>
      <c r="AE60" s="46">
        <v>2.9542136632771287E-2</v>
      </c>
      <c r="AF60" s="50">
        <v>293614732.44736296</v>
      </c>
    </row>
    <row r="61" spans="1:32" x14ac:dyDescent="0.4">
      <c r="A61" s="22">
        <f t="shared" si="1"/>
        <v>61</v>
      </c>
      <c r="AB61" s="43">
        <v>20301220</v>
      </c>
      <c r="AC61" s="44">
        <v>20310320</v>
      </c>
      <c r="AD61" s="44">
        <v>20310320</v>
      </c>
      <c r="AE61" s="46">
        <v>2.958439969571033E-2</v>
      </c>
      <c r="AF61" s="50">
        <v>290805038.09467721</v>
      </c>
    </row>
    <row r="62" spans="1:32" x14ac:dyDescent="0.4">
      <c r="AB62" s="43">
        <v>20310320</v>
      </c>
      <c r="AC62" s="44">
        <v>20310620</v>
      </c>
      <c r="AD62" s="44">
        <v>20310620</v>
      </c>
      <c r="AE62" s="46">
        <v>2.9630500484648454E-2</v>
      </c>
      <c r="AF62" s="50">
        <v>297732169.26988035</v>
      </c>
    </row>
    <row r="63" spans="1:32" x14ac:dyDescent="0.4">
      <c r="AB63" s="43">
        <v>20310620</v>
      </c>
      <c r="AC63" s="44">
        <v>20310922</v>
      </c>
      <c r="AD63" s="44">
        <v>20310922</v>
      </c>
      <c r="AE63" s="46">
        <v>2.9711715584318676E-2</v>
      </c>
      <c r="AF63" s="50">
        <v>305041234.51243347</v>
      </c>
    </row>
    <row r="64" spans="1:32" x14ac:dyDescent="0.4">
      <c r="AB64" s="43">
        <v>20310922</v>
      </c>
      <c r="AC64" s="44">
        <v>20311222</v>
      </c>
      <c r="AD64" s="44">
        <v>20311222</v>
      </c>
      <c r="AE64" s="46">
        <v>2.9904170905770067E-2</v>
      </c>
      <c r="AF64" s="50">
        <v>297225156.43014538</v>
      </c>
    </row>
    <row r="65" spans="28:32" x14ac:dyDescent="0.4">
      <c r="AB65" s="43">
        <v>20311222</v>
      </c>
      <c r="AC65" s="44">
        <v>20320322</v>
      </c>
      <c r="AD65" s="44">
        <v>20320322</v>
      </c>
      <c r="AE65" s="46">
        <v>2.9960473406873002E-2</v>
      </c>
      <c r="AF65" s="50">
        <v>297786638.9068979</v>
      </c>
    </row>
    <row r="66" spans="28:32" x14ac:dyDescent="0.4">
      <c r="AB66" s="43">
        <v>20320322</v>
      </c>
      <c r="AC66" s="44">
        <v>20320621</v>
      </c>
      <c r="AD66" s="44">
        <v>20320621</v>
      </c>
      <c r="AE66" s="46">
        <v>3.0018319124187828E-2</v>
      </c>
      <c r="AF66" s="50">
        <v>298363511.26587313</v>
      </c>
    </row>
    <row r="67" spans="28:32" x14ac:dyDescent="0.4">
      <c r="AB67" s="43">
        <v>20320621</v>
      </c>
      <c r="AC67" s="44">
        <v>20320922</v>
      </c>
      <c r="AD67" s="44">
        <v>20320922</v>
      </c>
      <c r="AE67" s="46">
        <v>2.996023805810101E-2</v>
      </c>
      <c r="AF67" s="50">
        <v>304329001.57845414</v>
      </c>
    </row>
    <row r="68" spans="28:32" x14ac:dyDescent="0.4">
      <c r="AB68" s="43">
        <v>20320922</v>
      </c>
      <c r="AC68" s="44">
        <v>20321220</v>
      </c>
      <c r="AD68" s="44">
        <v>20321220</v>
      </c>
      <c r="AE68" s="46">
        <v>2.9432377237103024E-2</v>
      </c>
      <c r="AF68" s="50">
        <v>286091131.40845686</v>
      </c>
    </row>
    <row r="69" spans="28:32" x14ac:dyDescent="0.4">
      <c r="AB69" s="43">
        <v>20321220</v>
      </c>
      <c r="AC69" s="44">
        <v>20330321</v>
      </c>
      <c r="AD69" s="44">
        <v>20330321</v>
      </c>
      <c r="AE69" s="46">
        <v>2.9446662234951886E-2</v>
      </c>
      <c r="AF69" s="50">
        <v>292662604.20609552</v>
      </c>
    </row>
    <row r="70" spans="28:32" x14ac:dyDescent="0.4">
      <c r="AB70" s="43">
        <v>20330321</v>
      </c>
      <c r="AC70" s="44">
        <v>20330620</v>
      </c>
      <c r="AD70" s="44">
        <v>20330620</v>
      </c>
      <c r="AE70" s="46">
        <v>2.9462536468436704E-2</v>
      </c>
      <c r="AF70" s="50">
        <v>292820911.63043725</v>
      </c>
    </row>
    <row r="71" spans="28:32" x14ac:dyDescent="0.4">
      <c r="AB71" s="43">
        <v>20330620</v>
      </c>
      <c r="AC71" s="44">
        <v>20330920</v>
      </c>
      <c r="AD71" s="44">
        <v>20330920</v>
      </c>
      <c r="AE71" s="46">
        <v>2.9647113247812992E-2</v>
      </c>
      <c r="AF71" s="50">
        <v>297899662.33411455</v>
      </c>
    </row>
    <row r="72" spans="28:32" x14ac:dyDescent="0.4">
      <c r="AB72" s="43">
        <v>20330920</v>
      </c>
      <c r="AC72" s="44">
        <v>20331220</v>
      </c>
      <c r="AD72" s="44">
        <v>20331220</v>
      </c>
      <c r="AE72" s="46">
        <v>3.056660346356798E-2</v>
      </c>
      <c r="AF72" s="50">
        <v>303831333.17092454</v>
      </c>
    </row>
    <row r="73" spans="28:32" x14ac:dyDescent="0.4">
      <c r="AB73" s="43">
        <v>20331220</v>
      </c>
      <c r="AC73" s="44">
        <v>20340320</v>
      </c>
      <c r="AD73" s="44">
        <v>20340320</v>
      </c>
      <c r="AE73" s="46">
        <v>3.0636968099632789E-2</v>
      </c>
      <c r="AF73" s="50">
        <v>301186534.6813097</v>
      </c>
    </row>
    <row r="74" spans="28:32" x14ac:dyDescent="0.4">
      <c r="AB74" s="43">
        <v>20340320</v>
      </c>
      <c r="AC74" s="44">
        <v>20340620</v>
      </c>
      <c r="AD74" s="44">
        <v>20340620</v>
      </c>
      <c r="AE74" s="46">
        <v>3.0711589661207923E-2</v>
      </c>
      <c r="AF74" s="50">
        <v>308631917.68012375</v>
      </c>
    </row>
    <row r="75" spans="28:32" x14ac:dyDescent="0.4">
      <c r="AB75" s="43">
        <v>20340620</v>
      </c>
      <c r="AC75" s="44">
        <v>20340920</v>
      </c>
      <c r="AD75" s="44">
        <v>20340920</v>
      </c>
      <c r="AE75" s="46">
        <v>3.0708627696137414E-2</v>
      </c>
      <c r="AF75" s="50">
        <v>308602054.58023477</v>
      </c>
    </row>
    <row r="76" spans="28:32" x14ac:dyDescent="0.4">
      <c r="AB76" s="43">
        <v>20340920</v>
      </c>
      <c r="AC76" s="44">
        <v>20341220</v>
      </c>
      <c r="AD76" s="44">
        <v>20341220</v>
      </c>
      <c r="AE76" s="46">
        <v>3.0407027000976122E-2</v>
      </c>
      <c r="AF76" s="50">
        <v>302239940.50288516</v>
      </c>
    </row>
  </sheetData>
  <mergeCells count="146">
    <mergeCell ref="B3:C3"/>
    <mergeCell ref="D3:E3"/>
    <mergeCell ref="F3:G3"/>
    <mergeCell ref="H3:I3"/>
    <mergeCell ref="J3:K3"/>
    <mergeCell ref="L3:M3"/>
    <mergeCell ref="H7:I7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H16:I16"/>
    <mergeCell ref="F11:G11"/>
    <mergeCell ref="F12:G12"/>
    <mergeCell ref="F13:G13"/>
    <mergeCell ref="F14:G14"/>
    <mergeCell ref="J13:K13"/>
    <mergeCell ref="L13:M13"/>
    <mergeCell ref="F31:G31"/>
    <mergeCell ref="J31:K31"/>
    <mergeCell ref="L31:M31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O11:P11"/>
    <mergeCell ref="Q11:R11"/>
    <mergeCell ref="O12:P12"/>
    <mergeCell ref="Q12:R12"/>
    <mergeCell ref="T3:U3"/>
    <mergeCell ref="O10:P10"/>
    <mergeCell ref="O9:R9"/>
    <mergeCell ref="O3:R3"/>
    <mergeCell ref="O4:P4"/>
    <mergeCell ref="Q4:R4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36:G36"/>
    <mergeCell ref="D37:E37"/>
    <mergeCell ref="F37:G37"/>
    <mergeCell ref="D38:E38"/>
    <mergeCell ref="F38:G38"/>
    <mergeCell ref="L34:M34"/>
    <mergeCell ref="B29:C34"/>
    <mergeCell ref="AB6:AC6"/>
    <mergeCell ref="AD6:AE6"/>
    <mergeCell ref="AB3:AM4"/>
    <mergeCell ref="AB15:AF15"/>
    <mergeCell ref="AG15:AK15"/>
    <mergeCell ref="AB10:AC10"/>
    <mergeCell ref="AD10:AE10"/>
    <mergeCell ref="W3:X3"/>
    <mergeCell ref="Y3:Z3"/>
    <mergeCell ref="AB7:AC7"/>
    <mergeCell ref="AD7:AE7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7:I38"/>
    <mergeCell ref="J37:M38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J7:K7"/>
    <mergeCell ref="J27:K27"/>
    <mergeCell ref="L7:M7"/>
    <mergeCell ref="L27:M27"/>
    <mergeCell ref="H36:I36"/>
    <mergeCell ref="H17:I18"/>
    <mergeCell ref="J17:M18"/>
    <mergeCell ref="H21:I22"/>
    <mergeCell ref="J21:M22"/>
    <mergeCell ref="J34:K34"/>
    <mergeCell ref="J11:K11"/>
    <mergeCell ref="L11:M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2024-08-09T07:40:17Z</dcterms:created>
  <dcterms:modified xsi:type="dcterms:W3CDTF">2024-09-18T06:13:53Z</dcterms:modified>
</cp:coreProperties>
</file>