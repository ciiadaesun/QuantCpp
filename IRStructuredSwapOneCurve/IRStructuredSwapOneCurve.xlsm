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임대선\Desktop\새 폴더\github5\IRStructuredSwapOneCurve\"/>
    </mc:Choice>
  </mc:AlternateContent>
  <xr:revisionPtr revIDLastSave="0" documentId="13_ncr:1_{C920B7BC-1924-4591-90D0-A829C05524F3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Calibration" sheetId="1" r:id="rId1"/>
    <sheet name="Pricing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7" i="2" l="1"/>
  <c r="AE11" i="2" l="1"/>
  <c r="J41" i="2" l="1"/>
  <c r="J37" i="2"/>
  <c r="J21" i="2"/>
  <c r="J17" i="2"/>
  <c r="J36" i="2"/>
  <c r="J16" i="2"/>
  <c r="O7" i="2" l="1"/>
  <c r="J34" i="2"/>
  <c r="J33" i="2"/>
  <c r="H33" i="2"/>
  <c r="H32" i="2"/>
  <c r="J31" i="2"/>
  <c r="J30" i="2"/>
  <c r="H30" i="2"/>
  <c r="J29" i="2"/>
  <c r="B29" i="2"/>
  <c r="J14" i="2"/>
  <c r="J13" i="2"/>
  <c r="J11" i="2"/>
  <c r="H13" i="2"/>
  <c r="H12" i="2"/>
  <c r="H10" i="2"/>
  <c r="J10" i="2"/>
  <c r="J9" i="2"/>
  <c r="B9" i="2"/>
  <c r="B1" i="2"/>
  <c r="C1" i="2" s="1"/>
  <c r="D1" i="2" s="1"/>
  <c r="E1" i="2" s="1"/>
  <c r="F1" i="2" s="1"/>
  <c r="G1" i="2" s="1"/>
  <c r="H1" i="2" s="1"/>
  <c r="I1" i="2" s="1"/>
  <c r="J1" i="2" s="1"/>
  <c r="K1" i="2" s="1"/>
  <c r="L1" i="2" s="1"/>
  <c r="M1" i="2" s="1"/>
  <c r="N1" i="2" s="1"/>
  <c r="O1" i="2" s="1"/>
  <c r="P1" i="2" s="1"/>
  <c r="Q1" i="2" s="1"/>
  <c r="R1" i="2" s="1"/>
  <c r="S1" i="2" s="1"/>
  <c r="T1" i="2" s="1"/>
  <c r="U1" i="2" s="1"/>
  <c r="V1" i="2" s="1"/>
  <c r="W1" i="2" s="1"/>
  <c r="X1" i="2" s="1"/>
  <c r="Y1" i="2" s="1"/>
  <c r="Z1" i="2" s="1"/>
  <c r="AA1" i="2" s="1"/>
  <c r="AB1" i="2" s="1"/>
  <c r="AC1" i="2" s="1"/>
  <c r="AD1" i="2" s="1"/>
  <c r="AE1" i="2" s="1"/>
  <c r="AF1" i="2" s="1"/>
  <c r="AG1" i="2" s="1"/>
  <c r="AH1" i="2" s="1"/>
  <c r="AI1" i="2" s="1"/>
  <c r="AJ1" i="2" s="1"/>
  <c r="AK1" i="2" s="1"/>
  <c r="AL1" i="2" s="1"/>
  <c r="AM1" i="2" s="1"/>
  <c r="AN1" i="2" s="1"/>
  <c r="AO1" i="2" s="1"/>
  <c r="AP1" i="2" s="1"/>
  <c r="AQ1" i="2" s="1"/>
  <c r="AR1" i="2" s="1"/>
  <c r="AS1" i="2" s="1"/>
  <c r="AT1" i="2" s="1"/>
  <c r="AU1" i="2" s="1"/>
  <c r="AV1" i="2" s="1"/>
  <c r="AW1" i="2" s="1"/>
  <c r="AX1" i="2" s="1"/>
  <c r="AY1" i="2" s="1"/>
  <c r="AZ1" i="2" s="1"/>
  <c r="BA1" i="2" s="1"/>
  <c r="BB1" i="2" s="1"/>
  <c r="BC1" i="2" s="1"/>
  <c r="BD1" i="2" s="1"/>
  <c r="BE1" i="2" s="1"/>
  <c r="A2" i="2"/>
  <c r="A3" i="2" s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L12" i="1" l="1"/>
  <c r="L13" i="1" s="1"/>
  <c r="L14" i="1" s="1"/>
  <c r="L15" i="1" s="1"/>
  <c r="L16" i="1" s="1"/>
  <c r="L17" i="1" s="1"/>
  <c r="L18" i="1" s="1"/>
  <c r="L19" i="1" s="1"/>
  <c r="L20" i="1" s="1"/>
  <c r="L21" i="1" s="1"/>
  <c r="L22" i="1" s="1"/>
  <c r="L23" i="1" s="1"/>
  <c r="L24" i="1" s="1"/>
  <c r="L25" i="1" s="1"/>
  <c r="L26" i="1" s="1"/>
  <c r="L27" i="1" s="1"/>
  <c r="L28" i="1" s="1"/>
  <c r="L29" i="1" s="1"/>
  <c r="L30" i="1" s="1"/>
  <c r="L31" i="1" s="1"/>
  <c r="L32" i="1" s="1"/>
  <c r="L33" i="1" s="1"/>
  <c r="L34" i="1" s="1"/>
  <c r="L35" i="1" s="1"/>
  <c r="L36" i="1" s="1"/>
  <c r="L37" i="1" s="1"/>
  <c r="L38" i="1" s="1"/>
  <c r="L39" i="1" s="1"/>
  <c r="L40" i="1" s="1"/>
  <c r="L41" i="1" s="1"/>
  <c r="L42" i="1" s="1"/>
  <c r="L43" i="1" s="1"/>
  <c r="L44" i="1" s="1"/>
  <c r="L45" i="1" s="1"/>
  <c r="L46" i="1" s="1"/>
  <c r="L47" i="1" s="1"/>
  <c r="L48" i="1" s="1"/>
  <c r="L49" i="1" s="1"/>
  <c r="L50" i="1" s="1"/>
  <c r="L51" i="1" s="1"/>
  <c r="L52" i="1" s="1"/>
  <c r="L53" i="1" s="1"/>
  <c r="A4" i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1" i="1"/>
  <c r="B1" i="1" s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E48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DAESUN IM</author>
  </authors>
  <commentList>
    <comment ref="B7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R8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M10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 xml:space="preserve">Term : 0.002739, 0.25, 0.5, …
</t>
        </r>
        <r>
          <rPr>
            <b/>
            <sz val="9"/>
            <color indexed="81"/>
            <rFont val="돋움"/>
            <family val="3"/>
            <charset val="129"/>
          </rPr>
          <t>날짜</t>
        </r>
        <r>
          <rPr>
            <b/>
            <sz val="9"/>
            <color indexed="81"/>
            <rFont val="Tahoma"/>
            <family val="2"/>
          </rPr>
          <t xml:space="preserve"> : 2022-09-12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엑셀날짜
</t>
        </r>
        <r>
          <rPr>
            <b/>
            <sz val="9"/>
            <color indexed="81"/>
            <rFont val="Tahoma"/>
            <family val="2"/>
          </rPr>
          <t>YYYYMMDD : 20220912</t>
        </r>
      </text>
    </comment>
    <comment ref="O10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 xml:space="preserve">Term : 0.002739, 0.25, 0.5, …
</t>
        </r>
        <r>
          <rPr>
            <b/>
            <sz val="9"/>
            <color indexed="81"/>
            <rFont val="돋움"/>
            <family val="3"/>
            <charset val="129"/>
          </rPr>
          <t>날짜</t>
        </r>
        <r>
          <rPr>
            <b/>
            <sz val="9"/>
            <color indexed="81"/>
            <rFont val="Tahoma"/>
            <family val="2"/>
          </rPr>
          <t xml:space="preserve"> : 2022-09-12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엑셀날짜
</t>
        </r>
        <r>
          <rPr>
            <b/>
            <sz val="9"/>
            <color indexed="81"/>
            <rFont val="Tahoma"/>
            <family val="2"/>
          </rPr>
          <t>YYYYMMDD : 20220912</t>
        </r>
      </text>
    </comment>
    <comment ref="B23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DAESUN IM</author>
    <author>임 대선</author>
  </authors>
  <commentList>
    <comment ref="F3" authorId="0" shapeId="0" xr:uid="{00000000-0006-0000-0100-000001000000}">
      <text>
        <r>
          <rPr>
            <b/>
            <sz val="9"/>
            <color indexed="81"/>
            <rFont val="돋움"/>
            <family val="3"/>
            <charset val="129"/>
          </rPr>
          <t>명목원금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교환여부
</t>
        </r>
        <r>
          <rPr>
            <b/>
            <sz val="9"/>
            <color indexed="81"/>
            <rFont val="Tahoma"/>
            <family val="2"/>
          </rPr>
          <t xml:space="preserve">0: Nominal </t>
        </r>
        <r>
          <rPr>
            <b/>
            <sz val="9"/>
            <color indexed="81"/>
            <rFont val="돋움"/>
            <family val="3"/>
            <charset val="129"/>
          </rPr>
          <t>교환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안함
</t>
        </r>
        <r>
          <rPr>
            <b/>
            <sz val="9"/>
            <color indexed="81"/>
            <rFont val="Tahoma"/>
            <family val="2"/>
          </rPr>
          <t xml:space="preserve">1: Nominal </t>
        </r>
        <r>
          <rPr>
            <b/>
            <sz val="9"/>
            <color indexed="81"/>
            <rFont val="돋움"/>
            <family val="3"/>
            <charset val="129"/>
          </rPr>
          <t>교환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함
</t>
        </r>
        <r>
          <rPr>
            <b/>
            <sz val="9"/>
            <color indexed="81"/>
            <rFont val="Tahoma"/>
            <family val="2"/>
          </rPr>
          <t xml:space="preserve">-1: </t>
        </r>
        <r>
          <rPr>
            <b/>
            <sz val="9"/>
            <color indexed="81"/>
            <rFont val="돋움"/>
            <family val="3"/>
            <charset val="129"/>
          </rPr>
          <t>단순</t>
        </r>
        <r>
          <rPr>
            <b/>
            <sz val="9"/>
            <color indexed="81"/>
            <rFont val="Tahoma"/>
            <family val="2"/>
          </rPr>
          <t xml:space="preserve"> Callable </t>
        </r>
        <r>
          <rPr>
            <b/>
            <sz val="9"/>
            <color indexed="81"/>
            <rFont val="돋움"/>
            <family val="3"/>
            <charset val="129"/>
          </rPr>
          <t>채권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평가</t>
        </r>
      </text>
    </comment>
    <comment ref="J7" authorId="0" shapeId="0" xr:uid="{00000000-0006-0000-0100-000002000000}">
      <text>
        <r>
          <rPr>
            <b/>
            <sz val="9"/>
            <color indexed="81"/>
            <rFont val="돋움"/>
            <family val="3"/>
            <charset val="129"/>
          </rPr>
          <t>이자금액을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소수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몇째자리에서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올림할지</t>
        </r>
      </text>
    </comment>
    <comment ref="D9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H10" authorId="0" shapeId="0" xr:uid="{00000000-0006-0000-0100-000004000000}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L10" authorId="1" shapeId="0" xr:uid="{00000000-0006-0000-0100-000005000000}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O10" authorId="0" shapeId="0" xr:uid="{00000000-0006-0000-0100-000006000000}">
      <text>
        <r>
          <rPr>
            <b/>
            <sz val="9"/>
            <color indexed="81"/>
            <rFont val="Tahoma"/>
            <family val="2"/>
          </rPr>
          <t>ZeroCouponSwap(</t>
        </r>
        <r>
          <rPr>
            <b/>
            <sz val="9"/>
            <color indexed="81"/>
            <rFont val="돋움"/>
            <family val="3"/>
            <charset val="129"/>
          </rPr>
          <t>복리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>: 0
ZeroCouponSwap(</t>
        </r>
        <r>
          <rPr>
            <b/>
            <sz val="9"/>
            <color indexed="81"/>
            <rFont val="돋움"/>
            <family val="3"/>
            <charset val="129"/>
          </rPr>
          <t>단리</t>
        </r>
        <r>
          <rPr>
            <b/>
            <sz val="9"/>
            <color indexed="81"/>
            <rFont val="Tahoma"/>
            <family val="2"/>
          </rPr>
          <t>) : -1</t>
        </r>
      </text>
    </comment>
    <comment ref="O11" authorId="0" shapeId="0" xr:uid="{00000000-0006-0000-0100-000007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 xml:space="preserve">영국
</t>
        </r>
        <r>
          <rPr>
            <b/>
            <sz val="9"/>
            <color indexed="81"/>
            <rFont val="Tahoma"/>
            <family val="2"/>
          </rPr>
          <t xml:space="preserve">3: NYMEX
4: NYSE
-1: </t>
        </r>
        <r>
          <rPr>
            <b/>
            <sz val="9"/>
            <color indexed="81"/>
            <rFont val="돋움"/>
            <family val="3"/>
            <charset val="129"/>
          </rPr>
          <t>그외</t>
        </r>
      </text>
    </comment>
    <comment ref="J27" authorId="0" shapeId="0" xr:uid="{00000000-0006-0000-0100-000008000000}">
      <text>
        <r>
          <rPr>
            <b/>
            <sz val="9"/>
            <color indexed="81"/>
            <rFont val="돋움"/>
            <family val="3"/>
            <charset val="129"/>
          </rPr>
          <t>이자금액을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소수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몇째자리에서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올림할지</t>
        </r>
      </text>
    </comment>
    <comment ref="D29" authorId="0" shapeId="0" xr:uid="{00000000-0006-0000-0100-000009000000}">
      <text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H30" authorId="0" shapeId="0" xr:uid="{00000000-0006-0000-0100-00000A000000}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L30" authorId="1" shapeId="0" xr:uid="{00000000-0006-0000-0100-00000B000000}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O30" authorId="0" shapeId="0" xr:uid="{00000000-0006-0000-0100-00000C000000}">
      <text>
        <r>
          <rPr>
            <b/>
            <sz val="9"/>
            <color indexed="81"/>
            <rFont val="Tahoma"/>
            <family val="2"/>
          </rPr>
          <t>ZeroCouponSwap(</t>
        </r>
        <r>
          <rPr>
            <b/>
            <sz val="9"/>
            <color indexed="81"/>
            <rFont val="돋움"/>
            <family val="3"/>
            <charset val="129"/>
          </rPr>
          <t>복리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>: 0
ZeroCouponSwap(</t>
        </r>
        <r>
          <rPr>
            <b/>
            <sz val="9"/>
            <color indexed="81"/>
            <rFont val="돋움"/>
            <family val="3"/>
            <charset val="129"/>
          </rPr>
          <t>단리</t>
        </r>
        <r>
          <rPr>
            <b/>
            <sz val="9"/>
            <color indexed="81"/>
            <rFont val="Tahoma"/>
            <family val="2"/>
          </rPr>
          <t>) : -1</t>
        </r>
      </text>
    </comment>
    <comment ref="O31" authorId="0" shapeId="0" xr:uid="{00000000-0006-0000-0100-00000D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 xml:space="preserve">영국
</t>
        </r>
        <r>
          <rPr>
            <b/>
            <sz val="9"/>
            <color indexed="81"/>
            <rFont val="Tahoma"/>
            <family val="2"/>
          </rPr>
          <t xml:space="preserve">3: NYMEX
4: NYSE
-1: </t>
        </r>
        <r>
          <rPr>
            <b/>
            <sz val="9"/>
            <color indexed="81"/>
            <rFont val="돋움"/>
            <family val="3"/>
            <charset val="129"/>
          </rPr>
          <t>그외</t>
        </r>
      </text>
    </comment>
    <comment ref="D47" authorId="0" shapeId="0" xr:uid="{00000000-0006-0000-0100-00000E000000}">
      <text>
        <r>
          <rPr>
            <b/>
            <sz val="9"/>
            <color indexed="81"/>
            <rFont val="Tahoma"/>
            <family val="2"/>
          </rPr>
          <t>0: Receiver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옵션보유
</t>
        </r>
        <r>
          <rPr>
            <b/>
            <sz val="9"/>
            <color indexed="81"/>
            <rFont val="Tahoma"/>
            <family val="2"/>
          </rPr>
          <t>1: Payer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옵션보유</t>
        </r>
      </text>
    </comment>
  </commentList>
</comments>
</file>

<file path=xl/sharedStrings.xml><?xml version="1.0" encoding="utf-8"?>
<sst xmlns="http://schemas.openxmlformats.org/spreadsheetml/2006/main" count="124" uniqueCount="88">
  <si>
    <t>Hull White 1Factor Calibration</t>
    <phoneticPr fontId="2" type="noConversion"/>
  </si>
  <si>
    <t>전체 사용 커브개수</t>
    <phoneticPr fontId="2" type="noConversion"/>
  </si>
  <si>
    <t xml:space="preserve">커브1
</t>
    <phoneticPr fontId="2" type="noConversion"/>
  </si>
  <si>
    <t>커브1 Information</t>
    <phoneticPr fontId="2" type="noConversion"/>
  </si>
  <si>
    <t>Result HW</t>
    <phoneticPr fontId="2" type="noConversion"/>
  </si>
  <si>
    <t>ATM Swaption Info</t>
    <phoneticPr fontId="2" type="noConversion"/>
  </si>
  <si>
    <t>Kappa고정Flag</t>
    <phoneticPr fontId="2" type="noConversion"/>
  </si>
  <si>
    <t>Kappa고정값</t>
    <phoneticPr fontId="2" type="noConversion"/>
  </si>
  <si>
    <t>1Factor</t>
    <phoneticPr fontId="2" type="noConversion"/>
  </si>
  <si>
    <t>2Factor</t>
    <phoneticPr fontId="2" type="noConversion"/>
  </si>
  <si>
    <t>rho</t>
    <phoneticPr fontId="2" type="noConversion"/>
  </si>
  <si>
    <t>Swap Frequency</t>
    <phoneticPr fontId="2" type="noConversion"/>
  </si>
  <si>
    <t>kappa</t>
    <phoneticPr fontId="2" type="noConversion"/>
  </si>
  <si>
    <t>Term</t>
    <phoneticPr fontId="2" type="noConversion"/>
  </si>
  <si>
    <t>Vol</t>
    <phoneticPr fontId="2" type="noConversion"/>
  </si>
  <si>
    <t>Index</t>
    <phoneticPr fontId="2" type="noConversion"/>
  </si>
  <si>
    <t>Rate</t>
    <phoneticPr fontId="2" type="noConversion"/>
  </si>
  <si>
    <t>옵션만기</t>
    <phoneticPr fontId="2" type="noConversion"/>
  </si>
  <si>
    <t>스왑기간</t>
    <phoneticPr fontId="2" type="noConversion"/>
  </si>
  <si>
    <t>스왑션Vol</t>
    <phoneticPr fontId="2" type="noConversion"/>
  </si>
  <si>
    <t>BSPrice</t>
    <phoneticPr fontId="2" type="noConversion"/>
  </si>
  <si>
    <t>HWPrice</t>
    <phoneticPr fontId="2" type="noConversion"/>
  </si>
  <si>
    <t>Error</t>
    <phoneticPr fontId="2" type="noConversion"/>
  </si>
  <si>
    <t/>
  </si>
  <si>
    <t>VolFlag</t>
    <phoneticPr fontId="2" type="noConversion"/>
  </si>
  <si>
    <t>Quanto보정</t>
    <phoneticPr fontId="2" type="noConversion"/>
  </si>
  <si>
    <t>FX, Curve 상관계수</t>
    <phoneticPr fontId="2" type="noConversion"/>
  </si>
  <si>
    <t>FX Vol</t>
    <phoneticPr fontId="2" type="noConversion"/>
  </si>
  <si>
    <t>Term입력</t>
    <phoneticPr fontId="2" type="noConversion"/>
  </si>
  <si>
    <t>기준연월일</t>
    <phoneticPr fontId="2" type="noConversion"/>
  </si>
  <si>
    <t>가격평가일</t>
    <phoneticPr fontId="2" type="noConversion"/>
  </si>
  <si>
    <t>NA</t>
    <phoneticPr fontId="2" type="noConversion"/>
  </si>
  <si>
    <t>MaxLoss/y</t>
    <phoneticPr fontId="2" type="noConversion"/>
  </si>
  <si>
    <t>MaxReturn/y</t>
    <phoneticPr fontId="2" type="noConversion"/>
  </si>
  <si>
    <t>DayCount</t>
  </si>
  <si>
    <t>금리결정조건Multiple</t>
  </si>
  <si>
    <t>Power Spread Flag</t>
  </si>
  <si>
    <t>기초금리 Range상한</t>
  </si>
  <si>
    <t>기초금리 Range하한</t>
  </si>
  <si>
    <t>Payoff조건Multiple</t>
  </si>
  <si>
    <t>Phase1</t>
    <phoneticPr fontId="2" type="noConversion"/>
  </si>
  <si>
    <t>고정금리</t>
    <phoneticPr fontId="2" type="noConversion"/>
  </si>
  <si>
    <t>Phase2사용Flag</t>
    <phoneticPr fontId="2" type="noConversion"/>
  </si>
  <si>
    <t>Range충족시 쿠폰</t>
    <phoneticPr fontId="2" type="noConversion"/>
  </si>
  <si>
    <t>구조화금리승수 적용여부</t>
    <phoneticPr fontId="2" type="noConversion"/>
  </si>
  <si>
    <t>Phase2</t>
    <phoneticPr fontId="2" type="noConversion"/>
  </si>
  <si>
    <t xml:space="preserve">    PayLeg Info</t>
    <phoneticPr fontId="2" type="noConversion"/>
  </si>
  <si>
    <t xml:space="preserve">    ReceiveLeg Info</t>
    <phoneticPr fontId="2" type="noConversion"/>
  </si>
  <si>
    <t>상품발행일</t>
    <phoneticPr fontId="2" type="noConversion"/>
  </si>
  <si>
    <t>스케줄정보</t>
    <phoneticPr fontId="2" type="noConversion"/>
  </si>
  <si>
    <t>상품만기일</t>
    <phoneticPr fontId="2" type="noConversion"/>
  </si>
  <si>
    <t>연 쿠폰횟수</t>
    <phoneticPr fontId="2" type="noConversion"/>
  </si>
  <si>
    <t>Receive Leg Schedule 정보</t>
    <phoneticPr fontId="2" type="noConversion"/>
  </si>
  <si>
    <t>국가</t>
    <phoneticPr fontId="2" type="noConversion"/>
  </si>
  <si>
    <t>Phase2 연 쿠폰횟수</t>
    <phoneticPr fontId="2" type="noConversion"/>
  </si>
  <si>
    <t>그 외 Holiday</t>
    <phoneticPr fontId="2" type="noConversion"/>
  </si>
  <si>
    <t>RcvLeg</t>
    <phoneticPr fontId="2" type="noConversion"/>
  </si>
  <si>
    <t>PayLeg</t>
    <phoneticPr fontId="2" type="noConversion"/>
  </si>
  <si>
    <t>Pay Leg Schedule 정보</t>
    <phoneticPr fontId="2" type="noConversion"/>
  </si>
  <si>
    <t>Date</t>
    <phoneticPr fontId="2" type="noConversion"/>
  </si>
  <si>
    <t xml:space="preserve">    Option Info</t>
    <phoneticPr fontId="2" type="noConversion"/>
  </si>
  <si>
    <t>OptionDate</t>
    <phoneticPr fontId="2" type="noConversion"/>
  </si>
  <si>
    <t>OptionPayDate</t>
    <phoneticPr fontId="2" type="noConversion"/>
  </si>
  <si>
    <t>OptionType</t>
    <phoneticPr fontId="2" type="noConversion"/>
  </si>
  <si>
    <t>Noption</t>
    <phoneticPr fontId="2" type="noConversion"/>
  </si>
  <si>
    <t xml:space="preserve">    Calculation Result</t>
    <phoneticPr fontId="2" type="noConversion"/>
  </si>
  <si>
    <t>Hull White 2Factor Flag</t>
    <phoneticPr fontId="2" type="noConversion"/>
  </si>
  <si>
    <t>FixingDate</t>
    <phoneticPr fontId="2" type="noConversion"/>
  </si>
  <si>
    <t>EndDate</t>
    <phoneticPr fontId="2" type="noConversion"/>
  </si>
  <si>
    <t>PayDate</t>
    <phoneticPr fontId="2" type="noConversion"/>
  </si>
  <si>
    <t>FixingRate</t>
    <phoneticPr fontId="2" type="noConversion"/>
  </si>
  <si>
    <t>Coupon</t>
    <phoneticPr fontId="2" type="noConversion"/>
  </si>
  <si>
    <t>Rcv Leg</t>
    <phoneticPr fontId="2" type="noConversion"/>
  </si>
  <si>
    <t>Pay Leg</t>
    <phoneticPr fontId="2" type="noConversion"/>
  </si>
  <si>
    <t>Estimation Curve</t>
    <phoneticPr fontId="2" type="noConversion"/>
  </si>
  <si>
    <t>Discount Rate
(Calibration 미사용)</t>
    <phoneticPr fontId="2" type="noConversion"/>
  </si>
  <si>
    <t>RcvRate Fixing History</t>
    <phoneticPr fontId="2" type="noConversion"/>
  </si>
  <si>
    <t>PayRate Fixing History</t>
    <phoneticPr fontId="2" type="noConversion"/>
  </si>
  <si>
    <t>ResultPrice</t>
    <phoneticPr fontId="2" type="noConversion"/>
  </si>
  <si>
    <t>TextFlag</t>
    <phoneticPr fontId="2" type="noConversion"/>
  </si>
  <si>
    <t>고정금리</t>
    <phoneticPr fontId="2" type="noConversion"/>
  </si>
  <si>
    <t>페이오프(Phase1)</t>
    <phoneticPr fontId="2" type="noConversion"/>
  </si>
  <si>
    <t>페이오프(Phase2)</t>
    <phoneticPr fontId="2" type="noConversion"/>
  </si>
  <si>
    <t>금리결정조건 :</t>
    <phoneticPr fontId="2" type="noConversion"/>
  </si>
  <si>
    <t>금리결정조건 :</t>
    <phoneticPr fontId="2" type="noConversion"/>
  </si>
  <si>
    <t>InterestRateRounding</t>
    <phoneticPr fontId="2" type="noConversion"/>
  </si>
  <si>
    <t>Debug</t>
    <phoneticPr fontId="2" type="noConversion"/>
  </si>
  <si>
    <t>NAFlag/BondFlag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</si>
</sst>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1" formatCode="_-* #,##0_-;\-* #,##0_-;_-* &quot;-&quot;_-;_-@_-"/>
    <numFmt numFmtId="176" formatCode="0_);[Red]\(0\)"/>
    <numFmt numFmtId="177" formatCode="0.00_);[Red]\(0.00\)"/>
    <numFmt numFmtId="178" formatCode="0.0000_);[Red]\(0.0000\)"/>
    <numFmt numFmtId="179" formatCode="0.0000000_);[Red]\(0.0000000\)"/>
    <numFmt numFmtId="180" formatCode="0.000000_);[Red]\(0.000000\)"/>
    <numFmt numFmtId="181" formatCode="0.00000_);[Red]\(0.00000\)"/>
    <numFmt numFmtId="182" formatCode="[$-F400]h:mm:ss\ AM/PM"/>
    <numFmt numFmtId="183" formatCode="0.0"/>
    <numFmt numFmtId="184" formatCode="0.000%"/>
    <numFmt numFmtId="185" formatCode="0.0000"/>
    <numFmt numFmtId="186" formatCode="0.0000%"/>
    <numFmt numFmtId="187" formatCode="_-* #,##0.00_-;\-* #,##0.00_-;_-* &quot;-&quot;_-;_-@_-"/>
  </numFmts>
  <fonts count="22" x14ac:knownFonts="1"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name val="맑은 고딕"/>
      <family val="2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theme="2" tint="-0.249977111117893"/>
      <name val="맑은 고딕"/>
      <family val="2"/>
      <charset val="129"/>
      <scheme val="minor"/>
    </font>
    <font>
      <sz val="11"/>
      <color theme="2" tint="-0.249977111117893"/>
      <name val="맑은 고딕"/>
      <family val="3"/>
      <charset val="129"/>
      <scheme val="minor"/>
    </font>
    <font>
      <sz val="10"/>
      <color theme="2" tint="-0.249977111117893"/>
      <name val="맑은 고딕"/>
      <family val="2"/>
      <charset val="129"/>
      <scheme val="minor"/>
    </font>
    <font>
      <sz val="10"/>
      <color theme="2" tint="-0.249977111117893"/>
      <name val="맑은 고딕"/>
      <family val="3"/>
      <charset val="129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gradientFill degree="270">
        <stop position="0">
          <color theme="0"/>
        </stop>
        <stop position="1">
          <color theme="1" tint="0.34900967436750391"/>
        </stop>
      </gradientFill>
    </fill>
    <fill>
      <patternFill patternType="solid">
        <fgColor theme="1" tint="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</fills>
  <borders count="24">
    <border>
      <left/>
      <right/>
      <top/>
      <bottom/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/>
      </bottom>
      <diagonal/>
    </border>
    <border>
      <left/>
      <right/>
      <top style="thin">
        <color theme="0" tint="-0.14999847407452621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</cellStyleXfs>
  <cellXfs count="151"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6" fillId="6" borderId="0" xfId="0" applyFont="1" applyFill="1">
      <alignment vertical="center"/>
    </xf>
    <xf numFmtId="177" fontId="6" fillId="7" borderId="3" xfId="0" applyNumberFormat="1" applyFont="1" applyFill="1" applyBorder="1" applyAlignment="1">
      <alignment horizontal="center" vertical="center"/>
    </xf>
    <xf numFmtId="176" fontId="7" fillId="5" borderId="3" xfId="0" applyNumberFormat="1" applyFont="1" applyFill="1" applyBorder="1">
      <alignment vertical="center"/>
    </xf>
    <xf numFmtId="178" fontId="8" fillId="8" borderId="3" xfId="0" applyNumberFormat="1" applyFont="1" applyFill="1" applyBorder="1">
      <alignment vertical="center"/>
    </xf>
    <xf numFmtId="178" fontId="8" fillId="9" borderId="3" xfId="0" applyNumberFormat="1" applyFont="1" applyFill="1" applyBorder="1">
      <alignment vertical="center"/>
    </xf>
    <xf numFmtId="14" fontId="1" fillId="2" borderId="0" xfId="0" applyNumberFormat="1" applyFont="1" applyFill="1">
      <alignment vertical="center"/>
    </xf>
    <xf numFmtId="177" fontId="6" fillId="7" borderId="6" xfId="0" applyNumberFormat="1" applyFont="1" applyFill="1" applyBorder="1" applyAlignment="1">
      <alignment horizontal="center" vertical="center"/>
    </xf>
    <xf numFmtId="177" fontId="6" fillId="7" borderId="6" xfId="0" applyNumberFormat="1" applyFont="1" applyFill="1" applyBorder="1">
      <alignment vertical="center"/>
    </xf>
    <xf numFmtId="179" fontId="9" fillId="8" borderId="10" xfId="0" applyNumberFormat="1" applyFont="1" applyFill="1" applyBorder="1">
      <alignment vertical="center"/>
    </xf>
    <xf numFmtId="179" fontId="9" fillId="9" borderId="10" xfId="0" applyNumberFormat="1" applyFont="1" applyFill="1" applyBorder="1">
      <alignment vertical="center"/>
    </xf>
    <xf numFmtId="176" fontId="6" fillId="12" borderId="10" xfId="0" applyNumberFormat="1" applyFont="1" applyFill="1" applyBorder="1">
      <alignment vertical="center"/>
    </xf>
    <xf numFmtId="178" fontId="7" fillId="13" borderId="10" xfId="0" applyNumberFormat="1" applyFont="1" applyFill="1" applyBorder="1">
      <alignment vertical="center"/>
    </xf>
    <xf numFmtId="177" fontId="9" fillId="14" borderId="10" xfId="0" applyNumberFormat="1" applyFont="1" applyFill="1" applyBorder="1">
      <alignment vertical="center"/>
    </xf>
    <xf numFmtId="180" fontId="9" fillId="14" borderId="10" xfId="0" applyNumberFormat="1" applyFont="1" applyFill="1" applyBorder="1">
      <alignment vertical="center"/>
    </xf>
    <xf numFmtId="181" fontId="9" fillId="8" borderId="10" xfId="0" applyNumberFormat="1" applyFont="1" applyFill="1" applyBorder="1">
      <alignment vertical="center"/>
    </xf>
    <xf numFmtId="177" fontId="8" fillId="11" borderId="3" xfId="0" applyNumberFormat="1" applyFont="1" applyFill="1" applyBorder="1">
      <alignment vertical="center"/>
    </xf>
    <xf numFmtId="0" fontId="5" fillId="13" borderId="10" xfId="0" applyFont="1" applyFill="1" applyBorder="1">
      <alignment vertical="center"/>
    </xf>
    <xf numFmtId="0" fontId="6" fillId="6" borderId="0" xfId="0" applyFont="1" applyFill="1" applyAlignment="1">
      <alignment horizontal="center" vertical="center"/>
    </xf>
    <xf numFmtId="0" fontId="0" fillId="2" borderId="0" xfId="0" applyFill="1">
      <alignment vertical="center"/>
    </xf>
    <xf numFmtId="0" fontId="1" fillId="2" borderId="0" xfId="0" applyFont="1" applyFill="1" applyProtection="1">
      <alignment vertical="center"/>
      <protection locked="0"/>
    </xf>
    <xf numFmtId="0" fontId="0" fillId="2" borderId="0" xfId="0" applyFill="1" applyProtection="1">
      <alignment vertical="center"/>
      <protection locked="0"/>
    </xf>
    <xf numFmtId="0" fontId="0" fillId="2" borderId="18" xfId="0" applyFill="1" applyBorder="1" applyProtection="1">
      <alignment vertical="center"/>
      <protection locked="0"/>
    </xf>
    <xf numFmtId="14" fontId="5" fillId="5" borderId="12" xfId="0" applyNumberFormat="1" applyFont="1" applyFill="1" applyBorder="1" applyProtection="1">
      <alignment vertical="center"/>
      <protection locked="0"/>
    </xf>
    <xf numFmtId="14" fontId="5" fillId="5" borderId="19" xfId="0" applyNumberFormat="1" applyFont="1" applyFill="1" applyBorder="1" applyProtection="1">
      <alignment vertical="center"/>
      <protection locked="0"/>
    </xf>
    <xf numFmtId="14" fontId="0" fillId="5" borderId="0" xfId="0" applyNumberFormat="1" applyFill="1">
      <alignment vertical="center"/>
    </xf>
    <xf numFmtId="14" fontId="0" fillId="5" borderId="13" xfId="0" applyNumberFormat="1" applyFill="1" applyBorder="1">
      <alignment vertical="center"/>
    </xf>
    <xf numFmtId="14" fontId="0" fillId="5" borderId="14" xfId="0" applyNumberFormat="1" applyFill="1" applyBorder="1">
      <alignment vertical="center"/>
    </xf>
    <xf numFmtId="0" fontId="6" fillId="4" borderId="12" xfId="0" applyFont="1" applyFill="1" applyBorder="1" applyAlignment="1" applyProtection="1">
      <alignment horizontal="center" vertical="center"/>
      <protection locked="0"/>
    </xf>
    <xf numFmtId="0" fontId="6" fillId="4" borderId="19" xfId="0" applyFont="1" applyFill="1" applyBorder="1" applyAlignment="1" applyProtection="1">
      <alignment horizontal="center" vertical="center"/>
      <protection locked="0"/>
    </xf>
    <xf numFmtId="0" fontId="0" fillId="5" borderId="0" xfId="0" applyFill="1">
      <alignment vertical="center"/>
    </xf>
    <xf numFmtId="14" fontId="0" fillId="5" borderId="12" xfId="0" applyNumberFormat="1" applyFill="1" applyBorder="1">
      <alignment vertical="center"/>
    </xf>
    <xf numFmtId="186" fontId="0" fillId="5" borderId="19" xfId="0" applyNumberFormat="1" applyFill="1" applyBorder="1">
      <alignment vertical="center"/>
    </xf>
    <xf numFmtId="186" fontId="0" fillId="5" borderId="14" xfId="0" applyNumberFormat="1" applyFill="1" applyBorder="1">
      <alignment vertical="center"/>
    </xf>
    <xf numFmtId="186" fontId="0" fillId="5" borderId="19" xfId="1" applyNumberFormat="1" applyFont="1" applyFill="1" applyBorder="1">
      <alignment vertical="center"/>
    </xf>
    <xf numFmtId="186" fontId="0" fillId="5" borderId="14" xfId="1" applyNumberFormat="1" applyFont="1" applyFill="1" applyBorder="1">
      <alignment vertical="center"/>
    </xf>
    <xf numFmtId="0" fontId="6" fillId="4" borderId="21" xfId="0" applyFont="1" applyFill="1" applyBorder="1" applyAlignment="1" applyProtection="1">
      <alignment horizontal="center" vertical="center"/>
      <protection locked="0"/>
    </xf>
    <xf numFmtId="0" fontId="6" fillId="4" borderId="20" xfId="0" applyFont="1" applyFill="1" applyBorder="1" applyAlignment="1" applyProtection="1">
      <alignment horizontal="center" vertical="center"/>
      <protection locked="0"/>
    </xf>
    <xf numFmtId="176" fontId="0" fillId="9" borderId="12" xfId="0" applyNumberFormat="1" applyFill="1" applyBorder="1">
      <alignment vertical="center"/>
    </xf>
    <xf numFmtId="176" fontId="0" fillId="9" borderId="17" xfId="0" applyNumberFormat="1" applyFill="1" applyBorder="1">
      <alignment vertical="center"/>
    </xf>
    <xf numFmtId="176" fontId="0" fillId="9" borderId="13" xfId="0" applyNumberFormat="1" applyFill="1" applyBorder="1">
      <alignment vertical="center"/>
    </xf>
    <xf numFmtId="176" fontId="0" fillId="9" borderId="0" xfId="0" applyNumberFormat="1" applyFill="1">
      <alignment vertical="center"/>
    </xf>
    <xf numFmtId="186" fontId="0" fillId="9" borderId="17" xfId="1" applyNumberFormat="1" applyFont="1" applyFill="1" applyBorder="1">
      <alignment vertical="center"/>
    </xf>
    <xf numFmtId="186" fontId="0" fillId="9" borderId="0" xfId="1" applyNumberFormat="1" applyFont="1" applyFill="1" applyBorder="1">
      <alignment vertical="center"/>
    </xf>
    <xf numFmtId="14" fontId="6" fillId="12" borderId="10" xfId="0" applyNumberFormat="1" applyFont="1" applyFill="1" applyBorder="1">
      <alignment vertical="center"/>
    </xf>
    <xf numFmtId="14" fontId="4" fillId="12" borderId="10" xfId="0" applyNumberFormat="1" applyFont="1" applyFill="1" applyBorder="1">
      <alignment vertical="center"/>
    </xf>
    <xf numFmtId="187" fontId="0" fillId="9" borderId="19" xfId="2" applyNumberFormat="1" applyFont="1" applyFill="1" applyBorder="1">
      <alignment vertical="center"/>
    </xf>
    <xf numFmtId="187" fontId="0" fillId="9" borderId="14" xfId="2" applyNumberFormat="1" applyFont="1" applyFill="1" applyBorder="1">
      <alignment vertical="center"/>
    </xf>
    <xf numFmtId="186" fontId="0" fillId="2" borderId="0" xfId="1" applyNumberFormat="1" applyFont="1" applyFill="1">
      <alignment vertical="center"/>
    </xf>
    <xf numFmtId="14" fontId="8" fillId="11" borderId="10" xfId="0" applyNumberFormat="1" applyFont="1" applyFill="1" applyBorder="1">
      <alignment vertical="center"/>
    </xf>
    <xf numFmtId="0" fontId="18" fillId="2" borderId="0" xfId="0" applyFont="1" applyFill="1">
      <alignment vertical="center"/>
    </xf>
    <xf numFmtId="0" fontId="19" fillId="2" borderId="0" xfId="0" applyFont="1" applyFill="1">
      <alignment vertical="center"/>
    </xf>
    <xf numFmtId="0" fontId="20" fillId="2" borderId="0" xfId="0" applyFont="1" applyFill="1">
      <alignment vertical="center"/>
    </xf>
    <xf numFmtId="0" fontId="21" fillId="2" borderId="0" xfId="0" applyFont="1" applyFill="1">
      <alignment vertical="center"/>
    </xf>
    <xf numFmtId="0" fontId="4" fillId="4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6" fillId="10" borderId="9" xfId="0" applyFont="1" applyFill="1" applyBorder="1" applyAlignment="1">
      <alignment horizontal="center" vertical="center" wrapText="1"/>
    </xf>
    <xf numFmtId="0" fontId="6" fillId="10" borderId="11" xfId="0" applyFont="1" applyFill="1" applyBorder="1" applyAlignment="1">
      <alignment horizontal="center" vertical="center" wrapText="1"/>
    </xf>
    <xf numFmtId="49" fontId="9" fillId="8" borderId="0" xfId="0" applyNumberFormat="1" applyFont="1" applyFill="1" applyAlignment="1">
      <alignment horizontal="center" vertical="center" wrapText="1"/>
    </xf>
    <xf numFmtId="182" fontId="1" fillId="2" borderId="0" xfId="0" applyNumberFormat="1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6" fillId="6" borderId="0" xfId="0" applyFont="1" applyFill="1" applyAlignment="1">
      <alignment horizontal="center" vertical="center" wrapText="1"/>
    </xf>
    <xf numFmtId="0" fontId="6" fillId="6" borderId="0" xfId="0" applyFont="1" applyFill="1" applyAlignment="1">
      <alignment horizontal="center" vertical="center"/>
    </xf>
    <xf numFmtId="176" fontId="6" fillId="7" borderId="1" xfId="0" applyNumberFormat="1" applyFont="1" applyFill="1" applyBorder="1" applyAlignment="1">
      <alignment horizontal="center" vertical="center"/>
    </xf>
    <xf numFmtId="176" fontId="6" fillId="7" borderId="2" xfId="0" applyNumberFormat="1" applyFont="1" applyFill="1" applyBorder="1" applyAlignment="1">
      <alignment horizontal="center" vertical="center"/>
    </xf>
    <xf numFmtId="176" fontId="6" fillId="7" borderId="4" xfId="0" applyNumberFormat="1" applyFont="1" applyFill="1" applyBorder="1" applyAlignment="1">
      <alignment horizontal="center" vertical="center"/>
    </xf>
    <xf numFmtId="176" fontId="6" fillId="7" borderId="5" xfId="0" applyNumberFormat="1" applyFont="1" applyFill="1" applyBorder="1" applyAlignment="1">
      <alignment horizontal="center" vertical="center"/>
    </xf>
    <xf numFmtId="176" fontId="6" fillId="7" borderId="3" xfId="0" applyNumberFormat="1" applyFont="1" applyFill="1" applyBorder="1" applyAlignment="1">
      <alignment horizontal="center" vertical="center"/>
    </xf>
    <xf numFmtId="177" fontId="6" fillId="7" borderId="7" xfId="0" applyNumberFormat="1" applyFont="1" applyFill="1" applyBorder="1" applyAlignment="1">
      <alignment horizontal="center" vertical="center"/>
    </xf>
    <xf numFmtId="177" fontId="6" fillId="7" borderId="8" xfId="0" applyNumberFormat="1" applyFont="1" applyFill="1" applyBorder="1" applyAlignment="1">
      <alignment horizontal="center" vertical="center"/>
    </xf>
    <xf numFmtId="14" fontId="5" fillId="5" borderId="0" xfId="0" applyNumberFormat="1" applyFont="1" applyFill="1" applyAlignment="1">
      <alignment horizontal="center" vertical="center"/>
    </xf>
    <xf numFmtId="176" fontId="6" fillId="7" borderId="1" xfId="0" applyNumberFormat="1" applyFont="1" applyFill="1" applyBorder="1" applyAlignment="1">
      <alignment horizontal="center" vertical="center" wrapText="1"/>
    </xf>
    <xf numFmtId="0" fontId="14" fillId="4" borderId="0" xfId="0" applyFont="1" applyFill="1" applyAlignment="1" applyProtection="1">
      <alignment horizontal="center" vertical="center"/>
      <protection locked="0"/>
    </xf>
    <xf numFmtId="0" fontId="5" fillId="5" borderId="0" xfId="0" applyFont="1" applyFill="1" applyAlignment="1" applyProtection="1">
      <alignment horizontal="center" vertical="center"/>
      <protection locked="0"/>
    </xf>
    <xf numFmtId="0" fontId="5" fillId="5" borderId="14" xfId="0" applyFont="1" applyFill="1" applyBorder="1" applyAlignment="1" applyProtection="1">
      <alignment horizontal="center" vertical="center"/>
      <protection locked="0"/>
    </xf>
    <xf numFmtId="0" fontId="17" fillId="16" borderId="13" xfId="0" applyFont="1" applyFill="1" applyBorder="1" applyAlignment="1">
      <alignment horizontal="center" vertical="center"/>
    </xf>
    <xf numFmtId="0" fontId="17" fillId="16" borderId="0" xfId="0" applyFont="1" applyFill="1" applyAlignment="1">
      <alignment horizontal="center" vertical="center"/>
    </xf>
    <xf numFmtId="0" fontId="17" fillId="16" borderId="0" xfId="0" applyFont="1" applyFill="1" applyAlignment="1" applyProtection="1">
      <alignment horizontal="center" vertical="center"/>
      <protection locked="0"/>
    </xf>
    <xf numFmtId="0" fontId="6" fillId="10" borderId="0" xfId="0" applyFont="1" applyFill="1" applyAlignment="1">
      <alignment horizontal="center" vertical="center"/>
    </xf>
    <xf numFmtId="0" fontId="4" fillId="10" borderId="0" xfId="0" applyFont="1" applyFill="1" applyAlignment="1">
      <alignment horizontal="center" vertical="center"/>
    </xf>
    <xf numFmtId="0" fontId="5" fillId="10" borderId="0" xfId="0" applyFont="1" applyFill="1" applyAlignment="1">
      <alignment horizontal="center" vertical="center"/>
    </xf>
    <xf numFmtId="178" fontId="5" fillId="15" borderId="0" xfId="0" applyNumberFormat="1" applyFont="1" applyFill="1" applyAlignment="1" applyProtection="1">
      <alignment horizontal="center" vertical="center"/>
      <protection locked="0"/>
    </xf>
    <xf numFmtId="178" fontId="5" fillId="15" borderId="14" xfId="0" applyNumberFormat="1" applyFont="1" applyFill="1" applyBorder="1" applyAlignment="1" applyProtection="1">
      <alignment horizontal="center" vertical="center"/>
      <protection locked="0"/>
    </xf>
    <xf numFmtId="0" fontId="15" fillId="4" borderId="12" xfId="0" applyFont="1" applyFill="1" applyBorder="1" applyAlignment="1" applyProtection="1">
      <alignment horizontal="left" vertical="center"/>
      <protection locked="0"/>
    </xf>
    <xf numFmtId="0" fontId="15" fillId="4" borderId="17" xfId="0" applyFont="1" applyFill="1" applyBorder="1" applyAlignment="1" applyProtection="1">
      <alignment horizontal="left" vertical="center"/>
      <protection locked="0"/>
    </xf>
    <xf numFmtId="0" fontId="15" fillId="4" borderId="19" xfId="0" applyFont="1" applyFill="1" applyBorder="1" applyAlignment="1" applyProtection="1">
      <alignment horizontal="left" vertical="center"/>
      <protection locked="0"/>
    </xf>
    <xf numFmtId="0" fontId="15" fillId="4" borderId="18" xfId="0" applyFont="1" applyFill="1" applyBorder="1" applyAlignment="1" applyProtection="1">
      <alignment horizontal="left" vertical="center"/>
      <protection locked="0"/>
    </xf>
    <xf numFmtId="0" fontId="15" fillId="4" borderId="15" xfId="0" applyFont="1" applyFill="1" applyBorder="1" applyAlignment="1" applyProtection="1">
      <alignment horizontal="left" vertical="center"/>
      <protection locked="0"/>
    </xf>
    <xf numFmtId="0" fontId="15" fillId="4" borderId="16" xfId="0" applyFont="1" applyFill="1" applyBorder="1" applyAlignment="1" applyProtection="1">
      <alignment horizontal="left" vertical="center"/>
      <protection locked="0"/>
    </xf>
    <xf numFmtId="9" fontId="5" fillId="15" borderId="0" xfId="0" applyNumberFormat="1" applyFont="1" applyFill="1" applyAlignment="1" applyProtection="1">
      <alignment horizontal="center" vertical="center"/>
      <protection locked="0"/>
    </xf>
    <xf numFmtId="0" fontId="5" fillId="15" borderId="0" xfId="0" applyFont="1" applyFill="1" applyAlignment="1" applyProtection="1">
      <alignment horizontal="center" vertical="center"/>
      <protection locked="0"/>
    </xf>
    <xf numFmtId="0" fontId="4" fillId="10" borderId="12" xfId="0" applyFont="1" applyFill="1" applyBorder="1" applyAlignment="1">
      <alignment horizontal="center" vertical="center"/>
    </xf>
    <xf numFmtId="0" fontId="4" fillId="10" borderId="17" xfId="0" applyFont="1" applyFill="1" applyBorder="1" applyAlignment="1">
      <alignment horizontal="center" vertical="center"/>
    </xf>
    <xf numFmtId="0" fontId="4" fillId="10" borderId="19" xfId="0" applyFont="1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183" fontId="5" fillId="5" borderId="0" xfId="0" applyNumberFormat="1" applyFont="1" applyFill="1" applyAlignment="1" applyProtection="1">
      <alignment horizontal="center" vertical="center"/>
      <protection locked="0"/>
    </xf>
    <xf numFmtId="183" fontId="5" fillId="5" borderId="14" xfId="0" applyNumberFormat="1" applyFont="1" applyFill="1" applyBorder="1" applyAlignment="1" applyProtection="1">
      <alignment horizontal="center" vertical="center"/>
      <protection locked="0"/>
    </xf>
    <xf numFmtId="0" fontId="4" fillId="10" borderId="13" xfId="0" applyFont="1" applyFill="1" applyBorder="1" applyAlignment="1">
      <alignment horizontal="center" vertical="center"/>
    </xf>
    <xf numFmtId="0" fontId="5" fillId="15" borderId="14" xfId="0" applyFont="1" applyFill="1" applyBorder="1" applyAlignment="1" applyProtection="1">
      <alignment horizontal="center" vertical="center"/>
      <protection locked="0"/>
    </xf>
    <xf numFmtId="0" fontId="14" fillId="4" borderId="0" xfId="0" applyFont="1" applyFill="1" applyAlignment="1">
      <alignment horizontal="center" vertical="center"/>
    </xf>
    <xf numFmtId="184" fontId="1" fillId="5" borderId="0" xfId="1" applyNumberFormat="1" applyFont="1" applyFill="1" applyBorder="1" applyAlignment="1" applyProtection="1">
      <alignment horizontal="center" vertical="center"/>
      <protection locked="0"/>
    </xf>
    <xf numFmtId="184" fontId="1" fillId="5" borderId="14" xfId="1" applyNumberFormat="1" applyFont="1" applyFill="1" applyBorder="1" applyAlignment="1" applyProtection="1">
      <alignment horizontal="center" vertical="center"/>
      <protection locked="0"/>
    </xf>
    <xf numFmtId="183" fontId="5" fillId="15" borderId="0" xfId="0" applyNumberFormat="1" applyFont="1" applyFill="1" applyAlignment="1" applyProtection="1">
      <alignment horizontal="center" vertical="center"/>
      <protection locked="0"/>
    </xf>
    <xf numFmtId="183" fontId="5" fillId="15" borderId="14" xfId="0" applyNumberFormat="1" applyFont="1" applyFill="1" applyBorder="1" applyAlignment="1" applyProtection="1">
      <alignment horizontal="center" vertical="center"/>
      <protection locked="0"/>
    </xf>
    <xf numFmtId="0" fontId="14" fillId="4" borderId="15" xfId="0" applyFont="1" applyFill="1" applyBorder="1" applyAlignment="1">
      <alignment horizontal="center" vertical="center"/>
    </xf>
    <xf numFmtId="185" fontId="1" fillId="5" borderId="15" xfId="0" applyNumberFormat="1" applyFont="1" applyFill="1" applyBorder="1" applyAlignment="1" applyProtection="1">
      <alignment horizontal="center" vertical="center"/>
      <protection locked="0"/>
    </xf>
    <xf numFmtId="185" fontId="1" fillId="5" borderId="16" xfId="0" applyNumberFormat="1" applyFont="1" applyFill="1" applyBorder="1" applyAlignment="1" applyProtection="1">
      <alignment horizontal="center" vertical="center"/>
      <protection locked="0"/>
    </xf>
    <xf numFmtId="0" fontId="6" fillId="4" borderId="0" xfId="0" applyFont="1" applyFill="1" applyAlignment="1">
      <alignment horizontal="center" vertical="center" wrapText="1"/>
    </xf>
    <xf numFmtId="184" fontId="5" fillId="5" borderId="0" xfId="1" applyNumberFormat="1" applyFont="1" applyFill="1" applyBorder="1" applyAlignment="1" applyProtection="1">
      <alignment horizontal="center" vertical="center"/>
      <protection locked="0"/>
    </xf>
    <xf numFmtId="184" fontId="5" fillId="5" borderId="14" xfId="1" applyNumberFormat="1" applyFont="1" applyFill="1" applyBorder="1" applyAlignment="1" applyProtection="1">
      <alignment horizontal="center" vertical="center"/>
      <protection locked="0"/>
    </xf>
    <xf numFmtId="0" fontId="6" fillId="4" borderId="18" xfId="0" applyFont="1" applyFill="1" applyBorder="1" applyAlignment="1" applyProtection="1">
      <alignment horizontal="center" vertical="center"/>
      <protection locked="0"/>
    </xf>
    <xf numFmtId="0" fontId="6" fillId="4" borderId="15" xfId="0" applyFont="1" applyFill="1" applyBorder="1" applyAlignment="1" applyProtection="1">
      <alignment horizontal="center" vertical="center"/>
      <protection locked="0"/>
    </xf>
    <xf numFmtId="0" fontId="6" fillId="4" borderId="13" xfId="0" applyFont="1" applyFill="1" applyBorder="1" applyAlignment="1" applyProtection="1">
      <alignment horizontal="center" vertical="center"/>
      <protection locked="0"/>
    </xf>
    <xf numFmtId="0" fontId="6" fillId="4" borderId="0" xfId="0" applyFont="1" applyFill="1" applyAlignment="1" applyProtection="1">
      <alignment horizontal="center" vertical="center"/>
      <protection locked="0"/>
    </xf>
    <xf numFmtId="41" fontId="8" fillId="11" borderId="0" xfId="2" applyFont="1" applyFill="1" applyAlignment="1" applyProtection="1">
      <alignment horizontal="center" vertical="center"/>
      <protection locked="0"/>
    </xf>
    <xf numFmtId="0" fontId="14" fillId="4" borderId="21" xfId="0" applyFont="1" applyFill="1" applyBorder="1" applyAlignment="1">
      <alignment horizontal="center" vertical="center"/>
    </xf>
    <xf numFmtId="0" fontId="14" fillId="4" borderId="23" xfId="0" applyFont="1" applyFill="1" applyBorder="1" applyAlignment="1">
      <alignment horizontal="center" vertical="center"/>
    </xf>
    <xf numFmtId="0" fontId="15" fillId="4" borderId="12" xfId="0" applyFont="1" applyFill="1" applyBorder="1" applyAlignment="1" applyProtection="1">
      <alignment horizontal="center" vertical="center"/>
      <protection locked="0"/>
    </xf>
    <xf numFmtId="0" fontId="15" fillId="4" borderId="17" xfId="0" applyFont="1" applyFill="1" applyBorder="1" applyAlignment="1" applyProtection="1">
      <alignment horizontal="center" vertical="center"/>
      <protection locked="0"/>
    </xf>
    <xf numFmtId="0" fontId="15" fillId="4" borderId="19" xfId="0" applyFont="1" applyFill="1" applyBorder="1" applyAlignment="1" applyProtection="1">
      <alignment horizontal="center" vertical="center"/>
      <protection locked="0"/>
    </xf>
    <xf numFmtId="0" fontId="15" fillId="4" borderId="18" xfId="0" applyFont="1" applyFill="1" applyBorder="1" applyAlignment="1" applyProtection="1">
      <alignment horizontal="center" vertical="center"/>
      <protection locked="0"/>
    </xf>
    <xf numFmtId="0" fontId="15" fillId="4" borderId="15" xfId="0" applyFont="1" applyFill="1" applyBorder="1" applyAlignment="1" applyProtection="1">
      <alignment horizontal="center" vertical="center"/>
      <protection locked="0"/>
    </xf>
    <xf numFmtId="0" fontId="15" fillId="4" borderId="16" xfId="0" applyFont="1" applyFill="1" applyBorder="1" applyAlignment="1" applyProtection="1">
      <alignment horizontal="center" vertical="center"/>
      <protection locked="0"/>
    </xf>
    <xf numFmtId="0" fontId="5" fillId="5" borderId="13" xfId="0" applyFont="1" applyFill="1" applyBorder="1" applyAlignment="1" applyProtection="1">
      <alignment horizontal="center" vertical="center"/>
      <protection locked="0"/>
    </xf>
    <xf numFmtId="0" fontId="14" fillId="4" borderId="18" xfId="0" applyFont="1" applyFill="1" applyBorder="1" applyAlignment="1">
      <alignment horizontal="center" vertical="center"/>
    </xf>
    <xf numFmtId="0" fontId="14" fillId="4" borderId="16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 wrapText="1"/>
    </xf>
    <xf numFmtId="0" fontId="6" fillId="4" borderId="19" xfId="0" applyFont="1" applyFill="1" applyBorder="1" applyAlignment="1">
      <alignment horizontal="center" vertical="center" wrapText="1"/>
    </xf>
    <xf numFmtId="0" fontId="6" fillId="4" borderId="13" xfId="0" applyFont="1" applyFill="1" applyBorder="1" applyAlignment="1">
      <alignment horizontal="center" vertical="center" wrapText="1"/>
    </xf>
    <xf numFmtId="0" fontId="6" fillId="4" borderId="14" xfId="0" applyFont="1" applyFill="1" applyBorder="1" applyAlignment="1">
      <alignment horizontal="center" vertical="center" wrapText="1"/>
    </xf>
    <xf numFmtId="0" fontId="6" fillId="4" borderId="18" xfId="0" applyFont="1" applyFill="1" applyBorder="1" applyAlignment="1">
      <alignment horizontal="center" vertical="center" wrapText="1"/>
    </xf>
    <xf numFmtId="0" fontId="6" fillId="4" borderId="16" xfId="0" applyFont="1" applyFill="1" applyBorder="1" applyAlignment="1">
      <alignment horizontal="center" vertical="center" wrapText="1"/>
    </xf>
    <xf numFmtId="0" fontId="6" fillId="4" borderId="21" xfId="0" applyFont="1" applyFill="1" applyBorder="1" applyAlignment="1">
      <alignment horizontal="center" vertical="center" wrapText="1"/>
    </xf>
    <xf numFmtId="0" fontId="6" fillId="4" borderId="22" xfId="0" applyFont="1" applyFill="1" applyBorder="1" applyAlignment="1">
      <alignment horizontal="center" vertical="center" wrapText="1"/>
    </xf>
    <xf numFmtId="0" fontId="6" fillId="4" borderId="23" xfId="0" applyFont="1" applyFill="1" applyBorder="1" applyAlignment="1">
      <alignment horizontal="center" vertical="center" wrapText="1"/>
    </xf>
    <xf numFmtId="0" fontId="6" fillId="4" borderId="12" xfId="0" applyFont="1" applyFill="1" applyBorder="1" applyAlignment="1" applyProtection="1">
      <alignment horizontal="center" vertical="center"/>
      <protection locked="0"/>
    </xf>
    <xf numFmtId="0" fontId="6" fillId="4" borderId="19" xfId="0" applyFont="1" applyFill="1" applyBorder="1" applyAlignment="1" applyProtection="1">
      <alignment horizontal="center" vertical="center"/>
      <protection locked="0"/>
    </xf>
    <xf numFmtId="14" fontId="5" fillId="5" borderId="12" xfId="0" applyNumberFormat="1" applyFont="1" applyFill="1" applyBorder="1" applyAlignment="1" applyProtection="1">
      <alignment horizontal="center" vertical="center"/>
      <protection locked="0"/>
    </xf>
    <xf numFmtId="14" fontId="5" fillId="5" borderId="19" xfId="0" applyNumberFormat="1" applyFont="1" applyFill="1" applyBorder="1" applyAlignment="1" applyProtection="1">
      <alignment horizontal="center" vertical="center"/>
      <protection locked="0"/>
    </xf>
    <xf numFmtId="14" fontId="5" fillId="5" borderId="18" xfId="0" applyNumberFormat="1" applyFont="1" applyFill="1" applyBorder="1" applyAlignment="1" applyProtection="1">
      <alignment horizontal="center" vertical="center"/>
      <protection locked="0"/>
    </xf>
    <xf numFmtId="0" fontId="5" fillId="5" borderId="16" xfId="0" applyFont="1" applyFill="1" applyBorder="1" applyAlignment="1" applyProtection="1">
      <alignment horizontal="center" vertical="center"/>
      <protection locked="0"/>
    </xf>
    <xf numFmtId="0" fontId="14" fillId="4" borderId="13" xfId="0" applyFont="1" applyFill="1" applyBorder="1" applyAlignment="1">
      <alignment horizontal="center" vertical="center"/>
    </xf>
    <xf numFmtId="0" fontId="14" fillId="4" borderId="14" xfId="0" applyFont="1" applyFill="1" applyBorder="1" applyAlignment="1">
      <alignment horizontal="center" vertical="center"/>
    </xf>
    <xf numFmtId="0" fontId="6" fillId="4" borderId="14" xfId="0" applyFont="1" applyFill="1" applyBorder="1" applyAlignment="1" applyProtection="1">
      <alignment horizontal="center" vertical="center"/>
      <protection locked="0"/>
    </xf>
    <xf numFmtId="14" fontId="5" fillId="5" borderId="13" xfId="0" applyNumberFormat="1" applyFont="1" applyFill="1" applyBorder="1" applyAlignment="1" applyProtection="1">
      <alignment horizontal="center" vertical="center"/>
      <protection locked="0"/>
    </xf>
    <xf numFmtId="14" fontId="5" fillId="5" borderId="14" xfId="0" applyNumberFormat="1" applyFont="1" applyFill="1" applyBorder="1" applyAlignment="1" applyProtection="1">
      <alignment horizontal="center" vertical="center"/>
      <protection locked="0"/>
    </xf>
    <xf numFmtId="0" fontId="16" fillId="2" borderId="0" xfId="0" applyFont="1" applyFill="1" applyAlignment="1">
      <alignment horizontal="center" vertical="center"/>
    </xf>
    <xf numFmtId="0" fontId="16" fillId="2" borderId="14" xfId="0" applyFont="1" applyFill="1" applyBorder="1" applyAlignment="1">
      <alignment horizontal="center" vertical="center"/>
    </xf>
    <xf numFmtId="14" fontId="5" fillId="15" borderId="0" xfId="0" applyNumberFormat="1" applyFont="1" applyFill="1" applyAlignment="1" applyProtection="1">
      <alignment horizontal="center" vertical="center"/>
      <protection locked="0"/>
    </xf>
    <xf numFmtId="41" fontId="5" fillId="15" borderId="0" xfId="2" applyFont="1" applyFill="1" applyAlignment="1" applyProtection="1">
      <alignment horizontal="center" vertical="center"/>
      <protection locked="0"/>
    </xf>
  </cellXfs>
  <cellStyles count="3">
    <cellStyle name="백분율" xfId="1" builtinId="5"/>
    <cellStyle name="쉼표 [0]" xfId="2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320040</xdr:colOff>
          <xdr:row>8</xdr:row>
          <xdr:rowOff>99060</xdr:rowOff>
        </xdr:from>
        <xdr:to>
          <xdr:col>2</xdr:col>
          <xdr:colOff>586740</xdr:colOff>
          <xdr:row>11</xdr:row>
          <xdr:rowOff>68580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1F Calibration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8</xdr:row>
          <xdr:rowOff>91440</xdr:rowOff>
        </xdr:from>
        <xdr:to>
          <xdr:col>4</xdr:col>
          <xdr:colOff>441960</xdr:colOff>
          <xdr:row>11</xdr:row>
          <xdr:rowOff>68580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2F Calibration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541020</xdr:colOff>
          <xdr:row>5</xdr:row>
          <xdr:rowOff>121920</xdr:rowOff>
        </xdr:from>
        <xdr:to>
          <xdr:col>32</xdr:col>
          <xdr:colOff>670560</xdr:colOff>
          <xdr:row>9</xdr:row>
          <xdr:rowOff>15240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1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O202"/>
  <sheetViews>
    <sheetView workbookViewId="0">
      <selection activeCell="G4" sqref="G4:H4"/>
    </sheetView>
  </sheetViews>
  <sheetFormatPr defaultColWidth="10.09765625" defaultRowHeight="15.6" x14ac:dyDescent="0.4"/>
  <cols>
    <col min="1" max="7" width="10.09765625" style="1"/>
    <col min="8" max="8" width="10.8984375" style="1" bestFit="1" customWidth="1"/>
    <col min="9" max="10" width="10.3984375" style="1" bestFit="1" customWidth="1"/>
    <col min="11" max="12" width="10.09765625" style="1"/>
    <col min="13" max="13" width="10.8984375" style="1" bestFit="1" customWidth="1"/>
    <col min="14" max="14" width="10.09765625" style="1"/>
    <col min="15" max="15" width="10.5" style="1" customWidth="1"/>
    <col min="16" max="16" width="10.09765625" style="1" customWidth="1"/>
    <col min="17" max="16384" width="10.09765625" style="1"/>
  </cols>
  <sheetData>
    <row r="1" spans="1:41" x14ac:dyDescent="0.4">
      <c r="A1" s="1">
        <f>1</f>
        <v>1</v>
      </c>
      <c r="B1" s="1">
        <f>A1+1</f>
        <v>2</v>
      </c>
      <c r="C1" s="1">
        <f t="shared" ref="C1:AO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>P1+1</f>
        <v>17</v>
      </c>
      <c r="R1" s="1">
        <f t="shared" si="0"/>
        <v>18</v>
      </c>
      <c r="S1" s="1">
        <f t="shared" si="0"/>
        <v>19</v>
      </c>
      <c r="T1" s="1">
        <f t="shared" si="0"/>
        <v>20</v>
      </c>
      <c r="U1" s="1">
        <f t="shared" si="0"/>
        <v>21</v>
      </c>
      <c r="V1" s="1">
        <f t="shared" si="0"/>
        <v>22</v>
      </c>
      <c r="W1" s="1">
        <f t="shared" si="0"/>
        <v>23</v>
      </c>
      <c r="X1" s="1">
        <f t="shared" si="0"/>
        <v>24</v>
      </c>
      <c r="Y1" s="1">
        <f t="shared" si="0"/>
        <v>25</v>
      </c>
      <c r="Z1" s="1">
        <f t="shared" si="0"/>
        <v>26</v>
      </c>
      <c r="AA1" s="1">
        <f t="shared" si="0"/>
        <v>27</v>
      </c>
      <c r="AB1" s="1">
        <f t="shared" si="0"/>
        <v>28</v>
      </c>
      <c r="AC1" s="1">
        <f t="shared" si="0"/>
        <v>29</v>
      </c>
      <c r="AD1" s="1">
        <f t="shared" si="0"/>
        <v>30</v>
      </c>
      <c r="AE1" s="1">
        <f t="shared" si="0"/>
        <v>31</v>
      </c>
      <c r="AF1" s="1">
        <f t="shared" si="0"/>
        <v>32</v>
      </c>
      <c r="AG1" s="1">
        <f t="shared" si="0"/>
        <v>33</v>
      </c>
      <c r="AH1" s="1">
        <f t="shared" si="0"/>
        <v>34</v>
      </c>
      <c r="AI1" s="1">
        <f t="shared" si="0"/>
        <v>35</v>
      </c>
      <c r="AJ1" s="1">
        <f t="shared" si="0"/>
        <v>36</v>
      </c>
      <c r="AK1" s="1">
        <f t="shared" si="0"/>
        <v>37</v>
      </c>
      <c r="AL1" s="1">
        <f t="shared" si="0"/>
        <v>38</v>
      </c>
      <c r="AM1" s="1">
        <f t="shared" si="0"/>
        <v>39</v>
      </c>
      <c r="AN1" s="1">
        <f t="shared" si="0"/>
        <v>40</v>
      </c>
      <c r="AO1" s="1">
        <f t="shared" si="0"/>
        <v>41</v>
      </c>
    </row>
    <row r="2" spans="1:41" x14ac:dyDescent="0.4">
      <c r="A2" s="61" t="s">
        <v>0</v>
      </c>
      <c r="B2" s="61"/>
      <c r="C2" s="61"/>
      <c r="D2" s="61"/>
      <c r="E2" s="61"/>
      <c r="F2" s="61"/>
      <c r="G2" s="61"/>
      <c r="H2" s="61"/>
      <c r="I2" s="6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</row>
    <row r="3" spans="1:41" x14ac:dyDescent="0.4">
      <c r="A3" s="61"/>
      <c r="B3" s="61"/>
      <c r="C3" s="61"/>
      <c r="D3" s="61"/>
      <c r="E3" s="61"/>
      <c r="F3" s="61"/>
      <c r="G3" s="61"/>
      <c r="H3" s="61"/>
      <c r="I3" s="61"/>
      <c r="J3" s="61"/>
      <c r="K3" s="61"/>
      <c r="L3" s="61"/>
      <c r="M3" s="61"/>
      <c r="N3" s="61"/>
      <c r="O3" s="61"/>
      <c r="P3" s="61"/>
      <c r="Q3" s="61"/>
      <c r="R3" s="61"/>
      <c r="S3" s="61"/>
      <c r="T3" s="61"/>
      <c r="U3" s="61"/>
      <c r="V3" s="61"/>
    </row>
    <row r="4" spans="1:41" x14ac:dyDescent="0.4">
      <c r="A4" s="1">
        <f>4</f>
        <v>4</v>
      </c>
      <c r="B4" s="55" t="s">
        <v>1</v>
      </c>
      <c r="C4" s="55"/>
      <c r="D4" s="56">
        <v>1</v>
      </c>
      <c r="E4" s="56"/>
      <c r="G4" s="53" t="s">
        <v>86</v>
      </c>
      <c r="H4" s="54">
        <v>0</v>
      </c>
    </row>
    <row r="5" spans="1:41" x14ac:dyDescent="0.4">
      <c r="A5" s="1">
        <f>A4+1</f>
        <v>5</v>
      </c>
      <c r="B5" s="55" t="s">
        <v>29</v>
      </c>
      <c r="C5" s="55"/>
      <c r="D5" s="71">
        <v>45538</v>
      </c>
      <c r="E5" s="56"/>
      <c r="G5" s="62" t="s">
        <v>2</v>
      </c>
      <c r="H5" s="2" t="s">
        <v>3</v>
      </c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41" x14ac:dyDescent="0.4">
      <c r="A6" s="1">
        <f t="shared" ref="A6:A69" si="1">A5+1</f>
        <v>6</v>
      </c>
      <c r="G6" s="63"/>
      <c r="H6" s="64" t="s">
        <v>4</v>
      </c>
      <c r="I6" s="65"/>
      <c r="L6" s="68" t="s">
        <v>74</v>
      </c>
      <c r="M6" s="68"/>
      <c r="N6" s="68"/>
      <c r="O6" s="72" t="s">
        <v>75</v>
      </c>
      <c r="P6" s="65"/>
      <c r="R6" s="68" t="s">
        <v>5</v>
      </c>
      <c r="S6" s="68"/>
      <c r="T6" s="68"/>
    </row>
    <row r="7" spans="1:41" x14ac:dyDescent="0.4">
      <c r="A7" s="1">
        <f t="shared" si="1"/>
        <v>7</v>
      </c>
      <c r="B7" s="55" t="s">
        <v>6</v>
      </c>
      <c r="C7" s="55"/>
      <c r="D7" s="56">
        <v>0</v>
      </c>
      <c r="E7" s="56"/>
      <c r="G7" s="63"/>
      <c r="H7" s="66"/>
      <c r="I7" s="67"/>
      <c r="L7" s="68"/>
      <c r="M7" s="68"/>
      <c r="N7" s="68"/>
      <c r="O7" s="66"/>
      <c r="P7" s="67"/>
      <c r="R7" s="68"/>
      <c r="S7" s="68"/>
      <c r="T7" s="68"/>
    </row>
    <row r="8" spans="1:41" x14ac:dyDescent="0.4">
      <c r="A8" s="1">
        <f t="shared" si="1"/>
        <v>8</v>
      </c>
      <c r="B8" s="55" t="s">
        <v>7</v>
      </c>
      <c r="C8" s="55"/>
      <c r="D8" s="56">
        <v>0.01</v>
      </c>
      <c r="E8" s="56"/>
      <c r="G8" s="63"/>
      <c r="I8" s="3" t="s">
        <v>8</v>
      </c>
      <c r="J8" s="3" t="s">
        <v>9</v>
      </c>
      <c r="K8" s="3" t="s">
        <v>10</v>
      </c>
      <c r="R8" s="68" t="s">
        <v>11</v>
      </c>
      <c r="S8" s="68"/>
      <c r="T8" s="4">
        <v>3</v>
      </c>
    </row>
    <row r="9" spans="1:41" x14ac:dyDescent="0.4">
      <c r="A9" s="1">
        <f t="shared" si="1"/>
        <v>9</v>
      </c>
      <c r="G9" s="63"/>
      <c r="H9" s="3" t="s">
        <v>12</v>
      </c>
      <c r="I9" s="5">
        <v>7.1000000000000004E-3</v>
      </c>
      <c r="J9" s="6">
        <v>1.1919304891329596E-2</v>
      </c>
      <c r="K9" s="6">
        <v>-0.8771262742377044</v>
      </c>
      <c r="N9" s="7">
        <v>44815</v>
      </c>
    </row>
    <row r="10" spans="1:41" x14ac:dyDescent="0.4">
      <c r="A10" s="1">
        <f t="shared" si="1"/>
        <v>10</v>
      </c>
      <c r="G10" s="63"/>
      <c r="H10" s="8" t="s">
        <v>13</v>
      </c>
      <c r="I10" s="69" t="s">
        <v>14</v>
      </c>
      <c r="J10" s="70"/>
      <c r="L10" s="9" t="s">
        <v>15</v>
      </c>
      <c r="M10" s="9" t="s">
        <v>28</v>
      </c>
      <c r="N10" s="8" t="s">
        <v>16</v>
      </c>
      <c r="O10" s="9" t="s">
        <v>28</v>
      </c>
      <c r="P10" s="8" t="s">
        <v>16</v>
      </c>
      <c r="R10" s="57" t="s">
        <v>17</v>
      </c>
      <c r="S10" s="57" t="s">
        <v>18</v>
      </c>
      <c r="T10" s="57" t="s">
        <v>19</v>
      </c>
      <c r="U10" s="57" t="s">
        <v>20</v>
      </c>
      <c r="V10" s="57" t="s">
        <v>21</v>
      </c>
      <c r="W10" s="57" t="s">
        <v>22</v>
      </c>
    </row>
    <row r="11" spans="1:41" x14ac:dyDescent="0.4">
      <c r="A11" s="1">
        <f t="shared" si="1"/>
        <v>11</v>
      </c>
      <c r="G11" s="63"/>
      <c r="H11" s="50">
        <v>45539</v>
      </c>
      <c r="I11" s="10">
        <v>7.1815999999999998E-3</v>
      </c>
      <c r="J11" s="11"/>
      <c r="K11" s="7">
        <v>45539</v>
      </c>
      <c r="L11" s="12">
        <v>1</v>
      </c>
      <c r="M11" s="45">
        <v>45539</v>
      </c>
      <c r="N11" s="13">
        <v>3.5068000000000001</v>
      </c>
      <c r="O11" s="45">
        <v>45539</v>
      </c>
      <c r="P11" s="13">
        <v>3.5068000000000001</v>
      </c>
      <c r="R11" s="58"/>
      <c r="S11" s="58"/>
      <c r="T11" s="58"/>
      <c r="U11" s="58"/>
      <c r="V11" s="58"/>
      <c r="W11" s="58"/>
    </row>
    <row r="12" spans="1:41" x14ac:dyDescent="0.4">
      <c r="A12" s="1">
        <f t="shared" si="1"/>
        <v>12</v>
      </c>
      <c r="G12" s="63"/>
      <c r="H12" s="50">
        <v>45569</v>
      </c>
      <c r="I12" s="10">
        <v>7.1815999999999998E-3</v>
      </c>
      <c r="J12" s="11"/>
      <c r="K12" s="7">
        <v>45569</v>
      </c>
      <c r="L12" s="12">
        <f>L11+1</f>
        <v>2</v>
      </c>
      <c r="M12" s="45">
        <v>45540</v>
      </c>
      <c r="N12" s="13">
        <v>3.5068000000000001</v>
      </c>
      <c r="O12" s="45">
        <v>45540</v>
      </c>
      <c r="P12" s="13">
        <v>3.5068000000000001</v>
      </c>
      <c r="R12" s="14">
        <v>0.25</v>
      </c>
      <c r="S12" s="14">
        <v>1</v>
      </c>
      <c r="T12" s="15">
        <v>9.1889999999999993E-3</v>
      </c>
      <c r="U12" s="10">
        <v>1.7820460811036351E-3</v>
      </c>
      <c r="V12" s="10">
        <v>1.7820460810577456E-3</v>
      </c>
      <c r="W12" s="16">
        <v>4.5889507471752466E-14</v>
      </c>
    </row>
    <row r="13" spans="1:41" x14ac:dyDescent="0.4">
      <c r="A13" s="1">
        <f t="shared" si="1"/>
        <v>13</v>
      </c>
      <c r="C13" s="17" t="s">
        <v>22</v>
      </c>
      <c r="D13" s="59" t="s">
        <v>23</v>
      </c>
      <c r="E13" s="59"/>
      <c r="G13" s="63"/>
      <c r="H13" s="50">
        <v>45629</v>
      </c>
      <c r="I13" s="10">
        <v>6.6679E-3</v>
      </c>
      <c r="J13" s="11"/>
      <c r="K13" s="7">
        <v>45629</v>
      </c>
      <c r="L13" s="12">
        <f t="shared" ref="L13:L53" si="2">L12+1</f>
        <v>3</v>
      </c>
      <c r="M13" s="45">
        <v>45630</v>
      </c>
      <c r="N13" s="13">
        <v>3.4948999999999999</v>
      </c>
      <c r="O13" s="45">
        <v>45630</v>
      </c>
      <c r="P13" s="13">
        <v>3.4948999999999999</v>
      </c>
      <c r="R13" s="14">
        <v>0.5</v>
      </c>
      <c r="S13" s="14">
        <v>2</v>
      </c>
      <c r="T13" s="15">
        <v>9.3720000000000001E-3</v>
      </c>
      <c r="U13" s="10">
        <v>5.0325525341518461E-3</v>
      </c>
      <c r="V13" s="10">
        <v>5.0325525342047673E-3</v>
      </c>
      <c r="W13" s="16">
        <v>-5.2921209081624454E-14</v>
      </c>
    </row>
    <row r="14" spans="1:41" x14ac:dyDescent="0.4">
      <c r="A14" s="1">
        <f t="shared" si="1"/>
        <v>14</v>
      </c>
      <c r="D14" s="59"/>
      <c r="E14" s="59"/>
      <c r="G14" s="63"/>
      <c r="H14" s="50">
        <v>45720</v>
      </c>
      <c r="I14" s="10">
        <v>6.6254E-3</v>
      </c>
      <c r="J14" s="11"/>
      <c r="K14" s="7">
        <v>45720</v>
      </c>
      <c r="L14" s="12">
        <f t="shared" si="2"/>
        <v>4</v>
      </c>
      <c r="M14" s="45">
        <v>45720</v>
      </c>
      <c r="N14" s="13">
        <v>3.3959000000000001</v>
      </c>
      <c r="O14" s="45">
        <v>45720</v>
      </c>
      <c r="P14" s="13">
        <v>3.3959000000000001</v>
      </c>
      <c r="R14" s="14">
        <v>0.75</v>
      </c>
      <c r="S14" s="14">
        <v>3</v>
      </c>
      <c r="T14" s="15">
        <v>9.4859999999999996E-3</v>
      </c>
      <c r="U14" s="10">
        <v>9.1647895412069226E-3</v>
      </c>
      <c r="V14" s="10">
        <v>9.1647895411654905E-3</v>
      </c>
      <c r="W14" s="16">
        <v>4.1432135500230061E-14</v>
      </c>
    </row>
    <row r="15" spans="1:41" x14ac:dyDescent="0.4">
      <c r="A15" s="1">
        <f t="shared" si="1"/>
        <v>15</v>
      </c>
      <c r="D15" s="59"/>
      <c r="E15" s="59"/>
      <c r="G15" s="63"/>
      <c r="H15" s="50">
        <v>45903</v>
      </c>
      <c r="I15" s="10">
        <v>6.3022E-3</v>
      </c>
      <c r="J15" s="11"/>
      <c r="K15" s="7">
        <v>45903</v>
      </c>
      <c r="L15" s="12">
        <f t="shared" si="2"/>
        <v>5</v>
      </c>
      <c r="M15" s="45">
        <v>45812</v>
      </c>
      <c r="N15" s="13">
        <v>3.2936000000000001</v>
      </c>
      <c r="O15" s="45">
        <v>45812</v>
      </c>
      <c r="P15" s="13">
        <v>3.2936000000000001</v>
      </c>
      <c r="R15" s="14">
        <v>1</v>
      </c>
      <c r="S15" s="14">
        <v>4</v>
      </c>
      <c r="T15" s="15">
        <v>9.6360000000000005E-3</v>
      </c>
      <c r="U15" s="10">
        <v>1.4037362284912668E-2</v>
      </c>
      <c r="V15" s="10">
        <v>1.4037362284931562E-2</v>
      </c>
      <c r="W15" s="16">
        <v>-1.8894608100339383E-14</v>
      </c>
    </row>
    <row r="16" spans="1:41" x14ac:dyDescent="0.4">
      <c r="A16" s="1">
        <f t="shared" si="1"/>
        <v>16</v>
      </c>
      <c r="G16" s="63"/>
      <c r="H16" s="50">
        <v>46268</v>
      </c>
      <c r="I16" s="10">
        <v>5.6702999999999996E-3</v>
      </c>
      <c r="J16" s="11"/>
      <c r="K16" s="7">
        <v>46268</v>
      </c>
      <c r="L16" s="12">
        <f t="shared" si="2"/>
        <v>6</v>
      </c>
      <c r="M16" s="45">
        <v>45904</v>
      </c>
      <c r="N16" s="13">
        <v>3.1911</v>
      </c>
      <c r="O16" s="45">
        <v>45904</v>
      </c>
      <c r="P16" s="13">
        <v>3.1911</v>
      </c>
      <c r="R16" s="14">
        <v>2</v>
      </c>
      <c r="S16" s="14">
        <v>5</v>
      </c>
      <c r="T16" s="15">
        <v>8.6180000000000007E-3</v>
      </c>
      <c r="U16" s="10">
        <v>2.1274647699104803E-2</v>
      </c>
      <c r="V16" s="10">
        <v>2.1274647699098086E-2</v>
      </c>
      <c r="W16" s="16">
        <v>6.7168492989821971E-15</v>
      </c>
    </row>
    <row r="17" spans="1:23" x14ac:dyDescent="0.4">
      <c r="A17" s="1">
        <f t="shared" si="1"/>
        <v>17</v>
      </c>
      <c r="D17" s="60">
        <v>45202.835729166669</v>
      </c>
      <c r="E17" s="60"/>
      <c r="G17" s="63"/>
      <c r="H17" s="50">
        <v>46633</v>
      </c>
      <c r="I17" s="10">
        <v>5.5912000000000002E-3</v>
      </c>
      <c r="J17" s="11"/>
      <c r="K17" s="7">
        <v>46633</v>
      </c>
      <c r="L17" s="12">
        <f t="shared" si="2"/>
        <v>7</v>
      </c>
      <c r="M17" s="45">
        <v>46085</v>
      </c>
      <c r="N17" s="13">
        <v>3.0758000000000001</v>
      </c>
      <c r="O17" s="45">
        <v>46085</v>
      </c>
      <c r="P17" s="13">
        <v>3.0758000000000001</v>
      </c>
      <c r="R17" s="14">
        <v>3</v>
      </c>
      <c r="S17" s="14">
        <v>7</v>
      </c>
      <c r="T17" s="15">
        <v>7.5290000000000001E-3</v>
      </c>
      <c r="U17" s="10">
        <v>3.0094260391970648E-2</v>
      </c>
      <c r="V17" s="10">
        <v>3.009426039197385E-2</v>
      </c>
      <c r="W17" s="16">
        <v>-3.2022995366531859E-15</v>
      </c>
    </row>
    <row r="18" spans="1:23" x14ac:dyDescent="0.4">
      <c r="A18" s="1">
        <f t="shared" si="1"/>
        <v>18</v>
      </c>
      <c r="D18" s="60">
        <v>45202.835729166669</v>
      </c>
      <c r="E18" s="60"/>
      <c r="G18" s="63"/>
      <c r="H18" s="50">
        <v>47001</v>
      </c>
      <c r="I18" s="10">
        <v>4.9401000000000002E-3</v>
      </c>
      <c r="J18" s="11"/>
      <c r="K18" s="7">
        <v>47001</v>
      </c>
      <c r="L18" s="12">
        <f t="shared" si="2"/>
        <v>8</v>
      </c>
      <c r="M18" s="45">
        <v>46269</v>
      </c>
      <c r="N18" s="13">
        <v>3.0028999999999999</v>
      </c>
      <c r="O18" s="45">
        <v>46269</v>
      </c>
      <c r="P18" s="13">
        <v>3.0028999999999999</v>
      </c>
      <c r="R18" s="14">
        <v>5</v>
      </c>
      <c r="S18" s="14">
        <v>10</v>
      </c>
      <c r="T18" s="15">
        <v>6.8240000000000002E-3</v>
      </c>
      <c r="U18" s="10">
        <v>4.5431966973548017E-2</v>
      </c>
      <c r="V18" s="10">
        <v>4.5431966973547483E-2</v>
      </c>
      <c r="W18" s="16">
        <v>5.3429483060085659E-16</v>
      </c>
    </row>
    <row r="19" spans="1:23" x14ac:dyDescent="0.4">
      <c r="A19" s="1">
        <f t="shared" si="1"/>
        <v>19</v>
      </c>
      <c r="G19" s="63"/>
      <c r="H19" s="50">
        <v>47363</v>
      </c>
      <c r="I19" s="10">
        <v>5.0549999999999996E-3</v>
      </c>
      <c r="J19" s="11"/>
      <c r="K19" s="7">
        <v>47363</v>
      </c>
      <c r="L19" s="12">
        <f t="shared" si="2"/>
        <v>9</v>
      </c>
      <c r="M19" s="45">
        <v>46636</v>
      </c>
      <c r="N19" s="13">
        <v>2.9298999999999999</v>
      </c>
      <c r="O19" s="45">
        <v>46636</v>
      </c>
      <c r="P19" s="13">
        <v>2.9298999999999999</v>
      </c>
      <c r="R19" s="14"/>
      <c r="S19" s="14"/>
      <c r="T19" s="15"/>
      <c r="U19" s="10"/>
      <c r="V19" s="10"/>
      <c r="W19" s="16"/>
    </row>
    <row r="20" spans="1:23" x14ac:dyDescent="0.4">
      <c r="A20" s="1">
        <f t="shared" si="1"/>
        <v>20</v>
      </c>
      <c r="G20" s="63"/>
      <c r="H20" s="50">
        <v>48093</v>
      </c>
      <c r="I20" s="10">
        <v>5.1679999999999999E-3</v>
      </c>
      <c r="J20" s="11"/>
      <c r="K20" s="7">
        <v>48093</v>
      </c>
      <c r="L20" s="12">
        <f t="shared" si="2"/>
        <v>10</v>
      </c>
      <c r="M20" s="45">
        <v>47000</v>
      </c>
      <c r="N20" s="13">
        <v>2.8999000000000001</v>
      </c>
      <c r="O20" s="45">
        <v>47000</v>
      </c>
      <c r="P20" s="13">
        <v>2.8999000000000001</v>
      </c>
      <c r="R20" s="14"/>
      <c r="S20" s="14"/>
      <c r="T20" s="15"/>
      <c r="U20" s="10"/>
      <c r="V20" s="10"/>
      <c r="W20" s="16"/>
    </row>
    <row r="21" spans="1:23" x14ac:dyDescent="0.4">
      <c r="A21" s="1">
        <f t="shared" si="1"/>
        <v>21</v>
      </c>
      <c r="G21" s="63"/>
      <c r="H21" s="50">
        <v>48906</v>
      </c>
      <c r="I21" s="10">
        <v>5.0507E-3</v>
      </c>
      <c r="J21" s="11"/>
      <c r="K21" s="7">
        <v>48906</v>
      </c>
      <c r="L21" s="12">
        <f t="shared" si="2"/>
        <v>11</v>
      </c>
      <c r="M21" s="45">
        <v>47365</v>
      </c>
      <c r="N21" s="13">
        <v>2.8929</v>
      </c>
      <c r="O21" s="45">
        <v>47365</v>
      </c>
      <c r="P21" s="13">
        <v>2.8929</v>
      </c>
      <c r="R21" s="14"/>
      <c r="S21" s="14"/>
      <c r="T21" s="15"/>
      <c r="U21" s="10"/>
      <c r="V21" s="10"/>
      <c r="W21" s="16"/>
    </row>
    <row r="22" spans="1:23" x14ac:dyDescent="0.4">
      <c r="A22" s="1">
        <f t="shared" si="1"/>
        <v>22</v>
      </c>
      <c r="G22" s="63"/>
      <c r="H22" s="50">
        <v>59856</v>
      </c>
      <c r="I22" s="10">
        <v>5.0507E-3</v>
      </c>
      <c r="J22" s="11"/>
      <c r="K22" s="7">
        <v>59856</v>
      </c>
      <c r="L22" s="12">
        <f t="shared" si="2"/>
        <v>12</v>
      </c>
      <c r="M22" s="45">
        <v>47730</v>
      </c>
      <c r="N22" s="13">
        <v>2.8881999999999999</v>
      </c>
      <c r="O22" s="45">
        <v>47730</v>
      </c>
      <c r="P22" s="13">
        <v>2.8881999999999999</v>
      </c>
      <c r="R22" s="14"/>
      <c r="S22" s="14"/>
      <c r="T22" s="15"/>
      <c r="U22" s="10"/>
      <c r="V22" s="10"/>
      <c r="W22" s="16"/>
    </row>
    <row r="23" spans="1:23" x14ac:dyDescent="0.4">
      <c r="A23" s="1">
        <f t="shared" si="1"/>
        <v>23</v>
      </c>
      <c r="B23" s="55" t="s">
        <v>24</v>
      </c>
      <c r="C23" s="55"/>
      <c r="D23" s="56">
        <v>1</v>
      </c>
      <c r="E23" s="56"/>
      <c r="G23" s="63"/>
      <c r="H23" s="50"/>
      <c r="I23" s="10"/>
      <c r="J23" s="11"/>
      <c r="L23" s="12">
        <f t="shared" si="2"/>
        <v>13</v>
      </c>
      <c r="M23" s="45">
        <v>48095</v>
      </c>
      <c r="N23" s="13">
        <v>2.8969</v>
      </c>
      <c r="O23" s="45">
        <v>48095</v>
      </c>
      <c r="P23" s="13">
        <v>2.8969</v>
      </c>
      <c r="R23" s="14"/>
      <c r="S23" s="14"/>
      <c r="T23" s="15"/>
      <c r="U23" s="10"/>
      <c r="V23" s="10"/>
      <c r="W23" s="16"/>
    </row>
    <row r="24" spans="1:23" x14ac:dyDescent="0.4">
      <c r="A24" s="1">
        <f t="shared" si="1"/>
        <v>24</v>
      </c>
      <c r="B24" s="55" t="s">
        <v>25</v>
      </c>
      <c r="C24" s="55"/>
      <c r="D24" s="56">
        <v>0</v>
      </c>
      <c r="E24" s="56"/>
      <c r="G24" s="63"/>
      <c r="H24" s="50"/>
      <c r="I24" s="10"/>
      <c r="J24" s="11"/>
      <c r="L24" s="12">
        <f t="shared" si="2"/>
        <v>14</v>
      </c>
      <c r="M24" s="45">
        <v>48463</v>
      </c>
      <c r="N24" s="13">
        <v>2.9081999999999999</v>
      </c>
      <c r="O24" s="45">
        <v>48463</v>
      </c>
      <c r="P24" s="13">
        <v>2.9081999999999999</v>
      </c>
      <c r="R24" s="14"/>
      <c r="S24" s="14"/>
      <c r="T24" s="15"/>
      <c r="U24" s="10"/>
      <c r="V24" s="10"/>
      <c r="W24" s="16"/>
    </row>
    <row r="25" spans="1:23" x14ac:dyDescent="0.4">
      <c r="A25" s="1">
        <f t="shared" si="1"/>
        <v>25</v>
      </c>
      <c r="B25" s="55" t="s">
        <v>26</v>
      </c>
      <c r="C25" s="55"/>
      <c r="D25" s="56">
        <v>-0.1</v>
      </c>
      <c r="E25" s="56"/>
      <c r="G25" s="63"/>
      <c r="H25" s="50"/>
      <c r="I25" s="10"/>
      <c r="J25" s="11"/>
      <c r="L25" s="12">
        <f t="shared" si="2"/>
        <v>15</v>
      </c>
      <c r="M25" s="45">
        <v>48827</v>
      </c>
      <c r="N25" s="13">
        <v>2.9110999999999998</v>
      </c>
      <c r="O25" s="45">
        <v>48827</v>
      </c>
      <c r="P25" s="13">
        <v>2.9110999999999998</v>
      </c>
      <c r="R25" s="14"/>
      <c r="S25" s="14"/>
      <c r="T25" s="15"/>
      <c r="U25" s="10"/>
      <c r="V25" s="10"/>
      <c r="W25" s="16"/>
    </row>
    <row r="26" spans="1:23" x14ac:dyDescent="0.4">
      <c r="A26" s="1">
        <f t="shared" si="1"/>
        <v>26</v>
      </c>
      <c r="B26" s="55" t="s">
        <v>27</v>
      </c>
      <c r="C26" s="55"/>
      <c r="D26" s="56">
        <v>0.15</v>
      </c>
      <c r="E26" s="56"/>
      <c r="G26" s="63"/>
      <c r="H26" s="50"/>
      <c r="I26" s="10"/>
      <c r="J26" s="11"/>
      <c r="L26" s="12">
        <f t="shared" si="2"/>
        <v>16</v>
      </c>
      <c r="M26" s="45">
        <v>49191</v>
      </c>
      <c r="N26" s="13">
        <v>2.9253999999999998</v>
      </c>
      <c r="O26" s="45">
        <v>49191</v>
      </c>
      <c r="P26" s="13">
        <v>2.9253999999999998</v>
      </c>
      <c r="R26" s="14"/>
      <c r="S26" s="14"/>
      <c r="T26" s="15"/>
      <c r="U26" s="10"/>
      <c r="V26" s="10"/>
      <c r="W26" s="16"/>
    </row>
    <row r="27" spans="1:23" x14ac:dyDescent="0.4">
      <c r="A27" s="1">
        <f t="shared" si="1"/>
        <v>27</v>
      </c>
      <c r="G27" s="63"/>
      <c r="H27" s="50"/>
      <c r="I27" s="10"/>
      <c r="J27" s="11"/>
      <c r="L27" s="12">
        <f t="shared" si="2"/>
        <v>17</v>
      </c>
      <c r="M27" s="45">
        <v>49922</v>
      </c>
      <c r="N27" s="13">
        <v>2.9455</v>
      </c>
      <c r="O27" s="45">
        <v>49922</v>
      </c>
      <c r="P27" s="13">
        <v>2.9455</v>
      </c>
      <c r="R27" s="14"/>
      <c r="S27" s="14"/>
      <c r="T27" s="15"/>
      <c r="U27" s="10"/>
      <c r="V27" s="10"/>
      <c r="W27" s="16"/>
    </row>
    <row r="28" spans="1:23" x14ac:dyDescent="0.4">
      <c r="A28" s="1">
        <f t="shared" si="1"/>
        <v>28</v>
      </c>
      <c r="G28" s="63"/>
      <c r="H28" s="50"/>
      <c r="I28" s="10"/>
      <c r="J28" s="11"/>
      <c r="L28" s="12">
        <f t="shared" si="2"/>
        <v>18</v>
      </c>
      <c r="M28" s="45">
        <v>51018</v>
      </c>
      <c r="N28" s="13">
        <v>2.9357000000000002</v>
      </c>
      <c r="O28" s="45">
        <v>51018</v>
      </c>
      <c r="P28" s="13">
        <v>2.9357000000000002</v>
      </c>
      <c r="R28" s="14"/>
      <c r="S28" s="14"/>
      <c r="T28" s="15"/>
      <c r="U28" s="10"/>
      <c r="V28" s="10"/>
      <c r="W28" s="16"/>
    </row>
    <row r="29" spans="1:23" x14ac:dyDescent="0.4">
      <c r="A29" s="1">
        <f t="shared" si="1"/>
        <v>29</v>
      </c>
      <c r="G29" s="63"/>
      <c r="H29" s="50"/>
      <c r="I29" s="10"/>
      <c r="J29" s="11"/>
      <c r="L29" s="12">
        <f t="shared" si="2"/>
        <v>19</v>
      </c>
      <c r="M29" s="45">
        <v>52845</v>
      </c>
      <c r="N29" s="13">
        <v>2.8538000000000001</v>
      </c>
      <c r="O29" s="45">
        <v>52845</v>
      </c>
      <c r="P29" s="13">
        <v>2.8538000000000001</v>
      </c>
      <c r="R29" s="14"/>
      <c r="S29" s="14"/>
      <c r="T29" s="15"/>
      <c r="U29" s="10"/>
      <c r="V29" s="10"/>
      <c r="W29" s="16"/>
    </row>
    <row r="30" spans="1:23" x14ac:dyDescent="0.4">
      <c r="A30" s="1">
        <f t="shared" si="1"/>
        <v>30</v>
      </c>
      <c r="G30" s="63"/>
      <c r="H30" s="50"/>
      <c r="I30" s="10"/>
      <c r="J30" s="11"/>
      <c r="L30" s="12">
        <f t="shared" si="2"/>
        <v>20</v>
      </c>
      <c r="M30" s="45">
        <v>54672</v>
      </c>
      <c r="N30" s="13">
        <v>2.7635000000000001</v>
      </c>
      <c r="O30" s="45">
        <v>54672</v>
      </c>
      <c r="P30" s="13">
        <v>2.7635000000000001</v>
      </c>
      <c r="R30" s="14"/>
      <c r="S30" s="14"/>
      <c r="T30" s="15"/>
      <c r="U30" s="10"/>
      <c r="V30" s="10"/>
      <c r="W30" s="16"/>
    </row>
    <row r="31" spans="1:23" x14ac:dyDescent="0.4">
      <c r="A31" s="1">
        <f t="shared" si="1"/>
        <v>31</v>
      </c>
      <c r="G31" s="63"/>
      <c r="H31" s="50"/>
      <c r="I31" s="10"/>
      <c r="J31" s="11"/>
      <c r="L31" s="12">
        <f t="shared" si="2"/>
        <v>21</v>
      </c>
      <c r="M31" s="45">
        <v>56496</v>
      </c>
      <c r="N31" s="13">
        <v>2.5066999999999999</v>
      </c>
      <c r="O31" s="45">
        <v>56496</v>
      </c>
      <c r="P31" s="13">
        <v>2.5066999999999999</v>
      </c>
      <c r="R31" s="14"/>
      <c r="S31" s="14"/>
      <c r="T31" s="15"/>
      <c r="U31" s="10"/>
      <c r="V31" s="10"/>
      <c r="W31" s="16"/>
    </row>
    <row r="32" spans="1:23" x14ac:dyDescent="0.4">
      <c r="A32" s="1">
        <f t="shared" si="1"/>
        <v>32</v>
      </c>
      <c r="G32" s="63"/>
      <c r="H32" s="50"/>
      <c r="I32" s="10"/>
      <c r="J32" s="11"/>
      <c r="L32" s="12">
        <f t="shared" si="2"/>
        <v>22</v>
      </c>
      <c r="M32" s="46"/>
      <c r="N32" s="18"/>
      <c r="O32" s="46"/>
      <c r="P32" s="18"/>
      <c r="R32" s="14"/>
      <c r="S32" s="14"/>
      <c r="T32" s="15"/>
      <c r="U32" s="10"/>
      <c r="V32" s="10"/>
      <c r="W32" s="16"/>
    </row>
    <row r="33" spans="1:23" x14ac:dyDescent="0.4">
      <c r="A33" s="1">
        <f t="shared" si="1"/>
        <v>33</v>
      </c>
      <c r="G33" s="63"/>
      <c r="H33" s="50"/>
      <c r="I33" s="10"/>
      <c r="J33" s="11"/>
      <c r="L33" s="12">
        <f t="shared" si="2"/>
        <v>23</v>
      </c>
      <c r="M33" s="46"/>
      <c r="N33" s="18"/>
      <c r="O33" s="46"/>
      <c r="P33" s="18"/>
      <c r="R33" s="14"/>
      <c r="S33" s="14"/>
      <c r="T33" s="15"/>
      <c r="U33" s="10"/>
      <c r="V33" s="10"/>
      <c r="W33" s="16"/>
    </row>
    <row r="34" spans="1:23" x14ac:dyDescent="0.4">
      <c r="A34" s="1">
        <f t="shared" si="1"/>
        <v>34</v>
      </c>
      <c r="G34" s="63"/>
      <c r="H34" s="50"/>
      <c r="I34" s="10"/>
      <c r="J34" s="11"/>
      <c r="L34" s="12">
        <f t="shared" si="2"/>
        <v>24</v>
      </c>
      <c r="M34" s="46"/>
      <c r="N34" s="18"/>
      <c r="O34" s="46"/>
      <c r="P34" s="18"/>
      <c r="R34" s="14"/>
      <c r="S34" s="14"/>
      <c r="T34" s="15"/>
      <c r="U34" s="10"/>
      <c r="V34" s="10"/>
      <c r="W34" s="16"/>
    </row>
    <row r="35" spans="1:23" x14ac:dyDescent="0.4">
      <c r="A35" s="1">
        <f t="shared" si="1"/>
        <v>35</v>
      </c>
      <c r="G35" s="63"/>
      <c r="H35" s="50"/>
      <c r="I35" s="10"/>
      <c r="J35" s="11"/>
      <c r="L35" s="12">
        <f t="shared" si="2"/>
        <v>25</v>
      </c>
      <c r="M35" s="46"/>
      <c r="N35" s="18"/>
      <c r="O35" s="46"/>
      <c r="P35" s="18"/>
      <c r="R35" s="14"/>
      <c r="S35" s="14"/>
      <c r="T35" s="15"/>
      <c r="U35" s="10"/>
      <c r="V35" s="10"/>
      <c r="W35" s="16"/>
    </row>
    <row r="36" spans="1:23" x14ac:dyDescent="0.4">
      <c r="A36" s="1">
        <f t="shared" si="1"/>
        <v>36</v>
      </c>
      <c r="G36" s="63"/>
      <c r="H36" s="50"/>
      <c r="I36" s="10"/>
      <c r="J36" s="11"/>
      <c r="L36" s="12">
        <f t="shared" si="2"/>
        <v>26</v>
      </c>
      <c r="M36" s="46"/>
      <c r="N36" s="18"/>
      <c r="O36" s="46"/>
      <c r="P36" s="18"/>
      <c r="R36" s="14"/>
      <c r="S36" s="14"/>
      <c r="T36" s="15"/>
      <c r="U36" s="10"/>
      <c r="V36" s="10"/>
      <c r="W36" s="16"/>
    </row>
    <row r="37" spans="1:23" x14ac:dyDescent="0.4">
      <c r="A37" s="1">
        <f t="shared" si="1"/>
        <v>37</v>
      </c>
      <c r="G37" s="63"/>
      <c r="H37" s="50"/>
      <c r="I37" s="10"/>
      <c r="J37" s="11"/>
      <c r="L37" s="12">
        <f t="shared" si="2"/>
        <v>27</v>
      </c>
      <c r="M37" s="46"/>
      <c r="N37" s="18"/>
      <c r="O37" s="46"/>
      <c r="P37" s="18"/>
      <c r="R37" s="14"/>
      <c r="S37" s="14"/>
      <c r="T37" s="15"/>
      <c r="U37" s="10"/>
      <c r="V37" s="10"/>
      <c r="W37" s="16"/>
    </row>
    <row r="38" spans="1:23" x14ac:dyDescent="0.4">
      <c r="A38" s="1">
        <f t="shared" si="1"/>
        <v>38</v>
      </c>
      <c r="G38" s="63"/>
      <c r="H38" s="50"/>
      <c r="I38" s="10"/>
      <c r="J38" s="11"/>
      <c r="L38" s="12">
        <f t="shared" si="2"/>
        <v>28</v>
      </c>
      <c r="M38" s="46"/>
      <c r="N38" s="18"/>
      <c r="O38" s="46"/>
      <c r="P38" s="18"/>
      <c r="R38" s="14"/>
      <c r="S38" s="14"/>
      <c r="T38" s="15"/>
      <c r="U38" s="10"/>
      <c r="V38" s="10"/>
      <c r="W38" s="16"/>
    </row>
    <row r="39" spans="1:23" x14ac:dyDescent="0.4">
      <c r="A39" s="1">
        <f t="shared" si="1"/>
        <v>39</v>
      </c>
      <c r="G39" s="63"/>
      <c r="H39" s="50"/>
      <c r="I39" s="10"/>
      <c r="J39" s="11"/>
      <c r="L39" s="12">
        <f t="shared" si="2"/>
        <v>29</v>
      </c>
      <c r="M39" s="46"/>
      <c r="N39" s="18"/>
      <c r="O39" s="46"/>
      <c r="P39" s="18"/>
      <c r="R39" s="14"/>
      <c r="S39" s="14"/>
      <c r="T39" s="15"/>
      <c r="U39" s="10"/>
      <c r="V39" s="10"/>
      <c r="W39" s="16"/>
    </row>
    <row r="40" spans="1:23" x14ac:dyDescent="0.4">
      <c r="A40" s="1">
        <f t="shared" si="1"/>
        <v>40</v>
      </c>
      <c r="G40" s="63"/>
      <c r="H40" s="50"/>
      <c r="I40" s="10"/>
      <c r="J40" s="11"/>
      <c r="L40" s="12">
        <f t="shared" si="2"/>
        <v>30</v>
      </c>
      <c r="M40" s="46"/>
      <c r="N40" s="18"/>
      <c r="O40" s="46"/>
      <c r="P40" s="18"/>
      <c r="R40" s="14"/>
      <c r="S40" s="14"/>
      <c r="T40" s="15"/>
      <c r="U40" s="10"/>
      <c r="V40" s="10"/>
      <c r="W40" s="16"/>
    </row>
    <row r="41" spans="1:23" x14ac:dyDescent="0.4">
      <c r="A41" s="1">
        <f t="shared" si="1"/>
        <v>41</v>
      </c>
      <c r="G41" s="19"/>
      <c r="H41" s="50"/>
      <c r="I41" s="10"/>
      <c r="J41" s="11"/>
      <c r="L41" s="12">
        <f t="shared" si="2"/>
        <v>31</v>
      </c>
      <c r="M41" s="46"/>
      <c r="N41" s="18"/>
      <c r="O41" s="46"/>
      <c r="P41" s="18"/>
      <c r="R41" s="14"/>
      <c r="S41" s="14"/>
      <c r="T41" s="15"/>
      <c r="U41" s="10"/>
      <c r="V41" s="10"/>
      <c r="W41" s="16"/>
    </row>
    <row r="42" spans="1:23" x14ac:dyDescent="0.4">
      <c r="A42" s="1">
        <f t="shared" si="1"/>
        <v>42</v>
      </c>
      <c r="G42" s="19"/>
      <c r="H42" s="50"/>
      <c r="I42" s="10"/>
      <c r="J42" s="11"/>
      <c r="L42" s="12">
        <f t="shared" si="2"/>
        <v>32</v>
      </c>
      <c r="M42" s="46"/>
      <c r="N42" s="18"/>
      <c r="O42" s="46"/>
      <c r="P42" s="18"/>
      <c r="R42" s="14"/>
      <c r="S42" s="14"/>
      <c r="T42" s="15"/>
      <c r="U42" s="10"/>
      <c r="V42" s="10"/>
      <c r="W42" s="16"/>
    </row>
    <row r="43" spans="1:23" x14ac:dyDescent="0.4">
      <c r="A43" s="1">
        <f t="shared" si="1"/>
        <v>43</v>
      </c>
      <c r="G43" s="19"/>
      <c r="H43" s="50"/>
      <c r="I43" s="10"/>
      <c r="J43" s="11"/>
      <c r="L43" s="12">
        <f t="shared" si="2"/>
        <v>33</v>
      </c>
      <c r="M43" s="46"/>
      <c r="N43" s="18"/>
      <c r="O43" s="46"/>
      <c r="P43" s="18"/>
      <c r="R43" s="14"/>
      <c r="S43" s="14"/>
      <c r="T43" s="15"/>
      <c r="U43" s="10"/>
      <c r="V43" s="10"/>
      <c r="W43" s="16"/>
    </row>
    <row r="44" spans="1:23" x14ac:dyDescent="0.4">
      <c r="A44" s="1">
        <f t="shared" si="1"/>
        <v>44</v>
      </c>
      <c r="G44" s="19"/>
      <c r="H44" s="50"/>
      <c r="I44" s="10"/>
      <c r="J44" s="11"/>
      <c r="L44" s="12">
        <f t="shared" si="2"/>
        <v>34</v>
      </c>
      <c r="M44" s="46"/>
      <c r="N44" s="18"/>
      <c r="O44" s="46"/>
      <c r="P44" s="18"/>
      <c r="R44" s="14"/>
      <c r="S44" s="14"/>
      <c r="T44" s="15"/>
      <c r="U44" s="10"/>
      <c r="V44" s="10"/>
      <c r="W44" s="16"/>
    </row>
    <row r="45" spans="1:23" x14ac:dyDescent="0.4">
      <c r="A45" s="1">
        <f t="shared" si="1"/>
        <v>45</v>
      </c>
      <c r="G45" s="19"/>
      <c r="H45" s="50"/>
      <c r="I45" s="10"/>
      <c r="J45" s="11"/>
      <c r="L45" s="12">
        <f t="shared" si="2"/>
        <v>35</v>
      </c>
      <c r="M45" s="46"/>
      <c r="N45" s="18"/>
      <c r="O45" s="46"/>
      <c r="P45" s="18"/>
      <c r="R45" s="14"/>
      <c r="S45" s="14"/>
      <c r="T45" s="15"/>
      <c r="U45" s="10"/>
      <c r="V45" s="10"/>
      <c r="W45" s="16"/>
    </row>
    <row r="46" spans="1:23" x14ac:dyDescent="0.4">
      <c r="A46" s="1">
        <f t="shared" si="1"/>
        <v>46</v>
      </c>
      <c r="G46" s="19"/>
      <c r="H46" s="50"/>
      <c r="I46" s="10"/>
      <c r="J46" s="11"/>
      <c r="L46" s="12">
        <f t="shared" si="2"/>
        <v>36</v>
      </c>
      <c r="M46" s="46"/>
      <c r="N46" s="18"/>
      <c r="O46" s="46"/>
      <c r="P46" s="18"/>
      <c r="R46" s="14"/>
      <c r="S46" s="14"/>
      <c r="T46" s="15"/>
      <c r="U46" s="10"/>
      <c r="V46" s="10"/>
      <c r="W46" s="16"/>
    </row>
    <row r="47" spans="1:23" x14ac:dyDescent="0.4">
      <c r="A47" s="1">
        <f t="shared" si="1"/>
        <v>47</v>
      </c>
      <c r="G47" s="19"/>
      <c r="H47" s="50"/>
      <c r="I47" s="10"/>
      <c r="J47" s="11"/>
      <c r="L47" s="12">
        <f t="shared" si="2"/>
        <v>37</v>
      </c>
      <c r="M47" s="46"/>
      <c r="N47" s="18"/>
      <c r="O47" s="46"/>
      <c r="P47" s="18"/>
      <c r="R47" s="14"/>
      <c r="S47" s="14"/>
      <c r="T47" s="15"/>
      <c r="U47" s="10"/>
      <c r="V47" s="10"/>
      <c r="W47" s="16"/>
    </row>
    <row r="48" spans="1:23" x14ac:dyDescent="0.4">
      <c r="A48" s="1">
        <f t="shared" si="1"/>
        <v>48</v>
      </c>
      <c r="G48" s="19"/>
      <c r="H48" s="50"/>
      <c r="I48" s="10"/>
      <c r="J48" s="11"/>
      <c r="L48" s="12">
        <f t="shared" si="2"/>
        <v>38</v>
      </c>
      <c r="M48" s="46"/>
      <c r="N48" s="18"/>
      <c r="O48" s="46"/>
      <c r="P48" s="18"/>
      <c r="R48" s="14"/>
      <c r="S48" s="14"/>
      <c r="T48" s="15"/>
      <c r="U48" s="10"/>
      <c r="V48" s="10"/>
      <c r="W48" s="16"/>
    </row>
    <row r="49" spans="1:23" x14ac:dyDescent="0.4">
      <c r="A49" s="1">
        <f t="shared" si="1"/>
        <v>49</v>
      </c>
      <c r="G49" s="19"/>
      <c r="H49" s="50"/>
      <c r="I49" s="10"/>
      <c r="J49" s="11"/>
      <c r="L49" s="12">
        <f t="shared" si="2"/>
        <v>39</v>
      </c>
      <c r="M49" s="46"/>
      <c r="N49" s="18"/>
      <c r="O49" s="46"/>
      <c r="P49" s="18"/>
      <c r="R49" s="14"/>
      <c r="S49" s="14"/>
      <c r="T49" s="15"/>
      <c r="U49" s="10"/>
      <c r="V49" s="10"/>
      <c r="W49" s="16"/>
    </row>
    <row r="50" spans="1:23" x14ac:dyDescent="0.4">
      <c r="A50" s="1">
        <f t="shared" si="1"/>
        <v>50</v>
      </c>
      <c r="G50" s="19"/>
      <c r="H50" s="50"/>
      <c r="I50" s="10"/>
      <c r="J50" s="11"/>
      <c r="L50" s="12">
        <f t="shared" si="2"/>
        <v>40</v>
      </c>
      <c r="M50" s="46"/>
      <c r="N50" s="18"/>
      <c r="O50" s="46"/>
      <c r="P50" s="18"/>
      <c r="R50" s="14"/>
      <c r="S50" s="14"/>
      <c r="T50" s="15"/>
      <c r="U50" s="10"/>
      <c r="V50" s="10"/>
      <c r="W50" s="16"/>
    </row>
    <row r="51" spans="1:23" x14ac:dyDescent="0.4">
      <c r="A51" s="1">
        <f t="shared" si="1"/>
        <v>51</v>
      </c>
      <c r="G51" s="19"/>
      <c r="H51" s="50"/>
      <c r="I51" s="10"/>
      <c r="J51" s="11"/>
      <c r="L51" s="12">
        <f t="shared" si="2"/>
        <v>41</v>
      </c>
      <c r="M51" s="46"/>
      <c r="N51" s="18"/>
      <c r="O51" s="46"/>
      <c r="P51" s="18"/>
      <c r="R51" s="14"/>
      <c r="S51" s="14"/>
      <c r="T51" s="15"/>
      <c r="U51" s="10"/>
      <c r="V51" s="10"/>
      <c r="W51" s="16"/>
    </row>
    <row r="52" spans="1:23" x14ac:dyDescent="0.4">
      <c r="A52" s="1">
        <f t="shared" si="1"/>
        <v>52</v>
      </c>
      <c r="G52" s="19"/>
      <c r="H52" s="50"/>
      <c r="I52" s="10"/>
      <c r="J52" s="11"/>
      <c r="L52" s="12">
        <f t="shared" si="2"/>
        <v>42</v>
      </c>
      <c r="M52" s="46"/>
      <c r="N52" s="18"/>
      <c r="O52" s="46"/>
      <c r="P52" s="18"/>
      <c r="R52" s="14"/>
      <c r="S52" s="14"/>
      <c r="T52" s="15"/>
      <c r="U52" s="10"/>
      <c r="V52" s="10"/>
      <c r="W52" s="16"/>
    </row>
    <row r="53" spans="1:23" x14ac:dyDescent="0.4">
      <c r="A53" s="1">
        <f t="shared" si="1"/>
        <v>53</v>
      </c>
      <c r="G53" s="19"/>
      <c r="H53" s="50"/>
      <c r="I53" s="10"/>
      <c r="J53" s="11"/>
      <c r="L53" s="12">
        <f t="shared" si="2"/>
        <v>43</v>
      </c>
      <c r="M53" s="46"/>
      <c r="N53" s="18"/>
      <c r="O53" s="46"/>
      <c r="P53" s="18"/>
      <c r="R53" s="14"/>
      <c r="S53" s="14"/>
      <c r="T53" s="15"/>
      <c r="U53" s="10"/>
      <c r="V53" s="10"/>
      <c r="W53" s="16"/>
    </row>
    <row r="54" spans="1:23" x14ac:dyDescent="0.4">
      <c r="A54" s="1">
        <f t="shared" si="1"/>
        <v>54</v>
      </c>
    </row>
    <row r="55" spans="1:23" ht="15.6" customHeight="1" x14ac:dyDescent="0.4">
      <c r="A55" s="1">
        <f t="shared" si="1"/>
        <v>55</v>
      </c>
    </row>
    <row r="56" spans="1:23" x14ac:dyDescent="0.4">
      <c r="A56" s="1">
        <f t="shared" si="1"/>
        <v>56</v>
      </c>
    </row>
    <row r="57" spans="1:23" x14ac:dyDescent="0.4">
      <c r="A57" s="1">
        <f t="shared" si="1"/>
        <v>57</v>
      </c>
    </row>
    <row r="58" spans="1:23" x14ac:dyDescent="0.4">
      <c r="A58" s="1">
        <f t="shared" si="1"/>
        <v>58</v>
      </c>
    </row>
    <row r="59" spans="1:23" x14ac:dyDescent="0.4">
      <c r="A59" s="1">
        <f t="shared" si="1"/>
        <v>59</v>
      </c>
    </row>
    <row r="60" spans="1:23" x14ac:dyDescent="0.4">
      <c r="A60" s="1">
        <f t="shared" si="1"/>
        <v>60</v>
      </c>
    </row>
    <row r="61" spans="1:23" x14ac:dyDescent="0.4">
      <c r="A61" s="1">
        <f t="shared" si="1"/>
        <v>61</v>
      </c>
    </row>
    <row r="62" spans="1:23" x14ac:dyDescent="0.4">
      <c r="A62" s="1">
        <f t="shared" si="1"/>
        <v>62</v>
      </c>
    </row>
    <row r="63" spans="1:23" x14ac:dyDescent="0.4">
      <c r="A63" s="1">
        <f t="shared" si="1"/>
        <v>63</v>
      </c>
    </row>
    <row r="64" spans="1:23" x14ac:dyDescent="0.4">
      <c r="A64" s="1">
        <f t="shared" si="1"/>
        <v>64</v>
      </c>
    </row>
    <row r="65" spans="1:1" x14ac:dyDescent="0.4">
      <c r="A65" s="1">
        <f t="shared" si="1"/>
        <v>65</v>
      </c>
    </row>
    <row r="66" spans="1:1" x14ac:dyDescent="0.4">
      <c r="A66" s="1">
        <f t="shared" si="1"/>
        <v>66</v>
      </c>
    </row>
    <row r="67" spans="1:1" x14ac:dyDescent="0.4">
      <c r="A67" s="1">
        <f t="shared" si="1"/>
        <v>67</v>
      </c>
    </row>
    <row r="68" spans="1:1" x14ac:dyDescent="0.4">
      <c r="A68" s="1">
        <f t="shared" si="1"/>
        <v>68</v>
      </c>
    </row>
    <row r="69" spans="1:1" x14ac:dyDescent="0.4">
      <c r="A69" s="1">
        <f t="shared" si="1"/>
        <v>69</v>
      </c>
    </row>
    <row r="70" spans="1:1" x14ac:dyDescent="0.4">
      <c r="A70" s="1">
        <f t="shared" ref="A70:A133" si="3">A69+1</f>
        <v>70</v>
      </c>
    </row>
    <row r="71" spans="1:1" x14ac:dyDescent="0.4">
      <c r="A71" s="1">
        <f t="shared" si="3"/>
        <v>71</v>
      </c>
    </row>
    <row r="72" spans="1:1" x14ac:dyDescent="0.4">
      <c r="A72" s="1">
        <f t="shared" si="3"/>
        <v>72</v>
      </c>
    </row>
    <row r="73" spans="1:1" x14ac:dyDescent="0.4">
      <c r="A73" s="1">
        <f t="shared" si="3"/>
        <v>73</v>
      </c>
    </row>
    <row r="74" spans="1:1" x14ac:dyDescent="0.4">
      <c r="A74" s="1">
        <f t="shared" si="3"/>
        <v>74</v>
      </c>
    </row>
    <row r="75" spans="1:1" x14ac:dyDescent="0.4">
      <c r="A75" s="1">
        <f t="shared" si="3"/>
        <v>75</v>
      </c>
    </row>
    <row r="76" spans="1:1" x14ac:dyDescent="0.4">
      <c r="A76" s="1">
        <f t="shared" si="3"/>
        <v>76</v>
      </c>
    </row>
    <row r="77" spans="1:1" x14ac:dyDescent="0.4">
      <c r="A77" s="1">
        <f t="shared" si="3"/>
        <v>77</v>
      </c>
    </row>
    <row r="78" spans="1:1" x14ac:dyDescent="0.4">
      <c r="A78" s="1">
        <f t="shared" si="3"/>
        <v>78</v>
      </c>
    </row>
    <row r="79" spans="1:1" x14ac:dyDescent="0.4">
      <c r="A79" s="1">
        <f t="shared" si="3"/>
        <v>79</v>
      </c>
    </row>
    <row r="80" spans="1:1" x14ac:dyDescent="0.4">
      <c r="A80" s="1">
        <f t="shared" si="3"/>
        <v>80</v>
      </c>
    </row>
    <row r="81" spans="1:1" x14ac:dyDescent="0.4">
      <c r="A81" s="1">
        <f t="shared" si="3"/>
        <v>81</v>
      </c>
    </row>
    <row r="82" spans="1:1" x14ac:dyDescent="0.4">
      <c r="A82" s="1">
        <f t="shared" si="3"/>
        <v>82</v>
      </c>
    </row>
    <row r="83" spans="1:1" x14ac:dyDescent="0.4">
      <c r="A83" s="1">
        <f t="shared" si="3"/>
        <v>83</v>
      </c>
    </row>
    <row r="84" spans="1:1" x14ac:dyDescent="0.4">
      <c r="A84" s="1">
        <f t="shared" si="3"/>
        <v>84</v>
      </c>
    </row>
    <row r="85" spans="1:1" x14ac:dyDescent="0.4">
      <c r="A85" s="1">
        <f t="shared" si="3"/>
        <v>85</v>
      </c>
    </row>
    <row r="86" spans="1:1" x14ac:dyDescent="0.4">
      <c r="A86" s="1">
        <f t="shared" si="3"/>
        <v>86</v>
      </c>
    </row>
    <row r="87" spans="1:1" x14ac:dyDescent="0.4">
      <c r="A87" s="1">
        <f t="shared" si="3"/>
        <v>87</v>
      </c>
    </row>
    <row r="88" spans="1:1" x14ac:dyDescent="0.4">
      <c r="A88" s="1">
        <f t="shared" si="3"/>
        <v>88</v>
      </c>
    </row>
    <row r="89" spans="1:1" x14ac:dyDescent="0.4">
      <c r="A89" s="1">
        <f t="shared" si="3"/>
        <v>89</v>
      </c>
    </row>
    <row r="90" spans="1:1" x14ac:dyDescent="0.4">
      <c r="A90" s="1">
        <f t="shared" si="3"/>
        <v>90</v>
      </c>
    </row>
    <row r="91" spans="1:1" x14ac:dyDescent="0.4">
      <c r="A91" s="1">
        <f t="shared" si="3"/>
        <v>91</v>
      </c>
    </row>
    <row r="92" spans="1:1" x14ac:dyDescent="0.4">
      <c r="A92" s="1">
        <f t="shared" si="3"/>
        <v>92</v>
      </c>
    </row>
    <row r="93" spans="1:1" x14ac:dyDescent="0.4">
      <c r="A93" s="1">
        <f t="shared" si="3"/>
        <v>93</v>
      </c>
    </row>
    <row r="94" spans="1:1" x14ac:dyDescent="0.4">
      <c r="A94" s="1">
        <f t="shared" si="3"/>
        <v>94</v>
      </c>
    </row>
    <row r="95" spans="1:1" x14ac:dyDescent="0.4">
      <c r="A95" s="1">
        <f t="shared" si="3"/>
        <v>95</v>
      </c>
    </row>
    <row r="96" spans="1:1" x14ac:dyDescent="0.4">
      <c r="A96" s="1">
        <f t="shared" si="3"/>
        <v>96</v>
      </c>
    </row>
    <row r="97" spans="1:1" x14ac:dyDescent="0.4">
      <c r="A97" s="1">
        <f t="shared" si="3"/>
        <v>97</v>
      </c>
    </row>
    <row r="98" spans="1:1" x14ac:dyDescent="0.4">
      <c r="A98" s="1">
        <f t="shared" si="3"/>
        <v>98</v>
      </c>
    </row>
    <row r="99" spans="1:1" x14ac:dyDescent="0.4">
      <c r="A99" s="1">
        <f t="shared" si="3"/>
        <v>99</v>
      </c>
    </row>
    <row r="100" spans="1:1" x14ac:dyDescent="0.4">
      <c r="A100" s="1">
        <f t="shared" si="3"/>
        <v>100</v>
      </c>
    </row>
    <row r="101" spans="1:1" x14ac:dyDescent="0.4">
      <c r="A101" s="1">
        <f t="shared" si="3"/>
        <v>101</v>
      </c>
    </row>
    <row r="102" spans="1:1" x14ac:dyDescent="0.4">
      <c r="A102" s="1">
        <f t="shared" si="3"/>
        <v>102</v>
      </c>
    </row>
    <row r="103" spans="1:1" x14ac:dyDescent="0.4">
      <c r="A103" s="1">
        <f t="shared" si="3"/>
        <v>103</v>
      </c>
    </row>
    <row r="104" spans="1:1" x14ac:dyDescent="0.4">
      <c r="A104" s="1">
        <f t="shared" si="3"/>
        <v>104</v>
      </c>
    </row>
    <row r="105" spans="1:1" x14ac:dyDescent="0.4">
      <c r="A105" s="1">
        <f t="shared" si="3"/>
        <v>105</v>
      </c>
    </row>
    <row r="106" spans="1:1" x14ac:dyDescent="0.4">
      <c r="A106" s="1">
        <f t="shared" si="3"/>
        <v>106</v>
      </c>
    </row>
    <row r="107" spans="1:1" x14ac:dyDescent="0.4">
      <c r="A107" s="1">
        <f t="shared" si="3"/>
        <v>107</v>
      </c>
    </row>
    <row r="108" spans="1:1" x14ac:dyDescent="0.4">
      <c r="A108" s="1">
        <f t="shared" si="3"/>
        <v>108</v>
      </c>
    </row>
    <row r="109" spans="1:1" x14ac:dyDescent="0.4">
      <c r="A109" s="1">
        <f t="shared" si="3"/>
        <v>109</v>
      </c>
    </row>
    <row r="110" spans="1:1" x14ac:dyDescent="0.4">
      <c r="A110" s="1">
        <f t="shared" si="3"/>
        <v>110</v>
      </c>
    </row>
    <row r="111" spans="1:1" x14ac:dyDescent="0.4">
      <c r="A111" s="1">
        <f t="shared" si="3"/>
        <v>111</v>
      </c>
    </row>
    <row r="112" spans="1:1" x14ac:dyDescent="0.4">
      <c r="A112" s="1">
        <f t="shared" si="3"/>
        <v>112</v>
      </c>
    </row>
    <row r="113" spans="1:1" x14ac:dyDescent="0.4">
      <c r="A113" s="1">
        <f t="shared" si="3"/>
        <v>113</v>
      </c>
    </row>
    <row r="114" spans="1:1" x14ac:dyDescent="0.4">
      <c r="A114" s="1">
        <f t="shared" si="3"/>
        <v>114</v>
      </c>
    </row>
    <row r="115" spans="1:1" x14ac:dyDescent="0.4">
      <c r="A115" s="1">
        <f t="shared" si="3"/>
        <v>115</v>
      </c>
    </row>
    <row r="116" spans="1:1" x14ac:dyDescent="0.4">
      <c r="A116" s="1">
        <f t="shared" si="3"/>
        <v>116</v>
      </c>
    </row>
    <row r="117" spans="1:1" x14ac:dyDescent="0.4">
      <c r="A117" s="1">
        <f t="shared" si="3"/>
        <v>117</v>
      </c>
    </row>
    <row r="118" spans="1:1" x14ac:dyDescent="0.4">
      <c r="A118" s="1">
        <f t="shared" si="3"/>
        <v>118</v>
      </c>
    </row>
    <row r="119" spans="1:1" x14ac:dyDescent="0.4">
      <c r="A119" s="1">
        <f t="shared" si="3"/>
        <v>119</v>
      </c>
    </row>
    <row r="120" spans="1:1" x14ac:dyDescent="0.4">
      <c r="A120" s="1">
        <f t="shared" si="3"/>
        <v>120</v>
      </c>
    </row>
    <row r="121" spans="1:1" x14ac:dyDescent="0.4">
      <c r="A121" s="1">
        <f t="shared" si="3"/>
        <v>121</v>
      </c>
    </row>
    <row r="122" spans="1:1" x14ac:dyDescent="0.4">
      <c r="A122" s="1">
        <f t="shared" si="3"/>
        <v>122</v>
      </c>
    </row>
    <row r="123" spans="1:1" x14ac:dyDescent="0.4">
      <c r="A123" s="1">
        <f t="shared" si="3"/>
        <v>123</v>
      </c>
    </row>
    <row r="124" spans="1:1" x14ac:dyDescent="0.4">
      <c r="A124" s="1">
        <f t="shared" si="3"/>
        <v>124</v>
      </c>
    </row>
    <row r="125" spans="1:1" x14ac:dyDescent="0.4">
      <c r="A125" s="1">
        <f t="shared" si="3"/>
        <v>125</v>
      </c>
    </row>
    <row r="126" spans="1:1" x14ac:dyDescent="0.4">
      <c r="A126" s="1">
        <f t="shared" si="3"/>
        <v>126</v>
      </c>
    </row>
    <row r="127" spans="1:1" x14ac:dyDescent="0.4">
      <c r="A127" s="1">
        <f t="shared" si="3"/>
        <v>127</v>
      </c>
    </row>
    <row r="128" spans="1:1" x14ac:dyDescent="0.4">
      <c r="A128" s="1">
        <f t="shared" si="3"/>
        <v>128</v>
      </c>
    </row>
    <row r="129" spans="1:1" x14ac:dyDescent="0.4">
      <c r="A129" s="1">
        <f t="shared" si="3"/>
        <v>129</v>
      </c>
    </row>
    <row r="130" spans="1:1" x14ac:dyDescent="0.4">
      <c r="A130" s="1">
        <f t="shared" si="3"/>
        <v>130</v>
      </c>
    </row>
    <row r="131" spans="1:1" x14ac:dyDescent="0.4">
      <c r="A131" s="1">
        <f t="shared" si="3"/>
        <v>131</v>
      </c>
    </row>
    <row r="132" spans="1:1" x14ac:dyDescent="0.4">
      <c r="A132" s="1">
        <f t="shared" si="3"/>
        <v>132</v>
      </c>
    </row>
    <row r="133" spans="1:1" x14ac:dyDescent="0.4">
      <c r="A133" s="1">
        <f t="shared" si="3"/>
        <v>133</v>
      </c>
    </row>
    <row r="134" spans="1:1" x14ac:dyDescent="0.4">
      <c r="A134" s="1">
        <f t="shared" ref="A134:A197" si="4">A133+1</f>
        <v>134</v>
      </c>
    </row>
    <row r="135" spans="1:1" x14ac:dyDescent="0.4">
      <c r="A135" s="1">
        <f t="shared" si="4"/>
        <v>135</v>
      </c>
    </row>
    <row r="136" spans="1:1" x14ac:dyDescent="0.4">
      <c r="A136" s="1">
        <f t="shared" si="4"/>
        <v>136</v>
      </c>
    </row>
    <row r="137" spans="1:1" x14ac:dyDescent="0.4">
      <c r="A137" s="1">
        <f t="shared" si="4"/>
        <v>137</v>
      </c>
    </row>
    <row r="138" spans="1:1" x14ac:dyDescent="0.4">
      <c r="A138" s="1">
        <f t="shared" si="4"/>
        <v>138</v>
      </c>
    </row>
    <row r="139" spans="1:1" x14ac:dyDescent="0.4">
      <c r="A139" s="1">
        <f t="shared" si="4"/>
        <v>139</v>
      </c>
    </row>
    <row r="140" spans="1:1" x14ac:dyDescent="0.4">
      <c r="A140" s="1">
        <f t="shared" si="4"/>
        <v>140</v>
      </c>
    </row>
    <row r="141" spans="1:1" x14ac:dyDescent="0.4">
      <c r="A141" s="1">
        <f t="shared" si="4"/>
        <v>141</v>
      </c>
    </row>
    <row r="142" spans="1:1" x14ac:dyDescent="0.4">
      <c r="A142" s="1">
        <f t="shared" si="4"/>
        <v>142</v>
      </c>
    </row>
    <row r="143" spans="1:1" x14ac:dyDescent="0.4">
      <c r="A143" s="1">
        <f t="shared" si="4"/>
        <v>143</v>
      </c>
    </row>
    <row r="144" spans="1:1" x14ac:dyDescent="0.4">
      <c r="A144" s="1">
        <f t="shared" si="4"/>
        <v>144</v>
      </c>
    </row>
    <row r="145" spans="1:1" x14ac:dyDescent="0.4">
      <c r="A145" s="1">
        <f t="shared" si="4"/>
        <v>145</v>
      </c>
    </row>
    <row r="146" spans="1:1" x14ac:dyDescent="0.4">
      <c r="A146" s="1">
        <f t="shared" si="4"/>
        <v>146</v>
      </c>
    </row>
    <row r="147" spans="1:1" x14ac:dyDescent="0.4">
      <c r="A147" s="1">
        <f t="shared" si="4"/>
        <v>147</v>
      </c>
    </row>
    <row r="148" spans="1:1" x14ac:dyDescent="0.4">
      <c r="A148" s="1">
        <f t="shared" si="4"/>
        <v>148</v>
      </c>
    </row>
    <row r="149" spans="1:1" x14ac:dyDescent="0.4">
      <c r="A149" s="1">
        <f t="shared" si="4"/>
        <v>149</v>
      </c>
    </row>
    <row r="150" spans="1:1" x14ac:dyDescent="0.4">
      <c r="A150" s="1">
        <f t="shared" si="4"/>
        <v>150</v>
      </c>
    </row>
    <row r="151" spans="1:1" x14ac:dyDescent="0.4">
      <c r="A151" s="1">
        <f t="shared" si="4"/>
        <v>151</v>
      </c>
    </row>
    <row r="152" spans="1:1" x14ac:dyDescent="0.4">
      <c r="A152" s="1">
        <f t="shared" si="4"/>
        <v>152</v>
      </c>
    </row>
    <row r="153" spans="1:1" x14ac:dyDescent="0.4">
      <c r="A153" s="1">
        <f t="shared" si="4"/>
        <v>153</v>
      </c>
    </row>
    <row r="154" spans="1:1" x14ac:dyDescent="0.4">
      <c r="A154" s="1">
        <f t="shared" si="4"/>
        <v>154</v>
      </c>
    </row>
    <row r="155" spans="1:1" x14ac:dyDescent="0.4">
      <c r="A155" s="1">
        <f t="shared" si="4"/>
        <v>155</v>
      </c>
    </row>
    <row r="156" spans="1:1" x14ac:dyDescent="0.4">
      <c r="A156" s="1">
        <f t="shared" si="4"/>
        <v>156</v>
      </c>
    </row>
    <row r="157" spans="1:1" x14ac:dyDescent="0.4">
      <c r="A157" s="1">
        <f t="shared" si="4"/>
        <v>157</v>
      </c>
    </row>
    <row r="158" spans="1:1" x14ac:dyDescent="0.4">
      <c r="A158" s="1">
        <f t="shared" si="4"/>
        <v>158</v>
      </c>
    </row>
    <row r="159" spans="1:1" x14ac:dyDescent="0.4">
      <c r="A159" s="1">
        <f t="shared" si="4"/>
        <v>159</v>
      </c>
    </row>
    <row r="160" spans="1:1" x14ac:dyDescent="0.4">
      <c r="A160" s="1">
        <f t="shared" si="4"/>
        <v>160</v>
      </c>
    </row>
    <row r="161" spans="1:1" x14ac:dyDescent="0.4">
      <c r="A161" s="1">
        <f t="shared" si="4"/>
        <v>161</v>
      </c>
    </row>
    <row r="162" spans="1:1" x14ac:dyDescent="0.4">
      <c r="A162" s="1">
        <f t="shared" si="4"/>
        <v>162</v>
      </c>
    </row>
    <row r="163" spans="1:1" x14ac:dyDescent="0.4">
      <c r="A163" s="1">
        <f t="shared" si="4"/>
        <v>163</v>
      </c>
    </row>
    <row r="164" spans="1:1" x14ac:dyDescent="0.4">
      <c r="A164" s="1">
        <f t="shared" si="4"/>
        <v>164</v>
      </c>
    </row>
    <row r="165" spans="1:1" x14ac:dyDescent="0.4">
      <c r="A165" s="1">
        <f t="shared" si="4"/>
        <v>165</v>
      </c>
    </row>
    <row r="166" spans="1:1" x14ac:dyDescent="0.4">
      <c r="A166" s="1">
        <f t="shared" si="4"/>
        <v>166</v>
      </c>
    </row>
    <row r="167" spans="1:1" x14ac:dyDescent="0.4">
      <c r="A167" s="1">
        <f t="shared" si="4"/>
        <v>167</v>
      </c>
    </row>
    <row r="168" spans="1:1" x14ac:dyDescent="0.4">
      <c r="A168" s="1">
        <f t="shared" si="4"/>
        <v>168</v>
      </c>
    </row>
    <row r="169" spans="1:1" x14ac:dyDescent="0.4">
      <c r="A169" s="1">
        <f t="shared" si="4"/>
        <v>169</v>
      </c>
    </row>
    <row r="170" spans="1:1" x14ac:dyDescent="0.4">
      <c r="A170" s="1">
        <f t="shared" si="4"/>
        <v>170</v>
      </c>
    </row>
    <row r="171" spans="1:1" x14ac:dyDescent="0.4">
      <c r="A171" s="1">
        <f t="shared" si="4"/>
        <v>171</v>
      </c>
    </row>
    <row r="172" spans="1:1" x14ac:dyDescent="0.4">
      <c r="A172" s="1">
        <f t="shared" si="4"/>
        <v>172</v>
      </c>
    </row>
    <row r="173" spans="1:1" x14ac:dyDescent="0.4">
      <c r="A173" s="1">
        <f t="shared" si="4"/>
        <v>173</v>
      </c>
    </row>
    <row r="174" spans="1:1" x14ac:dyDescent="0.4">
      <c r="A174" s="1">
        <f t="shared" si="4"/>
        <v>174</v>
      </c>
    </row>
    <row r="175" spans="1:1" x14ac:dyDescent="0.4">
      <c r="A175" s="1">
        <f t="shared" si="4"/>
        <v>175</v>
      </c>
    </row>
    <row r="176" spans="1:1" x14ac:dyDescent="0.4">
      <c r="A176" s="1">
        <f t="shared" si="4"/>
        <v>176</v>
      </c>
    </row>
    <row r="177" spans="1:1" x14ac:dyDescent="0.4">
      <c r="A177" s="1">
        <f t="shared" si="4"/>
        <v>177</v>
      </c>
    </row>
    <row r="178" spans="1:1" x14ac:dyDescent="0.4">
      <c r="A178" s="1">
        <f t="shared" si="4"/>
        <v>178</v>
      </c>
    </row>
    <row r="179" spans="1:1" x14ac:dyDescent="0.4">
      <c r="A179" s="1">
        <f t="shared" si="4"/>
        <v>179</v>
      </c>
    </row>
    <row r="180" spans="1:1" x14ac:dyDescent="0.4">
      <c r="A180" s="1">
        <f t="shared" si="4"/>
        <v>180</v>
      </c>
    </row>
    <row r="181" spans="1:1" x14ac:dyDescent="0.4">
      <c r="A181" s="1">
        <f t="shared" si="4"/>
        <v>181</v>
      </c>
    </row>
    <row r="182" spans="1:1" x14ac:dyDescent="0.4">
      <c r="A182" s="1">
        <f t="shared" si="4"/>
        <v>182</v>
      </c>
    </row>
    <row r="183" spans="1:1" x14ac:dyDescent="0.4">
      <c r="A183" s="1">
        <f t="shared" si="4"/>
        <v>183</v>
      </c>
    </row>
    <row r="184" spans="1:1" x14ac:dyDescent="0.4">
      <c r="A184" s="1">
        <f t="shared" si="4"/>
        <v>184</v>
      </c>
    </row>
    <row r="185" spans="1:1" x14ac:dyDescent="0.4">
      <c r="A185" s="1">
        <f t="shared" si="4"/>
        <v>185</v>
      </c>
    </row>
    <row r="186" spans="1:1" x14ac:dyDescent="0.4">
      <c r="A186" s="1">
        <f t="shared" si="4"/>
        <v>186</v>
      </c>
    </row>
    <row r="187" spans="1:1" x14ac:dyDescent="0.4">
      <c r="A187" s="1">
        <f t="shared" si="4"/>
        <v>187</v>
      </c>
    </row>
    <row r="188" spans="1:1" x14ac:dyDescent="0.4">
      <c r="A188" s="1">
        <f t="shared" si="4"/>
        <v>188</v>
      </c>
    </row>
    <row r="189" spans="1:1" x14ac:dyDescent="0.4">
      <c r="A189" s="1">
        <f t="shared" si="4"/>
        <v>189</v>
      </c>
    </row>
    <row r="190" spans="1:1" x14ac:dyDescent="0.4">
      <c r="A190" s="1">
        <f t="shared" si="4"/>
        <v>190</v>
      </c>
    </row>
    <row r="191" spans="1:1" x14ac:dyDescent="0.4">
      <c r="A191" s="1">
        <f t="shared" si="4"/>
        <v>191</v>
      </c>
    </row>
    <row r="192" spans="1:1" x14ac:dyDescent="0.4">
      <c r="A192" s="1">
        <f t="shared" si="4"/>
        <v>192</v>
      </c>
    </row>
    <row r="193" spans="1:1" x14ac:dyDescent="0.4">
      <c r="A193" s="1">
        <f t="shared" si="4"/>
        <v>193</v>
      </c>
    </row>
    <row r="194" spans="1:1" x14ac:dyDescent="0.4">
      <c r="A194" s="1">
        <f t="shared" si="4"/>
        <v>194</v>
      </c>
    </row>
    <row r="195" spans="1:1" x14ac:dyDescent="0.4">
      <c r="A195" s="1">
        <f t="shared" si="4"/>
        <v>195</v>
      </c>
    </row>
    <row r="196" spans="1:1" x14ac:dyDescent="0.4">
      <c r="A196" s="1">
        <f t="shared" si="4"/>
        <v>196</v>
      </c>
    </row>
    <row r="197" spans="1:1" x14ac:dyDescent="0.4">
      <c r="A197" s="1">
        <f t="shared" si="4"/>
        <v>197</v>
      </c>
    </row>
    <row r="198" spans="1:1" x14ac:dyDescent="0.4">
      <c r="A198" s="1">
        <f t="shared" ref="A198:A202" si="5">A197+1</f>
        <v>198</v>
      </c>
    </row>
    <row r="199" spans="1:1" x14ac:dyDescent="0.4">
      <c r="A199" s="1">
        <f t="shared" si="5"/>
        <v>199</v>
      </c>
    </row>
    <row r="200" spans="1:1" x14ac:dyDescent="0.4">
      <c r="A200" s="1">
        <f t="shared" si="5"/>
        <v>200</v>
      </c>
    </row>
    <row r="201" spans="1:1" x14ac:dyDescent="0.4">
      <c r="A201" s="1">
        <f t="shared" si="5"/>
        <v>201</v>
      </c>
    </row>
    <row r="202" spans="1:1" x14ac:dyDescent="0.4">
      <c r="A202" s="1">
        <f t="shared" si="5"/>
        <v>202</v>
      </c>
    </row>
  </sheetData>
  <mergeCells count="33">
    <mergeCell ref="R8:S8"/>
    <mergeCell ref="I10:J10"/>
    <mergeCell ref="R10:R11"/>
    <mergeCell ref="S10:S11"/>
    <mergeCell ref="B5:C5"/>
    <mergeCell ref="D5:E5"/>
    <mergeCell ref="O6:P7"/>
    <mergeCell ref="A2:V3"/>
    <mergeCell ref="B4:C4"/>
    <mergeCell ref="D4:E4"/>
    <mergeCell ref="G5:G40"/>
    <mergeCell ref="H6:I7"/>
    <mergeCell ref="L6:N7"/>
    <mergeCell ref="R6:T7"/>
    <mergeCell ref="B7:C7"/>
    <mergeCell ref="D7:E7"/>
    <mergeCell ref="B8:C8"/>
    <mergeCell ref="B23:C23"/>
    <mergeCell ref="D23:E23"/>
    <mergeCell ref="B24:C24"/>
    <mergeCell ref="D24:E24"/>
    <mergeCell ref="B25:C25"/>
    <mergeCell ref="D8:E8"/>
    <mergeCell ref="W10:W11"/>
    <mergeCell ref="D13:E15"/>
    <mergeCell ref="D17:E17"/>
    <mergeCell ref="D18:E18"/>
    <mergeCell ref="T10:T11"/>
    <mergeCell ref="B26:C26"/>
    <mergeCell ref="D26:E26"/>
    <mergeCell ref="D25:E25"/>
    <mergeCell ref="U10:U11"/>
    <mergeCell ref="V10:V11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heet1.HW1FCali">
                <anchor moveWithCells="1" sizeWithCells="1">
                  <from>
                    <xdr:col>1</xdr:col>
                    <xdr:colOff>320040</xdr:colOff>
                    <xdr:row>8</xdr:row>
                    <xdr:rowOff>99060</xdr:rowOff>
                  </from>
                  <to>
                    <xdr:col>2</xdr:col>
                    <xdr:colOff>586740</xdr:colOff>
                    <xdr:row>11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Button 10">
              <controlPr defaultSize="0" print="0" autoFill="0" autoPict="0" macro="[0]!Sheet1.HW2FCali">
                <anchor moveWithCells="1" sizeWithCells="1">
                  <from>
                    <xdr:col>3</xdr:col>
                    <xdr:colOff>114300</xdr:colOff>
                    <xdr:row>8</xdr:row>
                    <xdr:rowOff>91440</xdr:rowOff>
                  </from>
                  <to>
                    <xdr:col>4</xdr:col>
                    <xdr:colOff>441960</xdr:colOff>
                    <xdr:row>11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E76"/>
  <sheetViews>
    <sheetView tabSelected="1" workbookViewId="0">
      <selection activeCell="F3" sqref="F3:G3"/>
    </sheetView>
  </sheetViews>
  <sheetFormatPr defaultColWidth="12.5" defaultRowHeight="17.399999999999999" x14ac:dyDescent="0.4"/>
  <cols>
    <col min="1" max="1" width="12.5" style="20"/>
    <col min="2" max="3" width="12.5" style="26"/>
    <col min="4" max="19" width="12.5" style="20"/>
    <col min="20" max="20" width="12.5" style="27"/>
    <col min="21" max="21" width="12.5" style="28"/>
    <col min="22" max="22" width="12.5" style="20"/>
    <col min="23" max="23" width="12.5" style="27"/>
    <col min="24" max="24" width="12.5" style="34"/>
    <col min="25" max="25" width="12.5" style="27"/>
    <col min="26" max="26" width="12.5" style="36"/>
    <col min="27" max="27" width="12.5" style="20"/>
    <col min="28" max="28" width="12.5" style="41"/>
    <col min="29" max="30" width="12.5" style="42"/>
    <col min="31" max="31" width="12.5" style="44"/>
    <col min="32" max="32" width="17.59765625" style="48" bestFit="1" customWidth="1"/>
    <col min="33" max="35" width="12.5" style="42"/>
    <col min="36" max="36" width="12.5" style="44"/>
    <col min="37" max="37" width="18.09765625" style="48" bestFit="1" customWidth="1"/>
    <col min="38" max="39" width="12.5" style="20"/>
    <col min="40" max="40" width="15.3984375" style="20" bestFit="1" customWidth="1"/>
    <col min="41" max="16384" width="12.5" style="20"/>
  </cols>
  <sheetData>
    <row r="1" spans="1:57" x14ac:dyDescent="0.4">
      <c r="A1" s="21">
        <v>1</v>
      </c>
      <c r="B1" s="21">
        <f>A1+1</f>
        <v>2</v>
      </c>
      <c r="C1" s="21">
        <f t="shared" ref="C1:BE1" si="0">B1+1</f>
        <v>3</v>
      </c>
      <c r="D1" s="21">
        <f t="shared" si="0"/>
        <v>4</v>
      </c>
      <c r="E1" s="21">
        <f t="shared" si="0"/>
        <v>5</v>
      </c>
      <c r="F1" s="21">
        <f t="shared" si="0"/>
        <v>6</v>
      </c>
      <c r="G1" s="21">
        <f t="shared" si="0"/>
        <v>7</v>
      </c>
      <c r="H1" s="21">
        <f t="shared" si="0"/>
        <v>8</v>
      </c>
      <c r="I1" s="21">
        <f t="shared" si="0"/>
        <v>9</v>
      </c>
      <c r="J1" s="21">
        <f t="shared" si="0"/>
        <v>10</v>
      </c>
      <c r="K1" s="21">
        <f t="shared" si="0"/>
        <v>11</v>
      </c>
      <c r="L1" s="21">
        <f t="shared" si="0"/>
        <v>12</v>
      </c>
      <c r="M1" s="21">
        <f t="shared" si="0"/>
        <v>13</v>
      </c>
      <c r="N1" s="21">
        <f t="shared" si="0"/>
        <v>14</v>
      </c>
      <c r="O1" s="21">
        <f t="shared" si="0"/>
        <v>15</v>
      </c>
      <c r="P1" s="21">
        <f t="shared" si="0"/>
        <v>16</v>
      </c>
      <c r="Q1" s="21">
        <f t="shared" si="0"/>
        <v>17</v>
      </c>
      <c r="R1" s="21">
        <f t="shared" si="0"/>
        <v>18</v>
      </c>
      <c r="S1" s="21">
        <f t="shared" si="0"/>
        <v>19</v>
      </c>
      <c r="T1" s="21">
        <f t="shared" si="0"/>
        <v>20</v>
      </c>
      <c r="U1" s="21">
        <f t="shared" si="0"/>
        <v>21</v>
      </c>
      <c r="V1" s="21">
        <f t="shared" si="0"/>
        <v>22</v>
      </c>
      <c r="W1" s="21">
        <f t="shared" si="0"/>
        <v>23</v>
      </c>
      <c r="X1" s="21">
        <f t="shared" si="0"/>
        <v>24</v>
      </c>
      <c r="Y1" s="21">
        <f t="shared" si="0"/>
        <v>25</v>
      </c>
      <c r="Z1" s="21">
        <f t="shared" si="0"/>
        <v>26</v>
      </c>
      <c r="AA1" s="21">
        <f t="shared" si="0"/>
        <v>27</v>
      </c>
      <c r="AB1" s="21">
        <f t="shared" si="0"/>
        <v>28</v>
      </c>
      <c r="AC1" s="21">
        <f t="shared" si="0"/>
        <v>29</v>
      </c>
      <c r="AD1" s="21">
        <f t="shared" si="0"/>
        <v>30</v>
      </c>
      <c r="AE1" s="21">
        <f t="shared" si="0"/>
        <v>31</v>
      </c>
      <c r="AF1" s="21">
        <f t="shared" si="0"/>
        <v>32</v>
      </c>
      <c r="AG1" s="21">
        <f t="shared" si="0"/>
        <v>33</v>
      </c>
      <c r="AH1" s="21">
        <f t="shared" si="0"/>
        <v>34</v>
      </c>
      <c r="AI1" s="21">
        <f t="shared" si="0"/>
        <v>35</v>
      </c>
      <c r="AJ1" s="21">
        <f t="shared" si="0"/>
        <v>36</v>
      </c>
      <c r="AK1" s="21">
        <f t="shared" si="0"/>
        <v>37</v>
      </c>
      <c r="AL1" s="21">
        <f t="shared" si="0"/>
        <v>38</v>
      </c>
      <c r="AM1" s="21">
        <f t="shared" si="0"/>
        <v>39</v>
      </c>
      <c r="AN1" s="21">
        <f t="shared" si="0"/>
        <v>40</v>
      </c>
      <c r="AO1" s="21">
        <f t="shared" si="0"/>
        <v>41</v>
      </c>
      <c r="AP1" s="21">
        <f t="shared" si="0"/>
        <v>42</v>
      </c>
      <c r="AQ1" s="21">
        <f t="shared" si="0"/>
        <v>43</v>
      </c>
      <c r="AR1" s="21">
        <f t="shared" si="0"/>
        <v>44</v>
      </c>
      <c r="AS1" s="21">
        <f t="shared" si="0"/>
        <v>45</v>
      </c>
      <c r="AT1" s="21">
        <f t="shared" si="0"/>
        <v>46</v>
      </c>
      <c r="AU1" s="21">
        <f t="shared" si="0"/>
        <v>47</v>
      </c>
      <c r="AV1" s="21">
        <f t="shared" si="0"/>
        <v>48</v>
      </c>
      <c r="AW1" s="21">
        <f t="shared" si="0"/>
        <v>49</v>
      </c>
      <c r="AX1" s="21">
        <f t="shared" si="0"/>
        <v>50</v>
      </c>
      <c r="AY1" s="21">
        <f t="shared" si="0"/>
        <v>51</v>
      </c>
      <c r="AZ1" s="21">
        <f t="shared" si="0"/>
        <v>52</v>
      </c>
      <c r="BA1" s="21">
        <f t="shared" si="0"/>
        <v>53</v>
      </c>
      <c r="BB1" s="21">
        <f t="shared" si="0"/>
        <v>54</v>
      </c>
      <c r="BC1" s="21">
        <f t="shared" si="0"/>
        <v>55</v>
      </c>
      <c r="BD1" s="21">
        <f t="shared" si="0"/>
        <v>56</v>
      </c>
      <c r="BE1" s="21">
        <f t="shared" si="0"/>
        <v>57</v>
      </c>
    </row>
    <row r="2" spans="1:57" x14ac:dyDescent="0.4">
      <c r="A2" s="21">
        <f>A1+1</f>
        <v>2</v>
      </c>
      <c r="B2" s="51" t="s">
        <v>86</v>
      </c>
      <c r="C2" s="52">
        <v>0</v>
      </c>
      <c r="T2" s="20"/>
      <c r="U2" s="20"/>
      <c r="W2" s="20"/>
      <c r="X2" s="20"/>
      <c r="Y2" s="20"/>
      <c r="Z2" s="20"/>
      <c r="AB2" s="20"/>
      <c r="AC2" s="20"/>
      <c r="AD2" s="20"/>
      <c r="AE2" s="20"/>
      <c r="AF2" s="20"/>
      <c r="AG2" s="20"/>
      <c r="AH2" s="20"/>
      <c r="AI2" s="20"/>
      <c r="AJ2" s="20"/>
      <c r="AK2" s="20"/>
    </row>
    <row r="3" spans="1:57" x14ac:dyDescent="0.4">
      <c r="A3" s="21">
        <f t="shared" ref="A3:A61" si="1">A2+1</f>
        <v>3</v>
      </c>
      <c r="B3" s="114" t="s">
        <v>30</v>
      </c>
      <c r="C3" s="114"/>
      <c r="D3" s="149">
        <v>45538</v>
      </c>
      <c r="E3" s="91"/>
      <c r="F3" s="73" t="s">
        <v>87</v>
      </c>
      <c r="G3" s="73"/>
      <c r="H3" s="91">
        <v>0</v>
      </c>
      <c r="I3" s="91"/>
      <c r="J3" s="73" t="s">
        <v>31</v>
      </c>
      <c r="K3" s="73"/>
      <c r="L3" s="150">
        <v>40000000000</v>
      </c>
      <c r="M3" s="150"/>
      <c r="O3" s="133" t="s">
        <v>49</v>
      </c>
      <c r="P3" s="134"/>
      <c r="Q3" s="134"/>
      <c r="R3" s="135"/>
      <c r="T3" s="125" t="s">
        <v>55</v>
      </c>
      <c r="U3" s="126"/>
      <c r="W3" s="116" t="s">
        <v>76</v>
      </c>
      <c r="X3" s="117"/>
      <c r="Y3" s="116" t="s">
        <v>77</v>
      </c>
      <c r="Z3" s="117"/>
      <c r="AB3" s="84" t="s">
        <v>65</v>
      </c>
      <c r="AC3" s="85"/>
      <c r="AD3" s="85"/>
      <c r="AE3" s="85"/>
      <c r="AF3" s="85"/>
      <c r="AG3" s="85"/>
      <c r="AH3" s="85"/>
      <c r="AI3" s="85"/>
      <c r="AJ3" s="85"/>
      <c r="AK3" s="85"/>
      <c r="AL3" s="85"/>
      <c r="AM3" s="86"/>
    </row>
    <row r="4" spans="1:57" x14ac:dyDescent="0.4">
      <c r="A4" s="21">
        <f t="shared" si="1"/>
        <v>4</v>
      </c>
      <c r="B4" s="20"/>
      <c r="C4" s="20"/>
      <c r="O4" s="136" t="s">
        <v>48</v>
      </c>
      <c r="P4" s="137"/>
      <c r="Q4" s="138">
        <v>43819</v>
      </c>
      <c r="R4" s="139"/>
      <c r="T4" s="29" t="s">
        <v>56</v>
      </c>
      <c r="U4" s="30" t="s">
        <v>57</v>
      </c>
      <c r="W4" s="37" t="s">
        <v>59</v>
      </c>
      <c r="X4" s="38" t="s">
        <v>16</v>
      </c>
      <c r="Y4" s="37" t="s">
        <v>59</v>
      </c>
      <c r="Z4" s="38" t="s">
        <v>16</v>
      </c>
      <c r="AB4" s="87"/>
      <c r="AC4" s="88"/>
      <c r="AD4" s="88"/>
      <c r="AE4" s="88"/>
      <c r="AF4" s="88"/>
      <c r="AG4" s="88"/>
      <c r="AH4" s="88"/>
      <c r="AI4" s="88"/>
      <c r="AJ4" s="88"/>
      <c r="AK4" s="88"/>
      <c r="AL4" s="88"/>
      <c r="AM4" s="89"/>
    </row>
    <row r="5" spans="1:57" x14ac:dyDescent="0.4">
      <c r="A5" s="21">
        <f t="shared" si="1"/>
        <v>5</v>
      </c>
      <c r="B5" s="84" t="s">
        <v>47</v>
      </c>
      <c r="C5" s="85"/>
      <c r="D5" s="85"/>
      <c r="E5" s="85"/>
      <c r="F5" s="85"/>
      <c r="G5" s="85"/>
      <c r="H5" s="85"/>
      <c r="I5" s="85"/>
      <c r="J5" s="85"/>
      <c r="K5" s="85"/>
      <c r="L5" s="85"/>
      <c r="M5" s="86"/>
      <c r="O5" s="113" t="s">
        <v>50</v>
      </c>
      <c r="P5" s="144"/>
      <c r="Q5" s="145">
        <v>49298</v>
      </c>
      <c r="R5" s="146"/>
      <c r="T5" s="24">
        <v>45292</v>
      </c>
      <c r="U5" s="25">
        <v>45651</v>
      </c>
      <c r="W5" s="32">
        <v>45292</v>
      </c>
      <c r="X5" s="33">
        <v>3.6999999999999998E-2</v>
      </c>
      <c r="Y5" s="32">
        <v>45292</v>
      </c>
      <c r="Z5" s="35">
        <v>3.5000000000000003E-2</v>
      </c>
      <c r="AB5" s="20"/>
      <c r="AC5" s="20"/>
      <c r="AD5" s="20"/>
      <c r="AE5" s="20"/>
      <c r="AF5" s="20"/>
      <c r="AG5" s="20"/>
      <c r="AH5" s="20"/>
      <c r="AI5" s="20"/>
      <c r="AJ5" s="20"/>
      <c r="AK5" s="20"/>
    </row>
    <row r="6" spans="1:57" x14ac:dyDescent="0.4">
      <c r="A6" s="21">
        <f t="shared" si="1"/>
        <v>6</v>
      </c>
      <c r="B6" s="87"/>
      <c r="C6" s="88"/>
      <c r="D6" s="88"/>
      <c r="E6" s="88"/>
      <c r="F6" s="88"/>
      <c r="G6" s="88"/>
      <c r="H6" s="88"/>
      <c r="I6" s="88"/>
      <c r="J6" s="88"/>
      <c r="K6" s="88"/>
      <c r="L6" s="88"/>
      <c r="M6" s="89"/>
      <c r="O6" s="142" t="s">
        <v>42</v>
      </c>
      <c r="P6" s="143"/>
      <c r="Q6" s="124">
        <v>0</v>
      </c>
      <c r="R6" s="75"/>
      <c r="W6" s="27">
        <v>44769</v>
      </c>
      <c r="X6" s="34">
        <v>3.6999999999999998E-2</v>
      </c>
      <c r="Y6" s="27">
        <v>44769</v>
      </c>
      <c r="Z6" s="36">
        <v>0.03</v>
      </c>
      <c r="AB6" s="73" t="s">
        <v>66</v>
      </c>
      <c r="AC6" s="73"/>
      <c r="AD6" s="91">
        <v>0</v>
      </c>
      <c r="AE6" s="91"/>
      <c r="AF6" s="20"/>
      <c r="AG6" s="20"/>
      <c r="AH6" s="20"/>
      <c r="AI6" s="20"/>
      <c r="AJ6" s="20"/>
      <c r="AK6" s="20"/>
    </row>
    <row r="7" spans="1:57" x14ac:dyDescent="0.4">
      <c r="A7" s="21">
        <f t="shared" si="1"/>
        <v>7</v>
      </c>
      <c r="B7" s="73" t="s">
        <v>32</v>
      </c>
      <c r="C7" s="73"/>
      <c r="D7" s="90">
        <v>1</v>
      </c>
      <c r="E7" s="91"/>
      <c r="F7" s="73" t="s">
        <v>33</v>
      </c>
      <c r="G7" s="73"/>
      <c r="H7" s="90">
        <v>1</v>
      </c>
      <c r="I7" s="91"/>
      <c r="J7" s="73" t="s">
        <v>85</v>
      </c>
      <c r="K7" s="73"/>
      <c r="L7" s="74">
        <v>0</v>
      </c>
      <c r="M7" s="75"/>
      <c r="O7" s="125" t="str">
        <f>IF(Q6&gt;0,"Phase2날짜","")</f>
        <v/>
      </c>
      <c r="P7" s="126"/>
      <c r="Q7" s="140">
        <f>EDATE(Q4,12)</f>
        <v>44185</v>
      </c>
      <c r="R7" s="141"/>
      <c r="W7" s="27">
        <v>44815</v>
      </c>
      <c r="X7" s="34">
        <v>3.6999999999999998E-2</v>
      </c>
      <c r="Y7" s="27">
        <v>44815</v>
      </c>
      <c r="Z7" s="34">
        <v>0.03</v>
      </c>
      <c r="AB7" s="73" t="s">
        <v>79</v>
      </c>
      <c r="AC7" s="73"/>
      <c r="AD7" s="91">
        <v>0</v>
      </c>
      <c r="AE7" s="91"/>
      <c r="AF7" s="20"/>
      <c r="AG7" s="20"/>
      <c r="AH7" s="20"/>
      <c r="AI7" s="20"/>
      <c r="AJ7" s="20"/>
      <c r="AK7" s="20"/>
    </row>
    <row r="8" spans="1:57" x14ac:dyDescent="0.4">
      <c r="A8" s="21">
        <f t="shared" si="1"/>
        <v>8</v>
      </c>
      <c r="B8" s="22"/>
      <c r="C8" s="22"/>
      <c r="D8" s="22"/>
      <c r="E8" s="22"/>
      <c r="F8" s="22"/>
      <c r="G8" s="22"/>
      <c r="H8" s="22"/>
      <c r="I8" s="22"/>
      <c r="J8" s="22"/>
      <c r="K8" s="22"/>
      <c r="L8" s="22"/>
      <c r="M8" s="22"/>
      <c r="W8" s="27">
        <v>45463</v>
      </c>
      <c r="X8" s="34">
        <v>3.5999999999999997E-2</v>
      </c>
      <c r="Y8" s="27">
        <v>45463</v>
      </c>
      <c r="Z8" s="34">
        <v>3.5999999999999997E-2</v>
      </c>
      <c r="AB8" s="20"/>
      <c r="AC8" s="20"/>
      <c r="AD8" s="20"/>
      <c r="AE8" s="20"/>
      <c r="AF8" s="20"/>
      <c r="AG8" s="20"/>
      <c r="AH8" s="20"/>
      <c r="AI8" s="20"/>
      <c r="AJ8" s="20"/>
      <c r="AK8" s="20"/>
    </row>
    <row r="9" spans="1:57" x14ac:dyDescent="0.4">
      <c r="A9" s="21">
        <f t="shared" si="1"/>
        <v>9</v>
      </c>
      <c r="B9" s="127" t="str">
        <f>"기초금리정보"</f>
        <v>기초금리정보</v>
      </c>
      <c r="C9" s="128"/>
      <c r="D9" s="55" t="s">
        <v>34</v>
      </c>
      <c r="E9" s="55"/>
      <c r="F9" s="74">
        <v>0</v>
      </c>
      <c r="G9" s="75"/>
      <c r="H9" s="23"/>
      <c r="I9" s="22"/>
      <c r="J9" s="92" t="str">
        <f>IF(OR(F10 = 0, F10 = 2, F10 = 4), "RefType = "&amp;F10&amp;" 이므로 Ref Swap 금리정보 사용안함", "사용")</f>
        <v>사용</v>
      </c>
      <c r="K9" s="93"/>
      <c r="L9" s="93"/>
      <c r="M9" s="94"/>
      <c r="O9" s="100" t="s">
        <v>52</v>
      </c>
      <c r="P9" s="100"/>
      <c r="Q9" s="100"/>
      <c r="R9" s="100"/>
      <c r="AB9" s="20"/>
      <c r="AC9" s="20"/>
      <c r="AD9" s="20">
        <v>940293287.59126413</v>
      </c>
      <c r="AE9" s="20"/>
      <c r="AF9" s="20"/>
      <c r="AG9" s="20"/>
      <c r="AH9" s="20"/>
      <c r="AI9" s="20"/>
      <c r="AJ9" s="20"/>
      <c r="AK9" s="20"/>
    </row>
    <row r="10" spans="1:57" ht="17.399999999999999" customHeight="1" x14ac:dyDescent="0.4">
      <c r="A10" s="21">
        <f t="shared" si="1"/>
        <v>10</v>
      </c>
      <c r="B10" s="129"/>
      <c r="C10" s="130"/>
      <c r="D10" s="55" t="s">
        <v>35</v>
      </c>
      <c r="E10" s="95"/>
      <c r="F10" s="96">
        <v>1</v>
      </c>
      <c r="G10" s="97"/>
      <c r="H10" s="92" t="str">
        <f xml:space="preserve"> "Swap 레퍼런스금리정보"</f>
        <v>Swap 레퍼런스금리정보</v>
      </c>
      <c r="I10" s="93"/>
      <c r="J10" s="80" t="str">
        <f>IF(OR(F10 = 0, F10 = 2, F10 = 4), "", "연 지급횟수")</f>
        <v>연 지급횟수</v>
      </c>
      <c r="K10" s="81"/>
      <c r="L10" s="91">
        <v>4</v>
      </c>
      <c r="M10" s="99"/>
      <c r="O10" s="100" t="s">
        <v>51</v>
      </c>
      <c r="P10" s="100"/>
      <c r="Q10" s="124">
        <v>4</v>
      </c>
      <c r="R10" s="75"/>
      <c r="AB10" s="113" t="s">
        <v>78</v>
      </c>
      <c r="AC10" s="114"/>
      <c r="AD10" s="115">
        <v>890546084.84454477</v>
      </c>
      <c r="AE10" s="115"/>
      <c r="AF10" s="20"/>
      <c r="AG10" s="20"/>
      <c r="AH10" s="20"/>
      <c r="AI10" s="20"/>
      <c r="AJ10" s="20"/>
      <c r="AK10" s="20"/>
    </row>
    <row r="11" spans="1:57" x14ac:dyDescent="0.4">
      <c r="A11" s="21">
        <f t="shared" si="1"/>
        <v>11</v>
      </c>
      <c r="B11" s="129"/>
      <c r="C11" s="130"/>
      <c r="D11" s="100" t="s">
        <v>36</v>
      </c>
      <c r="E11" s="100"/>
      <c r="F11" s="74">
        <v>0</v>
      </c>
      <c r="G11" s="75"/>
      <c r="H11" s="98"/>
      <c r="I11" s="80"/>
      <c r="J11" s="80" t="str">
        <f>IF(F11=0, "만기", "입력X, 아래만기2개입력")</f>
        <v>만기</v>
      </c>
      <c r="K11" s="81"/>
      <c r="L11" s="82">
        <v>0.25</v>
      </c>
      <c r="M11" s="83"/>
      <c r="O11" s="100" t="s">
        <v>53</v>
      </c>
      <c r="P11" s="100"/>
      <c r="Q11" s="124">
        <v>0</v>
      </c>
      <c r="R11" s="75"/>
      <c r="AB11" s="20"/>
      <c r="AC11" s="20"/>
      <c r="AD11" s="20">
        <v>798615000</v>
      </c>
      <c r="AE11" s="49">
        <f>(AD11-AD10)/L3</f>
        <v>-2.2982771211136192E-3</v>
      </c>
      <c r="AF11" s="20"/>
      <c r="AG11" s="20"/>
      <c r="AH11" s="20"/>
      <c r="AI11" s="20"/>
      <c r="AJ11" s="20"/>
      <c r="AK11" s="20"/>
    </row>
    <row r="12" spans="1:57" x14ac:dyDescent="0.4">
      <c r="A12" s="21">
        <f t="shared" si="1"/>
        <v>12</v>
      </c>
      <c r="B12" s="129"/>
      <c r="C12" s="130"/>
      <c r="D12" s="100" t="s">
        <v>37</v>
      </c>
      <c r="E12" s="100"/>
      <c r="F12" s="109">
        <v>1</v>
      </c>
      <c r="G12" s="110"/>
      <c r="H12" s="147" t="str">
        <f>"ex) Deposit 3M -&gt; 연 지급횟수= 4, 만기= 0.25 ||  ex2) CMT 5Y 연 지급횟수=2, 만기 5"</f>
        <v>ex) Deposit 3M -&gt; 연 지급횟수= 4, 만기= 0.25 ||  ex2) CMT 5Y 연 지급횟수=2, 만기 5</v>
      </c>
      <c r="I12" s="147"/>
      <c r="J12" s="147"/>
      <c r="K12" s="147"/>
      <c r="L12" s="147"/>
      <c r="M12" s="148"/>
      <c r="O12" s="125" t="s">
        <v>54</v>
      </c>
      <c r="P12" s="126"/>
      <c r="Q12" s="124">
        <v>4</v>
      </c>
      <c r="R12" s="75"/>
      <c r="AB12" s="20"/>
      <c r="AC12" s="20"/>
      <c r="AD12" s="20"/>
      <c r="AE12" s="20"/>
      <c r="AF12" s="20"/>
      <c r="AG12" s="20"/>
      <c r="AH12" s="20"/>
      <c r="AI12" s="20"/>
      <c r="AJ12" s="20"/>
      <c r="AK12" s="20"/>
    </row>
    <row r="13" spans="1:57" x14ac:dyDescent="0.4">
      <c r="A13" s="21">
        <f t="shared" si="1"/>
        <v>13</v>
      </c>
      <c r="B13" s="129"/>
      <c r="C13" s="130"/>
      <c r="D13" s="100" t="s">
        <v>38</v>
      </c>
      <c r="E13" s="55"/>
      <c r="F13" s="101">
        <v>-1</v>
      </c>
      <c r="G13" s="102"/>
      <c r="H13" s="79" t="str">
        <f>IF(F11&gt;0,"PowerSpreadFlag 1일때 입력","입력필요X")</f>
        <v>입력필요X</v>
      </c>
      <c r="I13" s="79"/>
      <c r="J13" s="79" t="str">
        <f>IF(F11&gt;0,"만기1","")</f>
        <v/>
      </c>
      <c r="K13" s="79"/>
      <c r="L13" s="103">
        <v>10</v>
      </c>
      <c r="M13" s="104"/>
      <c r="AB13" s="20"/>
      <c r="AC13" s="20"/>
      <c r="AD13" s="20"/>
      <c r="AE13" s="20"/>
      <c r="AF13" s="20"/>
      <c r="AG13" s="20"/>
      <c r="AH13" s="20"/>
      <c r="AI13" s="20"/>
      <c r="AJ13" s="20"/>
      <c r="AK13" s="20"/>
    </row>
    <row r="14" spans="1:57" x14ac:dyDescent="0.4">
      <c r="A14" s="21">
        <f t="shared" si="1"/>
        <v>14</v>
      </c>
      <c r="B14" s="131"/>
      <c r="C14" s="132"/>
      <c r="D14" s="105" t="s">
        <v>39</v>
      </c>
      <c r="E14" s="105"/>
      <c r="F14" s="106">
        <v>1</v>
      </c>
      <c r="G14" s="107"/>
      <c r="H14" s="79"/>
      <c r="I14" s="79"/>
      <c r="J14" s="79" t="str">
        <f>IF(F11&gt;0,"만기2","")</f>
        <v/>
      </c>
      <c r="K14" s="79"/>
      <c r="L14" s="103">
        <v>5</v>
      </c>
      <c r="M14" s="104"/>
      <c r="AB14" s="20"/>
      <c r="AC14" s="20"/>
      <c r="AD14" s="20"/>
      <c r="AE14" s="20"/>
      <c r="AF14" s="20"/>
      <c r="AG14" s="20"/>
      <c r="AH14" s="20"/>
      <c r="AI14" s="20"/>
      <c r="AJ14" s="20"/>
      <c r="AK14" s="20"/>
    </row>
    <row r="15" spans="1:57" x14ac:dyDescent="0.4">
      <c r="A15" s="21">
        <f t="shared" si="1"/>
        <v>15</v>
      </c>
      <c r="B15" s="20"/>
      <c r="C15" s="20"/>
      <c r="AB15" s="111" t="s">
        <v>72</v>
      </c>
      <c r="AC15" s="112"/>
      <c r="AD15" s="112"/>
      <c r="AE15" s="112"/>
      <c r="AF15" s="112"/>
      <c r="AG15" s="111" t="s">
        <v>73</v>
      </c>
      <c r="AH15" s="112"/>
      <c r="AI15" s="112"/>
      <c r="AJ15" s="112"/>
      <c r="AK15" s="112"/>
    </row>
    <row r="16" spans="1:57" x14ac:dyDescent="0.4">
      <c r="A16" s="21">
        <f t="shared" si="1"/>
        <v>16</v>
      </c>
      <c r="B16" s="108" t="s">
        <v>40</v>
      </c>
      <c r="C16" s="108"/>
      <c r="D16" s="100" t="s">
        <v>80</v>
      </c>
      <c r="E16" s="100"/>
      <c r="F16" s="109">
        <v>-1E-4</v>
      </c>
      <c r="G16" s="110"/>
      <c r="H16" s="76" t="s">
        <v>83</v>
      </c>
      <c r="I16" s="77"/>
      <c r="J16" s="78" t="str">
        <f>IF(F11&gt;0, F13&amp;" &lt; "&amp;F10&amp;" x Rate("&amp;L13&amp;"Y-"&amp;L14&amp;"Y) &lt; "&amp;F12,F13&amp;" &lt; "&amp;F10&amp;" x Rate("&amp;L11&amp;"Y) &lt; "&amp;F12)</f>
        <v>-1 &lt; 1 x Rate(0.25Y) &lt; 1</v>
      </c>
      <c r="K16" s="78"/>
      <c r="L16" s="78"/>
      <c r="M16" s="78"/>
      <c r="AB16" s="37" t="s">
        <v>67</v>
      </c>
      <c r="AC16" s="37" t="s">
        <v>68</v>
      </c>
      <c r="AD16" s="37" t="s">
        <v>69</v>
      </c>
      <c r="AE16" s="37" t="s">
        <v>70</v>
      </c>
      <c r="AF16" s="37" t="s">
        <v>71</v>
      </c>
      <c r="AG16" s="37" t="s">
        <v>67</v>
      </c>
      <c r="AH16" s="37" t="s">
        <v>68</v>
      </c>
      <c r="AI16" s="37" t="s">
        <v>69</v>
      </c>
      <c r="AJ16" s="37" t="s">
        <v>70</v>
      </c>
      <c r="AK16" s="37" t="s">
        <v>71</v>
      </c>
    </row>
    <row r="17" spans="1:37" x14ac:dyDescent="0.4">
      <c r="A17" s="21">
        <f t="shared" si="1"/>
        <v>17</v>
      </c>
      <c r="B17" s="108"/>
      <c r="C17" s="108"/>
      <c r="D17" s="100" t="s">
        <v>43</v>
      </c>
      <c r="E17" s="100"/>
      <c r="F17" s="109">
        <v>0</v>
      </c>
      <c r="G17" s="110"/>
      <c r="H17" s="76" t="s">
        <v>81</v>
      </c>
      <c r="I17" s="77"/>
      <c r="J17" s="78" t="str">
        <f>IF(F11&gt;0, IF(F18&gt;0,F14,0)&amp;" x Rate("&amp;L13&amp;"Y-"&amp;L14&amp;"Y) + "&amp;F16&amp;"(고정) + "&amp;F17&amp;"(Range충족시)", IF(F18&gt;0,F14,0)&amp;" x Rate("&amp;L11&amp;"Y) + "&amp;F16&amp;"(고정) + "&amp;F17&amp;"(Range충족시)")</f>
        <v>1 x Rate(0.25Y) + -0.0001(고정) + 0(Range충족시)</v>
      </c>
      <c r="K17" s="78"/>
      <c r="L17" s="78"/>
      <c r="M17" s="78"/>
      <c r="AB17" s="39">
        <v>20191220</v>
      </c>
      <c r="AC17" s="40">
        <v>20200320</v>
      </c>
      <c r="AD17" s="40">
        <v>20200320</v>
      </c>
      <c r="AE17" s="43">
        <v>0</v>
      </c>
      <c r="AF17" s="47">
        <v>0</v>
      </c>
      <c r="AG17" s="40">
        <v>20191220</v>
      </c>
      <c r="AH17" s="40">
        <v>20341220</v>
      </c>
      <c r="AI17" s="40">
        <v>20341220</v>
      </c>
      <c r="AJ17" s="43">
        <v>0</v>
      </c>
      <c r="AK17" s="47">
        <v>13996000000</v>
      </c>
    </row>
    <row r="18" spans="1:37" x14ac:dyDescent="0.4">
      <c r="A18" s="21">
        <f t="shared" si="1"/>
        <v>18</v>
      </c>
      <c r="B18" s="108"/>
      <c r="C18" s="108"/>
      <c r="D18" s="100" t="s">
        <v>44</v>
      </c>
      <c r="E18" s="100"/>
      <c r="F18" s="74">
        <v>1</v>
      </c>
      <c r="G18" s="75"/>
      <c r="H18" s="76"/>
      <c r="I18" s="77"/>
      <c r="J18" s="78"/>
      <c r="K18" s="78"/>
      <c r="L18" s="78"/>
      <c r="M18" s="78"/>
      <c r="AB18" s="41">
        <v>20200320</v>
      </c>
      <c r="AC18" s="42">
        <v>20200622</v>
      </c>
      <c r="AD18" s="42">
        <v>20200622</v>
      </c>
      <c r="AE18" s="44">
        <v>0</v>
      </c>
      <c r="AF18" s="48">
        <v>0</v>
      </c>
    </row>
    <row r="19" spans="1:37" x14ac:dyDescent="0.4">
      <c r="A19" s="21">
        <f t="shared" si="1"/>
        <v>19</v>
      </c>
      <c r="B19" s="20"/>
      <c r="C19" s="20"/>
      <c r="AB19" s="41">
        <v>20200622</v>
      </c>
      <c r="AC19" s="42">
        <v>20200921</v>
      </c>
      <c r="AD19" s="42">
        <v>20200921</v>
      </c>
      <c r="AE19" s="44">
        <v>0</v>
      </c>
      <c r="AF19" s="48">
        <v>0</v>
      </c>
    </row>
    <row r="20" spans="1:37" x14ac:dyDescent="0.4">
      <c r="A20" s="21">
        <f t="shared" si="1"/>
        <v>20</v>
      </c>
      <c r="B20" s="20"/>
      <c r="C20" s="20"/>
      <c r="AB20" s="41">
        <v>20200921</v>
      </c>
      <c r="AC20" s="42">
        <v>20201221</v>
      </c>
      <c r="AD20" s="42">
        <v>20201221</v>
      </c>
      <c r="AE20" s="44">
        <v>0</v>
      </c>
      <c r="AF20" s="48">
        <v>0</v>
      </c>
    </row>
    <row r="21" spans="1:37" x14ac:dyDescent="0.4">
      <c r="A21" s="21">
        <f t="shared" si="1"/>
        <v>21</v>
      </c>
      <c r="B21" s="108" t="s">
        <v>45</v>
      </c>
      <c r="C21" s="108"/>
      <c r="D21" s="100" t="s">
        <v>41</v>
      </c>
      <c r="E21" s="100"/>
      <c r="F21" s="109">
        <v>-1E-4</v>
      </c>
      <c r="G21" s="110"/>
      <c r="H21" s="76" t="s">
        <v>82</v>
      </c>
      <c r="I21" s="77"/>
      <c r="J21" s="78" t="str">
        <f>IF(F11&gt;0,  IF(F23&gt;0,F14,0)&amp;" x Rate("&amp;L13&amp;"Y-"&amp;L14&amp;"Y) + "&amp;F21&amp;"(고정) + "&amp;F22&amp;"(Range충족시)", IF(F23&gt;0,F14,0)&amp;" x Rate("&amp;L11&amp;"Y) + "&amp;F21&amp;"(고정) + "&amp;F22&amp;"(Range충족시)")</f>
        <v>1 x Rate(0.25Y) + -0.0001(고정) + 0(Range충족시)</v>
      </c>
      <c r="K21" s="78"/>
      <c r="L21" s="78"/>
      <c r="M21" s="78"/>
      <c r="AB21" s="41">
        <v>20201221</v>
      </c>
      <c r="AC21" s="42">
        <v>20210322</v>
      </c>
      <c r="AD21" s="42">
        <v>20210322</v>
      </c>
      <c r="AE21" s="44">
        <v>0</v>
      </c>
      <c r="AF21" s="48">
        <v>0</v>
      </c>
    </row>
    <row r="22" spans="1:37" x14ac:dyDescent="0.4">
      <c r="A22" s="21">
        <f t="shared" si="1"/>
        <v>22</v>
      </c>
      <c r="B22" s="108"/>
      <c r="C22" s="108"/>
      <c r="D22" s="100" t="s">
        <v>43</v>
      </c>
      <c r="E22" s="100"/>
      <c r="F22" s="109">
        <v>0</v>
      </c>
      <c r="G22" s="110"/>
      <c r="H22" s="76"/>
      <c r="I22" s="77"/>
      <c r="J22" s="78"/>
      <c r="K22" s="78"/>
      <c r="L22" s="78"/>
      <c r="M22" s="78"/>
      <c r="AB22" s="41">
        <v>20210322</v>
      </c>
      <c r="AC22" s="42">
        <v>20210621</v>
      </c>
      <c r="AD22" s="42">
        <v>20210621</v>
      </c>
      <c r="AE22" s="44">
        <v>0</v>
      </c>
      <c r="AF22" s="48">
        <v>0</v>
      </c>
    </row>
    <row r="23" spans="1:37" x14ac:dyDescent="0.4">
      <c r="A23" s="21">
        <f t="shared" si="1"/>
        <v>23</v>
      </c>
      <c r="B23" s="108"/>
      <c r="C23" s="108"/>
      <c r="D23" s="100" t="s">
        <v>44</v>
      </c>
      <c r="E23" s="100"/>
      <c r="F23" s="74">
        <v>1</v>
      </c>
      <c r="G23" s="75"/>
      <c r="AB23" s="41">
        <v>20210621</v>
      </c>
      <c r="AC23" s="42">
        <v>20210923</v>
      </c>
      <c r="AD23" s="42">
        <v>20210923</v>
      </c>
      <c r="AE23" s="44">
        <v>0</v>
      </c>
      <c r="AF23" s="48">
        <v>0</v>
      </c>
    </row>
    <row r="24" spans="1:37" x14ac:dyDescent="0.4">
      <c r="A24" s="21">
        <f t="shared" si="1"/>
        <v>24</v>
      </c>
      <c r="B24" s="20"/>
      <c r="C24" s="20"/>
      <c r="AB24" s="41">
        <v>20210923</v>
      </c>
      <c r="AC24" s="42">
        <v>20211220</v>
      </c>
      <c r="AD24" s="42">
        <v>20211220</v>
      </c>
      <c r="AE24" s="44">
        <v>0</v>
      </c>
      <c r="AF24" s="48">
        <v>0</v>
      </c>
    </row>
    <row r="25" spans="1:37" x14ac:dyDescent="0.4">
      <c r="A25" s="21">
        <f t="shared" si="1"/>
        <v>25</v>
      </c>
      <c r="B25" s="84" t="s">
        <v>46</v>
      </c>
      <c r="C25" s="85"/>
      <c r="D25" s="85"/>
      <c r="E25" s="85"/>
      <c r="F25" s="85"/>
      <c r="G25" s="85"/>
      <c r="H25" s="85"/>
      <c r="I25" s="85"/>
      <c r="J25" s="85"/>
      <c r="K25" s="85"/>
      <c r="L25" s="85"/>
      <c r="M25" s="86"/>
      <c r="AB25" s="41">
        <v>20211220</v>
      </c>
      <c r="AC25" s="42">
        <v>20220321</v>
      </c>
      <c r="AD25" s="42">
        <v>20220321</v>
      </c>
      <c r="AE25" s="44">
        <v>0</v>
      </c>
      <c r="AF25" s="48">
        <v>0</v>
      </c>
    </row>
    <row r="26" spans="1:37" x14ac:dyDescent="0.4">
      <c r="A26" s="21">
        <f t="shared" si="1"/>
        <v>26</v>
      </c>
      <c r="B26" s="87"/>
      <c r="C26" s="88"/>
      <c r="D26" s="88"/>
      <c r="E26" s="88"/>
      <c r="F26" s="88"/>
      <c r="G26" s="88"/>
      <c r="H26" s="88"/>
      <c r="I26" s="88"/>
      <c r="J26" s="88"/>
      <c r="K26" s="88"/>
      <c r="L26" s="88"/>
      <c r="M26" s="89"/>
      <c r="AB26" s="41">
        <v>20220321</v>
      </c>
      <c r="AC26" s="42">
        <v>20220620</v>
      </c>
      <c r="AD26" s="42">
        <v>20220620</v>
      </c>
      <c r="AE26" s="44">
        <v>0</v>
      </c>
      <c r="AF26" s="48">
        <v>0</v>
      </c>
    </row>
    <row r="27" spans="1:37" x14ac:dyDescent="0.4">
      <c r="A27" s="21">
        <f t="shared" si="1"/>
        <v>27</v>
      </c>
      <c r="B27" s="73" t="s">
        <v>32</v>
      </c>
      <c r="C27" s="73"/>
      <c r="D27" s="90">
        <v>1</v>
      </c>
      <c r="E27" s="91"/>
      <c r="F27" s="73" t="s">
        <v>33</v>
      </c>
      <c r="G27" s="73"/>
      <c r="H27" s="90">
        <v>1</v>
      </c>
      <c r="I27" s="91"/>
      <c r="J27" s="73" t="s">
        <v>85</v>
      </c>
      <c r="K27" s="73"/>
      <c r="L27" s="74">
        <v>4</v>
      </c>
      <c r="M27" s="75"/>
      <c r="AB27" s="41">
        <v>20220620</v>
      </c>
      <c r="AC27" s="42">
        <v>20220920</v>
      </c>
      <c r="AD27" s="42">
        <v>20220920</v>
      </c>
      <c r="AE27" s="44">
        <v>0</v>
      </c>
      <c r="AF27" s="48">
        <v>0</v>
      </c>
    </row>
    <row r="28" spans="1:37" x14ac:dyDescent="0.4">
      <c r="A28" s="21">
        <f t="shared" si="1"/>
        <v>28</v>
      </c>
      <c r="B28" s="22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AB28" s="41">
        <v>20220920</v>
      </c>
      <c r="AC28" s="42">
        <v>20221220</v>
      </c>
      <c r="AD28" s="42">
        <v>20221220</v>
      </c>
      <c r="AE28" s="44">
        <v>0</v>
      </c>
      <c r="AF28" s="48">
        <v>0</v>
      </c>
    </row>
    <row r="29" spans="1:37" x14ac:dyDescent="0.4">
      <c r="A29" s="21">
        <f t="shared" si="1"/>
        <v>29</v>
      </c>
      <c r="B29" s="127" t="str">
        <f>"기초금리정보"</f>
        <v>기초금리정보</v>
      </c>
      <c r="C29" s="128"/>
      <c r="D29" s="55" t="s">
        <v>34</v>
      </c>
      <c r="E29" s="55"/>
      <c r="F29" s="74">
        <v>3</v>
      </c>
      <c r="G29" s="75"/>
      <c r="H29" s="23"/>
      <c r="I29" s="22"/>
      <c r="J29" s="92" t="str">
        <f>IF(OR(F30 = 0, F30 = 2, F30 = 4), "RefType = "&amp;F30&amp;" 이므로 Ref Swap 금리정보 사용안함", "사용")</f>
        <v>RefType = 0 이므로 Ref Swap 금리정보 사용안함</v>
      </c>
      <c r="K29" s="93"/>
      <c r="L29" s="93"/>
      <c r="M29" s="94"/>
      <c r="O29" s="100" t="s">
        <v>58</v>
      </c>
      <c r="P29" s="100"/>
      <c r="Q29" s="100"/>
      <c r="R29" s="100"/>
      <c r="AB29" s="41">
        <v>20221220</v>
      </c>
      <c r="AC29" s="42">
        <v>20230320</v>
      </c>
      <c r="AD29" s="42">
        <v>20230320</v>
      </c>
      <c r="AE29" s="44">
        <v>0</v>
      </c>
      <c r="AF29" s="48">
        <v>0</v>
      </c>
    </row>
    <row r="30" spans="1:37" x14ac:dyDescent="0.4">
      <c r="A30" s="21">
        <f t="shared" si="1"/>
        <v>30</v>
      </c>
      <c r="B30" s="129"/>
      <c r="C30" s="130"/>
      <c r="D30" s="55" t="s">
        <v>35</v>
      </c>
      <c r="E30" s="95"/>
      <c r="F30" s="96">
        <v>0</v>
      </c>
      <c r="G30" s="97"/>
      <c r="H30" s="92" t="str">
        <f xml:space="preserve"> "Swap 레퍼런스금리정보"</f>
        <v>Swap 레퍼런스금리정보</v>
      </c>
      <c r="I30" s="93"/>
      <c r="J30" s="80" t="str">
        <f>IF(OR(F30 = 0, F30 = 2, F30 = 4), "", "연 지급횟수")</f>
        <v/>
      </c>
      <c r="K30" s="81"/>
      <c r="L30" s="91">
        <v>4</v>
      </c>
      <c r="M30" s="99"/>
      <c r="O30" s="100" t="s">
        <v>51</v>
      </c>
      <c r="P30" s="100"/>
      <c r="Q30" s="124">
        <v>0</v>
      </c>
      <c r="R30" s="75"/>
      <c r="AB30" s="41">
        <v>20230320</v>
      </c>
      <c r="AC30" s="42">
        <v>20230620</v>
      </c>
      <c r="AD30" s="42">
        <v>20230620</v>
      </c>
      <c r="AE30" s="44">
        <v>0</v>
      </c>
      <c r="AF30" s="48">
        <v>0</v>
      </c>
    </row>
    <row r="31" spans="1:37" x14ac:dyDescent="0.4">
      <c r="A31" s="21">
        <f t="shared" si="1"/>
        <v>31</v>
      </c>
      <c r="B31" s="129"/>
      <c r="C31" s="130"/>
      <c r="D31" s="100" t="s">
        <v>36</v>
      </c>
      <c r="E31" s="100"/>
      <c r="F31" s="74">
        <v>0</v>
      </c>
      <c r="G31" s="75"/>
      <c r="H31" s="98"/>
      <c r="I31" s="80"/>
      <c r="J31" s="80" t="str">
        <f>IF(F31=0, "만기", "입력X, 아래만기2개입력")</f>
        <v>만기</v>
      </c>
      <c r="K31" s="81"/>
      <c r="L31" s="82">
        <v>10</v>
      </c>
      <c r="M31" s="83"/>
      <c r="O31" s="100" t="s">
        <v>53</v>
      </c>
      <c r="P31" s="100"/>
      <c r="Q31" s="124">
        <v>0</v>
      </c>
      <c r="R31" s="75"/>
      <c r="AB31" s="41">
        <v>20230620</v>
      </c>
      <c r="AC31" s="42">
        <v>20230920</v>
      </c>
      <c r="AD31" s="42">
        <v>20230920</v>
      </c>
      <c r="AE31" s="44">
        <v>0</v>
      </c>
      <c r="AF31" s="48">
        <v>0</v>
      </c>
    </row>
    <row r="32" spans="1:37" x14ac:dyDescent="0.4">
      <c r="A32" s="21">
        <f t="shared" si="1"/>
        <v>32</v>
      </c>
      <c r="B32" s="129"/>
      <c r="C32" s="130"/>
      <c r="D32" s="100" t="s">
        <v>37</v>
      </c>
      <c r="E32" s="100"/>
      <c r="F32" s="109">
        <v>0.8</v>
      </c>
      <c r="G32" s="110"/>
      <c r="H32" s="147" t="str">
        <f>"ex) Deposit 3M -&gt; 연 지급횟수= 4, 만기= 0.25 ||  ex2) CMT 5Y 연 지급횟수=2, 만기 5"</f>
        <v>ex) Deposit 3M -&gt; 연 지급횟수= 4, 만기= 0.25 ||  ex2) CMT 5Y 연 지급횟수=2, 만기 5</v>
      </c>
      <c r="I32" s="147"/>
      <c r="J32" s="147"/>
      <c r="K32" s="147"/>
      <c r="L32" s="147"/>
      <c r="M32" s="148"/>
      <c r="O32" s="125" t="s">
        <v>54</v>
      </c>
      <c r="P32" s="126"/>
      <c r="Q32" s="124">
        <v>0</v>
      </c>
      <c r="R32" s="75"/>
      <c r="AB32" s="41">
        <v>20230920</v>
      </c>
      <c r="AC32" s="42">
        <v>20231220</v>
      </c>
      <c r="AD32" s="42">
        <v>20231220</v>
      </c>
      <c r="AE32" s="44">
        <v>0</v>
      </c>
      <c r="AF32" s="48">
        <v>0</v>
      </c>
    </row>
    <row r="33" spans="1:32" x14ac:dyDescent="0.4">
      <c r="A33" s="21">
        <f t="shared" si="1"/>
        <v>33</v>
      </c>
      <c r="B33" s="129"/>
      <c r="C33" s="130"/>
      <c r="D33" s="100" t="s">
        <v>38</v>
      </c>
      <c r="E33" s="55"/>
      <c r="F33" s="101">
        <v>-0.8</v>
      </c>
      <c r="G33" s="102"/>
      <c r="H33" s="79" t="str">
        <f>IF(F31&gt;0,"PowerSpreadFlag 1일때 입력","입력필요X")</f>
        <v>입력필요X</v>
      </c>
      <c r="I33" s="79"/>
      <c r="J33" s="79" t="str">
        <f>IF(F31&gt;0,"만기1","")</f>
        <v/>
      </c>
      <c r="K33" s="79"/>
      <c r="L33" s="103">
        <v>10</v>
      </c>
      <c r="M33" s="104"/>
      <c r="AB33" s="41">
        <v>20231220</v>
      </c>
      <c r="AC33" s="42">
        <v>20240320</v>
      </c>
      <c r="AD33" s="42">
        <v>20240320</v>
      </c>
      <c r="AE33" s="44">
        <v>0</v>
      </c>
      <c r="AF33" s="48">
        <v>0</v>
      </c>
    </row>
    <row r="34" spans="1:32" x14ac:dyDescent="0.4">
      <c r="A34" s="21">
        <f t="shared" si="1"/>
        <v>34</v>
      </c>
      <c r="B34" s="131"/>
      <c r="C34" s="132"/>
      <c r="D34" s="105" t="s">
        <v>39</v>
      </c>
      <c r="E34" s="105"/>
      <c r="F34" s="106">
        <v>0</v>
      </c>
      <c r="G34" s="107"/>
      <c r="H34" s="79"/>
      <c r="I34" s="79"/>
      <c r="J34" s="79" t="str">
        <f>IF(F31&gt;0,"만기2","")</f>
        <v/>
      </c>
      <c r="K34" s="79"/>
      <c r="L34" s="103">
        <v>5</v>
      </c>
      <c r="M34" s="104"/>
      <c r="AB34" s="41">
        <v>20240320</v>
      </c>
      <c r="AC34" s="42">
        <v>20240620</v>
      </c>
      <c r="AD34" s="42">
        <v>20240620</v>
      </c>
      <c r="AE34" s="44">
        <v>0</v>
      </c>
      <c r="AF34" s="48">
        <v>0</v>
      </c>
    </row>
    <row r="35" spans="1:32" x14ac:dyDescent="0.4">
      <c r="A35" s="21">
        <f t="shared" si="1"/>
        <v>35</v>
      </c>
      <c r="B35" s="20"/>
      <c r="C35" s="20"/>
      <c r="AB35" s="41">
        <v>20240620</v>
      </c>
      <c r="AC35" s="42">
        <v>20240920</v>
      </c>
      <c r="AD35" s="42">
        <v>20240920</v>
      </c>
      <c r="AE35" s="44">
        <v>3.5999999999999997E-2</v>
      </c>
      <c r="AF35" s="48">
        <v>361950684.93150681</v>
      </c>
    </row>
    <row r="36" spans="1:32" x14ac:dyDescent="0.4">
      <c r="A36" s="21">
        <f t="shared" si="1"/>
        <v>36</v>
      </c>
      <c r="B36" s="108" t="s">
        <v>40</v>
      </c>
      <c r="C36" s="108"/>
      <c r="D36" s="100" t="s">
        <v>41</v>
      </c>
      <c r="E36" s="100"/>
      <c r="F36" s="109">
        <v>2.0199999999999999E-2</v>
      </c>
      <c r="G36" s="110"/>
      <c r="H36" s="76" t="s">
        <v>84</v>
      </c>
      <c r="I36" s="77"/>
      <c r="J36" s="78" t="str">
        <f>IF(F31&gt;0, F33&amp;" &lt; "&amp;F30&amp;" x Rate("&amp;L33&amp;"Y-"&amp;L34&amp;"Y) &lt; "&amp;F32,F33&amp;" &lt; "&amp;F30&amp;" x Rate("&amp;L31&amp;"Y) &lt; "&amp;F32)</f>
        <v>-0.8 &lt; 0 x Rate(10Y) &lt; 0.8</v>
      </c>
      <c r="K36" s="78"/>
      <c r="L36" s="78"/>
      <c r="M36" s="78"/>
      <c r="AB36" s="41">
        <v>20240920</v>
      </c>
      <c r="AC36" s="42">
        <v>20241220</v>
      </c>
      <c r="AD36" s="42">
        <v>20241220</v>
      </c>
      <c r="AE36" s="44">
        <v>3.4871793213768328E-2</v>
      </c>
      <c r="AF36" s="48">
        <v>346765280.26881289</v>
      </c>
    </row>
    <row r="37" spans="1:32" x14ac:dyDescent="0.4">
      <c r="A37" s="21">
        <f t="shared" si="1"/>
        <v>37</v>
      </c>
      <c r="B37" s="108"/>
      <c r="C37" s="108"/>
      <c r="D37" s="100" t="s">
        <v>43</v>
      </c>
      <c r="E37" s="100"/>
      <c r="F37" s="109">
        <v>0</v>
      </c>
      <c r="G37" s="110"/>
      <c r="H37" s="76" t="s">
        <v>81</v>
      </c>
      <c r="I37" s="77"/>
      <c r="J37" s="78" t="str">
        <f>IF(F31&gt;0, IF(F38&gt;0,F34,0)&amp;" x Rate("&amp;L33&amp;"Y-"&amp;L34&amp;"Y) + "&amp;F36&amp;"(고정) + "&amp;F37&amp;"(Range충족시)", IF(F38&gt;0,F34,0)&amp;" x Rate("&amp;L31&amp;"Y) + "&amp;F36&amp;"(고정) + "&amp;F37&amp;"(Range충족시)")</f>
        <v>0 x Rate(10Y) + 0.0202(고정) + 0(Range충족시)</v>
      </c>
      <c r="K37" s="78"/>
      <c r="L37" s="78"/>
      <c r="M37" s="78"/>
      <c r="AB37" s="41">
        <v>20241220</v>
      </c>
      <c r="AC37" s="42">
        <v>20250320</v>
      </c>
      <c r="AD37" s="42">
        <v>20250320</v>
      </c>
      <c r="AE37" s="44">
        <v>3.2721644057224629E-2</v>
      </c>
      <c r="AF37" s="48">
        <v>321747722.20824289</v>
      </c>
    </row>
    <row r="38" spans="1:32" x14ac:dyDescent="0.4">
      <c r="A38" s="21">
        <f t="shared" si="1"/>
        <v>38</v>
      </c>
      <c r="B38" s="108"/>
      <c r="C38" s="108"/>
      <c r="D38" s="100" t="s">
        <v>44</v>
      </c>
      <c r="E38" s="100"/>
      <c r="F38" s="74">
        <v>0</v>
      </c>
      <c r="G38" s="75"/>
      <c r="H38" s="76"/>
      <c r="I38" s="77"/>
      <c r="J38" s="78"/>
      <c r="K38" s="78"/>
      <c r="L38" s="78"/>
      <c r="M38" s="78"/>
      <c r="AB38" s="41">
        <v>20250320</v>
      </c>
      <c r="AC38" s="42">
        <v>20250620</v>
      </c>
      <c r="AD38" s="42">
        <v>20250620</v>
      </c>
      <c r="AE38" s="44">
        <v>3.0672825000578999E-2</v>
      </c>
      <c r="AF38" s="48">
        <v>308241084.93734443</v>
      </c>
    </row>
    <row r="39" spans="1:32" x14ac:dyDescent="0.4">
      <c r="A39" s="21">
        <f t="shared" si="1"/>
        <v>39</v>
      </c>
      <c r="B39" s="20"/>
      <c r="C39" s="20"/>
      <c r="AB39" s="41">
        <v>20250620</v>
      </c>
      <c r="AC39" s="42">
        <v>20250922</v>
      </c>
      <c r="AD39" s="42">
        <v>20250922</v>
      </c>
      <c r="AE39" s="44">
        <v>2.893715074839397E-2</v>
      </c>
      <c r="AF39" s="48">
        <v>297062155.6546886</v>
      </c>
    </row>
    <row r="40" spans="1:32" x14ac:dyDescent="0.4">
      <c r="A40" s="21">
        <f t="shared" si="1"/>
        <v>40</v>
      </c>
      <c r="B40" s="20"/>
      <c r="C40" s="20"/>
      <c r="AB40" s="41">
        <v>20250922</v>
      </c>
      <c r="AC40" s="42">
        <v>20251222</v>
      </c>
      <c r="AD40" s="42">
        <v>20251222</v>
      </c>
      <c r="AE40" s="44">
        <v>2.887353634049648E-2</v>
      </c>
      <c r="AF40" s="48">
        <v>286947047.34084165</v>
      </c>
    </row>
    <row r="41" spans="1:32" x14ac:dyDescent="0.4">
      <c r="A41" s="21">
        <f t="shared" si="1"/>
        <v>41</v>
      </c>
      <c r="B41" s="108" t="s">
        <v>45</v>
      </c>
      <c r="C41" s="108"/>
      <c r="D41" s="100" t="s">
        <v>41</v>
      </c>
      <c r="E41" s="100"/>
      <c r="F41" s="109">
        <v>2.0199999999999999E-2</v>
      </c>
      <c r="G41" s="110"/>
      <c r="H41" s="76" t="s">
        <v>82</v>
      </c>
      <c r="I41" s="77"/>
      <c r="J41" s="78" t="str">
        <f>IF(F31&gt;0,  IF(F43&gt;0,F34,0)&amp;" x Rate("&amp;L33&amp;"Y-"&amp;L34&amp;"Y) + "&amp;F41&amp;"(고정) + "&amp;F42&amp;"(Range충족시)", IF(F43&gt;0,F34,0)&amp;" x Rate("&amp;L31&amp;"Y) + "&amp;F41&amp;"(고정) + "&amp;F42&amp;"(Range충족시)")</f>
        <v>0 x Rate(10Y) + 0.0202(고정) + 0(Range충족시)</v>
      </c>
      <c r="K41" s="78"/>
      <c r="L41" s="78"/>
      <c r="M41" s="78"/>
      <c r="AB41" s="41">
        <v>20251222</v>
      </c>
      <c r="AC41" s="42">
        <v>20260320</v>
      </c>
      <c r="AD41" s="42">
        <v>20260320</v>
      </c>
      <c r="AE41" s="44">
        <v>2.7992577313066775E-2</v>
      </c>
      <c r="AF41" s="48">
        <v>268991430.52601385</v>
      </c>
    </row>
    <row r="42" spans="1:32" x14ac:dyDescent="0.4">
      <c r="A42" s="21">
        <f t="shared" si="1"/>
        <v>42</v>
      </c>
      <c r="B42" s="108"/>
      <c r="C42" s="108"/>
      <c r="D42" s="100" t="s">
        <v>43</v>
      </c>
      <c r="E42" s="100"/>
      <c r="F42" s="109">
        <v>0</v>
      </c>
      <c r="G42" s="110"/>
      <c r="H42" s="76"/>
      <c r="I42" s="77"/>
      <c r="J42" s="78"/>
      <c r="K42" s="78"/>
      <c r="L42" s="78"/>
      <c r="M42" s="78"/>
      <c r="AB42" s="41">
        <v>20260320</v>
      </c>
      <c r="AC42" s="42">
        <v>20260622</v>
      </c>
      <c r="AD42" s="42">
        <v>20260622</v>
      </c>
      <c r="AE42" s="44">
        <v>2.8193075293363491E-2</v>
      </c>
      <c r="AF42" s="48">
        <v>289397159.18642938</v>
      </c>
    </row>
    <row r="43" spans="1:32" x14ac:dyDescent="0.4">
      <c r="A43" s="21">
        <f t="shared" si="1"/>
        <v>43</v>
      </c>
      <c r="B43" s="108"/>
      <c r="C43" s="108"/>
      <c r="D43" s="100" t="s">
        <v>44</v>
      </c>
      <c r="E43" s="100"/>
      <c r="F43" s="74">
        <v>0</v>
      </c>
      <c r="G43" s="75"/>
      <c r="AB43" s="41">
        <v>20260622</v>
      </c>
      <c r="AC43" s="42">
        <v>20260921</v>
      </c>
      <c r="AD43" s="42">
        <v>20260921</v>
      </c>
      <c r="AE43" s="44">
        <v>2.7739968052034873E-2</v>
      </c>
      <c r="AF43" s="48">
        <v>275642421.12166286</v>
      </c>
    </row>
    <row r="44" spans="1:32" x14ac:dyDescent="0.4">
      <c r="A44" s="21">
        <f t="shared" si="1"/>
        <v>44</v>
      </c>
      <c r="B44" s="20"/>
      <c r="C44" s="20"/>
      <c r="AB44" s="41">
        <v>20260921</v>
      </c>
      <c r="AC44" s="42">
        <v>20261221</v>
      </c>
      <c r="AD44" s="42">
        <v>20261221</v>
      </c>
      <c r="AE44" s="44">
        <v>2.842625528565023E-2</v>
      </c>
      <c r="AF44" s="48">
        <v>282486491.06785434</v>
      </c>
    </row>
    <row r="45" spans="1:32" ht="17.399999999999999" customHeight="1" x14ac:dyDescent="0.4">
      <c r="A45" s="21">
        <f t="shared" si="1"/>
        <v>45</v>
      </c>
      <c r="B45" s="118" t="s">
        <v>60</v>
      </c>
      <c r="C45" s="119"/>
      <c r="D45" s="119"/>
      <c r="E45" s="119"/>
      <c r="F45" s="119"/>
      <c r="G45" s="120"/>
      <c r="AB45" s="41">
        <v>20261221</v>
      </c>
      <c r="AC45" s="42">
        <v>20270322</v>
      </c>
      <c r="AD45" s="42">
        <v>20270322</v>
      </c>
      <c r="AE45" s="44">
        <v>2.8061692061964072E-2</v>
      </c>
      <c r="AF45" s="48">
        <v>278850846.86451846</v>
      </c>
    </row>
    <row r="46" spans="1:32" ht="17.399999999999999" customHeight="1" x14ac:dyDescent="0.4">
      <c r="A46" s="21">
        <f t="shared" si="1"/>
        <v>46</v>
      </c>
      <c r="B46" s="121"/>
      <c r="C46" s="122"/>
      <c r="D46" s="122"/>
      <c r="E46" s="122"/>
      <c r="F46" s="122"/>
      <c r="G46" s="123"/>
      <c r="AB46" s="41">
        <v>20270322</v>
      </c>
      <c r="AC46" s="42">
        <v>20270621</v>
      </c>
      <c r="AD46" s="42">
        <v>20270621</v>
      </c>
      <c r="AE46" s="44">
        <v>2.7696199980914819E-2</v>
      </c>
      <c r="AF46" s="48">
        <v>275205939.53569847</v>
      </c>
    </row>
    <row r="47" spans="1:32" x14ac:dyDescent="0.4">
      <c r="A47" s="21">
        <f t="shared" si="1"/>
        <v>47</v>
      </c>
      <c r="B47" s="37" t="s">
        <v>61</v>
      </c>
      <c r="C47" s="38" t="s">
        <v>62</v>
      </c>
      <c r="D47" s="38" t="s">
        <v>63</v>
      </c>
      <c r="E47" s="38" t="s">
        <v>64</v>
      </c>
      <c r="AB47" s="41">
        <v>20270621</v>
      </c>
      <c r="AC47" s="42">
        <v>20270920</v>
      </c>
      <c r="AD47" s="42">
        <v>20270920</v>
      </c>
      <c r="AE47" s="44">
        <v>2.754453329355197E-2</v>
      </c>
      <c r="AF47" s="48">
        <v>273693427.91377854</v>
      </c>
    </row>
    <row r="48" spans="1:32" x14ac:dyDescent="0.4">
      <c r="A48" s="21">
        <f t="shared" si="1"/>
        <v>48</v>
      </c>
      <c r="B48" s="26">
        <v>44524</v>
      </c>
      <c r="C48" s="26">
        <v>44550</v>
      </c>
      <c r="D48" s="31">
        <v>0</v>
      </c>
      <c r="E48" s="31">
        <f>COUNT(B48:B1048576)</f>
        <v>13</v>
      </c>
      <c r="AB48" s="41">
        <v>20270920</v>
      </c>
      <c r="AC48" s="42">
        <v>20271220</v>
      </c>
      <c r="AD48" s="42">
        <v>20271220</v>
      </c>
      <c r="AE48" s="44">
        <v>2.8395704979779206E-2</v>
      </c>
      <c r="AF48" s="48">
        <v>282181825.00382555</v>
      </c>
    </row>
    <row r="49" spans="1:32" x14ac:dyDescent="0.4">
      <c r="A49" s="21">
        <f t="shared" si="1"/>
        <v>49</v>
      </c>
      <c r="B49" s="26">
        <v>44889</v>
      </c>
      <c r="C49" s="26">
        <v>44915</v>
      </c>
      <c r="AB49" s="41">
        <v>20271220</v>
      </c>
      <c r="AC49" s="42">
        <v>20280320</v>
      </c>
      <c r="AD49" s="42">
        <v>20280320</v>
      </c>
      <c r="AE49" s="44">
        <v>2.8244664088454993E-2</v>
      </c>
      <c r="AF49" s="48">
        <v>280675554.19719499</v>
      </c>
    </row>
    <row r="50" spans="1:32" x14ac:dyDescent="0.4">
      <c r="A50" s="21">
        <f t="shared" si="1"/>
        <v>50</v>
      </c>
      <c r="B50" s="26">
        <v>45254</v>
      </c>
      <c r="C50" s="26">
        <v>45280</v>
      </c>
      <c r="AB50" s="41">
        <v>20280320</v>
      </c>
      <c r="AC50" s="42">
        <v>20280620</v>
      </c>
      <c r="AD50" s="42">
        <v>20280620</v>
      </c>
      <c r="AE50" s="44">
        <v>2.8093870819226329E-2</v>
      </c>
      <c r="AF50" s="48">
        <v>282239574.28699422</v>
      </c>
    </row>
    <row r="51" spans="1:32" x14ac:dyDescent="0.4">
      <c r="A51" s="21">
        <f t="shared" si="1"/>
        <v>51</v>
      </c>
      <c r="B51" s="26">
        <v>45622</v>
      </c>
      <c r="C51" s="26">
        <v>45646</v>
      </c>
      <c r="AB51" s="41">
        <v>20280620</v>
      </c>
      <c r="AC51" s="42">
        <v>20280920</v>
      </c>
      <c r="AD51" s="42">
        <v>20280920</v>
      </c>
      <c r="AE51" s="44">
        <v>2.8104870402969582E-2</v>
      </c>
      <c r="AF51" s="48">
        <v>282350474.19980294</v>
      </c>
    </row>
    <row r="52" spans="1:32" x14ac:dyDescent="0.4">
      <c r="A52" s="21">
        <f t="shared" si="1"/>
        <v>52</v>
      </c>
      <c r="B52" s="26">
        <v>45987</v>
      </c>
      <c r="C52" s="26">
        <v>46013</v>
      </c>
      <c r="AB52" s="41">
        <v>20280920</v>
      </c>
      <c r="AC52" s="42">
        <v>20281220</v>
      </c>
      <c r="AD52" s="42">
        <v>20281220</v>
      </c>
      <c r="AE52" s="44">
        <v>2.8797661292689083E-2</v>
      </c>
      <c r="AF52" s="48">
        <v>286190375.63120073</v>
      </c>
    </row>
    <row r="53" spans="1:32" x14ac:dyDescent="0.4">
      <c r="A53" s="21">
        <f t="shared" si="1"/>
        <v>53</v>
      </c>
      <c r="B53" s="26">
        <v>46351</v>
      </c>
      <c r="C53" s="26">
        <v>46377</v>
      </c>
      <c r="AB53" s="41">
        <v>20281220</v>
      </c>
      <c r="AC53" s="42">
        <v>20290320</v>
      </c>
      <c r="AD53" s="42">
        <v>20290320</v>
      </c>
      <c r="AE53" s="44">
        <v>2.8761572001036306E-2</v>
      </c>
      <c r="AF53" s="48">
        <v>282689477.27049506</v>
      </c>
    </row>
    <row r="54" spans="1:32" x14ac:dyDescent="0.4">
      <c r="A54" s="21">
        <f t="shared" si="1"/>
        <v>54</v>
      </c>
      <c r="B54" s="26">
        <v>46715</v>
      </c>
      <c r="C54" s="26">
        <v>46741</v>
      </c>
      <c r="AB54" s="41">
        <v>20290320</v>
      </c>
      <c r="AC54" s="42">
        <v>20290620</v>
      </c>
      <c r="AD54" s="42">
        <v>20290620</v>
      </c>
      <c r="AE54" s="44">
        <v>2.8728661769380635E-2</v>
      </c>
      <c r="AF54" s="48">
        <v>288639658.38718015</v>
      </c>
    </row>
    <row r="55" spans="1:32" x14ac:dyDescent="0.4">
      <c r="A55" s="21">
        <f t="shared" si="1"/>
        <v>55</v>
      </c>
      <c r="B55" s="26">
        <v>47081</v>
      </c>
      <c r="C55" s="26">
        <v>47107</v>
      </c>
      <c r="AB55" s="41">
        <v>20290620</v>
      </c>
      <c r="AC55" s="42">
        <v>20290920</v>
      </c>
      <c r="AD55" s="42">
        <v>20290920</v>
      </c>
      <c r="AE55" s="44">
        <v>2.8713458997880043E-2</v>
      </c>
      <c r="AF55" s="48">
        <v>288486381.12931114</v>
      </c>
    </row>
    <row r="56" spans="1:32" x14ac:dyDescent="0.4">
      <c r="A56" s="21">
        <f t="shared" si="1"/>
        <v>56</v>
      </c>
      <c r="B56" s="26">
        <v>47448</v>
      </c>
      <c r="C56" s="26">
        <v>47472</v>
      </c>
      <c r="AB56" s="41">
        <v>20290920</v>
      </c>
      <c r="AC56" s="42">
        <v>20291220</v>
      </c>
      <c r="AD56" s="42">
        <v>20291220</v>
      </c>
      <c r="AE56" s="44">
        <v>2.8780403736762224E-2</v>
      </c>
      <c r="AF56" s="48">
        <v>286018272.88168359</v>
      </c>
    </row>
    <row r="57" spans="1:32" x14ac:dyDescent="0.4">
      <c r="A57" s="21">
        <f t="shared" si="1"/>
        <v>57</v>
      </c>
      <c r="B57" s="26">
        <v>47813</v>
      </c>
      <c r="C57" s="26">
        <v>47837</v>
      </c>
      <c r="AB57" s="41">
        <v>20291220</v>
      </c>
      <c r="AC57" s="42">
        <v>20300320</v>
      </c>
      <c r="AD57" s="42">
        <v>20300320</v>
      </c>
      <c r="AE57" s="44">
        <v>2.875580399186305E-2</v>
      </c>
      <c r="AF57" s="48">
        <v>282632587.3170054</v>
      </c>
    </row>
    <row r="58" spans="1:32" x14ac:dyDescent="0.4">
      <c r="A58" s="21">
        <f t="shared" si="1"/>
        <v>58</v>
      </c>
      <c r="B58" s="26">
        <v>48178</v>
      </c>
      <c r="C58" s="26">
        <v>48204</v>
      </c>
      <c r="AB58" s="41">
        <v>20300320</v>
      </c>
      <c r="AC58" s="42">
        <v>20300620</v>
      </c>
      <c r="AD58" s="42">
        <v>20300620</v>
      </c>
      <c r="AE58" s="44">
        <v>2.8734445546510428E-2</v>
      </c>
      <c r="AF58" s="48">
        <v>288697971.53742021</v>
      </c>
    </row>
    <row r="59" spans="1:32" x14ac:dyDescent="0.4">
      <c r="A59" s="21">
        <f t="shared" si="1"/>
        <v>59</v>
      </c>
      <c r="B59" s="26">
        <v>48542</v>
      </c>
      <c r="C59" s="26">
        <v>48568</v>
      </c>
      <c r="AB59" s="41">
        <v>20300620</v>
      </c>
      <c r="AC59" s="42">
        <v>20300920</v>
      </c>
      <c r="AD59" s="42">
        <v>20300920</v>
      </c>
      <c r="AE59" s="44">
        <v>2.885257737652884E-2</v>
      </c>
      <c r="AF59" s="48">
        <v>289888999.30308533</v>
      </c>
    </row>
    <row r="60" spans="1:32" x14ac:dyDescent="0.4">
      <c r="A60" s="21">
        <f t="shared" si="1"/>
        <v>60</v>
      </c>
      <c r="B60" s="26">
        <v>48907</v>
      </c>
      <c r="C60" s="26">
        <v>48933</v>
      </c>
      <c r="AB60" s="41">
        <v>20300920</v>
      </c>
      <c r="AC60" s="42">
        <v>20301220</v>
      </c>
      <c r="AD60" s="42">
        <v>20301220</v>
      </c>
      <c r="AE60" s="44">
        <v>2.9541783717106199E-2</v>
      </c>
      <c r="AF60" s="48">
        <v>293611212.95963442</v>
      </c>
    </row>
    <row r="61" spans="1:32" x14ac:dyDescent="0.4">
      <c r="A61" s="21">
        <f t="shared" si="1"/>
        <v>61</v>
      </c>
      <c r="AB61" s="41">
        <v>20301220</v>
      </c>
      <c r="AC61" s="42">
        <v>20310320</v>
      </c>
      <c r="AD61" s="42">
        <v>20310320</v>
      </c>
      <c r="AE61" s="44">
        <v>2.9584052599903168E-2</v>
      </c>
      <c r="AF61" s="48">
        <v>290801614.68397641</v>
      </c>
    </row>
    <row r="62" spans="1:32" x14ac:dyDescent="0.4">
      <c r="AB62" s="41">
        <v>20310320</v>
      </c>
      <c r="AC62" s="42">
        <v>20310620</v>
      </c>
      <c r="AD62" s="42">
        <v>20310620</v>
      </c>
      <c r="AE62" s="44">
        <v>2.9630135782858263E-2</v>
      </c>
      <c r="AF62" s="48">
        <v>297728492.27648884</v>
      </c>
    </row>
    <row r="63" spans="1:32" x14ac:dyDescent="0.4">
      <c r="AB63" s="41">
        <v>20310620</v>
      </c>
      <c r="AC63" s="42">
        <v>20310922</v>
      </c>
      <c r="AD63" s="42">
        <v>20310922</v>
      </c>
      <c r="AE63" s="44">
        <v>2.9711332608248132E-2</v>
      </c>
      <c r="AF63" s="48">
        <v>305037289.33428216</v>
      </c>
    </row>
    <row r="64" spans="1:32" x14ac:dyDescent="0.4">
      <c r="AB64" s="41">
        <v>20310922</v>
      </c>
      <c r="AC64" s="42">
        <v>20311222</v>
      </c>
      <c r="AD64" s="42">
        <v>20311222</v>
      </c>
      <c r="AE64" s="44">
        <v>2.9903810583842432E-2</v>
      </c>
      <c r="AF64" s="48">
        <v>297221563.08270264</v>
      </c>
    </row>
    <row r="65" spans="28:32" x14ac:dyDescent="0.4">
      <c r="AB65" s="41">
        <v>20311222</v>
      </c>
      <c r="AC65" s="42">
        <v>20320322</v>
      </c>
      <c r="AD65" s="42">
        <v>20320322</v>
      </c>
      <c r="AE65" s="44">
        <v>2.9960114908587254E-2</v>
      </c>
      <c r="AF65" s="48">
        <v>297783063.74591124</v>
      </c>
    </row>
    <row r="66" spans="28:32" x14ac:dyDescent="0.4">
      <c r="AB66" s="41">
        <v>20320322</v>
      </c>
      <c r="AC66" s="42">
        <v>20320621</v>
      </c>
      <c r="AD66" s="42">
        <v>20320621</v>
      </c>
      <c r="AE66" s="44">
        <v>3.0017954543447144E-2</v>
      </c>
      <c r="AF66" s="48">
        <v>298359875.44697976</v>
      </c>
    </row>
    <row r="67" spans="28:32" x14ac:dyDescent="0.4">
      <c r="AB67" s="41">
        <v>20320621</v>
      </c>
      <c r="AC67" s="42">
        <v>20320922</v>
      </c>
      <c r="AD67" s="42">
        <v>20320922</v>
      </c>
      <c r="AE67" s="44">
        <v>2.9959867394890663E-2</v>
      </c>
      <c r="AF67" s="48">
        <v>304325223.86025554</v>
      </c>
    </row>
    <row r="68" spans="28:32" x14ac:dyDescent="0.4">
      <c r="AB68" s="41">
        <v>20320922</v>
      </c>
      <c r="AC68" s="42">
        <v>20321220</v>
      </c>
      <c r="AD68" s="42">
        <v>20321220</v>
      </c>
      <c r="AE68" s="44">
        <v>2.943202428285709E-2</v>
      </c>
      <c r="AF68" s="48">
        <v>286087688.89581162</v>
      </c>
    </row>
    <row r="69" spans="28:32" x14ac:dyDescent="0.4">
      <c r="AB69" s="41">
        <v>20321220</v>
      </c>
      <c r="AC69" s="42">
        <v>20330321</v>
      </c>
      <c r="AD69" s="42">
        <v>20330321</v>
      </c>
      <c r="AE69" s="44">
        <v>2.9446311049456608E-2</v>
      </c>
      <c r="AF69" s="48">
        <v>292659101.97266316</v>
      </c>
    </row>
    <row r="70" spans="28:32" x14ac:dyDescent="0.4">
      <c r="AB70" s="41">
        <v>20330321</v>
      </c>
      <c r="AC70" s="42">
        <v>20330620</v>
      </c>
      <c r="AD70" s="42">
        <v>20330620</v>
      </c>
      <c r="AE70" s="44">
        <v>2.9462179347562092E-2</v>
      </c>
      <c r="AF70" s="48">
        <v>292817350.20582467</v>
      </c>
    </row>
    <row r="71" spans="28:32" x14ac:dyDescent="0.4">
      <c r="AB71" s="41">
        <v>20330620</v>
      </c>
      <c r="AC71" s="42">
        <v>20330920</v>
      </c>
      <c r="AD71" s="42">
        <v>20330920</v>
      </c>
      <c r="AE71" s="44">
        <v>2.9646757950940003E-2</v>
      </c>
      <c r="AF71" s="48">
        <v>297896080.162902</v>
      </c>
    </row>
    <row r="72" spans="28:32" x14ac:dyDescent="0.4">
      <c r="AB72" s="41">
        <v>20330920</v>
      </c>
      <c r="AC72" s="42">
        <v>20331220</v>
      </c>
      <c r="AD72" s="42">
        <v>20331220</v>
      </c>
      <c r="AE72" s="44">
        <v>3.0566257684070612E-2</v>
      </c>
      <c r="AF72" s="48">
        <v>303827884.84936172</v>
      </c>
    </row>
    <row r="73" spans="28:32" x14ac:dyDescent="0.4">
      <c r="AB73" s="41">
        <v>20331220</v>
      </c>
      <c r="AC73" s="42">
        <v>20340320</v>
      </c>
      <c r="AD73" s="42">
        <v>20340320</v>
      </c>
      <c r="AE73" s="44">
        <v>3.0636631195195937E-2</v>
      </c>
      <c r="AF73" s="48">
        <v>301183211.78823388</v>
      </c>
    </row>
    <row r="74" spans="28:32" x14ac:dyDescent="0.4">
      <c r="AB74" s="41">
        <v>20340320</v>
      </c>
      <c r="AC74" s="42">
        <v>20340620</v>
      </c>
      <c r="AD74" s="42">
        <v>20340620</v>
      </c>
      <c r="AE74" s="44">
        <v>3.0711237575454943E-2</v>
      </c>
      <c r="AF74" s="48">
        <v>308628367.88403893</v>
      </c>
    </row>
    <row r="75" spans="28:32" x14ac:dyDescent="0.4">
      <c r="AB75" s="41">
        <v>20340620</v>
      </c>
      <c r="AC75" s="42">
        <v>20340920</v>
      </c>
      <c r="AD75" s="42">
        <v>20340920</v>
      </c>
      <c r="AE75" s="44">
        <v>3.070827561064533E-2</v>
      </c>
      <c r="AF75" s="48">
        <v>308598504.7867803</v>
      </c>
    </row>
    <row r="76" spans="28:32" x14ac:dyDescent="0.4">
      <c r="AB76" s="41">
        <v>20340920</v>
      </c>
      <c r="AC76" s="42">
        <v>20341220</v>
      </c>
      <c r="AD76" s="42">
        <v>20341220</v>
      </c>
      <c r="AE76" s="44">
        <v>3.0406682570732875E-2</v>
      </c>
      <c r="AF76" s="48">
        <v>302236505.63689774</v>
      </c>
    </row>
  </sheetData>
  <mergeCells count="146">
    <mergeCell ref="B3:C3"/>
    <mergeCell ref="D3:E3"/>
    <mergeCell ref="F3:G3"/>
    <mergeCell ref="H3:I3"/>
    <mergeCell ref="J3:K3"/>
    <mergeCell ref="L3:M3"/>
    <mergeCell ref="H7:I7"/>
    <mergeCell ref="B9:C14"/>
    <mergeCell ref="D9:E9"/>
    <mergeCell ref="D10:E10"/>
    <mergeCell ref="D11:E11"/>
    <mergeCell ref="D12:E12"/>
    <mergeCell ref="B5:M6"/>
    <mergeCell ref="B7:C7"/>
    <mergeCell ref="D7:E7"/>
    <mergeCell ref="F7:G7"/>
    <mergeCell ref="J9:M9"/>
    <mergeCell ref="H10:I11"/>
    <mergeCell ref="J10:K10"/>
    <mergeCell ref="L10:M10"/>
    <mergeCell ref="H12:M12"/>
    <mergeCell ref="H13:I14"/>
    <mergeCell ref="F9:G9"/>
    <mergeCell ref="F10:G10"/>
    <mergeCell ref="D13:E13"/>
    <mergeCell ref="D14:E14"/>
    <mergeCell ref="J14:K14"/>
    <mergeCell ref="L14:M14"/>
    <mergeCell ref="H16:I16"/>
    <mergeCell ref="F11:G11"/>
    <mergeCell ref="F12:G12"/>
    <mergeCell ref="F13:G13"/>
    <mergeCell ref="F14:G14"/>
    <mergeCell ref="J13:K13"/>
    <mergeCell ref="L13:M13"/>
    <mergeCell ref="F31:G31"/>
    <mergeCell ref="J31:K31"/>
    <mergeCell ref="L31:M31"/>
    <mergeCell ref="D32:E32"/>
    <mergeCell ref="F32:G32"/>
    <mergeCell ref="H32:M32"/>
    <mergeCell ref="F16:G16"/>
    <mergeCell ref="D17:E17"/>
    <mergeCell ref="F17:G17"/>
    <mergeCell ref="J16:M16"/>
    <mergeCell ref="D22:E22"/>
    <mergeCell ref="F22:G22"/>
    <mergeCell ref="D16:E16"/>
    <mergeCell ref="O11:P11"/>
    <mergeCell ref="Q11:R11"/>
    <mergeCell ref="O12:P12"/>
    <mergeCell ref="Q12:R12"/>
    <mergeCell ref="T3:U3"/>
    <mergeCell ref="O10:P10"/>
    <mergeCell ref="O9:R9"/>
    <mergeCell ref="O3:R3"/>
    <mergeCell ref="O4:P4"/>
    <mergeCell ref="Q4:R4"/>
    <mergeCell ref="Q10:R10"/>
    <mergeCell ref="O7:P7"/>
    <mergeCell ref="Q7:R7"/>
    <mergeCell ref="O6:P6"/>
    <mergeCell ref="Q6:R6"/>
    <mergeCell ref="O5:P5"/>
    <mergeCell ref="Q5:R5"/>
    <mergeCell ref="B45:G46"/>
    <mergeCell ref="O29:R29"/>
    <mergeCell ref="O30:P30"/>
    <mergeCell ref="Q30:R30"/>
    <mergeCell ref="O31:P31"/>
    <mergeCell ref="Q31:R31"/>
    <mergeCell ref="O32:P32"/>
    <mergeCell ref="Q32:R32"/>
    <mergeCell ref="D41:E41"/>
    <mergeCell ref="F41:G41"/>
    <mergeCell ref="D42:E42"/>
    <mergeCell ref="F42:G42"/>
    <mergeCell ref="D43:E43"/>
    <mergeCell ref="F43:G43"/>
    <mergeCell ref="B41:C43"/>
    <mergeCell ref="B36:C38"/>
    <mergeCell ref="D36:E36"/>
    <mergeCell ref="F36:G36"/>
    <mergeCell ref="D37:E37"/>
    <mergeCell ref="F37:G37"/>
    <mergeCell ref="D38:E38"/>
    <mergeCell ref="F38:G38"/>
    <mergeCell ref="L34:M34"/>
    <mergeCell ref="B29:C34"/>
    <mergeCell ref="AB6:AC6"/>
    <mergeCell ref="AD6:AE6"/>
    <mergeCell ref="AB3:AM4"/>
    <mergeCell ref="AB15:AF15"/>
    <mergeCell ref="AG15:AK15"/>
    <mergeCell ref="AB10:AC10"/>
    <mergeCell ref="AD10:AE10"/>
    <mergeCell ref="W3:X3"/>
    <mergeCell ref="Y3:Z3"/>
    <mergeCell ref="AB7:AC7"/>
    <mergeCell ref="AD7:AE7"/>
    <mergeCell ref="B21:C23"/>
    <mergeCell ref="D18:E18"/>
    <mergeCell ref="F18:G18"/>
    <mergeCell ref="B16:C18"/>
    <mergeCell ref="D21:E21"/>
    <mergeCell ref="F21:G21"/>
    <mergeCell ref="D23:E23"/>
    <mergeCell ref="F23:G23"/>
    <mergeCell ref="D29:E29"/>
    <mergeCell ref="F29:G29"/>
    <mergeCell ref="H37:I38"/>
    <mergeCell ref="J37:M38"/>
    <mergeCell ref="H41:I42"/>
    <mergeCell ref="J41:M42"/>
    <mergeCell ref="J36:M36"/>
    <mergeCell ref="B25:M26"/>
    <mergeCell ref="B27:C27"/>
    <mergeCell ref="D27:E27"/>
    <mergeCell ref="F27:G27"/>
    <mergeCell ref="H27:I27"/>
    <mergeCell ref="J29:M29"/>
    <mergeCell ref="D30:E30"/>
    <mergeCell ref="F30:G30"/>
    <mergeCell ref="H30:I31"/>
    <mergeCell ref="J30:K30"/>
    <mergeCell ref="L30:M30"/>
    <mergeCell ref="D31:E31"/>
    <mergeCell ref="D33:E33"/>
    <mergeCell ref="F33:G33"/>
    <mergeCell ref="H33:I34"/>
    <mergeCell ref="J33:K33"/>
    <mergeCell ref="L33:M33"/>
    <mergeCell ref="D34:E34"/>
    <mergeCell ref="F34:G34"/>
    <mergeCell ref="J7:K7"/>
    <mergeCell ref="J27:K27"/>
    <mergeCell ref="L7:M7"/>
    <mergeCell ref="L27:M27"/>
    <mergeCell ref="H36:I36"/>
    <mergeCell ref="H17:I18"/>
    <mergeCell ref="J17:M18"/>
    <mergeCell ref="H21:I22"/>
    <mergeCell ref="J21:M22"/>
    <mergeCell ref="J34:K34"/>
    <mergeCell ref="J11:K11"/>
    <mergeCell ref="L11:M11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4" r:id="rId3" name="Button 16">
              <controlPr defaultSize="0" print="0" autoFill="0" autoPict="0" macro="[0]!Sheet2.HullWhitePricing">
                <anchor moveWithCells="1" sizeWithCells="1">
                  <from>
                    <xdr:col>31</xdr:col>
                    <xdr:colOff>541020</xdr:colOff>
                    <xdr:row>5</xdr:row>
                    <xdr:rowOff>121920</xdr:rowOff>
                  </from>
                  <to>
                    <xdr:col>32</xdr:col>
                    <xdr:colOff>670560</xdr:colOff>
                    <xdr:row>9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Calibration</vt:lpstr>
      <vt:lpstr>Pricing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임대선</cp:lastModifiedBy>
  <dcterms:created xsi:type="dcterms:W3CDTF">2024-08-09T07:40:17Z</dcterms:created>
  <dcterms:modified xsi:type="dcterms:W3CDTF">2026-05-16T13:52:47Z</dcterms:modified>
</cp:coreProperties>
</file>