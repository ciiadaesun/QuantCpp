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A4A47DBF-329F-4494-B50B-87CAA12330E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<sst xmlns="http://schemas.openxmlformats.org/spreadsheetml/2006/main" count="122" uniqueCount="87">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</sst>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45538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7"/>
      <c r="E14" s="67"/>
      <c r="G14" s="65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7"/>
      <c r="E15" s="67"/>
      <c r="G15" s="65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5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5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X1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45538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0" t="s">
        <v>50</v>
      </c>
      <c r="P3" s="121"/>
      <c r="Q3" s="121"/>
      <c r="R3" s="122"/>
      <c r="T3" s="118" t="s">
        <v>56</v>
      </c>
      <c r="U3" s="119"/>
      <c r="W3" s="145" t="s">
        <v>77</v>
      </c>
      <c r="X3" s="146"/>
      <c r="Y3" s="145" t="s">
        <v>78</v>
      </c>
      <c r="Z3" s="146"/>
      <c r="AB3" s="83" t="s">
        <v>66</v>
      </c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5"/>
    </row>
    <row r="4" spans="1:57" x14ac:dyDescent="0.4">
      <c r="A4" s="21">
        <f t="shared" si="1"/>
        <v>4</v>
      </c>
      <c r="B4" s="20"/>
      <c r="C4" s="20"/>
      <c r="O4" s="123" t="s">
        <v>49</v>
      </c>
      <c r="P4" s="124"/>
      <c r="Q4" s="125">
        <v>43819</v>
      </c>
      <c r="R4" s="126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6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8"/>
    </row>
    <row r="5" spans="1:57" x14ac:dyDescent="0.4">
      <c r="A5" s="21">
        <f t="shared" si="1"/>
        <v>5</v>
      </c>
      <c r="B5" s="83" t="s">
        <v>48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5"/>
      <c r="O5" s="131" t="s">
        <v>51</v>
      </c>
      <c r="P5" s="132"/>
      <c r="Q5" s="133">
        <v>49298</v>
      </c>
      <c r="R5" s="134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8"/>
      <c r="O6" s="129" t="s">
        <v>43</v>
      </c>
      <c r="P6" s="130"/>
      <c r="Q6" s="117">
        <v>0</v>
      </c>
      <c r="R6" s="100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67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1"/>
      <c r="F7" s="72" t="s">
        <v>34</v>
      </c>
      <c r="G7" s="72"/>
      <c r="H7" s="74">
        <v>1</v>
      </c>
      <c r="I7" s="71"/>
      <c r="J7" s="72" t="s">
        <v>86</v>
      </c>
      <c r="K7" s="72"/>
      <c r="L7" s="99">
        <v>0</v>
      </c>
      <c r="M7" s="100"/>
      <c r="O7" s="118" t="str">
        <f>IF(Q6&gt;0,"Phase2날짜","")</f>
        <v/>
      </c>
      <c r="P7" s="119"/>
      <c r="Q7" s="127">
        <f>EDATE(Q4,12)</f>
        <v>44185</v>
      </c>
      <c r="R7" s="128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80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5" t="str">
        <f>"기초금리정보"</f>
        <v>기초금리정보</v>
      </c>
      <c r="C9" s="76"/>
      <c r="D9" s="56" t="s">
        <v>35</v>
      </c>
      <c r="E9" s="56"/>
      <c r="F9" s="99">
        <v>0</v>
      </c>
      <c r="G9" s="100"/>
      <c r="H9" s="23"/>
      <c r="I9" s="22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82" t="s">
        <v>53</v>
      </c>
      <c r="P9" s="82"/>
      <c r="Q9" s="82"/>
      <c r="R9" s="82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7"/>
      <c r="C10" s="78"/>
      <c r="D10" s="56" t="s">
        <v>36</v>
      </c>
      <c r="E10" s="81"/>
      <c r="F10" s="101">
        <v>1</v>
      </c>
      <c r="G10" s="102"/>
      <c r="H10" s="89" t="str">
        <f xml:space="preserve"> "Swap 레퍼런스금리정보"</f>
        <v>Swap 레퍼런스금리정보</v>
      </c>
      <c r="I10" s="90"/>
      <c r="J10" s="93" t="str">
        <f>IF(OR(F10 = 0, F10 = 2, F10 = 4), "", "연 지급횟수")</f>
        <v>연 지급횟수</v>
      </c>
      <c r="K10" s="94"/>
      <c r="L10" s="71">
        <v>4</v>
      </c>
      <c r="M10" s="95"/>
      <c r="O10" s="82" t="s">
        <v>52</v>
      </c>
      <c r="P10" s="82"/>
      <c r="Q10" s="117">
        <v>4</v>
      </c>
      <c r="R10" s="100"/>
      <c r="AB10" s="131" t="s">
        <v>79</v>
      </c>
      <c r="AC10" s="69"/>
      <c r="AD10" s="144">
        <v>890546084.84454477</v>
      </c>
      <c r="AE10" s="14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7"/>
      <c r="C11" s="78"/>
      <c r="D11" s="82" t="s">
        <v>37</v>
      </c>
      <c r="E11" s="82"/>
      <c r="F11" s="99">
        <v>0</v>
      </c>
      <c r="G11" s="100"/>
      <c r="H11" s="92"/>
      <c r="I11" s="93"/>
      <c r="J11" s="93" t="str">
        <f>IF(F11=0, "만기", "입력X, 아래만기2개입력")</f>
        <v>만기</v>
      </c>
      <c r="K11" s="94"/>
      <c r="L11" s="114">
        <v>0.25</v>
      </c>
      <c r="M11" s="115"/>
      <c r="O11" s="82" t="s">
        <v>54</v>
      </c>
      <c r="P11" s="82"/>
      <c r="Q11" s="117">
        <v>0</v>
      </c>
      <c r="R11" s="100"/>
      <c r="AB11" s="20"/>
      <c r="AC11" s="20"/>
      <c r="AD11" s="20">
        <v>798615000</v>
      </c>
      <c r="AE11" s="49">
        <f>(AD11-AD10)/L3</f>
        <v>-2.2982771211136192E-3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7"/>
      <c r="C12" s="78"/>
      <c r="D12" s="82" t="s">
        <v>38</v>
      </c>
      <c r="E12" s="82"/>
      <c r="F12" s="108">
        <v>1</v>
      </c>
      <c r="G12" s="109"/>
      <c r="H12" s="96" t="str">
        <f>"ex) Deposit 3M -&gt; 연 지급횟수= 4, 만기= 0.25 ||  ex2) CMT 5Y 연 지급횟수=2, 만기 5"</f>
        <v>ex) Deposit 3M -&gt; 연 지급횟수= 4, 만기= 0.25 ||  ex2) CMT 5Y 연 지급횟수=2, 만기 5</v>
      </c>
      <c r="I12" s="96"/>
      <c r="J12" s="96"/>
      <c r="K12" s="96"/>
      <c r="L12" s="96"/>
      <c r="M12" s="97"/>
      <c r="O12" s="118" t="s">
        <v>55</v>
      </c>
      <c r="P12" s="119"/>
      <c r="Q12" s="117">
        <v>4</v>
      </c>
      <c r="R12" s="10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7"/>
      <c r="C13" s="78"/>
      <c r="D13" s="82" t="s">
        <v>39</v>
      </c>
      <c r="E13" s="56"/>
      <c r="F13" s="110">
        <v>-1</v>
      </c>
      <c r="G13" s="111"/>
      <c r="H13" s="98" t="str">
        <f>IF(F11&gt;0,"PowerSpreadFlag 1일때 입력","입력필요X")</f>
        <v>입력필요X</v>
      </c>
      <c r="I13" s="98"/>
      <c r="J13" s="98" t="str">
        <f>IF(F11&gt;0,"만기1","")</f>
        <v/>
      </c>
      <c r="K13" s="98"/>
      <c r="L13" s="104">
        <v>10</v>
      </c>
      <c r="M13" s="105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79"/>
      <c r="C14" s="80"/>
      <c r="D14" s="103" t="s">
        <v>40</v>
      </c>
      <c r="E14" s="103"/>
      <c r="F14" s="112">
        <v>1</v>
      </c>
      <c r="G14" s="113"/>
      <c r="H14" s="98"/>
      <c r="I14" s="98"/>
      <c r="J14" s="98" t="str">
        <f>IF(F11&gt;0,"만기2","")</f>
        <v/>
      </c>
      <c r="K14" s="98"/>
      <c r="L14" s="104">
        <v>5</v>
      </c>
      <c r="M14" s="105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2" t="s">
        <v>73</v>
      </c>
      <c r="AC15" s="143"/>
      <c r="AD15" s="143"/>
      <c r="AE15" s="143"/>
      <c r="AF15" s="143"/>
      <c r="AG15" s="142" t="s">
        <v>74</v>
      </c>
      <c r="AH15" s="143"/>
      <c r="AI15" s="143"/>
      <c r="AJ15" s="143"/>
      <c r="AK15" s="143"/>
    </row>
    <row r="16" spans="1:57" x14ac:dyDescent="0.4">
      <c r="A16" s="21">
        <f t="shared" si="1"/>
        <v>16</v>
      </c>
      <c r="B16" s="141" t="s">
        <v>41</v>
      </c>
      <c r="C16" s="141"/>
      <c r="D16" s="82" t="s">
        <v>81</v>
      </c>
      <c r="E16" s="82"/>
      <c r="F16" s="108">
        <v>-1E-4</v>
      </c>
      <c r="G16" s="109"/>
      <c r="H16" s="106" t="s">
        <v>84</v>
      </c>
      <c r="I16" s="107"/>
      <c r="J16" s="116" t="str">
        <f>IF(F11&gt;0, F13&amp;" &lt; "&amp;F10&amp;" x Rate("&amp;L13&amp;"Y-"&amp;L14&amp;"Y) &lt; "&amp;F12,F13&amp;" &lt; "&amp;F10&amp;" x Rate("&amp;L11&amp;"Y) &lt; "&amp;F12)</f>
        <v>-1 &lt; 1 x Rate(0.25Y) &lt; 1</v>
      </c>
      <c r="K16" s="116"/>
      <c r="L16" s="116"/>
      <c r="M16" s="116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41"/>
      <c r="C17" s="141"/>
      <c r="D17" s="82" t="s">
        <v>44</v>
      </c>
      <c r="E17" s="82"/>
      <c r="F17" s="108">
        <v>0</v>
      </c>
      <c r="G17" s="109"/>
      <c r="H17" s="106" t="s">
        <v>82</v>
      </c>
      <c r="I17" s="107"/>
      <c r="J17" s="11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16"/>
      <c r="L17" s="116"/>
      <c r="M17" s="116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20341220</v>
      </c>
      <c r="AI17" s="40">
        <v>20341220</v>
      </c>
      <c r="AJ17" s="43">
        <v>0</v>
      </c>
      <c r="AK17" s="47">
        <v>13996000000</v>
      </c>
    </row>
    <row r="18" spans="1:37" x14ac:dyDescent="0.4">
      <c r="A18" s="21">
        <f t="shared" si="1"/>
        <v>18</v>
      </c>
      <c r="B18" s="141"/>
      <c r="C18" s="141"/>
      <c r="D18" s="82" t="s">
        <v>45</v>
      </c>
      <c r="E18" s="82"/>
      <c r="F18" s="99">
        <v>1</v>
      </c>
      <c r="G18" s="100"/>
      <c r="H18" s="106"/>
      <c r="I18" s="107"/>
      <c r="J18" s="116"/>
      <c r="K18" s="116"/>
      <c r="L18" s="116"/>
      <c r="M18" s="116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</row>
    <row r="21" spans="1:37" x14ac:dyDescent="0.4">
      <c r="A21" s="21">
        <f t="shared" si="1"/>
        <v>21</v>
      </c>
      <c r="B21" s="141" t="s">
        <v>46</v>
      </c>
      <c r="C21" s="141"/>
      <c r="D21" s="82" t="s">
        <v>42</v>
      </c>
      <c r="E21" s="82"/>
      <c r="F21" s="108">
        <v>-1E-4</v>
      </c>
      <c r="G21" s="109"/>
      <c r="H21" s="106" t="s">
        <v>83</v>
      </c>
      <c r="I21" s="107"/>
      <c r="J21" s="11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16"/>
      <c r="L21" s="116"/>
      <c r="M21" s="116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</row>
    <row r="22" spans="1:37" x14ac:dyDescent="0.4">
      <c r="A22" s="21">
        <f t="shared" si="1"/>
        <v>22</v>
      </c>
      <c r="B22" s="141"/>
      <c r="C22" s="141"/>
      <c r="D22" s="82" t="s">
        <v>44</v>
      </c>
      <c r="E22" s="82"/>
      <c r="F22" s="108">
        <v>0</v>
      </c>
      <c r="G22" s="109"/>
      <c r="H22" s="106"/>
      <c r="I22" s="107"/>
      <c r="J22" s="116"/>
      <c r="K22" s="116"/>
      <c r="L22" s="116"/>
      <c r="M22" s="116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</row>
    <row r="23" spans="1:37" x14ac:dyDescent="0.4">
      <c r="A23" s="21">
        <f t="shared" si="1"/>
        <v>23</v>
      </c>
      <c r="B23" s="141"/>
      <c r="C23" s="141"/>
      <c r="D23" s="82" t="s">
        <v>45</v>
      </c>
      <c r="E23" s="82"/>
      <c r="F23" s="99">
        <v>1</v>
      </c>
      <c r="G23" s="100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</row>
    <row r="25" spans="1:37" x14ac:dyDescent="0.4">
      <c r="A25" s="21">
        <f t="shared" si="1"/>
        <v>25</v>
      </c>
      <c r="B25" s="83" t="s">
        <v>47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5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</row>
    <row r="26" spans="1:37" x14ac:dyDescent="0.4">
      <c r="A26" s="21">
        <f t="shared" si="1"/>
        <v>26</v>
      </c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8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1"/>
      <c r="F27" s="72" t="s">
        <v>34</v>
      </c>
      <c r="G27" s="72"/>
      <c r="H27" s="74">
        <v>1</v>
      </c>
      <c r="I27" s="71"/>
      <c r="J27" s="72" t="s">
        <v>86</v>
      </c>
      <c r="K27" s="72"/>
      <c r="L27" s="99">
        <v>4</v>
      </c>
      <c r="M27" s="100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</row>
    <row r="29" spans="1:37" x14ac:dyDescent="0.4">
      <c r="A29" s="21">
        <f t="shared" si="1"/>
        <v>29</v>
      </c>
      <c r="B29" s="75" t="str">
        <f>"기초금리정보"</f>
        <v>기초금리정보</v>
      </c>
      <c r="C29" s="76"/>
      <c r="D29" s="56" t="s">
        <v>35</v>
      </c>
      <c r="E29" s="56"/>
      <c r="F29" s="99">
        <v>3</v>
      </c>
      <c r="G29" s="100"/>
      <c r="H29" s="23"/>
      <c r="I29" s="22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82" t="s">
        <v>59</v>
      </c>
      <c r="P29" s="82"/>
      <c r="Q29" s="82"/>
      <c r="R29" s="82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</row>
    <row r="30" spans="1:37" x14ac:dyDescent="0.4">
      <c r="A30" s="21">
        <f t="shared" si="1"/>
        <v>30</v>
      </c>
      <c r="B30" s="77"/>
      <c r="C30" s="78"/>
      <c r="D30" s="56" t="s">
        <v>36</v>
      </c>
      <c r="E30" s="81"/>
      <c r="F30" s="101">
        <v>0</v>
      </c>
      <c r="G30" s="102"/>
      <c r="H30" s="89" t="str">
        <f xml:space="preserve"> "Swap 레퍼런스금리정보"</f>
        <v>Swap 레퍼런스금리정보</v>
      </c>
      <c r="I30" s="90"/>
      <c r="J30" s="93" t="str">
        <f>IF(OR(F30 = 0, F30 = 2, F30 = 4), "", "연 지급횟수")</f>
        <v/>
      </c>
      <c r="K30" s="94"/>
      <c r="L30" s="71">
        <v>4</v>
      </c>
      <c r="M30" s="95"/>
      <c r="O30" s="82" t="s">
        <v>52</v>
      </c>
      <c r="P30" s="82"/>
      <c r="Q30" s="117">
        <v>0</v>
      </c>
      <c r="R30" s="100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</row>
    <row r="31" spans="1:37" x14ac:dyDescent="0.4">
      <c r="A31" s="21">
        <f t="shared" si="1"/>
        <v>31</v>
      </c>
      <c r="B31" s="77"/>
      <c r="C31" s="78"/>
      <c r="D31" s="82" t="s">
        <v>37</v>
      </c>
      <c r="E31" s="82"/>
      <c r="F31" s="99">
        <v>0</v>
      </c>
      <c r="G31" s="100"/>
      <c r="H31" s="92"/>
      <c r="I31" s="93"/>
      <c r="J31" s="93" t="str">
        <f>IF(F31=0, "만기", "입력X, 아래만기2개입력")</f>
        <v>만기</v>
      </c>
      <c r="K31" s="94"/>
      <c r="L31" s="114">
        <v>10</v>
      </c>
      <c r="M31" s="115"/>
      <c r="O31" s="82" t="s">
        <v>54</v>
      </c>
      <c r="P31" s="82"/>
      <c r="Q31" s="117">
        <v>0</v>
      </c>
      <c r="R31" s="100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</row>
    <row r="32" spans="1:37" x14ac:dyDescent="0.4">
      <c r="A32" s="21">
        <f t="shared" si="1"/>
        <v>32</v>
      </c>
      <c r="B32" s="77"/>
      <c r="C32" s="78"/>
      <c r="D32" s="82" t="s">
        <v>38</v>
      </c>
      <c r="E32" s="82"/>
      <c r="F32" s="108">
        <v>0.8</v>
      </c>
      <c r="G32" s="109"/>
      <c r="H32" s="96" t="str">
        <f>"ex) Deposit 3M -&gt; 연 지급횟수= 4, 만기= 0.25 ||  ex2) CMT 5Y 연 지급횟수=2, 만기 5"</f>
        <v>ex) Deposit 3M -&gt; 연 지급횟수= 4, 만기= 0.25 ||  ex2) CMT 5Y 연 지급횟수=2, 만기 5</v>
      </c>
      <c r="I32" s="96"/>
      <c r="J32" s="96"/>
      <c r="K32" s="96"/>
      <c r="L32" s="96"/>
      <c r="M32" s="97"/>
      <c r="O32" s="118" t="s">
        <v>55</v>
      </c>
      <c r="P32" s="119"/>
      <c r="Q32" s="117">
        <v>0</v>
      </c>
      <c r="R32" s="100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</row>
    <row r="33" spans="1:32" x14ac:dyDescent="0.4">
      <c r="A33" s="21">
        <f t="shared" si="1"/>
        <v>33</v>
      </c>
      <c r="B33" s="77"/>
      <c r="C33" s="78"/>
      <c r="D33" s="82" t="s">
        <v>39</v>
      </c>
      <c r="E33" s="56"/>
      <c r="F33" s="110">
        <v>-0.8</v>
      </c>
      <c r="G33" s="111"/>
      <c r="H33" s="98" t="str">
        <f>IF(F31&gt;0,"PowerSpreadFlag 1일때 입력","입력필요X")</f>
        <v>입력필요X</v>
      </c>
      <c r="I33" s="98"/>
      <c r="J33" s="98" t="str">
        <f>IF(F31&gt;0,"만기1","")</f>
        <v/>
      </c>
      <c r="K33" s="98"/>
      <c r="L33" s="104">
        <v>10</v>
      </c>
      <c r="M33" s="105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</row>
    <row r="34" spans="1:32" x14ac:dyDescent="0.4">
      <c r="A34" s="21">
        <f t="shared" si="1"/>
        <v>34</v>
      </c>
      <c r="B34" s="79"/>
      <c r="C34" s="80"/>
      <c r="D34" s="103" t="s">
        <v>40</v>
      </c>
      <c r="E34" s="103"/>
      <c r="F34" s="112">
        <v>0</v>
      </c>
      <c r="G34" s="113"/>
      <c r="H34" s="98"/>
      <c r="I34" s="98"/>
      <c r="J34" s="98" t="str">
        <f>IF(F31&gt;0,"만기2","")</f>
        <v/>
      </c>
      <c r="K34" s="98"/>
      <c r="L34" s="104">
        <v>5</v>
      </c>
      <c r="M34" s="105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</row>
    <row r="35" spans="1:32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</row>
    <row r="36" spans="1:32" x14ac:dyDescent="0.4">
      <c r="A36" s="21">
        <f t="shared" si="1"/>
        <v>36</v>
      </c>
      <c r="B36" s="141" t="s">
        <v>41</v>
      </c>
      <c r="C36" s="141"/>
      <c r="D36" s="82" t="s">
        <v>42</v>
      </c>
      <c r="E36" s="82"/>
      <c r="F36" s="108">
        <v>2.0199999999999999E-2</v>
      </c>
      <c r="G36" s="109"/>
      <c r="H36" s="106" t="s">
        <v>85</v>
      </c>
      <c r="I36" s="107"/>
      <c r="J36" s="116" t="str">
        <f>IF(F31&gt;0, F33&amp;" &lt; "&amp;F30&amp;" x Rate("&amp;L33&amp;"Y-"&amp;L34&amp;"Y) &lt; "&amp;F32,F33&amp;" &lt; "&amp;F30&amp;" x Rate("&amp;L31&amp;"Y) &lt; "&amp;F32)</f>
        <v>-0.8 &lt; 0 x Rate(10Y) &lt; 0.8</v>
      </c>
      <c r="K36" s="116"/>
      <c r="L36" s="116"/>
      <c r="M36" s="116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</row>
    <row r="37" spans="1:32" x14ac:dyDescent="0.4">
      <c r="A37" s="21">
        <f t="shared" si="1"/>
        <v>37</v>
      </c>
      <c r="B37" s="141"/>
      <c r="C37" s="141"/>
      <c r="D37" s="82" t="s">
        <v>44</v>
      </c>
      <c r="E37" s="82"/>
      <c r="F37" s="108">
        <v>0</v>
      </c>
      <c r="G37" s="109"/>
      <c r="H37" s="106" t="s">
        <v>82</v>
      </c>
      <c r="I37" s="107"/>
      <c r="J37" s="11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6"/>
      <c r="L37" s="116"/>
      <c r="M37" s="116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</row>
    <row r="38" spans="1:32" x14ac:dyDescent="0.4">
      <c r="A38" s="21">
        <f t="shared" si="1"/>
        <v>38</v>
      </c>
      <c r="B38" s="141"/>
      <c r="C38" s="141"/>
      <c r="D38" s="82" t="s">
        <v>45</v>
      </c>
      <c r="E38" s="82"/>
      <c r="F38" s="99">
        <v>0</v>
      </c>
      <c r="G38" s="100"/>
      <c r="H38" s="106"/>
      <c r="I38" s="107"/>
      <c r="J38" s="116"/>
      <c r="K38" s="116"/>
      <c r="L38" s="116"/>
      <c r="M38" s="116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</row>
    <row r="39" spans="1:32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</row>
    <row r="40" spans="1:32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</row>
    <row r="41" spans="1:32" x14ac:dyDescent="0.4">
      <c r="A41" s="21">
        <f t="shared" si="1"/>
        <v>41</v>
      </c>
      <c r="B41" s="141" t="s">
        <v>46</v>
      </c>
      <c r="C41" s="141"/>
      <c r="D41" s="82" t="s">
        <v>42</v>
      </c>
      <c r="E41" s="82"/>
      <c r="F41" s="108">
        <v>2.0199999999999999E-2</v>
      </c>
      <c r="G41" s="109"/>
      <c r="H41" s="106" t="s">
        <v>83</v>
      </c>
      <c r="I41" s="107"/>
      <c r="J41" s="11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16"/>
      <c r="L41" s="116"/>
      <c r="M41" s="116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</row>
    <row r="42" spans="1:32" x14ac:dyDescent="0.4">
      <c r="A42" s="21">
        <f t="shared" si="1"/>
        <v>42</v>
      </c>
      <c r="B42" s="141"/>
      <c r="C42" s="141"/>
      <c r="D42" s="82" t="s">
        <v>44</v>
      </c>
      <c r="E42" s="82"/>
      <c r="F42" s="108">
        <v>0</v>
      </c>
      <c r="G42" s="109"/>
      <c r="H42" s="106"/>
      <c r="I42" s="107"/>
      <c r="J42" s="116"/>
      <c r="K42" s="116"/>
      <c r="L42" s="116"/>
      <c r="M42" s="116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</row>
    <row r="43" spans="1:32" x14ac:dyDescent="0.4">
      <c r="A43" s="21">
        <f t="shared" si="1"/>
        <v>43</v>
      </c>
      <c r="B43" s="141"/>
      <c r="C43" s="141"/>
      <c r="D43" s="82" t="s">
        <v>45</v>
      </c>
      <c r="E43" s="82"/>
      <c r="F43" s="99">
        <v>0</v>
      </c>
      <c r="G43" s="100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</row>
    <row r="44" spans="1:32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</row>
    <row r="45" spans="1:32" ht="17.399999999999999" customHeight="1" x14ac:dyDescent="0.4">
      <c r="A45" s="21">
        <f t="shared" si="1"/>
        <v>45</v>
      </c>
      <c r="B45" s="135" t="s">
        <v>61</v>
      </c>
      <c r="C45" s="136"/>
      <c r="D45" s="136"/>
      <c r="E45" s="136"/>
      <c r="F45" s="136"/>
      <c r="G45" s="137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</row>
    <row r="46" spans="1:32" ht="17.399999999999999" customHeight="1" x14ac:dyDescent="0.4">
      <c r="A46" s="21">
        <f t="shared" si="1"/>
        <v>46</v>
      </c>
      <c r="B46" s="138"/>
      <c r="C46" s="139"/>
      <c r="D46" s="139"/>
      <c r="E46" s="139"/>
      <c r="F46" s="139"/>
      <c r="G46" s="140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</row>
    <row r="47" spans="1:32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</row>
    <row r="48" spans="1:32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</row>
    <row r="49" spans="1:32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</row>
    <row r="50" spans="1:32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</row>
    <row r="51" spans="1:32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</row>
    <row r="52" spans="1:32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</row>
    <row r="53" spans="1:32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</row>
    <row r="54" spans="1:32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</row>
    <row r="55" spans="1:32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</row>
    <row r="56" spans="1:32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</row>
    <row r="57" spans="1:32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</row>
    <row r="58" spans="1:32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</row>
    <row r="59" spans="1:32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</row>
    <row r="60" spans="1:32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</row>
    <row r="61" spans="1:32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</row>
    <row r="62" spans="1:32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</row>
    <row r="63" spans="1:32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</row>
    <row r="64" spans="1:32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</row>
    <row r="65" spans="28:32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</row>
    <row r="66" spans="28:32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</row>
    <row r="67" spans="28:32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</row>
    <row r="68" spans="28:32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</row>
    <row r="69" spans="28:32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</row>
    <row r="70" spans="28:32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</row>
    <row r="71" spans="28:32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</row>
    <row r="72" spans="28:32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</row>
    <row r="73" spans="28:32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</row>
    <row r="74" spans="28:32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</row>
    <row r="75" spans="28:32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</row>
    <row r="76" spans="28:32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2025-11-23T12:36:17Z</dcterms:modified>
</cp:coreProperties>
</file>