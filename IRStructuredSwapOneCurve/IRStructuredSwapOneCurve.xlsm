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<sst xmlns="http://schemas.openxmlformats.org/spreadsheetml/2006/main" count="122" uniqueCount="87">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</sst>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8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41" x14ac:dyDescent="0.4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41" x14ac:dyDescent="0.4">
      <c r="A4" s="1">
        <f>4</f>
        <v>4</v>
      </c>
      <c r="B4" s="52" t="s">
        <v>1</v>
      </c>
      <c r="C4" s="52"/>
      <c r="D4" s="53">
        <v>1</v>
      </c>
      <c r="E4" s="53"/>
    </row>
    <row r="5" spans="1:41" x14ac:dyDescent="0.4">
      <c r="A5" s="1">
        <f>A4+1</f>
        <v>5</v>
      </c>
      <c r="B5" s="52" t="s">
        <v>29</v>
      </c>
      <c r="C5" s="52"/>
      <c r="D5" s="68">
        <v>45538</v>
      </c>
      <c r="E5" s="53"/>
      <c r="G5" s="59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0"/>
      <c r="H6" s="61" t="s">
        <v>4</v>
      </c>
      <c r="I6" s="62"/>
      <c r="L6" s="65" t="s">
        <v>75</v>
      </c>
      <c r="M6" s="65"/>
      <c r="N6" s="65"/>
      <c r="O6" s="69" t="s">
        <v>76</v>
      </c>
      <c r="P6" s="62"/>
      <c r="R6" s="65" t="s">
        <v>5</v>
      </c>
      <c r="S6" s="65"/>
      <c r="T6" s="65"/>
    </row>
    <row r="7" spans="1:41" x14ac:dyDescent="0.4">
      <c r="A7" s="1">
        <f t="shared" si="1"/>
        <v>7</v>
      </c>
      <c r="B7" s="52" t="s">
        <v>6</v>
      </c>
      <c r="C7" s="52"/>
      <c r="D7" s="53">
        <v>0</v>
      </c>
      <c r="E7" s="53"/>
      <c r="G7" s="60"/>
      <c r="H7" s="63"/>
      <c r="I7" s="64"/>
      <c r="L7" s="65"/>
      <c r="M7" s="65"/>
      <c r="N7" s="65"/>
      <c r="O7" s="63"/>
      <c r="P7" s="64"/>
      <c r="R7" s="65"/>
      <c r="S7" s="65"/>
      <c r="T7" s="65"/>
    </row>
    <row r="8" spans="1:41" x14ac:dyDescent="0.4">
      <c r="A8" s="1">
        <f t="shared" si="1"/>
        <v>8</v>
      </c>
      <c r="B8" s="52" t="s">
        <v>7</v>
      </c>
      <c r="C8" s="52"/>
      <c r="D8" s="53">
        <v>0.01</v>
      </c>
      <c r="E8" s="53"/>
      <c r="G8" s="60"/>
      <c r="I8" s="3" t="s">
        <v>8</v>
      </c>
      <c r="J8" s="3" t="s">
        <v>9</v>
      </c>
      <c r="K8" s="3" t="s">
        <v>10</v>
      </c>
      <c r="R8" s="65" t="s">
        <v>11</v>
      </c>
      <c r="S8" s="65"/>
      <c r="T8" s="4">
        <v>3</v>
      </c>
    </row>
    <row r="9" spans="1:41" x14ac:dyDescent="0.4">
      <c r="A9" s="1">
        <f t="shared" si="1"/>
        <v>9</v>
      </c>
      <c r="G9" s="60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0"/>
      <c r="H10" s="8" t="s">
        <v>13</v>
      </c>
      <c r="I10" s="66" t="s">
        <v>14</v>
      </c>
      <c r="J10" s="6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0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0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6" t="s">
        <v>23</v>
      </c>
      <c r="E13" s="56"/>
      <c r="G13" s="60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6"/>
      <c r="E14" s="56"/>
      <c r="G14" s="60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6"/>
      <c r="E15" s="56"/>
      <c r="G15" s="60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0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7">
        <v>45202.835729166669</v>
      </c>
      <c r="E17" s="57"/>
      <c r="G17" s="60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7">
        <v>45202.835729166669</v>
      </c>
      <c r="E18" s="57"/>
      <c r="G18" s="60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0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0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0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0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2" t="s">
        <v>24</v>
      </c>
      <c r="C23" s="52"/>
      <c r="D23" s="53">
        <v>1</v>
      </c>
      <c r="E23" s="53"/>
      <c r="G23" s="60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2" t="s">
        <v>25</v>
      </c>
      <c r="C24" s="52"/>
      <c r="D24" s="53">
        <v>0</v>
      </c>
      <c r="E24" s="53"/>
      <c r="G24" s="60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2" t="s">
        <v>26</v>
      </c>
      <c r="C25" s="52"/>
      <c r="D25" s="53">
        <v>-0.1</v>
      </c>
      <c r="E25" s="53"/>
      <c r="G25" s="60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2" t="s">
        <v>27</v>
      </c>
      <c r="C26" s="52"/>
      <c r="D26" s="53">
        <v>0.15</v>
      </c>
      <c r="E26" s="53"/>
      <c r="G26" s="60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0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0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0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0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0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0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0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0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0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0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0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0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0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0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X1" workbookViewId="0">
      <selection activeCell="R18" sqref="R18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9" t="s">
        <v>30</v>
      </c>
      <c r="C3" s="149"/>
      <c r="D3" s="150">
        <v>45538</v>
      </c>
      <c r="E3" s="110"/>
      <c r="F3" s="70" t="s">
        <v>31</v>
      </c>
      <c r="G3" s="70"/>
      <c r="H3" s="110">
        <v>0</v>
      </c>
      <c r="I3" s="110"/>
      <c r="J3" s="70" t="s">
        <v>32</v>
      </c>
      <c r="K3" s="70"/>
      <c r="L3" s="151">
        <v>40000000000</v>
      </c>
      <c r="M3" s="151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1" t="s">
        <v>66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3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43819</v>
      </c>
      <c r="R4" s="139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4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6"/>
    </row>
    <row r="5" spans="1:57" x14ac:dyDescent="0.4">
      <c r="A5" s="21">
        <f t="shared" si="1"/>
        <v>5</v>
      </c>
      <c r="B5" s="81" t="s">
        <v>48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O5" s="113" t="s">
        <v>51</v>
      </c>
      <c r="P5" s="144"/>
      <c r="Q5" s="145">
        <v>49298</v>
      </c>
      <c r="R5" s="146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4"/>
      <c r="C6" s="85"/>
      <c r="D6" s="85"/>
      <c r="E6" s="85"/>
      <c r="F6" s="85"/>
      <c r="G6" s="85"/>
      <c r="H6" s="85"/>
      <c r="I6" s="85"/>
      <c r="J6" s="85"/>
      <c r="K6" s="85"/>
      <c r="L6" s="85"/>
      <c r="M6" s="86"/>
      <c r="O6" s="142" t="s">
        <v>43</v>
      </c>
      <c r="P6" s="143"/>
      <c r="Q6" s="124">
        <v>0</v>
      </c>
      <c r="R6" s="72"/>
      <c r="W6" s="28">
        <v>44769</v>
      </c>
      <c r="X6" s="35">
        <v>3.6999999999999998E-2</v>
      </c>
      <c r="Y6" s="28">
        <v>44769</v>
      </c>
      <c r="Z6" s="37">
        <v>0.03</v>
      </c>
      <c r="AB6" s="70" t="s">
        <v>67</v>
      </c>
      <c r="AC6" s="70"/>
      <c r="AD6" s="110">
        <v>0</v>
      </c>
      <c r="AE6" s="11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0" t="s">
        <v>33</v>
      </c>
      <c r="C7" s="70"/>
      <c r="D7" s="87">
        <v>1</v>
      </c>
      <c r="E7" s="88"/>
      <c r="F7" s="70" t="s">
        <v>34</v>
      </c>
      <c r="G7" s="70"/>
      <c r="H7" s="87">
        <v>1</v>
      </c>
      <c r="I7" s="88"/>
      <c r="J7" s="70" t="s">
        <v>86</v>
      </c>
      <c r="K7" s="70"/>
      <c r="L7" s="71">
        <v>0</v>
      </c>
      <c r="M7" s="72"/>
      <c r="O7" s="125" t="str">
        <f>IF(Q6&gt;0,"Phase2날짜","")</f>
        <v/>
      </c>
      <c r="P7" s="126"/>
      <c r="Q7" s="140">
        <v>45865</v>
      </c>
      <c r="R7" s="141"/>
      <c r="W7" s="28">
        <v>44815</v>
      </c>
      <c r="X7" s="35">
        <v>3.6999999999999998E-2</v>
      </c>
      <c r="Y7" s="28">
        <v>44815</v>
      </c>
      <c r="Z7" s="35">
        <v>0.03</v>
      </c>
      <c r="AB7" s="70" t="s">
        <v>80</v>
      </c>
      <c r="AC7" s="70"/>
      <c r="AD7" s="110">
        <v>0</v>
      </c>
      <c r="AE7" s="11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92" t="s">
        <v>35</v>
      </c>
      <c r="E9" s="92"/>
      <c r="F9" s="71">
        <v>0</v>
      </c>
      <c r="G9" s="72"/>
      <c r="H9" s="24"/>
      <c r="I9" s="23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99" t="s">
        <v>53</v>
      </c>
      <c r="P9" s="99"/>
      <c r="Q9" s="99"/>
      <c r="R9" s="99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92" t="s">
        <v>36</v>
      </c>
      <c r="E10" s="93"/>
      <c r="F10" s="94">
        <v>1</v>
      </c>
      <c r="G10" s="95"/>
      <c r="H10" s="89" t="str">
        <f xml:space="preserve"> "Swap 레퍼런스금리정보"</f>
        <v>Swap 레퍼런스금리정보</v>
      </c>
      <c r="I10" s="90"/>
      <c r="J10" s="77" t="str">
        <f>IF(OR(F10 = 0, F10 = 2, F10 = 4), "", "연 지급횟수")</f>
        <v>연 지급횟수</v>
      </c>
      <c r="K10" s="78"/>
      <c r="L10" s="97">
        <v>4</v>
      </c>
      <c r="M10" s="98"/>
      <c r="O10" s="99" t="s">
        <v>52</v>
      </c>
      <c r="P10" s="99"/>
      <c r="Q10" s="124">
        <v>4</v>
      </c>
      <c r="R10" s="72"/>
      <c r="AB10" s="113" t="s">
        <v>79</v>
      </c>
      <c r="AC10" s="114"/>
      <c r="AD10" s="115">
        <v>615162456.67706609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99" t="s">
        <v>37</v>
      </c>
      <c r="E11" s="99"/>
      <c r="F11" s="71">
        <v>0</v>
      </c>
      <c r="G11" s="72"/>
      <c r="H11" s="96"/>
      <c r="I11" s="77"/>
      <c r="J11" s="77" t="str">
        <f>IF(F11=0, "만기", "입력X, 아래만기2개입력")</f>
        <v>만기</v>
      </c>
      <c r="K11" s="78"/>
      <c r="L11" s="79">
        <v>0.25</v>
      </c>
      <c r="M11" s="80"/>
      <c r="O11" s="99" t="s">
        <v>54</v>
      </c>
      <c r="P11" s="99"/>
      <c r="Q11" s="124">
        <v>0</v>
      </c>
      <c r="R11" s="72"/>
      <c r="AB11" s="20"/>
      <c r="AC11" s="20"/>
      <c r="AD11" s="20">
        <v>798615000</v>
      </c>
      <c r="AE11" s="50">
        <f>(AD11-AD10)/L3</f>
        <v>4.5863135830733481E-3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99" t="s">
        <v>38</v>
      </c>
      <c r="E12" s="99"/>
      <c r="F12" s="108">
        <v>1</v>
      </c>
      <c r="G12" s="109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4</v>
      </c>
      <c r="R12" s="72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99" t="s">
        <v>39</v>
      </c>
      <c r="E13" s="92"/>
      <c r="F13" s="100">
        <v>-1</v>
      </c>
      <c r="G13" s="101"/>
      <c r="H13" s="76" t="str">
        <f>IF(F11&gt;0,"PowerSpreadFlag 1일때 입력","입력필요X")</f>
        <v>입력필요X</v>
      </c>
      <c r="I13" s="76"/>
      <c r="J13" s="76" t="str">
        <f>IF(F11&gt;0,"만기1","")</f>
        <v/>
      </c>
      <c r="K13" s="76"/>
      <c r="L13" s="102">
        <v>10</v>
      </c>
      <c r="M13" s="103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4" t="s">
        <v>40</v>
      </c>
      <c r="E14" s="104"/>
      <c r="F14" s="105">
        <v>1</v>
      </c>
      <c r="G14" s="106"/>
      <c r="H14" s="76"/>
      <c r="I14" s="76"/>
      <c r="J14" s="76" t="str">
        <f>IF(F11&gt;0,"만기2","")</f>
        <v/>
      </c>
      <c r="K14" s="76"/>
      <c r="L14" s="102">
        <v>5</v>
      </c>
      <c r="M14" s="103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7" t="s">
        <v>41</v>
      </c>
      <c r="C16" s="107"/>
      <c r="D16" s="99" t="s">
        <v>81</v>
      </c>
      <c r="E16" s="99"/>
      <c r="F16" s="108">
        <v>-1E-4</v>
      </c>
      <c r="G16" s="109"/>
      <c r="H16" s="73" t="s">
        <v>84</v>
      </c>
      <c r="I16" s="74"/>
      <c r="J16" s="75" t="str">
        <f>IF(F11&gt;0, F13&amp;" &lt; "&amp;F10&amp;" x Rate("&amp;L13&amp;"Y-"&amp;L14&amp;"Y) &lt; "&amp;F12,F13&amp;" &lt; "&amp;F10&amp;" x Rate("&amp;L11&amp;"Y) &lt; "&amp;F12)</f>
        <v>-1 &lt; 1 x Rate(0.25Y) &lt; 1</v>
      </c>
      <c r="K16" s="75"/>
      <c r="L16" s="75"/>
      <c r="M16" s="75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07"/>
      <c r="C17" s="107"/>
      <c r="D17" s="99" t="s">
        <v>44</v>
      </c>
      <c r="E17" s="99"/>
      <c r="F17" s="108">
        <v>0</v>
      </c>
      <c r="G17" s="109"/>
      <c r="H17" s="73" t="s">
        <v>82</v>
      </c>
      <c r="I17" s="74"/>
      <c r="J17" s="7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5"/>
      <c r="L17" s="75"/>
      <c r="M17" s="75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20341220</v>
      </c>
      <c r="AI17" s="41">
        <v>20341220</v>
      </c>
      <c r="AJ17" s="44">
        <v>0</v>
      </c>
      <c r="AK17" s="48">
        <v>13996000000</v>
      </c>
    </row>
    <row r="18" spans="1:37" x14ac:dyDescent="0.4">
      <c r="A18" s="21">
        <f t="shared" si="1"/>
        <v>18</v>
      </c>
      <c r="B18" s="107"/>
      <c r="C18" s="107"/>
      <c r="D18" s="99" t="s">
        <v>45</v>
      </c>
      <c r="E18" s="99"/>
      <c r="F18" s="71">
        <v>1</v>
      </c>
      <c r="G18" s="72"/>
      <c r="H18" s="73"/>
      <c r="I18" s="74"/>
      <c r="J18" s="75"/>
      <c r="K18" s="75"/>
      <c r="L18" s="75"/>
      <c r="M18" s="75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</row>
    <row r="21" spans="1:37" x14ac:dyDescent="0.4">
      <c r="A21" s="21">
        <f t="shared" si="1"/>
        <v>21</v>
      </c>
      <c r="B21" s="107" t="s">
        <v>46</v>
      </c>
      <c r="C21" s="107"/>
      <c r="D21" s="99" t="s">
        <v>42</v>
      </c>
      <c r="E21" s="99"/>
      <c r="F21" s="108">
        <v>-1E-4</v>
      </c>
      <c r="G21" s="109"/>
      <c r="H21" s="73" t="s">
        <v>83</v>
      </c>
      <c r="I21" s="74"/>
      <c r="J21" s="7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5"/>
      <c r="L21" s="75"/>
      <c r="M21" s="75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</row>
    <row r="22" spans="1:37" x14ac:dyDescent="0.4">
      <c r="A22" s="21">
        <f t="shared" si="1"/>
        <v>22</v>
      </c>
      <c r="B22" s="107"/>
      <c r="C22" s="107"/>
      <c r="D22" s="99" t="s">
        <v>44</v>
      </c>
      <c r="E22" s="99"/>
      <c r="F22" s="108">
        <v>0</v>
      </c>
      <c r="G22" s="109"/>
      <c r="H22" s="73"/>
      <c r="I22" s="74"/>
      <c r="J22" s="75"/>
      <c r="K22" s="75"/>
      <c r="L22" s="75"/>
      <c r="M22" s="75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</row>
    <row r="23" spans="1:37" x14ac:dyDescent="0.4">
      <c r="A23" s="21">
        <f t="shared" si="1"/>
        <v>23</v>
      </c>
      <c r="B23" s="107"/>
      <c r="C23" s="107"/>
      <c r="D23" s="99" t="s">
        <v>45</v>
      </c>
      <c r="E23" s="99"/>
      <c r="F23" s="71">
        <v>1</v>
      </c>
      <c r="G23" s="72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</row>
    <row r="25" spans="1:37" x14ac:dyDescent="0.4">
      <c r="A25" s="21">
        <f t="shared" si="1"/>
        <v>25</v>
      </c>
      <c r="B25" s="81" t="s">
        <v>47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</row>
    <row r="26" spans="1:37" x14ac:dyDescent="0.4">
      <c r="A26" s="21">
        <f t="shared" si="1"/>
        <v>26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6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</row>
    <row r="27" spans="1:37" x14ac:dyDescent="0.4">
      <c r="A27" s="21">
        <f t="shared" si="1"/>
        <v>27</v>
      </c>
      <c r="B27" s="70" t="s">
        <v>33</v>
      </c>
      <c r="C27" s="70"/>
      <c r="D27" s="87">
        <v>1</v>
      </c>
      <c r="E27" s="88"/>
      <c r="F27" s="70" t="s">
        <v>34</v>
      </c>
      <c r="G27" s="70"/>
      <c r="H27" s="87">
        <v>1</v>
      </c>
      <c r="I27" s="88"/>
      <c r="J27" s="70" t="s">
        <v>86</v>
      </c>
      <c r="K27" s="70"/>
      <c r="L27" s="71">
        <v>4</v>
      </c>
      <c r="M27" s="72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92" t="s">
        <v>35</v>
      </c>
      <c r="E29" s="92"/>
      <c r="F29" s="71">
        <v>3</v>
      </c>
      <c r="G29" s="72"/>
      <c r="H29" s="24"/>
      <c r="I29" s="23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99" t="s">
        <v>59</v>
      </c>
      <c r="P29" s="99"/>
      <c r="Q29" s="99"/>
      <c r="R29" s="99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</row>
    <row r="30" spans="1:37" x14ac:dyDescent="0.4">
      <c r="A30" s="21">
        <f t="shared" si="1"/>
        <v>30</v>
      </c>
      <c r="B30" s="129"/>
      <c r="C30" s="130"/>
      <c r="D30" s="92" t="s">
        <v>36</v>
      </c>
      <c r="E30" s="93"/>
      <c r="F30" s="94">
        <v>0</v>
      </c>
      <c r="G30" s="95"/>
      <c r="H30" s="89" t="str">
        <f xml:space="preserve"> "Swap 레퍼런스금리정보"</f>
        <v>Swap 레퍼런스금리정보</v>
      </c>
      <c r="I30" s="90"/>
      <c r="J30" s="77" t="str">
        <f>IF(OR(F30 = 0, F30 = 2, F30 = 4), "", "연 지급횟수")</f>
        <v/>
      </c>
      <c r="K30" s="78"/>
      <c r="L30" s="97">
        <v>4</v>
      </c>
      <c r="M30" s="98"/>
      <c r="O30" s="99" t="s">
        <v>52</v>
      </c>
      <c r="P30" s="99"/>
      <c r="Q30" s="124">
        <v>0</v>
      </c>
      <c r="R30" s="72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</row>
    <row r="31" spans="1:37" x14ac:dyDescent="0.4">
      <c r="A31" s="21">
        <f t="shared" si="1"/>
        <v>31</v>
      </c>
      <c r="B31" s="129"/>
      <c r="C31" s="130"/>
      <c r="D31" s="99" t="s">
        <v>37</v>
      </c>
      <c r="E31" s="99"/>
      <c r="F31" s="71">
        <v>0</v>
      </c>
      <c r="G31" s="72"/>
      <c r="H31" s="96"/>
      <c r="I31" s="77"/>
      <c r="J31" s="77" t="str">
        <f>IF(F31=0, "만기", "입력X, 아래만기2개입력")</f>
        <v>만기</v>
      </c>
      <c r="K31" s="78"/>
      <c r="L31" s="79">
        <v>10</v>
      </c>
      <c r="M31" s="80"/>
      <c r="O31" s="99" t="s">
        <v>54</v>
      </c>
      <c r="P31" s="99"/>
      <c r="Q31" s="124">
        <v>0</v>
      </c>
      <c r="R31" s="72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</row>
    <row r="32" spans="1:37" x14ac:dyDescent="0.4">
      <c r="A32" s="21">
        <f t="shared" si="1"/>
        <v>32</v>
      </c>
      <c r="B32" s="129"/>
      <c r="C32" s="130"/>
      <c r="D32" s="99" t="s">
        <v>38</v>
      </c>
      <c r="E32" s="99"/>
      <c r="F32" s="108">
        <v>0.8</v>
      </c>
      <c r="G32" s="109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0</v>
      </c>
      <c r="R32" s="72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</row>
    <row r="33" spans="1:32" x14ac:dyDescent="0.4">
      <c r="A33" s="21">
        <f t="shared" si="1"/>
        <v>33</v>
      </c>
      <c r="B33" s="129"/>
      <c r="C33" s="130"/>
      <c r="D33" s="99" t="s">
        <v>39</v>
      </c>
      <c r="E33" s="92"/>
      <c r="F33" s="100">
        <v>-0.8</v>
      </c>
      <c r="G33" s="101"/>
      <c r="H33" s="76" t="str">
        <f>IF(F31&gt;0,"PowerSpreadFlag 1일때 입력","입력필요X")</f>
        <v>입력필요X</v>
      </c>
      <c r="I33" s="76"/>
      <c r="J33" s="76" t="str">
        <f>IF(F31&gt;0,"만기1","")</f>
        <v/>
      </c>
      <c r="K33" s="76"/>
      <c r="L33" s="102">
        <v>10</v>
      </c>
      <c r="M33" s="103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</row>
    <row r="34" spans="1:32" x14ac:dyDescent="0.4">
      <c r="A34" s="21">
        <f t="shared" si="1"/>
        <v>34</v>
      </c>
      <c r="B34" s="131"/>
      <c r="C34" s="132"/>
      <c r="D34" s="104" t="s">
        <v>40</v>
      </c>
      <c r="E34" s="104"/>
      <c r="F34" s="105">
        <v>0</v>
      </c>
      <c r="G34" s="106"/>
      <c r="H34" s="76"/>
      <c r="I34" s="76"/>
      <c r="J34" s="76" t="str">
        <f>IF(F31&gt;0,"만기2","")</f>
        <v/>
      </c>
      <c r="K34" s="76"/>
      <c r="L34" s="102">
        <v>5</v>
      </c>
      <c r="M34" s="103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</row>
    <row r="35" spans="1:32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</row>
    <row r="36" spans="1:32" x14ac:dyDescent="0.4">
      <c r="A36" s="21">
        <f t="shared" si="1"/>
        <v>36</v>
      </c>
      <c r="B36" s="107" t="s">
        <v>41</v>
      </c>
      <c r="C36" s="107"/>
      <c r="D36" s="99" t="s">
        <v>42</v>
      </c>
      <c r="E36" s="99"/>
      <c r="F36" s="108">
        <v>2.0199999999999999E-2</v>
      </c>
      <c r="G36" s="109"/>
      <c r="H36" s="73" t="s">
        <v>85</v>
      </c>
      <c r="I36" s="74"/>
      <c r="J36" s="75" t="str">
        <f>IF(F31&gt;0, F33&amp;" &lt; "&amp;F30&amp;" x Rate("&amp;L33&amp;"Y-"&amp;L34&amp;"Y) &lt; "&amp;F32,F33&amp;" &lt; "&amp;F30&amp;" x Rate("&amp;L31&amp;"Y) &lt; "&amp;F32)</f>
        <v>-0.8 &lt; 0 x Rate(10Y) &lt; 0.8</v>
      </c>
      <c r="K36" s="75"/>
      <c r="L36" s="75"/>
      <c r="M36" s="75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</row>
    <row r="37" spans="1:32" x14ac:dyDescent="0.4">
      <c r="A37" s="21">
        <f t="shared" si="1"/>
        <v>37</v>
      </c>
      <c r="B37" s="107"/>
      <c r="C37" s="107"/>
      <c r="D37" s="99" t="s">
        <v>44</v>
      </c>
      <c r="E37" s="99"/>
      <c r="F37" s="108">
        <v>0</v>
      </c>
      <c r="G37" s="109"/>
      <c r="H37" s="73" t="s">
        <v>82</v>
      </c>
      <c r="I37" s="74"/>
      <c r="J37" s="7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5"/>
      <c r="L37" s="75"/>
      <c r="M37" s="75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</row>
    <row r="38" spans="1:32" x14ac:dyDescent="0.4">
      <c r="A38" s="21">
        <f t="shared" si="1"/>
        <v>38</v>
      </c>
      <c r="B38" s="107"/>
      <c r="C38" s="107"/>
      <c r="D38" s="99" t="s">
        <v>45</v>
      </c>
      <c r="E38" s="99"/>
      <c r="F38" s="71">
        <v>0</v>
      </c>
      <c r="G38" s="72"/>
      <c r="H38" s="73"/>
      <c r="I38" s="74"/>
      <c r="J38" s="75"/>
      <c r="K38" s="75"/>
      <c r="L38" s="75"/>
      <c r="M38" s="75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</row>
    <row r="39" spans="1:32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</row>
    <row r="40" spans="1:32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</row>
    <row r="41" spans="1:32" x14ac:dyDescent="0.4">
      <c r="A41" s="21">
        <f t="shared" si="1"/>
        <v>41</v>
      </c>
      <c r="B41" s="107" t="s">
        <v>46</v>
      </c>
      <c r="C41" s="107"/>
      <c r="D41" s="99" t="s">
        <v>42</v>
      </c>
      <c r="E41" s="99"/>
      <c r="F41" s="108">
        <v>2.0199999999999999E-2</v>
      </c>
      <c r="G41" s="109"/>
      <c r="H41" s="73" t="s">
        <v>83</v>
      </c>
      <c r="I41" s="74"/>
      <c r="J41" s="7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5"/>
      <c r="L41" s="75"/>
      <c r="M41" s="75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</row>
    <row r="42" spans="1:32" x14ac:dyDescent="0.4">
      <c r="A42" s="21">
        <f t="shared" si="1"/>
        <v>42</v>
      </c>
      <c r="B42" s="107"/>
      <c r="C42" s="107"/>
      <c r="D42" s="99" t="s">
        <v>44</v>
      </c>
      <c r="E42" s="99"/>
      <c r="F42" s="108">
        <v>0</v>
      </c>
      <c r="G42" s="109"/>
      <c r="H42" s="73"/>
      <c r="I42" s="74"/>
      <c r="J42" s="75"/>
      <c r="K42" s="75"/>
      <c r="L42" s="75"/>
      <c r="M42" s="75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</row>
    <row r="43" spans="1:32" x14ac:dyDescent="0.4">
      <c r="A43" s="21">
        <f t="shared" si="1"/>
        <v>43</v>
      </c>
      <c r="B43" s="107"/>
      <c r="C43" s="107"/>
      <c r="D43" s="99" t="s">
        <v>45</v>
      </c>
      <c r="E43" s="99"/>
      <c r="F43" s="71">
        <v>0</v>
      </c>
      <c r="G43" s="72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</row>
    <row r="44" spans="1:32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</row>
    <row r="45" spans="1:32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AB45" s="42">
        <v>20261221</v>
      </c>
      <c r="AC45" s="43">
        <v>20270322</v>
      </c>
      <c r="AD45" s="43">
        <v>20270322</v>
      </c>
      <c r="AE45" s="45">
        <v>2.8062122571600494E-2</v>
      </c>
      <c r="AF45" s="49">
        <v>278855140.16609806</v>
      </c>
    </row>
    <row r="46" spans="1:32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2">
        <v>20270322</v>
      </c>
      <c r="AC46" s="43">
        <v>20270621</v>
      </c>
      <c r="AD46" s="43">
        <v>20270621</v>
      </c>
      <c r="AE46" s="45">
        <v>2.7696636918449608E-2</v>
      </c>
      <c r="AF46" s="49">
        <v>275210296.94015503</v>
      </c>
    </row>
    <row r="47" spans="1:32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2.7544967542104514E-2</v>
      </c>
      <c r="AF47" s="49">
        <v>273697758.50208336</v>
      </c>
    </row>
    <row r="48" spans="1:32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G48" s="20">
        <v>44524</v>
      </c>
      <c r="AB48" s="42">
        <v>20270920</v>
      </c>
      <c r="AC48" s="43">
        <v>20271220</v>
      </c>
      <c r="AD48" s="43">
        <v>20271220</v>
      </c>
      <c r="AE48" s="45">
        <v>2.8396124316168492E-2</v>
      </c>
      <c r="AF48" s="49">
        <v>282186006.8790502</v>
      </c>
    </row>
    <row r="49" spans="1:32" x14ac:dyDescent="0.4">
      <c r="A49" s="21">
        <f t="shared" si="1"/>
        <v>49</v>
      </c>
      <c r="B49" s="27">
        <v>44889</v>
      </c>
      <c r="C49" s="27">
        <v>44915</v>
      </c>
      <c r="G49" s="20">
        <v>44889</v>
      </c>
      <c r="AB49" s="42">
        <v>20271220</v>
      </c>
      <c r="AC49" s="43">
        <v>20280320</v>
      </c>
      <c r="AD49" s="43">
        <v>20280320</v>
      </c>
      <c r="AE49" s="45">
        <v>2.8245059534082947E-2</v>
      </c>
      <c r="AF49" s="49">
        <v>280679497.81934774</v>
      </c>
    </row>
    <row r="50" spans="1:32" x14ac:dyDescent="0.4">
      <c r="A50" s="21">
        <f t="shared" si="1"/>
        <v>50</v>
      </c>
      <c r="B50" s="27">
        <v>45254</v>
      </c>
      <c r="C50" s="27">
        <v>45280</v>
      </c>
      <c r="G50" s="20">
        <v>45254</v>
      </c>
      <c r="AB50" s="42">
        <v>20280320</v>
      </c>
      <c r="AC50" s="43">
        <v>20280620</v>
      </c>
      <c r="AD50" s="43">
        <v>20280620</v>
      </c>
      <c r="AE50" s="45">
        <v>2.809425133857749E-2</v>
      </c>
      <c r="AF50" s="49">
        <v>282243410.75606894</v>
      </c>
    </row>
    <row r="51" spans="1:32" x14ac:dyDescent="0.4">
      <c r="A51" s="21">
        <f t="shared" si="1"/>
        <v>51</v>
      </c>
      <c r="B51" s="27">
        <v>45622</v>
      </c>
      <c r="C51" s="27">
        <v>45646</v>
      </c>
      <c r="G51" s="20">
        <v>45622</v>
      </c>
      <c r="AB51" s="42">
        <v>20280620</v>
      </c>
      <c r="AC51" s="43">
        <v>20280920</v>
      </c>
      <c r="AD51" s="43">
        <v>20280920</v>
      </c>
      <c r="AE51" s="45">
        <v>2.8105227398747365E-2</v>
      </c>
      <c r="AF51" s="49">
        <v>282354073.49969947</v>
      </c>
    </row>
    <row r="52" spans="1:32" x14ac:dyDescent="0.4">
      <c r="A52" s="21">
        <f t="shared" si="1"/>
        <v>52</v>
      </c>
      <c r="B52" s="27">
        <v>45987</v>
      </c>
      <c r="C52" s="27">
        <v>46013</v>
      </c>
      <c r="G52" s="20">
        <v>45987</v>
      </c>
      <c r="AB52" s="42">
        <v>20280920</v>
      </c>
      <c r="AC52" s="43">
        <v>20281220</v>
      </c>
      <c r="AD52" s="43">
        <v>20281220</v>
      </c>
      <c r="AE52" s="45">
        <v>2.8797990972236402E-2</v>
      </c>
      <c r="AF52" s="49">
        <v>286193663.39435756</v>
      </c>
    </row>
    <row r="53" spans="1:32" x14ac:dyDescent="0.4">
      <c r="A53" s="21">
        <f t="shared" si="1"/>
        <v>53</v>
      </c>
      <c r="B53" s="27">
        <v>46351</v>
      </c>
      <c r="C53" s="27">
        <v>46377</v>
      </c>
      <c r="G53" s="20">
        <v>46351</v>
      </c>
      <c r="AB53" s="42">
        <v>20281220</v>
      </c>
      <c r="AC53" s="43">
        <v>20290320</v>
      </c>
      <c r="AD53" s="43">
        <v>20290320</v>
      </c>
      <c r="AE53" s="45">
        <v>2.8761898241136088E-2</v>
      </c>
      <c r="AF53" s="49">
        <v>282692694.98106825</v>
      </c>
    </row>
    <row r="54" spans="1:32" x14ac:dyDescent="0.4">
      <c r="A54" s="21">
        <f t="shared" si="1"/>
        <v>54</v>
      </c>
      <c r="B54" s="27">
        <v>46715</v>
      </c>
      <c r="C54" s="27">
        <v>46741</v>
      </c>
      <c r="G54" s="20">
        <v>46715</v>
      </c>
      <c r="AB54" s="42">
        <v>20290320</v>
      </c>
      <c r="AC54" s="43">
        <v>20290620</v>
      </c>
      <c r="AD54" s="43">
        <v>20290620</v>
      </c>
      <c r="AE54" s="45">
        <v>2.8729006619230047E-2</v>
      </c>
      <c r="AF54" s="49">
        <v>288643135.22949749</v>
      </c>
    </row>
    <row r="55" spans="1:32" x14ac:dyDescent="0.4">
      <c r="A55" s="21">
        <f t="shared" si="1"/>
        <v>55</v>
      </c>
      <c r="B55" s="27">
        <v>47081</v>
      </c>
      <c r="C55" s="27">
        <v>47107</v>
      </c>
      <c r="G55" s="20">
        <v>47081</v>
      </c>
      <c r="AB55" s="42">
        <v>20290620</v>
      </c>
      <c r="AC55" s="43">
        <v>20290920</v>
      </c>
      <c r="AD55" s="43">
        <v>20290920</v>
      </c>
      <c r="AE55" s="45">
        <v>2.8713807922766954E-2</v>
      </c>
      <c r="AF55" s="49">
        <v>288489899.05693811</v>
      </c>
    </row>
    <row r="56" spans="1:32" x14ac:dyDescent="0.4">
      <c r="A56" s="21">
        <f t="shared" si="1"/>
        <v>56</v>
      </c>
      <c r="B56" s="27">
        <v>47448</v>
      </c>
      <c r="C56" s="27">
        <v>47472</v>
      </c>
      <c r="G56" s="20">
        <v>47448</v>
      </c>
      <c r="AB56" s="42">
        <v>20290920</v>
      </c>
      <c r="AC56" s="43">
        <v>20291220</v>
      </c>
      <c r="AD56" s="43">
        <v>20291220</v>
      </c>
      <c r="AE56" s="45">
        <v>2.8780748825927318E-2</v>
      </c>
      <c r="AF56" s="49">
        <v>286021714.31883681</v>
      </c>
    </row>
    <row r="57" spans="1:32" x14ac:dyDescent="0.4">
      <c r="A57" s="21">
        <f t="shared" si="1"/>
        <v>57</v>
      </c>
      <c r="B57" s="27">
        <v>47813</v>
      </c>
      <c r="C57" s="27">
        <v>47837</v>
      </c>
      <c r="G57" s="20">
        <v>47813</v>
      </c>
      <c r="AB57" s="42">
        <v>20291220</v>
      </c>
      <c r="AC57" s="43">
        <v>20300320</v>
      </c>
      <c r="AD57" s="43">
        <v>20300320</v>
      </c>
      <c r="AE57" s="45">
        <v>2.8756143406290843E-2</v>
      </c>
      <c r="AF57" s="49">
        <v>282635934.96615624</v>
      </c>
    </row>
    <row r="58" spans="1:32" x14ac:dyDescent="0.4">
      <c r="A58" s="21">
        <f t="shared" si="1"/>
        <v>58</v>
      </c>
      <c r="B58" s="27">
        <v>48178</v>
      </c>
      <c r="C58" s="27">
        <v>48204</v>
      </c>
      <c r="G58" s="20">
        <v>48178</v>
      </c>
      <c r="AB58" s="42">
        <v>20300320</v>
      </c>
      <c r="AC58" s="43">
        <v>20300620</v>
      </c>
      <c r="AD58" s="43">
        <v>20300620</v>
      </c>
      <c r="AE58" s="45">
        <v>2.8734802191058388E-2</v>
      </c>
      <c r="AF58" s="49">
        <v>288701567.29615039</v>
      </c>
    </row>
    <row r="59" spans="1:32" x14ac:dyDescent="0.4">
      <c r="A59" s="21">
        <f t="shared" si="1"/>
        <v>59</v>
      </c>
      <c r="B59" s="27">
        <v>48542</v>
      </c>
      <c r="C59" s="27">
        <v>48568</v>
      </c>
      <c r="G59" s="20">
        <v>48542</v>
      </c>
      <c r="AB59" s="42">
        <v>20300620</v>
      </c>
      <c r="AC59" s="43">
        <v>20300920</v>
      </c>
      <c r="AD59" s="43">
        <v>20300920</v>
      </c>
      <c r="AE59" s="45">
        <v>2.8852936032284095E-2</v>
      </c>
      <c r="AF59" s="49">
        <v>289892615.33919311</v>
      </c>
    </row>
    <row r="60" spans="1:32" x14ac:dyDescent="0.4">
      <c r="A60" s="21">
        <f t="shared" si="1"/>
        <v>60</v>
      </c>
      <c r="B60" s="27">
        <v>48907</v>
      </c>
      <c r="C60" s="27">
        <v>48933</v>
      </c>
      <c r="G60" s="20">
        <v>48907</v>
      </c>
      <c r="AB60" s="42">
        <v>20300920</v>
      </c>
      <c r="AC60" s="43">
        <v>20301220</v>
      </c>
      <c r="AD60" s="43">
        <v>20301220</v>
      </c>
      <c r="AE60" s="45">
        <v>2.9542136627606599E-2</v>
      </c>
      <c r="AF60" s="49">
        <v>293614732.39585757</v>
      </c>
    </row>
    <row r="61" spans="1:32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2.9584399690687716E-2</v>
      </c>
      <c r="AF61" s="49">
        <v>290805038.04513913</v>
      </c>
    </row>
    <row r="62" spans="1:32" x14ac:dyDescent="0.4">
      <c r="AB62" s="42">
        <v>20310320</v>
      </c>
      <c r="AC62" s="43">
        <v>20310620</v>
      </c>
      <c r="AD62" s="43">
        <v>20310620</v>
      </c>
      <c r="AE62" s="45">
        <v>2.9630500479252732E-2</v>
      </c>
      <c r="AF62" s="49">
        <v>297732169.21547961</v>
      </c>
    </row>
    <row r="63" spans="1:32" x14ac:dyDescent="0.4">
      <c r="AB63" s="42">
        <v>20310620</v>
      </c>
      <c r="AC63" s="43">
        <v>20310922</v>
      </c>
      <c r="AD63" s="43">
        <v>20310922</v>
      </c>
      <c r="AE63" s="45">
        <v>2.9711715578584548E-2</v>
      </c>
      <c r="AF63" s="49">
        <v>305041234.45336413</v>
      </c>
    </row>
    <row r="64" spans="1:32" x14ac:dyDescent="0.4">
      <c r="AB64" s="42">
        <v>20310922</v>
      </c>
      <c r="AC64" s="43">
        <v>20311222</v>
      </c>
      <c r="AD64" s="43">
        <v>20311222</v>
      </c>
      <c r="AE64" s="45">
        <v>2.9904170901011686E-2</v>
      </c>
      <c r="AF64" s="49">
        <v>297225156.38269186</v>
      </c>
    </row>
    <row r="65" spans="28:32" x14ac:dyDescent="0.4">
      <c r="AB65" s="42">
        <v>20311222</v>
      </c>
      <c r="AC65" s="43">
        <v>20320322</v>
      </c>
      <c r="AD65" s="43">
        <v>20320322</v>
      </c>
      <c r="AE65" s="45">
        <v>2.9960473401647588E-2</v>
      </c>
      <c r="AF65" s="49">
        <v>297786638.85478693</v>
      </c>
    </row>
    <row r="66" spans="28:32" x14ac:dyDescent="0.4">
      <c r="AB66" s="42">
        <v>20320322</v>
      </c>
      <c r="AC66" s="43">
        <v>20320621</v>
      </c>
      <c r="AD66" s="43">
        <v>20320621</v>
      </c>
      <c r="AE66" s="45">
        <v>3.0018319118321094E-2</v>
      </c>
      <c r="AF66" s="49">
        <v>298363511.20736653</v>
      </c>
    </row>
    <row r="67" spans="28:32" x14ac:dyDescent="0.4">
      <c r="AB67" s="42">
        <v>20320621</v>
      </c>
      <c r="AC67" s="43">
        <v>20320922</v>
      </c>
      <c r="AD67" s="43">
        <v>20320922</v>
      </c>
      <c r="AE67" s="45">
        <v>2.9960238051572358E-2</v>
      </c>
      <c r="AF67" s="49">
        <v>304329001.51191556</v>
      </c>
    </row>
    <row r="68" spans="28:32" x14ac:dyDescent="0.4">
      <c r="AB68" s="42">
        <v>20320922</v>
      </c>
      <c r="AC68" s="43">
        <v>20321220</v>
      </c>
      <c r="AD68" s="43">
        <v>20321220</v>
      </c>
      <c r="AE68" s="45">
        <v>2.9432377230484957E-2</v>
      </c>
      <c r="AF68" s="49">
        <v>286091131.34390807</v>
      </c>
    </row>
    <row r="69" spans="28:32" x14ac:dyDescent="0.4">
      <c r="AB69" s="42">
        <v>20321220</v>
      </c>
      <c r="AC69" s="43">
        <v>20330321</v>
      </c>
      <c r="AD69" s="43">
        <v>20330321</v>
      </c>
      <c r="AE69" s="45">
        <v>2.9446662227887777E-2</v>
      </c>
      <c r="AF69" s="49">
        <v>292662604.13564795</v>
      </c>
    </row>
    <row r="70" spans="28:32" x14ac:dyDescent="0.4">
      <c r="AB70" s="42">
        <v>20330321</v>
      </c>
      <c r="AC70" s="43">
        <v>20330620</v>
      </c>
      <c r="AD70" s="43">
        <v>20330620</v>
      </c>
      <c r="AE70" s="45">
        <v>2.9462536460701207E-2</v>
      </c>
      <c r="AF70" s="49">
        <v>292820911.55329424</v>
      </c>
    </row>
    <row r="71" spans="28:32" x14ac:dyDescent="0.4">
      <c r="AB71" s="42">
        <v>20330620</v>
      </c>
      <c r="AC71" s="43">
        <v>20330920</v>
      </c>
      <c r="AD71" s="43">
        <v>20330920</v>
      </c>
      <c r="AE71" s="45">
        <v>2.9647113239616291E-2</v>
      </c>
      <c r="AF71" s="49">
        <v>297899662.2514739</v>
      </c>
    </row>
    <row r="72" spans="28:32" x14ac:dyDescent="0.4">
      <c r="AB72" s="42">
        <v>20330920</v>
      </c>
      <c r="AC72" s="43">
        <v>20331220</v>
      </c>
      <c r="AD72" s="43">
        <v>20331220</v>
      </c>
      <c r="AE72" s="45">
        <v>3.0566603448965786E-2</v>
      </c>
      <c r="AF72" s="49">
        <v>303831333.02530265</v>
      </c>
    </row>
    <row r="73" spans="28:32" x14ac:dyDescent="0.4">
      <c r="AB73" s="42">
        <v>20331220</v>
      </c>
      <c r="AC73" s="43">
        <v>20340320</v>
      </c>
      <c r="AD73" s="43">
        <v>20340320</v>
      </c>
      <c r="AE73" s="45">
        <v>3.0636968094769856E-2</v>
      </c>
      <c r="AF73" s="49">
        <v>301186534.6333465</v>
      </c>
    </row>
    <row r="74" spans="28:32" x14ac:dyDescent="0.4">
      <c r="AB74" s="42">
        <v>20340320</v>
      </c>
      <c r="AC74" s="43">
        <v>20340620</v>
      </c>
      <c r="AD74" s="43">
        <v>20340620</v>
      </c>
      <c r="AE74" s="45">
        <v>3.0711589656012814E-2</v>
      </c>
      <c r="AF74" s="49">
        <v>308631917.62774569</v>
      </c>
    </row>
    <row r="75" spans="28:32" x14ac:dyDescent="0.4">
      <c r="AB75" s="42">
        <v>20340620</v>
      </c>
      <c r="AC75" s="43">
        <v>20340920</v>
      </c>
      <c r="AD75" s="43">
        <v>20340920</v>
      </c>
      <c r="AE75" s="45">
        <v>3.0708627690942309E-2</v>
      </c>
      <c r="AF75" s="49">
        <v>308602054.52785677</v>
      </c>
    </row>
    <row r="76" spans="28:32" x14ac:dyDescent="0.4">
      <c r="AB76" s="42">
        <v>20340920</v>
      </c>
      <c r="AC76" s="43">
        <v>20341220</v>
      </c>
      <c r="AD76" s="43">
        <v>20341220</v>
      </c>
      <c r="AE76" s="45">
        <v>3.0407026995949826E-2</v>
      </c>
      <c r="AF76" s="49">
        <v>302239940.45275992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2024-12-08T13:04:50Z</dcterms:modified>
</cp:coreProperties>
</file>