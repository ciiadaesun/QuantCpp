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225ED73B-99ED-45B7-9E7B-8AD8D16ACEC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9" i="2" l="1"/>
  <c r="J9" i="2"/>
  <c r="J31" i="2"/>
  <c r="J30" i="2"/>
  <c r="J11" i="2"/>
  <c r="J10" i="2"/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B53" i="2" l="1"/>
  <c r="C52" i="2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5E6D8643-5A00-41E2-98F8-82171A778B18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D5F136FF-F6C6-4EE5-955D-0584FFD9D4CD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A9DB2471-0B4C-420E-A773-996ED5F4B94E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78728C5F-3A66-4DB4-B598-C2DB9AA998BC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CA6072FE-57AB-4C8D-B891-9B67B2857390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<sst xmlns="http://schemas.openxmlformats.org/spreadsheetml/2006/main" count="162" uniqueCount="119">
  <si>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</si>
  <si>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</si>
  <si>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</si>
  <si>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</si>
  <si>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</si>
  <si>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</si>
  <si>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</si>
  <si>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</si>
  <si>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</si>
  <si>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</si>
  <si>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</si>
  <si>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</si>
  <si>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</si>
  <si>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</si>
  <si>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</si>
  <si>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</si>
  <si>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</si>
  <si>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</si>
  <si>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</si>
  <si>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</si>
  <si>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</si>
  <si>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</si>
  <si>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</si>
  <si>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</si>
  <si>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</si>
  <si>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</si>
  <si>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</si>
  <si>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</si>
  <si>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</si>
  <si>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</si>
  <si>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</si>
  <si>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</si>
  <si>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</si>
  <si>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</si>
  <si>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</si>
  <si>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</si>
  <si>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</si>
  <si>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</si>
  <si>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</si>
  <si>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</si>
  <si>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</si>
  <si>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</si>
  <si>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</si>
  <si>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</si>
  <si>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</si>
  <si>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</si>
  <si>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</si>
  <si>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</si>
  <si>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</si>
  <si>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</si>
  <si>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</si>
  <si>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</si>
  <si>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</si>
  <si>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</si>
  <si>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</si>
  <si>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</si>
  <si>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</si>
  <si>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</si>
  <si>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</si>
  <si>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</si>
  <si>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</si>
  <si>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</si>
  <si>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</si>
  <si>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</si>
  <si>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</si>
  <si>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</si>
  <si>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</si>
  <si>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</si>
  <si>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</si>
  <si>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</si>
  <si>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</si>
  <si>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</si>
  <si>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</si>
  <si>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</si>
  <si>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</si>
  <si>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</si>
  <si>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</si>
  <si>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</si>
  <si>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</si>
  <si>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</si>
  <si>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</si>
  <si>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</si>
  <si>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</si>
  <si>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</si>
  <si>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</si>
  <si>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</si>
  <si>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</si>
  <si>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</si>
  <si>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</si>
  <si>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</si>
  <si>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</si>
  <si>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</si>
  <si>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</si>
  <si>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</si>
  <si>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Nominal 교환 안함</t>
  </si>
  <si>
    <t>-1: 단순 Callable 채권 평가</t>
  </si>
  <si>
    <t>1: Nominal 교환 함</t>
    <phoneticPr fontId="2" type="noConversion"/>
  </si>
  <si>
    <t>DayCount</t>
    <phoneticPr fontId="2" type="noConversion"/>
  </si>
  <si>
    <t>0: ACT/365</t>
  </si>
  <si>
    <t>1: ACT/360</t>
  </si>
  <si>
    <t>2: ACT/ACT</t>
  </si>
  <si>
    <t>3: 30/360</t>
  </si>
  <si>
    <t>0: Receiver가 옵션보유</t>
  </si>
  <si>
    <t>1: Payer가 옵션보유</t>
  </si>
  <si>
    <t>4: ACT(주말제외)/ACT(주말제외)</t>
    <phoneticPr fontId="2" type="noConversion"/>
  </si>
  <si>
    <t>GreekFlag</t>
    <phoneticPr fontId="2" type="noConversion"/>
  </si>
  <si>
    <t>ZeroTerm</t>
    <phoneticPr fontId="2" type="noConversion"/>
  </si>
  <si>
    <t>DiscTerm</t>
    <phoneticPr fontId="2" type="noConversion"/>
  </si>
  <si>
    <t>IR Greeks</t>
    <phoneticPr fontId="2" type="noConversion"/>
  </si>
  <si>
    <t>Zero Gamma</t>
    <phoneticPr fontId="2" type="noConversion"/>
  </si>
  <si>
    <t>Disc Gamma</t>
    <phoneticPr fontId="2" type="noConversion"/>
  </si>
  <si>
    <t>HW Tenor1</t>
    <phoneticPr fontId="2" type="noConversion"/>
  </si>
  <si>
    <t>HW Tenor2</t>
    <phoneticPr fontId="2" type="noConversion"/>
  </si>
  <si>
    <t>Vega</t>
    <phoneticPr fontId="2" type="noConversion"/>
  </si>
  <si>
    <t>Vega sensi</t>
    <phoneticPr fontId="2" type="noConversion"/>
  </si>
  <si>
    <t>FRTB Curvature Sensi</t>
    <phoneticPr fontId="2" type="noConversion"/>
  </si>
  <si>
    <t xml:space="preserve">Vu </t>
    <phoneticPr fontId="2" type="noConversion"/>
  </si>
  <si>
    <t>Vd</t>
    <phoneticPr fontId="2" type="noConversion"/>
  </si>
  <si>
    <t>Delta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</si>
</sst>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91" formatCode="0.000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191" fontId="0" fillId="9" borderId="0" xfId="0" applyNumberFormat="1" applyFill="1">
      <alignment vertical="center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87" fontId="0" fillId="9" borderId="0" xfId="2" applyNumberFormat="1" applyFont="1" applyFill="1">
      <alignment vertical="center"/>
    </xf>
    <xf numFmtId="187" fontId="0" fillId="2" borderId="0" xfId="0" applyNumberFormat="1" applyFill="1">
      <alignment vertical="center"/>
    </xf>
    <xf numFmtId="43" fontId="0" fillId="2" borderId="0" xfId="0" applyNumberForma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F1" workbookViewId="0">
      <selection activeCell="R12" sqref="R12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6" t="s">
        <v>0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</row>
    <row r="3" spans="1:4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</row>
    <row r="4" spans="1:41" x14ac:dyDescent="0.4">
      <c r="A4" s="1">
        <f>4</f>
        <v>4</v>
      </c>
      <c r="B4" s="59" t="s">
        <v>1</v>
      </c>
      <c r="C4" s="59"/>
      <c r="D4" s="61">
        <v>1</v>
      </c>
      <c r="E4" s="61"/>
      <c r="G4" s="50" t="s">
        <v>87</v>
      </c>
      <c r="H4" s="51">
        <v>0</v>
      </c>
    </row>
    <row r="5" spans="1:41" x14ac:dyDescent="0.4">
      <c r="A5" s="1">
        <f>A4+1</f>
        <v>5</v>
      </c>
      <c r="B5" s="59" t="s">
        <v>29</v>
      </c>
      <c r="C5" s="59"/>
      <c r="D5" s="60">
        <v>44815</v>
      </c>
      <c r="E5" s="61"/>
      <c r="G5" s="67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8"/>
      <c r="H6" s="69" t="s">
        <v>4</v>
      </c>
      <c r="I6" s="63"/>
      <c r="L6" s="54" t="s">
        <v>73</v>
      </c>
      <c r="M6" s="54"/>
      <c r="N6" s="54"/>
      <c r="O6" s="62" t="s">
        <v>74</v>
      </c>
      <c r="P6" s="63"/>
      <c r="R6" s="54" t="s">
        <v>5</v>
      </c>
      <c r="S6" s="54"/>
      <c r="T6" s="54"/>
    </row>
    <row r="7" spans="1:41" x14ac:dyDescent="0.4">
      <c r="A7" s="1">
        <f t="shared" si="1"/>
        <v>7</v>
      </c>
      <c r="B7" s="59" t="s">
        <v>6</v>
      </c>
      <c r="C7" s="59"/>
      <c r="D7" s="61">
        <v>0</v>
      </c>
      <c r="E7" s="61"/>
      <c r="G7" s="68"/>
      <c r="H7" s="64"/>
      <c r="I7" s="65"/>
      <c r="L7" s="54"/>
      <c r="M7" s="54"/>
      <c r="N7" s="54"/>
      <c r="O7" s="64"/>
      <c r="P7" s="65"/>
      <c r="R7" s="54"/>
      <c r="S7" s="54"/>
      <c r="T7" s="54"/>
    </row>
    <row r="8" spans="1:41" x14ac:dyDescent="0.4">
      <c r="A8" s="1">
        <f t="shared" si="1"/>
        <v>8</v>
      </c>
      <c r="B8" s="59" t="s">
        <v>7</v>
      </c>
      <c r="C8" s="59"/>
      <c r="D8" s="61">
        <v>0.01</v>
      </c>
      <c r="E8" s="61"/>
      <c r="G8" s="68"/>
      <c r="I8" s="3" t="s">
        <v>8</v>
      </c>
      <c r="J8" s="3" t="s">
        <v>9</v>
      </c>
      <c r="K8" s="3" t="s">
        <v>10</v>
      </c>
      <c r="R8" s="54" t="s">
        <v>11</v>
      </c>
      <c r="S8" s="54"/>
      <c r="T8" s="4">
        <v>3</v>
      </c>
    </row>
    <row r="9" spans="1:41" x14ac:dyDescent="0.4">
      <c r="A9" s="1">
        <f t="shared" si="1"/>
        <v>9</v>
      </c>
      <c r="G9" s="68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8"/>
      <c r="H10" s="8" t="s">
        <v>13</v>
      </c>
      <c r="I10" s="55" t="s">
        <v>14</v>
      </c>
      <c r="J10" s="5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8"/>
      <c r="H11" s="49">
        <v>44906</v>
      </c>
      <c r="I11" s="10">
        <v>9.6154639886529853E-3</v>
      </c>
      <c r="J11" s="11"/>
      <c r="K11" s="7">
        <v>44906</v>
      </c>
      <c r="L11" s="12">
        <v>1</v>
      </c>
      <c r="M11" s="45">
        <v>44818</v>
      </c>
      <c r="N11" s="13">
        <v>3.5114930000000002</v>
      </c>
      <c r="O11" s="45">
        <v>44818</v>
      </c>
      <c r="P11" s="13">
        <v>3.5114930000000002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8"/>
      <c r="H12" s="49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5">
        <v>44819</v>
      </c>
      <c r="N12" s="13">
        <v>3.5124149999999998</v>
      </c>
      <c r="O12" s="45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70" t="s">
        <v>23</v>
      </c>
      <c r="E13" s="70"/>
      <c r="G13" s="68"/>
      <c r="H13" s="49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5">
        <v>44910</v>
      </c>
      <c r="N13" s="13">
        <v>3.7925620000000002</v>
      </c>
      <c r="O13" s="45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70"/>
      <c r="E14" s="70"/>
      <c r="G14" s="68"/>
      <c r="H14" s="49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5">
        <v>45001</v>
      </c>
      <c r="N14" s="13">
        <v>3.8730349999999998</v>
      </c>
      <c r="O14" s="45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70"/>
      <c r="E15" s="70"/>
      <c r="G15" s="68"/>
      <c r="H15" s="49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5">
        <v>45092</v>
      </c>
      <c r="N15" s="13">
        <v>3.9020980000000001</v>
      </c>
      <c r="O15" s="45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68"/>
      <c r="H16" s="49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5">
        <v>45184</v>
      </c>
      <c r="N16" s="13">
        <v>3.9204439999999998</v>
      </c>
      <c r="O16" s="45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71">
        <v>45202.835729166669</v>
      </c>
      <c r="E17" s="71"/>
      <c r="G17" s="68"/>
      <c r="H17" s="49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5">
        <v>45366</v>
      </c>
      <c r="N17" s="13">
        <v>3.9238849999999998</v>
      </c>
      <c r="O17" s="45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71">
        <v>45202.835729166669</v>
      </c>
      <c r="E18" s="71"/>
      <c r="G18" s="68"/>
      <c r="H18" s="49"/>
      <c r="I18" s="10"/>
      <c r="J18" s="11"/>
      <c r="L18" s="12">
        <f t="shared" si="2"/>
        <v>8</v>
      </c>
      <c r="M18" s="45">
        <v>45549</v>
      </c>
      <c r="N18" s="13">
        <v>3.9116110000000002</v>
      </c>
      <c r="O18" s="45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68"/>
      <c r="H19" s="49"/>
      <c r="I19" s="10"/>
      <c r="J19" s="11"/>
      <c r="L19" s="12">
        <f t="shared" si="2"/>
        <v>9</v>
      </c>
      <c r="M19" s="45">
        <v>45914</v>
      </c>
      <c r="N19" s="13">
        <v>3.899302</v>
      </c>
      <c r="O19" s="45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8"/>
      <c r="H20" s="49"/>
      <c r="I20" s="10"/>
      <c r="J20" s="11"/>
      <c r="L20" s="12">
        <f t="shared" si="2"/>
        <v>10</v>
      </c>
      <c r="M20" s="45">
        <v>46281</v>
      </c>
      <c r="N20" s="13">
        <v>3.9023029999999999</v>
      </c>
      <c r="O20" s="45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8"/>
      <c r="H21" s="49"/>
      <c r="I21" s="10"/>
      <c r="J21" s="11"/>
      <c r="L21" s="12">
        <f t="shared" si="2"/>
        <v>11</v>
      </c>
      <c r="M21" s="45">
        <v>46645</v>
      </c>
      <c r="N21" s="13">
        <v>3.9025310000000002</v>
      </c>
      <c r="O21" s="45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8"/>
      <c r="H22" s="49"/>
      <c r="I22" s="10"/>
      <c r="J22" s="11"/>
      <c r="L22" s="12">
        <f t="shared" si="2"/>
        <v>12</v>
      </c>
      <c r="M22" s="45">
        <v>47010</v>
      </c>
      <c r="N22" s="13">
        <v>3.9081440000000001</v>
      </c>
      <c r="O22" s="45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9" t="s">
        <v>24</v>
      </c>
      <c r="C23" s="59"/>
      <c r="D23" s="61">
        <v>1</v>
      </c>
      <c r="E23" s="61"/>
      <c r="G23" s="68"/>
      <c r="H23" s="49"/>
      <c r="I23" s="10"/>
      <c r="J23" s="11"/>
      <c r="L23" s="12">
        <f t="shared" si="2"/>
        <v>13</v>
      </c>
      <c r="M23" s="45">
        <v>47375</v>
      </c>
      <c r="N23" s="13">
        <v>3.9137569999999999</v>
      </c>
      <c r="O23" s="45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9" t="s">
        <v>25</v>
      </c>
      <c r="C24" s="59"/>
      <c r="D24" s="61">
        <v>0</v>
      </c>
      <c r="E24" s="61"/>
      <c r="G24" s="68"/>
      <c r="H24" s="49"/>
      <c r="I24" s="10"/>
      <c r="J24" s="11"/>
      <c r="L24" s="12">
        <f t="shared" si="2"/>
        <v>14</v>
      </c>
      <c r="M24" s="45">
        <v>47740</v>
      </c>
      <c r="N24" s="13">
        <v>3.9222540000000001</v>
      </c>
      <c r="O24" s="45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9" t="s">
        <v>26</v>
      </c>
      <c r="C25" s="59"/>
      <c r="D25" s="61">
        <v>-0.1</v>
      </c>
      <c r="E25" s="61"/>
      <c r="G25" s="68"/>
      <c r="H25" s="49"/>
      <c r="I25" s="10"/>
      <c r="J25" s="11"/>
      <c r="L25" s="12">
        <f t="shared" si="2"/>
        <v>15</v>
      </c>
      <c r="M25" s="45">
        <v>48108</v>
      </c>
      <c r="N25" s="13">
        <v>3.9337179999999998</v>
      </c>
      <c r="O25" s="45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9" t="s">
        <v>27</v>
      </c>
      <c r="C26" s="59"/>
      <c r="D26" s="61">
        <v>0.15</v>
      </c>
      <c r="E26" s="61"/>
      <c r="G26" s="68"/>
      <c r="H26" s="49"/>
      <c r="I26" s="10"/>
      <c r="J26" s="11"/>
      <c r="L26" s="12">
        <f t="shared" si="2"/>
        <v>16</v>
      </c>
      <c r="M26" s="45">
        <v>48472</v>
      </c>
      <c r="N26" s="13">
        <v>3.9453279999999999</v>
      </c>
      <c r="O26" s="45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8"/>
      <c r="H27" s="49"/>
      <c r="I27" s="10"/>
      <c r="J27" s="11"/>
      <c r="L27" s="12">
        <f t="shared" si="2"/>
        <v>17</v>
      </c>
      <c r="M27" s="45">
        <v>49201</v>
      </c>
      <c r="N27" s="13">
        <v>3.9689730000000001</v>
      </c>
      <c r="O27" s="45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8"/>
      <c r="H28" s="49"/>
      <c r="I28" s="10"/>
      <c r="J28" s="11"/>
      <c r="L28" s="12">
        <f t="shared" si="2"/>
        <v>18</v>
      </c>
      <c r="M28" s="45">
        <v>50299</v>
      </c>
      <c r="N28" s="13">
        <v>3.9608210000000001</v>
      </c>
      <c r="O28" s="45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8"/>
      <c r="H29" s="49"/>
      <c r="I29" s="10"/>
      <c r="J29" s="11"/>
      <c r="L29" s="12">
        <f t="shared" si="2"/>
        <v>19</v>
      </c>
      <c r="M29" s="45">
        <v>52123</v>
      </c>
      <c r="N29" s="13">
        <v>3.8029289999999998</v>
      </c>
      <c r="O29" s="45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8"/>
      <c r="H30" s="49"/>
      <c r="I30" s="10"/>
      <c r="J30" s="11"/>
      <c r="L30" s="12">
        <f t="shared" si="2"/>
        <v>20</v>
      </c>
      <c r="M30" s="45">
        <v>53950</v>
      </c>
      <c r="N30" s="13">
        <v>3.6413120000000001</v>
      </c>
      <c r="O30" s="45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8"/>
      <c r="H31" s="49"/>
      <c r="I31" s="10"/>
      <c r="J31" s="11"/>
      <c r="L31" s="12">
        <f t="shared" si="2"/>
        <v>21</v>
      </c>
      <c r="M31" s="45">
        <v>55776</v>
      </c>
      <c r="N31" s="13">
        <v>3.552136</v>
      </c>
      <c r="O31" s="45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8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8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8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8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8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8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8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8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8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AA1" zoomScaleNormal="100" workbookViewId="0">
      <selection activeCell="AU17" sqref="AU17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8" width="12.5" style="20"/>
    <col min="39" max="39" width="13.796875" style="153" bestFit="1" customWidth="1"/>
    <col min="40" max="40" width="19.09765625" style="155" bestFit="1" customWidth="1"/>
    <col min="41" max="42" width="12.59765625" style="153" bestFit="1" customWidth="1"/>
    <col min="43" max="43" width="19.09765625" style="155" bestFit="1" customWidth="1"/>
    <col min="44" max="44" width="15.3984375" style="153" bestFit="1" customWidth="1"/>
    <col min="45" max="45" width="12.5" style="153"/>
    <col min="46" max="46" width="12.59765625" style="153" bestFit="1" customWidth="1"/>
    <col min="47" max="47" width="15.3984375" style="155" bestFit="1" customWidth="1"/>
    <col min="48" max="48" width="17" style="20" bestFit="1" customWidth="1"/>
    <col min="49" max="49" width="18.09765625" style="20" bestFit="1" customWidth="1"/>
    <col min="50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2" t="s">
        <v>87</v>
      </c>
      <c r="C2" s="53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M2" s="20"/>
      <c r="AN2" s="20"/>
      <c r="AO2" s="20"/>
      <c r="AP2" s="20"/>
      <c r="AQ2" s="20"/>
      <c r="AR2" s="20"/>
      <c r="AS2" s="20"/>
      <c r="AT2" s="20"/>
      <c r="AU2" s="20"/>
    </row>
    <row r="3" spans="1:57" x14ac:dyDescent="0.4">
      <c r="A3" s="21">
        <f t="shared" ref="A3:A61" si="1">A2+1</f>
        <v>3</v>
      </c>
      <c r="B3" s="75" t="s">
        <v>30</v>
      </c>
      <c r="C3" s="75"/>
      <c r="D3" s="76">
        <v>44815</v>
      </c>
      <c r="E3" s="77"/>
      <c r="F3" s="78" t="s">
        <v>88</v>
      </c>
      <c r="G3" s="78"/>
      <c r="H3" s="77" t="s">
        <v>95</v>
      </c>
      <c r="I3" s="77"/>
      <c r="J3" s="78" t="s">
        <v>31</v>
      </c>
      <c r="K3" s="78"/>
      <c r="L3" s="79">
        <v>10000</v>
      </c>
      <c r="M3" s="79"/>
      <c r="O3" s="121" t="s">
        <v>49</v>
      </c>
      <c r="P3" s="122"/>
      <c r="Q3" s="122"/>
      <c r="R3" s="123"/>
      <c r="T3" s="111" t="s">
        <v>54</v>
      </c>
      <c r="U3" s="112"/>
      <c r="W3" s="139" t="s">
        <v>75</v>
      </c>
      <c r="X3" s="140"/>
      <c r="Y3" s="139" t="s">
        <v>76</v>
      </c>
      <c r="Z3" s="140"/>
      <c r="AB3" s="88" t="s">
        <v>64</v>
      </c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90"/>
      <c r="AN3" s="20"/>
      <c r="AO3" s="20"/>
      <c r="AP3" s="20"/>
      <c r="AQ3" s="20"/>
      <c r="AR3" s="20"/>
      <c r="AS3" s="20"/>
      <c r="AT3" s="20"/>
      <c r="AU3" s="20"/>
      <c r="AY3" s="78" t="s">
        <v>88</v>
      </c>
      <c r="AZ3" s="78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24" t="s">
        <v>48</v>
      </c>
      <c r="P4" s="125"/>
      <c r="Q4" s="126">
        <v>44039</v>
      </c>
      <c r="R4" s="127"/>
      <c r="T4" s="29" t="s">
        <v>55</v>
      </c>
      <c r="U4" s="30" t="s">
        <v>56</v>
      </c>
      <c r="W4" s="37" t="s">
        <v>58</v>
      </c>
      <c r="X4" s="38" t="s">
        <v>16</v>
      </c>
      <c r="Y4" s="37" t="s">
        <v>58</v>
      </c>
      <c r="Z4" s="38" t="s">
        <v>16</v>
      </c>
      <c r="AB4" s="91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3"/>
      <c r="AN4" s="20"/>
      <c r="AO4" s="20"/>
      <c r="AP4" s="20"/>
      <c r="AQ4" s="20"/>
      <c r="AR4" s="20"/>
      <c r="AS4" s="20"/>
      <c r="AT4" s="20"/>
      <c r="AU4" s="20"/>
      <c r="BA4" s="31" t="s">
        <v>94</v>
      </c>
      <c r="BB4" s="31" t="s">
        <v>96</v>
      </c>
      <c r="BC4" s="31" t="s">
        <v>95</v>
      </c>
    </row>
    <row r="5" spans="1:57" x14ac:dyDescent="0.4">
      <c r="A5" s="21">
        <f t="shared" si="1"/>
        <v>5</v>
      </c>
      <c r="B5" s="88" t="s">
        <v>47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90"/>
      <c r="O5" s="132" t="s">
        <v>50</v>
      </c>
      <c r="P5" s="133"/>
      <c r="Q5" s="134">
        <v>49517</v>
      </c>
      <c r="R5" s="135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M5" s="20"/>
      <c r="AN5" s="20"/>
      <c r="AO5" s="20"/>
      <c r="AP5" s="20"/>
      <c r="AQ5" s="20"/>
      <c r="AR5" s="20"/>
      <c r="AS5" s="20"/>
      <c r="AT5" s="20"/>
      <c r="AU5" s="20"/>
      <c r="AY5" s="59" t="s">
        <v>34</v>
      </c>
      <c r="AZ5" s="59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91"/>
      <c r="C6" s="92"/>
      <c r="D6" s="92"/>
      <c r="E6" s="92"/>
      <c r="F6" s="92"/>
      <c r="G6" s="92"/>
      <c r="H6" s="92"/>
      <c r="I6" s="92"/>
      <c r="J6" s="92"/>
      <c r="K6" s="92"/>
      <c r="L6" s="92"/>
      <c r="M6" s="93"/>
      <c r="O6" s="130" t="s">
        <v>42</v>
      </c>
      <c r="P6" s="131"/>
      <c r="Q6" s="73">
        <v>0</v>
      </c>
      <c r="R6" s="74"/>
      <c r="W6" s="27">
        <v>44769</v>
      </c>
      <c r="X6" s="34">
        <v>3.6999999999999998E-2</v>
      </c>
      <c r="Y6" s="27">
        <v>44769</v>
      </c>
      <c r="Z6" s="36">
        <v>0.03</v>
      </c>
      <c r="AB6" s="78" t="s">
        <v>65</v>
      </c>
      <c r="AC6" s="78"/>
      <c r="AD6" s="77">
        <v>0</v>
      </c>
      <c r="AE6" s="77"/>
      <c r="AF6" s="20"/>
      <c r="AG6" s="20"/>
      <c r="AH6" s="20"/>
      <c r="AI6" s="20"/>
      <c r="AJ6" s="20"/>
      <c r="AK6" s="20"/>
      <c r="AM6" s="20"/>
      <c r="AN6" s="20"/>
      <c r="AO6" s="20"/>
      <c r="AP6" s="20"/>
      <c r="AQ6" s="20"/>
      <c r="AR6" s="20"/>
      <c r="AS6" s="20"/>
      <c r="AT6" s="20"/>
      <c r="AU6" s="20"/>
      <c r="BA6" s="31" t="s">
        <v>98</v>
      </c>
      <c r="BB6" s="31" t="s">
        <v>99</v>
      </c>
      <c r="BC6" s="31" t="s">
        <v>100</v>
      </c>
      <c r="BD6" s="31" t="s">
        <v>101</v>
      </c>
      <c r="BE6" s="31" t="s">
        <v>104</v>
      </c>
    </row>
    <row r="7" spans="1:57" x14ac:dyDescent="0.4">
      <c r="A7" s="21">
        <f t="shared" si="1"/>
        <v>7</v>
      </c>
      <c r="B7" s="78" t="s">
        <v>32</v>
      </c>
      <c r="C7" s="78"/>
      <c r="D7" s="80">
        <v>1</v>
      </c>
      <c r="E7" s="77"/>
      <c r="F7" s="78" t="s">
        <v>33</v>
      </c>
      <c r="G7" s="78"/>
      <c r="H7" s="80">
        <v>1</v>
      </c>
      <c r="I7" s="77"/>
      <c r="J7" s="78" t="s">
        <v>84</v>
      </c>
      <c r="K7" s="78"/>
      <c r="L7" s="99">
        <v>0</v>
      </c>
      <c r="M7" s="74"/>
      <c r="O7" s="111" t="str">
        <f>IF(Q6&gt;0,"Phase2날짜","")</f>
        <v/>
      </c>
      <c r="P7" s="112"/>
      <c r="Q7" s="128">
        <v>45865</v>
      </c>
      <c r="R7" s="129"/>
      <c r="W7" s="27">
        <v>44815</v>
      </c>
      <c r="X7" s="34">
        <v>3.6999999999999998E-2</v>
      </c>
      <c r="Y7" s="27">
        <v>44815</v>
      </c>
      <c r="Z7" s="34">
        <v>0.03</v>
      </c>
      <c r="AB7" s="78" t="s">
        <v>78</v>
      </c>
      <c r="AC7" s="78"/>
      <c r="AD7" s="77">
        <v>0</v>
      </c>
      <c r="AE7" s="77"/>
      <c r="AF7" s="20"/>
      <c r="AG7" s="20"/>
      <c r="AH7" s="20"/>
      <c r="AI7" s="20"/>
      <c r="AJ7" s="20"/>
      <c r="AK7" s="20"/>
      <c r="AM7" s="20"/>
      <c r="AN7" s="20"/>
      <c r="AO7" s="20"/>
      <c r="AP7" s="20"/>
      <c r="AQ7" s="20"/>
      <c r="AR7" s="20"/>
      <c r="AS7" s="20"/>
      <c r="AT7" s="20"/>
      <c r="AU7" s="20"/>
      <c r="AZ7" s="38" t="s">
        <v>62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AB8" s="78" t="s">
        <v>105</v>
      </c>
      <c r="AC8" s="78"/>
      <c r="AD8" s="77">
        <v>2</v>
      </c>
      <c r="AE8" s="77"/>
      <c r="AF8" s="20"/>
      <c r="AG8" s="20"/>
      <c r="AH8" s="20"/>
      <c r="AI8" s="20"/>
      <c r="AJ8" s="20"/>
      <c r="AK8" s="20"/>
      <c r="AM8" s="20"/>
      <c r="AN8" s="20"/>
      <c r="AO8" s="20"/>
      <c r="AP8" s="20"/>
      <c r="AQ8" s="20"/>
      <c r="AR8" s="20"/>
      <c r="AS8" s="20"/>
      <c r="AT8" s="20"/>
      <c r="AU8" s="20"/>
      <c r="BA8" s="31" t="s">
        <v>102</v>
      </c>
      <c r="BB8" s="31" t="s">
        <v>103</v>
      </c>
    </row>
    <row r="9" spans="1:57" x14ac:dyDescent="0.4">
      <c r="A9" s="21">
        <f t="shared" si="1"/>
        <v>9</v>
      </c>
      <c r="B9" s="81" t="str">
        <f>"기초금리정보"</f>
        <v>기초금리정보</v>
      </c>
      <c r="C9" s="82"/>
      <c r="D9" s="59" t="s">
        <v>97</v>
      </c>
      <c r="E9" s="59"/>
      <c r="F9" s="99" t="s">
        <v>98</v>
      </c>
      <c r="G9" s="74"/>
      <c r="H9" s="23"/>
      <c r="I9" s="22"/>
      <c r="J9" s="94" t="str">
        <f>IF(F10=0,"금리결정조건이 = "&amp;F10&amp;" 이므로 Ref Swap 금리정보 사용안함", "사용")</f>
        <v>금리결정조건이 = 0 이므로 Ref Swap 금리정보 사용안함</v>
      </c>
      <c r="K9" s="95"/>
      <c r="L9" s="95"/>
      <c r="M9" s="96"/>
      <c r="O9" s="72" t="s">
        <v>51</v>
      </c>
      <c r="P9" s="72"/>
      <c r="Q9" s="72"/>
      <c r="R9" s="72"/>
      <c r="AB9" s="20"/>
      <c r="AC9" s="20"/>
      <c r="AD9" s="20"/>
      <c r="AE9" s="20"/>
      <c r="AF9" s="20"/>
      <c r="AG9" s="20"/>
      <c r="AH9" s="20"/>
      <c r="AI9" s="20"/>
      <c r="AJ9" s="20"/>
      <c r="AK9" s="20"/>
      <c r="AM9" s="20"/>
      <c r="AN9" s="20"/>
      <c r="AO9" s="20"/>
      <c r="AP9" s="20"/>
      <c r="AQ9" s="20"/>
      <c r="AR9" s="20"/>
      <c r="AS9" s="20"/>
      <c r="AT9" s="20"/>
      <c r="AU9" s="20"/>
    </row>
    <row r="10" spans="1:57" ht="17.399999999999999" customHeight="1" x14ac:dyDescent="0.4">
      <c r="A10" s="21">
        <f t="shared" si="1"/>
        <v>10</v>
      </c>
      <c r="B10" s="83"/>
      <c r="C10" s="84"/>
      <c r="D10" s="59" t="s">
        <v>35</v>
      </c>
      <c r="E10" s="87"/>
      <c r="F10" s="100">
        <v>0</v>
      </c>
      <c r="G10" s="101"/>
      <c r="H10" s="94" t="str">
        <f xml:space="preserve"> "Swap 레퍼런스금리정보"</f>
        <v>Swap 레퍼런스금리정보</v>
      </c>
      <c r="I10" s="95"/>
      <c r="J10" s="98" t="str">
        <f>IF(F10=0,"", "연 지급횟수")</f>
        <v/>
      </c>
      <c r="K10" s="136"/>
      <c r="L10" s="77">
        <v>4</v>
      </c>
      <c r="M10" s="149"/>
      <c r="O10" s="72" t="s">
        <v>86</v>
      </c>
      <c r="P10" s="72"/>
      <c r="Q10" s="73">
        <v>4</v>
      </c>
      <c r="R10" s="74"/>
      <c r="AB10" s="132" t="s">
        <v>77</v>
      </c>
      <c r="AC10" s="75"/>
      <c r="AD10" s="152">
        <v>10550.401442963246</v>
      </c>
      <c r="AE10" s="152"/>
      <c r="AF10" s="20"/>
      <c r="AG10" s="20"/>
      <c r="AH10" s="20"/>
      <c r="AI10" s="20"/>
      <c r="AJ10" s="20"/>
      <c r="AK10" s="20"/>
      <c r="AM10" s="20"/>
      <c r="AN10" s="20"/>
      <c r="AO10" s="20"/>
      <c r="AP10" s="20"/>
      <c r="AQ10" s="20"/>
      <c r="AR10" s="20"/>
      <c r="AS10" s="20"/>
      <c r="AT10" s="20"/>
      <c r="AU10" s="20"/>
    </row>
    <row r="11" spans="1:57" x14ac:dyDescent="0.4">
      <c r="A11" s="21">
        <f t="shared" si="1"/>
        <v>11</v>
      </c>
      <c r="B11" s="83"/>
      <c r="C11" s="84"/>
      <c r="D11" s="72" t="s">
        <v>36</v>
      </c>
      <c r="E11" s="72"/>
      <c r="F11" s="99">
        <v>0</v>
      </c>
      <c r="G11" s="74"/>
      <c r="H11" s="97"/>
      <c r="I11" s="98"/>
      <c r="J11" s="98" t="str">
        <f>IF(F10=0,"",IF(F11=0, "만기", "입력X, 아래만기2개입력"))</f>
        <v/>
      </c>
      <c r="K11" s="136"/>
      <c r="L11" s="137">
        <v>0.25</v>
      </c>
      <c r="M11" s="138"/>
      <c r="O11" s="72" t="s">
        <v>52</v>
      </c>
      <c r="P11" s="72"/>
      <c r="Q11" s="73">
        <v>0</v>
      </c>
      <c r="R11" s="74"/>
      <c r="AB11" s="132" t="s">
        <v>92</v>
      </c>
      <c r="AC11" s="75"/>
      <c r="AD11" s="141">
        <v>10046.986681686896</v>
      </c>
      <c r="AE11" s="141"/>
      <c r="AF11" s="20"/>
      <c r="AG11" s="20"/>
      <c r="AH11" s="20"/>
      <c r="AI11" s="20"/>
      <c r="AJ11" s="20"/>
      <c r="AK11" s="20"/>
      <c r="AM11" s="20"/>
      <c r="AN11" s="20"/>
      <c r="AO11" s="20"/>
      <c r="AP11" s="20"/>
      <c r="AQ11" s="20"/>
      <c r="AR11" s="20"/>
      <c r="AS11" s="20"/>
      <c r="AT11" s="20"/>
      <c r="AU11" s="20"/>
    </row>
    <row r="12" spans="1:57" x14ac:dyDescent="0.4">
      <c r="A12" s="21">
        <f t="shared" si="1"/>
        <v>12</v>
      </c>
      <c r="B12" s="83"/>
      <c r="C12" s="84"/>
      <c r="D12" s="72" t="s">
        <v>37</v>
      </c>
      <c r="E12" s="72"/>
      <c r="F12" s="102">
        <v>0.8</v>
      </c>
      <c r="G12" s="103"/>
      <c r="H12" s="113" t="str">
        <f>"ex) Deposit 3M -&gt; 연 지급횟수= 4, 만기= 0.25 ||  ex2) CMT 5Y 연 지급횟수=2, 만기 5"</f>
        <v>ex) Deposit 3M -&gt; 연 지급횟수= 4, 만기= 0.25 ||  ex2) CMT 5Y 연 지급횟수=2, 만기 5</v>
      </c>
      <c r="I12" s="113"/>
      <c r="J12" s="113"/>
      <c r="K12" s="113"/>
      <c r="L12" s="113"/>
      <c r="M12" s="114"/>
      <c r="O12" s="111" t="s">
        <v>53</v>
      </c>
      <c r="P12" s="112"/>
      <c r="Q12" s="73">
        <v>4</v>
      </c>
      <c r="R12" s="74"/>
      <c r="AB12" s="132" t="s">
        <v>93</v>
      </c>
      <c r="AC12" s="75"/>
      <c r="AD12" s="141">
        <v>0</v>
      </c>
      <c r="AE12" s="141"/>
      <c r="AF12" s="20"/>
      <c r="AG12" s="20"/>
      <c r="AH12" s="20"/>
      <c r="AI12" s="20"/>
      <c r="AJ12" s="20"/>
      <c r="AK12" s="20"/>
      <c r="AM12" s="20"/>
      <c r="AN12" s="20"/>
      <c r="AO12" s="20"/>
      <c r="AP12" s="20"/>
      <c r="AQ12" s="20"/>
      <c r="AR12" s="20"/>
      <c r="AS12" s="20"/>
      <c r="AT12" s="20"/>
      <c r="AU12" s="20"/>
    </row>
    <row r="13" spans="1:57" x14ac:dyDescent="0.4">
      <c r="A13" s="21">
        <f t="shared" si="1"/>
        <v>13</v>
      </c>
      <c r="B13" s="83"/>
      <c r="C13" s="84"/>
      <c r="D13" s="72" t="s">
        <v>38</v>
      </c>
      <c r="E13" s="59"/>
      <c r="F13" s="104">
        <v>-0.8</v>
      </c>
      <c r="G13" s="105"/>
      <c r="H13" s="108" t="str">
        <f>IF(F11&gt;0,"PowerSpreadFlag 1일때 입력","입력필요X")</f>
        <v>입력필요X</v>
      </c>
      <c r="I13" s="108"/>
      <c r="J13" s="108" t="str">
        <f>IF(F11&gt;0,"만기1","")</f>
        <v/>
      </c>
      <c r="K13" s="108"/>
      <c r="L13" s="109">
        <v>10</v>
      </c>
      <c r="M13" s="11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M13" s="20"/>
      <c r="AN13" s="20"/>
      <c r="AO13" s="20"/>
      <c r="AP13" s="20"/>
      <c r="AQ13" s="157"/>
      <c r="AR13" s="157"/>
      <c r="AS13" s="20"/>
      <c r="AT13" s="20"/>
      <c r="AU13" s="20"/>
    </row>
    <row r="14" spans="1:57" x14ac:dyDescent="0.4">
      <c r="A14" s="21">
        <f t="shared" si="1"/>
        <v>14</v>
      </c>
      <c r="B14" s="85"/>
      <c r="C14" s="86"/>
      <c r="D14" s="118" t="s">
        <v>39</v>
      </c>
      <c r="E14" s="118"/>
      <c r="F14" s="106">
        <v>1</v>
      </c>
      <c r="G14" s="107"/>
      <c r="H14" s="108"/>
      <c r="I14" s="108"/>
      <c r="J14" s="108" t="str">
        <f>IF(F11&gt;0,"만기2","")</f>
        <v/>
      </c>
      <c r="K14" s="108"/>
      <c r="L14" s="109">
        <v>5</v>
      </c>
      <c r="M14" s="110"/>
      <c r="O14" s="72" t="s">
        <v>89</v>
      </c>
      <c r="P14" s="72"/>
      <c r="Q14" s="72"/>
      <c r="R14" s="72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M14" s="20"/>
      <c r="AN14" s="156"/>
      <c r="AO14" s="20"/>
      <c r="AP14" s="20"/>
      <c r="AQ14" s="156"/>
      <c r="AR14" s="20"/>
      <c r="AS14" s="20"/>
      <c r="AT14" s="20"/>
      <c r="AU14" s="20"/>
    </row>
    <row r="15" spans="1:57" x14ac:dyDescent="0.4">
      <c r="A15" s="21">
        <f t="shared" si="1"/>
        <v>15</v>
      </c>
      <c r="B15" s="20"/>
      <c r="C15" s="20"/>
      <c r="O15" s="72" t="s">
        <v>90</v>
      </c>
      <c r="P15" s="72"/>
      <c r="Q15" s="73">
        <v>0</v>
      </c>
      <c r="R15" s="74"/>
      <c r="AB15" s="150" t="s">
        <v>71</v>
      </c>
      <c r="AC15" s="151"/>
      <c r="AD15" s="151"/>
      <c r="AE15" s="151"/>
      <c r="AF15" s="151"/>
      <c r="AG15" s="150" t="s">
        <v>72</v>
      </c>
      <c r="AH15" s="151"/>
      <c r="AI15" s="151"/>
      <c r="AJ15" s="151"/>
      <c r="AK15" s="151"/>
      <c r="AM15" s="150" t="s">
        <v>108</v>
      </c>
      <c r="AN15" s="151"/>
      <c r="AO15" s="151"/>
      <c r="AP15" s="151"/>
      <c r="AQ15" s="151"/>
      <c r="AR15" s="151"/>
      <c r="AS15" s="150" t="s">
        <v>114</v>
      </c>
      <c r="AT15" s="151"/>
      <c r="AU15" s="151"/>
      <c r="AV15" s="132" t="s">
        <v>115</v>
      </c>
      <c r="AW15" s="154"/>
    </row>
    <row r="16" spans="1:57" x14ac:dyDescent="0.4">
      <c r="A16" s="21">
        <f t="shared" si="1"/>
        <v>16</v>
      </c>
      <c r="B16" s="148" t="s">
        <v>40</v>
      </c>
      <c r="C16" s="148"/>
      <c r="D16" s="72" t="s">
        <v>79</v>
      </c>
      <c r="E16" s="72"/>
      <c r="F16" s="102">
        <v>0</v>
      </c>
      <c r="G16" s="103"/>
      <c r="H16" s="116" t="s">
        <v>82</v>
      </c>
      <c r="I16" s="117"/>
      <c r="J16" s="115" t="str">
        <f>IF(F11&gt;0, F13&amp;" &lt; "&amp;F10&amp;" x Rate("&amp;L13&amp;"Y-"&amp;L14&amp;"Y) &lt; "&amp;F12,F13&amp;" &lt; "&amp;F10&amp;" x Rate("&amp;L11&amp;"Y) &lt; "&amp;F12)</f>
        <v>-0.8 &lt; 0 x Rate(0.25Y) &lt; 0.8</v>
      </c>
      <c r="K16" s="115"/>
      <c r="L16" s="115"/>
      <c r="M16" s="115"/>
      <c r="AB16" s="37" t="s">
        <v>66</v>
      </c>
      <c r="AC16" s="37" t="s">
        <v>67</v>
      </c>
      <c r="AD16" s="37" t="s">
        <v>68</v>
      </c>
      <c r="AE16" s="37" t="s">
        <v>69</v>
      </c>
      <c r="AF16" s="37" t="s">
        <v>70</v>
      </c>
      <c r="AG16" s="37" t="s">
        <v>66</v>
      </c>
      <c r="AH16" s="37" t="s">
        <v>67</v>
      </c>
      <c r="AI16" s="37" t="s">
        <v>68</v>
      </c>
      <c r="AJ16" s="37" t="s">
        <v>69</v>
      </c>
      <c r="AK16" s="37" t="s">
        <v>70</v>
      </c>
      <c r="AM16" s="37" t="s">
        <v>106</v>
      </c>
      <c r="AN16" s="37" t="s">
        <v>118</v>
      </c>
      <c r="AO16" s="37" t="s">
        <v>109</v>
      </c>
      <c r="AP16" s="37" t="s">
        <v>107</v>
      </c>
      <c r="AQ16" s="37" t="s">
        <v>118</v>
      </c>
      <c r="AR16" s="37" t="s">
        <v>110</v>
      </c>
      <c r="AS16" s="37" t="s">
        <v>111</v>
      </c>
      <c r="AT16" s="37" t="s">
        <v>112</v>
      </c>
      <c r="AU16" s="37" t="s">
        <v>113</v>
      </c>
      <c r="AV16" s="37" t="s">
        <v>116</v>
      </c>
      <c r="AW16" s="37" t="s">
        <v>117</v>
      </c>
    </row>
    <row r="17" spans="1:49" x14ac:dyDescent="0.4">
      <c r="A17" s="21">
        <f t="shared" si="1"/>
        <v>17</v>
      </c>
      <c r="B17" s="148"/>
      <c r="C17" s="148"/>
      <c r="D17" s="72" t="s">
        <v>43</v>
      </c>
      <c r="E17" s="72"/>
      <c r="F17" s="102">
        <v>0</v>
      </c>
      <c r="G17" s="103"/>
      <c r="H17" s="116" t="s">
        <v>80</v>
      </c>
      <c r="I17" s="117"/>
      <c r="J17" s="11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15"/>
      <c r="L17" s="115"/>
      <c r="M17" s="115"/>
      <c r="AB17" s="39">
        <v>20200727</v>
      </c>
      <c r="AC17" s="40">
        <v>20201027</v>
      </c>
      <c r="AD17" s="40">
        <v>20201027</v>
      </c>
      <c r="AE17" s="43">
        <v>0</v>
      </c>
      <c r="AF17" s="47">
        <v>0</v>
      </c>
      <c r="AG17" s="40">
        <v>20200727</v>
      </c>
      <c r="AH17" s="40">
        <v>20201027</v>
      </c>
      <c r="AI17" s="40">
        <v>20201027</v>
      </c>
      <c r="AJ17" s="43">
        <v>0</v>
      </c>
      <c r="AK17" s="47">
        <v>0</v>
      </c>
      <c r="AM17" s="153">
        <v>0.25</v>
      </c>
      <c r="AN17" s="155">
        <v>-675.49992545536952</v>
      </c>
      <c r="AP17" s="153">
        <v>0</v>
      </c>
      <c r="AQ17" s="155">
        <v>-6.0743839821952861</v>
      </c>
      <c r="AS17" s="153">
        <v>0.5</v>
      </c>
      <c r="AT17" s="153">
        <v>1</v>
      </c>
      <c r="AU17" s="155">
        <v>21.536955924015622</v>
      </c>
      <c r="AV17" s="155">
        <v>10498.660599967836</v>
      </c>
      <c r="AW17" s="155">
        <v>10605.914338199693</v>
      </c>
    </row>
    <row r="18" spans="1:49" x14ac:dyDescent="0.4">
      <c r="A18" s="21">
        <f t="shared" si="1"/>
        <v>18</v>
      </c>
      <c r="B18" s="148"/>
      <c r="C18" s="148"/>
      <c r="D18" s="72" t="s">
        <v>44</v>
      </c>
      <c r="E18" s="72"/>
      <c r="F18" s="99">
        <v>1</v>
      </c>
      <c r="G18" s="74"/>
      <c r="H18" s="116"/>
      <c r="I18" s="117"/>
      <c r="J18" s="115"/>
      <c r="K18" s="115"/>
      <c r="L18" s="115"/>
      <c r="M18" s="115"/>
      <c r="AB18" s="41">
        <v>20201027</v>
      </c>
      <c r="AC18" s="42">
        <v>20210127</v>
      </c>
      <c r="AD18" s="42">
        <v>20210127</v>
      </c>
      <c r="AE18" s="44">
        <v>0</v>
      </c>
      <c r="AF18" s="48">
        <v>0</v>
      </c>
      <c r="AG18" s="42">
        <v>20201027</v>
      </c>
      <c r="AH18" s="42">
        <v>20210127</v>
      </c>
      <c r="AI18" s="42">
        <v>20210127</v>
      </c>
      <c r="AJ18" s="44">
        <v>0</v>
      </c>
      <c r="AK18" s="48">
        <v>0</v>
      </c>
      <c r="AM18" s="153">
        <v>0.5</v>
      </c>
      <c r="AN18" s="155">
        <v>-509.53399193531368</v>
      </c>
      <c r="AP18" s="153">
        <v>0</v>
      </c>
      <c r="AQ18" s="155">
        <v>-73.356541361135896</v>
      </c>
      <c r="AS18" s="153">
        <v>0.5</v>
      </c>
      <c r="AT18" s="153">
        <v>3</v>
      </c>
      <c r="AU18" s="155">
        <v>19.678559319069066</v>
      </c>
    </row>
    <row r="19" spans="1:49" x14ac:dyDescent="0.4">
      <c r="A19" s="21">
        <f t="shared" si="1"/>
        <v>19</v>
      </c>
      <c r="B19" s="20"/>
      <c r="C19" s="20"/>
      <c r="AB19" s="41">
        <v>20210127</v>
      </c>
      <c r="AC19" s="42">
        <v>20210427</v>
      </c>
      <c r="AD19" s="42">
        <v>20210427</v>
      </c>
      <c r="AE19" s="44">
        <v>0</v>
      </c>
      <c r="AF19" s="48">
        <v>0</v>
      </c>
      <c r="AG19" s="42">
        <v>20210127</v>
      </c>
      <c r="AH19" s="42">
        <v>20210427</v>
      </c>
      <c r="AI19" s="42">
        <v>20210427</v>
      </c>
      <c r="AJ19" s="44">
        <v>0</v>
      </c>
      <c r="AK19" s="48">
        <v>0</v>
      </c>
      <c r="AM19" s="153">
        <v>1</v>
      </c>
      <c r="AN19" s="155">
        <v>229.04146333530662</v>
      </c>
      <c r="AP19" s="153">
        <v>0</v>
      </c>
      <c r="AQ19" s="155">
        <v>-228.85045342263766</v>
      </c>
      <c r="AS19" s="153">
        <v>1</v>
      </c>
      <c r="AT19" s="153">
        <v>3</v>
      </c>
      <c r="AU19" s="155">
        <v>22.854931676197648</v>
      </c>
    </row>
    <row r="20" spans="1:49" x14ac:dyDescent="0.4">
      <c r="A20" s="21">
        <f t="shared" si="1"/>
        <v>20</v>
      </c>
      <c r="B20" s="20"/>
      <c r="C20" s="20"/>
      <c r="AB20" s="41">
        <v>20210427</v>
      </c>
      <c r="AC20" s="42">
        <v>20210727</v>
      </c>
      <c r="AD20" s="42">
        <v>20210727</v>
      </c>
      <c r="AE20" s="44">
        <v>0</v>
      </c>
      <c r="AF20" s="48">
        <v>0</v>
      </c>
      <c r="AG20" s="42">
        <v>20210427</v>
      </c>
      <c r="AH20" s="42">
        <v>20210727</v>
      </c>
      <c r="AI20" s="42">
        <v>20210727</v>
      </c>
      <c r="AJ20" s="44">
        <v>0</v>
      </c>
      <c r="AK20" s="48">
        <v>0</v>
      </c>
      <c r="AM20" s="153">
        <v>2</v>
      </c>
      <c r="AN20" s="155">
        <v>1582.3029148486967</v>
      </c>
      <c r="AP20" s="153">
        <v>0</v>
      </c>
      <c r="AQ20" s="155">
        <v>-2026.3890818750951</v>
      </c>
      <c r="AS20" s="153">
        <v>1</v>
      </c>
      <c r="AT20" s="153">
        <v>5</v>
      </c>
      <c r="AU20" s="155">
        <v>66.806147806668676</v>
      </c>
    </row>
    <row r="21" spans="1:49" x14ac:dyDescent="0.4">
      <c r="A21" s="21">
        <f t="shared" si="1"/>
        <v>21</v>
      </c>
      <c r="B21" s="148" t="s">
        <v>45</v>
      </c>
      <c r="C21" s="148"/>
      <c r="D21" s="72" t="s">
        <v>41</v>
      </c>
      <c r="E21" s="72"/>
      <c r="F21" s="102">
        <v>0</v>
      </c>
      <c r="G21" s="103"/>
      <c r="H21" s="116" t="s">
        <v>81</v>
      </c>
      <c r="I21" s="117"/>
      <c r="J21" s="11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15"/>
      <c r="L21" s="115"/>
      <c r="M21" s="115"/>
      <c r="AB21" s="41">
        <v>20210727</v>
      </c>
      <c r="AC21" s="42">
        <v>20211027</v>
      </c>
      <c r="AD21" s="42">
        <v>20211027</v>
      </c>
      <c r="AE21" s="44">
        <v>0</v>
      </c>
      <c r="AF21" s="48">
        <v>0</v>
      </c>
      <c r="AG21" s="42">
        <v>20210727</v>
      </c>
      <c r="AH21" s="42">
        <v>20211027</v>
      </c>
      <c r="AI21" s="42">
        <v>20211027</v>
      </c>
      <c r="AJ21" s="44">
        <v>0</v>
      </c>
      <c r="AK21" s="48">
        <v>0</v>
      </c>
      <c r="AM21" s="153">
        <v>3</v>
      </c>
      <c r="AN21" s="155">
        <v>6119.422403662611</v>
      </c>
      <c r="AP21" s="153">
        <v>0</v>
      </c>
      <c r="AQ21" s="155">
        <v>-5870.0375424632512</v>
      </c>
      <c r="AS21" s="153">
        <v>3</v>
      </c>
      <c r="AT21" s="153">
        <v>5</v>
      </c>
      <c r="AU21" s="155">
        <v>68.009667647271172</v>
      </c>
    </row>
    <row r="22" spans="1:49" x14ac:dyDescent="0.4">
      <c r="A22" s="21">
        <f t="shared" si="1"/>
        <v>22</v>
      </c>
      <c r="B22" s="148"/>
      <c r="C22" s="148"/>
      <c r="D22" s="72" t="s">
        <v>43</v>
      </c>
      <c r="E22" s="72"/>
      <c r="F22" s="102">
        <v>0</v>
      </c>
      <c r="G22" s="103"/>
      <c r="H22" s="116"/>
      <c r="I22" s="117"/>
      <c r="J22" s="115"/>
      <c r="K22" s="115"/>
      <c r="L22" s="115"/>
      <c r="M22" s="115"/>
      <c r="AB22" s="41">
        <v>20211027</v>
      </c>
      <c r="AC22" s="42">
        <v>20220127</v>
      </c>
      <c r="AD22" s="42">
        <v>20220127</v>
      </c>
      <c r="AE22" s="44">
        <v>0</v>
      </c>
      <c r="AF22" s="48">
        <v>0</v>
      </c>
      <c r="AG22" s="42">
        <v>20211027</v>
      </c>
      <c r="AH22" s="42">
        <v>20220127</v>
      </c>
      <c r="AI22" s="42">
        <v>20220127</v>
      </c>
      <c r="AJ22" s="44">
        <v>0</v>
      </c>
      <c r="AK22" s="48">
        <v>0</v>
      </c>
      <c r="AM22" s="153">
        <v>5</v>
      </c>
      <c r="AN22" s="155">
        <v>7597.4775864960975</v>
      </c>
      <c r="AP22" s="153">
        <v>0</v>
      </c>
      <c r="AQ22" s="155">
        <v>-7913.54448410857</v>
      </c>
      <c r="AS22" s="153">
        <v>3</v>
      </c>
      <c r="AT22" s="153">
        <v>10</v>
      </c>
      <c r="AU22" s="155">
        <v>95.520927053207174</v>
      </c>
    </row>
    <row r="23" spans="1:49" x14ac:dyDescent="0.4">
      <c r="A23" s="21">
        <f t="shared" si="1"/>
        <v>23</v>
      </c>
      <c r="B23" s="148"/>
      <c r="C23" s="148"/>
      <c r="D23" s="72" t="s">
        <v>44</v>
      </c>
      <c r="E23" s="72"/>
      <c r="F23" s="99">
        <v>1</v>
      </c>
      <c r="G23" s="74"/>
      <c r="AB23" s="41">
        <v>20220127</v>
      </c>
      <c r="AC23" s="42">
        <v>20220427</v>
      </c>
      <c r="AD23" s="42">
        <v>20220427</v>
      </c>
      <c r="AE23" s="44">
        <v>0</v>
      </c>
      <c r="AF23" s="48">
        <v>0</v>
      </c>
      <c r="AG23" s="42">
        <v>20220127</v>
      </c>
      <c r="AH23" s="42">
        <v>20220427</v>
      </c>
      <c r="AI23" s="42">
        <v>20220427</v>
      </c>
      <c r="AJ23" s="44">
        <v>0</v>
      </c>
      <c r="AK23" s="48">
        <v>0</v>
      </c>
      <c r="AM23" s="153">
        <v>10</v>
      </c>
      <c r="AN23" s="155">
        <v>25685.396489243431</v>
      </c>
      <c r="AP23" s="153">
        <v>0</v>
      </c>
      <c r="AQ23" s="155">
        <v>-24197.634617630683</v>
      </c>
      <c r="AS23" s="153">
        <v>5</v>
      </c>
      <c r="AT23" s="153">
        <v>10</v>
      </c>
      <c r="AU23" s="155">
        <v>197.58258642054938</v>
      </c>
    </row>
    <row r="24" spans="1:49" x14ac:dyDescent="0.4">
      <c r="A24" s="21">
        <f t="shared" si="1"/>
        <v>24</v>
      </c>
      <c r="B24" s="20"/>
      <c r="C24" s="20"/>
      <c r="AB24" s="41">
        <v>20220427</v>
      </c>
      <c r="AC24" s="42">
        <v>20220727</v>
      </c>
      <c r="AD24" s="42">
        <v>20220727</v>
      </c>
      <c r="AE24" s="44">
        <v>0</v>
      </c>
      <c r="AF24" s="48">
        <v>0</v>
      </c>
      <c r="AG24" s="42">
        <v>20220427</v>
      </c>
      <c r="AH24" s="42">
        <v>20220727</v>
      </c>
      <c r="AI24" s="42">
        <v>20220727</v>
      </c>
      <c r="AJ24" s="44">
        <v>0</v>
      </c>
      <c r="AK24" s="48">
        <v>0</v>
      </c>
      <c r="AM24" s="153">
        <v>15</v>
      </c>
      <c r="AN24" s="155">
        <v>30292.73380379891</v>
      </c>
      <c r="AP24" s="153">
        <v>0</v>
      </c>
      <c r="AQ24" s="155">
        <v>-25730.021901272266</v>
      </c>
    </row>
    <row r="25" spans="1:49" x14ac:dyDescent="0.4">
      <c r="A25" s="21">
        <f t="shared" si="1"/>
        <v>25</v>
      </c>
      <c r="B25" s="88" t="s">
        <v>46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90"/>
      <c r="AB25" s="41">
        <v>20220727</v>
      </c>
      <c r="AC25" s="42">
        <v>20221027</v>
      </c>
      <c r="AD25" s="42">
        <v>20221027</v>
      </c>
      <c r="AE25" s="44">
        <v>3.6999999999999998E-2</v>
      </c>
      <c r="AF25" s="48">
        <v>93.260273972602732</v>
      </c>
      <c r="AG25" s="42">
        <v>20220727</v>
      </c>
      <c r="AH25" s="42">
        <v>20221027</v>
      </c>
      <c r="AI25" s="42">
        <v>20221027</v>
      </c>
      <c r="AJ25" s="44">
        <v>0.03</v>
      </c>
      <c r="AK25" s="48">
        <v>50.915068493150685</v>
      </c>
      <c r="AM25" s="153">
        <v>20</v>
      </c>
      <c r="AN25" s="155">
        <v>0</v>
      </c>
      <c r="AP25" s="153">
        <v>0</v>
      </c>
      <c r="AQ25" s="155">
        <v>0</v>
      </c>
    </row>
    <row r="26" spans="1:49" x14ac:dyDescent="0.4">
      <c r="A26" s="21">
        <f t="shared" si="1"/>
        <v>26</v>
      </c>
      <c r="B26" s="91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3"/>
      <c r="AB26" s="41">
        <v>20221027</v>
      </c>
      <c r="AC26" s="42">
        <v>20230127</v>
      </c>
      <c r="AD26" s="42">
        <v>20230127</v>
      </c>
      <c r="AE26" s="44">
        <v>3.9444067575648153E-2</v>
      </c>
      <c r="AF26" s="48">
        <v>99.420663478346043</v>
      </c>
      <c r="AG26" s="42">
        <v>20221027</v>
      </c>
      <c r="AH26" s="42">
        <v>20230127</v>
      </c>
      <c r="AI26" s="42">
        <v>20230127</v>
      </c>
      <c r="AJ26" s="44">
        <v>3.9444067575648153E-2</v>
      </c>
      <c r="AK26" s="48">
        <v>50.915068493150685</v>
      </c>
      <c r="AM26" s="153">
        <v>30</v>
      </c>
      <c r="AN26" s="155">
        <v>0</v>
      </c>
      <c r="AP26" s="153">
        <v>0</v>
      </c>
      <c r="AQ26" s="155">
        <v>0</v>
      </c>
    </row>
    <row r="27" spans="1:49" x14ac:dyDescent="0.4">
      <c r="A27" s="21">
        <f t="shared" si="1"/>
        <v>27</v>
      </c>
      <c r="B27" s="78" t="s">
        <v>32</v>
      </c>
      <c r="C27" s="78"/>
      <c r="D27" s="80">
        <v>1</v>
      </c>
      <c r="E27" s="77"/>
      <c r="F27" s="78" t="s">
        <v>33</v>
      </c>
      <c r="G27" s="78"/>
      <c r="H27" s="80">
        <v>1</v>
      </c>
      <c r="I27" s="77"/>
      <c r="J27" s="78" t="s">
        <v>84</v>
      </c>
      <c r="K27" s="78"/>
      <c r="L27" s="99">
        <v>0</v>
      </c>
      <c r="M27" s="74"/>
      <c r="AB27" s="41">
        <v>20230127</v>
      </c>
      <c r="AC27" s="42">
        <v>20230427</v>
      </c>
      <c r="AD27" s="42">
        <v>20230427</v>
      </c>
      <c r="AE27" s="44">
        <v>3.9915006460698677E-2</v>
      </c>
      <c r="AF27" s="48">
        <v>98.42056387569535</v>
      </c>
      <c r="AG27" s="42">
        <v>20230127</v>
      </c>
      <c r="AH27" s="42">
        <v>20230427</v>
      </c>
      <c r="AI27" s="42">
        <v>20230427</v>
      </c>
      <c r="AJ27" s="44">
        <v>3.9915006460698677E-2</v>
      </c>
      <c r="AK27" s="48">
        <v>49.80821917808219</v>
      </c>
    </row>
    <row r="28" spans="1:49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20230427</v>
      </c>
      <c r="AC28" s="42">
        <v>20230727</v>
      </c>
      <c r="AD28" s="42">
        <v>20230727</v>
      </c>
      <c r="AE28" s="44">
        <v>3.9902473657465368E-2</v>
      </c>
      <c r="AF28" s="48">
        <v>99.482879529571193</v>
      </c>
      <c r="AG28" s="42">
        <v>20230427</v>
      </c>
      <c r="AH28" s="42">
        <v>20230727</v>
      </c>
      <c r="AI28" s="42">
        <v>20230727</v>
      </c>
      <c r="AJ28" s="44">
        <v>3.9902473657465368E-2</v>
      </c>
      <c r="AK28" s="48">
        <v>50.361643835616434</v>
      </c>
    </row>
    <row r="29" spans="1:49" x14ac:dyDescent="0.4">
      <c r="A29" s="21">
        <f t="shared" si="1"/>
        <v>29</v>
      </c>
      <c r="B29" s="81" t="str">
        <f>"기초금리정보"</f>
        <v>기초금리정보</v>
      </c>
      <c r="C29" s="82"/>
      <c r="D29" s="59" t="s">
        <v>34</v>
      </c>
      <c r="E29" s="59"/>
      <c r="F29" s="99" t="s">
        <v>98</v>
      </c>
      <c r="G29" s="74"/>
      <c r="H29" s="23"/>
      <c r="I29" s="22"/>
      <c r="J29" s="94" t="str">
        <f>IF(F30=0,"금리결정조건이 = "&amp;F30&amp;" 이므로 Ref Swap 금리정보 사용안함", "사용")</f>
        <v>사용</v>
      </c>
      <c r="K29" s="95"/>
      <c r="L29" s="95"/>
      <c r="M29" s="96"/>
      <c r="O29" s="72" t="s">
        <v>57</v>
      </c>
      <c r="P29" s="72"/>
      <c r="Q29" s="72"/>
      <c r="R29" s="72"/>
      <c r="AB29" s="41">
        <v>20230727</v>
      </c>
      <c r="AC29" s="42">
        <v>20231027</v>
      </c>
      <c r="AD29" s="42">
        <v>20231027</v>
      </c>
      <c r="AE29" s="44">
        <v>3.9782151211517493E-2</v>
      </c>
      <c r="AF29" s="48">
        <v>100.27281949204411</v>
      </c>
      <c r="AG29" s="42">
        <v>20230727</v>
      </c>
      <c r="AH29" s="42">
        <v>20231027</v>
      </c>
      <c r="AI29" s="42">
        <v>20231027</v>
      </c>
      <c r="AJ29" s="44">
        <v>3.9782151211517493E-2</v>
      </c>
      <c r="AK29" s="48">
        <v>50.915068493150685</v>
      </c>
    </row>
    <row r="30" spans="1:49" x14ac:dyDescent="0.4">
      <c r="A30" s="21">
        <f t="shared" si="1"/>
        <v>30</v>
      </c>
      <c r="B30" s="83"/>
      <c r="C30" s="84"/>
      <c r="D30" s="59" t="s">
        <v>35</v>
      </c>
      <c r="E30" s="87"/>
      <c r="F30" s="100">
        <v>1</v>
      </c>
      <c r="G30" s="101"/>
      <c r="H30" s="94" t="str">
        <f xml:space="preserve"> "Swap 레퍼런스금리정보"</f>
        <v>Swap 레퍼런스금리정보</v>
      </c>
      <c r="I30" s="95"/>
      <c r="J30" s="98" t="str">
        <f>IF(F30=0,"", "연 지급횟수")</f>
        <v>연 지급횟수</v>
      </c>
      <c r="K30" s="136"/>
      <c r="L30" s="77">
        <v>4</v>
      </c>
      <c r="M30" s="149"/>
      <c r="O30" s="72" t="s">
        <v>85</v>
      </c>
      <c r="P30" s="72"/>
      <c r="Q30" s="73">
        <v>4</v>
      </c>
      <c r="R30" s="74"/>
      <c r="AB30" s="41">
        <v>20231027</v>
      </c>
      <c r="AC30" s="42">
        <v>20240129</v>
      </c>
      <c r="AD30" s="42">
        <v>20240129</v>
      </c>
      <c r="AE30" s="44">
        <v>3.9505913556513193E-2</v>
      </c>
      <c r="AF30" s="48">
        <v>101.74125683047232</v>
      </c>
      <c r="AG30" s="42">
        <v>20231027</v>
      </c>
      <c r="AH30" s="42">
        <v>20240129</v>
      </c>
      <c r="AI30" s="42">
        <v>20240129</v>
      </c>
      <c r="AJ30" s="44">
        <v>3.9505913556513193E-2</v>
      </c>
      <c r="AK30" s="48">
        <v>52.021917808219179</v>
      </c>
    </row>
    <row r="31" spans="1:49" x14ac:dyDescent="0.4">
      <c r="A31" s="21">
        <f t="shared" si="1"/>
        <v>31</v>
      </c>
      <c r="B31" s="83"/>
      <c r="C31" s="84"/>
      <c r="D31" s="72" t="s">
        <v>36</v>
      </c>
      <c r="E31" s="72"/>
      <c r="F31" s="99">
        <v>0</v>
      </c>
      <c r="G31" s="74"/>
      <c r="H31" s="97"/>
      <c r="I31" s="98"/>
      <c r="J31" s="98" t="str">
        <f>IF(F30=0,"",IF(F31=0, "만기", "입력X, 아래만기2개입력"))</f>
        <v>만기</v>
      </c>
      <c r="K31" s="136"/>
      <c r="L31" s="137">
        <v>10</v>
      </c>
      <c r="M31" s="138"/>
      <c r="O31" s="72" t="s">
        <v>52</v>
      </c>
      <c r="P31" s="72"/>
      <c r="Q31" s="73">
        <v>0</v>
      </c>
      <c r="R31" s="74"/>
      <c r="AB31" s="41">
        <v>20240129</v>
      </c>
      <c r="AC31" s="42">
        <v>20240429</v>
      </c>
      <c r="AD31" s="42">
        <v>20240429</v>
      </c>
      <c r="AE31" s="44">
        <v>3.9279290981008338E-2</v>
      </c>
      <c r="AF31" s="48">
        <v>97.929191212924906</v>
      </c>
      <c r="AG31" s="42">
        <v>20240129</v>
      </c>
      <c r="AH31" s="42">
        <v>20240429</v>
      </c>
      <c r="AI31" s="42">
        <v>20240429</v>
      </c>
      <c r="AJ31" s="44">
        <v>3.9279290981008338E-2</v>
      </c>
      <c r="AK31" s="48">
        <v>50.361643835616434</v>
      </c>
    </row>
    <row r="32" spans="1:49" x14ac:dyDescent="0.4">
      <c r="A32" s="21">
        <f t="shared" si="1"/>
        <v>32</v>
      </c>
      <c r="B32" s="83"/>
      <c r="C32" s="84"/>
      <c r="D32" s="72" t="s">
        <v>37</v>
      </c>
      <c r="E32" s="72"/>
      <c r="F32" s="102">
        <v>0.8</v>
      </c>
      <c r="G32" s="103"/>
      <c r="H32" s="113" t="str">
        <f>"ex) Deposit 3M -&gt; 연 지급횟수= 4, 만기= 0.25 ||  ex2) CMT 5Y 연 지급횟수=2, 만기 5"</f>
        <v>ex) Deposit 3M -&gt; 연 지급횟수= 4, 만기= 0.25 ||  ex2) CMT 5Y 연 지급횟수=2, 만기 5</v>
      </c>
      <c r="I32" s="113"/>
      <c r="J32" s="113"/>
      <c r="K32" s="113"/>
      <c r="L32" s="113"/>
      <c r="M32" s="114"/>
      <c r="O32" s="111" t="s">
        <v>53</v>
      </c>
      <c r="P32" s="112"/>
      <c r="Q32" s="73">
        <v>4</v>
      </c>
      <c r="R32" s="74"/>
      <c r="AB32" s="41">
        <v>20240429</v>
      </c>
      <c r="AC32" s="42">
        <v>20240729</v>
      </c>
      <c r="AD32" s="42">
        <v>20240729</v>
      </c>
      <c r="AE32" s="44">
        <v>3.8934623160611845E-2</v>
      </c>
      <c r="AF32" s="48">
        <v>97.069882400429535</v>
      </c>
      <c r="AG32" s="42">
        <v>20240429</v>
      </c>
      <c r="AH32" s="42">
        <v>20240729</v>
      </c>
      <c r="AI32" s="42">
        <v>20240729</v>
      </c>
      <c r="AJ32" s="44">
        <v>3.8934623160611845E-2</v>
      </c>
      <c r="AK32" s="48">
        <v>50.361643835616434</v>
      </c>
    </row>
    <row r="33" spans="1:37" x14ac:dyDescent="0.4">
      <c r="A33" s="21">
        <f t="shared" si="1"/>
        <v>33</v>
      </c>
      <c r="B33" s="83"/>
      <c r="C33" s="84"/>
      <c r="D33" s="72" t="s">
        <v>38</v>
      </c>
      <c r="E33" s="59"/>
      <c r="F33" s="104">
        <v>-0.8</v>
      </c>
      <c r="G33" s="105"/>
      <c r="H33" s="108" t="str">
        <f>IF(F31&gt;0,"PowerSpreadFlag 1일때 입력","입력필요X")</f>
        <v>입력필요X</v>
      </c>
      <c r="I33" s="108"/>
      <c r="J33" s="108" t="str">
        <f>IF(F31&gt;0,"만기1","")</f>
        <v/>
      </c>
      <c r="K33" s="108"/>
      <c r="L33" s="119">
        <v>10</v>
      </c>
      <c r="M33" s="120"/>
      <c r="AB33" s="41">
        <v>20240729</v>
      </c>
      <c r="AC33" s="42">
        <v>20241028</v>
      </c>
      <c r="AD33" s="42">
        <v>20241028</v>
      </c>
      <c r="AE33" s="44">
        <v>3.8941229589929793E-2</v>
      </c>
      <c r="AF33" s="48">
        <v>97.086353224208523</v>
      </c>
      <c r="AG33" s="42">
        <v>20240729</v>
      </c>
      <c r="AH33" s="42">
        <v>20241028</v>
      </c>
      <c r="AI33" s="42">
        <v>20241028</v>
      </c>
      <c r="AJ33" s="44">
        <v>3.8941229589929793E-2</v>
      </c>
      <c r="AK33" s="48">
        <v>50.361643835616434</v>
      </c>
    </row>
    <row r="34" spans="1:37" x14ac:dyDescent="0.4">
      <c r="A34" s="21">
        <f t="shared" si="1"/>
        <v>34</v>
      </c>
      <c r="B34" s="85"/>
      <c r="C34" s="86"/>
      <c r="D34" s="118" t="s">
        <v>39</v>
      </c>
      <c r="E34" s="118"/>
      <c r="F34" s="106">
        <v>1</v>
      </c>
      <c r="G34" s="107"/>
      <c r="H34" s="108"/>
      <c r="I34" s="108"/>
      <c r="J34" s="108" t="str">
        <f>IF(F31&gt;0,"만기2","")</f>
        <v/>
      </c>
      <c r="K34" s="108"/>
      <c r="L34" s="119">
        <v>5</v>
      </c>
      <c r="M34" s="120"/>
      <c r="O34" s="72" t="s">
        <v>91</v>
      </c>
      <c r="P34" s="72"/>
      <c r="Q34" s="72"/>
      <c r="R34" s="72"/>
      <c r="AB34" s="41">
        <v>20241028</v>
      </c>
      <c r="AC34" s="42">
        <v>20250131</v>
      </c>
      <c r="AD34" s="42">
        <v>20250131</v>
      </c>
      <c r="AE34" s="44">
        <v>3.9002581739604629E-2</v>
      </c>
      <c r="AF34" s="48">
        <v>101.51356891129973</v>
      </c>
      <c r="AG34" s="42">
        <v>20241028</v>
      </c>
      <c r="AH34" s="42">
        <v>20250131</v>
      </c>
      <c r="AI34" s="42">
        <v>20250131</v>
      </c>
      <c r="AJ34" s="44">
        <v>3.9002581739604629E-2</v>
      </c>
      <c r="AK34" s="48">
        <v>52.575342465753423</v>
      </c>
    </row>
    <row r="35" spans="1:37" x14ac:dyDescent="0.4">
      <c r="A35" s="21">
        <f t="shared" si="1"/>
        <v>35</v>
      </c>
      <c r="B35" s="20"/>
      <c r="C35" s="20"/>
      <c r="O35" s="72" t="s">
        <v>90</v>
      </c>
      <c r="P35" s="72"/>
      <c r="Q35" s="73">
        <v>0</v>
      </c>
      <c r="R35" s="74"/>
      <c r="AB35" s="41">
        <v>20250131</v>
      </c>
      <c r="AC35" s="42">
        <v>20250428</v>
      </c>
      <c r="AD35" s="42">
        <v>20250428</v>
      </c>
      <c r="AE35" s="44">
        <v>3.8927528232842401E-2</v>
      </c>
      <c r="AF35" s="48">
        <v>92.786163185131201</v>
      </c>
      <c r="AG35" s="42">
        <v>20250131</v>
      </c>
      <c r="AH35" s="42">
        <v>20250428</v>
      </c>
      <c r="AI35" s="42">
        <v>20250428</v>
      </c>
      <c r="AJ35" s="44">
        <v>3.8927528232842401E-2</v>
      </c>
      <c r="AK35" s="48">
        <v>48.147945205479452</v>
      </c>
    </row>
    <row r="36" spans="1:37" x14ac:dyDescent="0.4">
      <c r="A36" s="21">
        <f t="shared" si="1"/>
        <v>36</v>
      </c>
      <c r="B36" s="148" t="s">
        <v>40</v>
      </c>
      <c r="C36" s="148"/>
      <c r="D36" s="72" t="s">
        <v>41</v>
      </c>
      <c r="E36" s="72"/>
      <c r="F36" s="102">
        <v>2.0199999999999999E-2</v>
      </c>
      <c r="G36" s="103"/>
      <c r="H36" s="116" t="s">
        <v>83</v>
      </c>
      <c r="I36" s="117"/>
      <c r="J36" s="115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5"/>
      <c r="L36" s="115"/>
      <c r="M36" s="115"/>
      <c r="AB36" s="41">
        <v>20250428</v>
      </c>
      <c r="AC36" s="42">
        <v>20250728</v>
      </c>
      <c r="AD36" s="42">
        <v>20250728</v>
      </c>
      <c r="AE36" s="44">
        <v>3.8871629627811002E-2</v>
      </c>
      <c r="AF36" s="48">
        <v>96.912830030980857</v>
      </c>
      <c r="AG36" s="42">
        <v>20250428</v>
      </c>
      <c r="AH36" s="42">
        <v>20250728</v>
      </c>
      <c r="AI36" s="42">
        <v>20250728</v>
      </c>
      <c r="AJ36" s="44">
        <v>3.8871629627811002E-2</v>
      </c>
      <c r="AK36" s="48">
        <v>50.361643835616434</v>
      </c>
    </row>
    <row r="37" spans="1:37" x14ac:dyDescent="0.4">
      <c r="A37" s="21">
        <f t="shared" si="1"/>
        <v>37</v>
      </c>
      <c r="B37" s="148"/>
      <c r="C37" s="148"/>
      <c r="D37" s="72" t="s">
        <v>43</v>
      </c>
      <c r="E37" s="72"/>
      <c r="F37" s="102">
        <v>0</v>
      </c>
      <c r="G37" s="103"/>
      <c r="H37" s="116" t="s">
        <v>80</v>
      </c>
      <c r="I37" s="117"/>
      <c r="J37" s="11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5"/>
      <c r="L37" s="115"/>
      <c r="M37" s="115"/>
      <c r="AB37" s="41">
        <v>20250728</v>
      </c>
      <c r="AC37" s="42">
        <v>20251027</v>
      </c>
      <c r="AD37" s="42">
        <v>20251027</v>
      </c>
      <c r="AE37" s="44">
        <v>3.9042574822866709E-2</v>
      </c>
      <c r="AF37" s="48">
        <v>97.339022161119743</v>
      </c>
      <c r="AG37" s="42">
        <v>20250728</v>
      </c>
      <c r="AH37" s="42">
        <v>20251027</v>
      </c>
      <c r="AI37" s="42">
        <v>20251027</v>
      </c>
      <c r="AJ37" s="44">
        <v>3.9042574822866709E-2</v>
      </c>
      <c r="AK37" s="48">
        <v>50.361643835616434</v>
      </c>
    </row>
    <row r="38" spans="1:37" x14ac:dyDescent="0.4">
      <c r="A38" s="21">
        <f t="shared" si="1"/>
        <v>38</v>
      </c>
      <c r="B38" s="148"/>
      <c r="C38" s="148"/>
      <c r="D38" s="72" t="s">
        <v>44</v>
      </c>
      <c r="E38" s="72"/>
      <c r="F38" s="99">
        <v>0</v>
      </c>
      <c r="G38" s="74"/>
      <c r="H38" s="116"/>
      <c r="I38" s="117"/>
      <c r="J38" s="115"/>
      <c r="K38" s="115"/>
      <c r="L38" s="115"/>
      <c r="M38" s="115"/>
      <c r="AB38" s="41">
        <v>20251027</v>
      </c>
      <c r="AC38" s="42">
        <v>20260127</v>
      </c>
      <c r="AD38" s="42">
        <v>20260127</v>
      </c>
      <c r="AE38" s="44">
        <v>3.9289588607619726E-2</v>
      </c>
      <c r="AF38" s="48">
        <v>99.031291832904529</v>
      </c>
      <c r="AG38" s="42">
        <v>20251027</v>
      </c>
      <c r="AH38" s="42">
        <v>20260127</v>
      </c>
      <c r="AI38" s="42">
        <v>20260127</v>
      </c>
      <c r="AJ38" s="44">
        <v>3.9289588607619726E-2</v>
      </c>
      <c r="AK38" s="48">
        <v>50.915068493150685</v>
      </c>
    </row>
    <row r="39" spans="1:37" x14ac:dyDescent="0.4">
      <c r="A39" s="21">
        <f t="shared" si="1"/>
        <v>39</v>
      </c>
      <c r="B39" s="20"/>
      <c r="C39" s="20"/>
      <c r="AB39" s="41">
        <v>20260127</v>
      </c>
      <c r="AC39" s="42">
        <v>20260427</v>
      </c>
      <c r="AD39" s="42">
        <v>20260427</v>
      </c>
      <c r="AE39" s="44">
        <v>3.9300416881840938E-2</v>
      </c>
      <c r="AF39" s="48">
        <v>96.905137516868066</v>
      </c>
      <c r="AG39" s="42">
        <v>20260127</v>
      </c>
      <c r="AH39" s="42">
        <v>20260427</v>
      </c>
      <c r="AI39" s="42">
        <v>20260427</v>
      </c>
      <c r="AJ39" s="44">
        <v>3.9300416881840938E-2</v>
      </c>
      <c r="AK39" s="48">
        <v>49.80821917808219</v>
      </c>
    </row>
    <row r="40" spans="1:37" x14ac:dyDescent="0.4">
      <c r="A40" s="21">
        <f t="shared" si="1"/>
        <v>40</v>
      </c>
      <c r="B40" s="20"/>
      <c r="C40" s="20"/>
      <c r="AB40" s="41">
        <v>20260427</v>
      </c>
      <c r="AC40" s="42">
        <v>20260727</v>
      </c>
      <c r="AD40" s="42">
        <v>20260727</v>
      </c>
      <c r="AE40" s="44">
        <v>3.931741442945394E-2</v>
      </c>
      <c r="AF40" s="48">
        <v>98.024238714529005</v>
      </c>
      <c r="AG40" s="42">
        <v>20260427</v>
      </c>
      <c r="AH40" s="42">
        <v>20260727</v>
      </c>
      <c r="AI40" s="42">
        <v>20260727</v>
      </c>
      <c r="AJ40" s="44">
        <v>3.931741442945394E-2</v>
      </c>
      <c r="AK40" s="48">
        <v>50.361643835616434</v>
      </c>
    </row>
    <row r="41" spans="1:37" x14ac:dyDescent="0.4">
      <c r="A41" s="21">
        <f t="shared" si="1"/>
        <v>41</v>
      </c>
      <c r="B41" s="148" t="s">
        <v>45</v>
      </c>
      <c r="C41" s="148"/>
      <c r="D41" s="72" t="s">
        <v>41</v>
      </c>
      <c r="E41" s="72"/>
      <c r="F41" s="102">
        <v>2.0199999999999999E-2</v>
      </c>
      <c r="G41" s="103"/>
      <c r="H41" s="116" t="s">
        <v>81</v>
      </c>
      <c r="I41" s="117"/>
      <c r="J41" s="11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115"/>
      <c r="L41" s="115"/>
      <c r="M41" s="115"/>
      <c r="AB41" s="41">
        <v>20260727</v>
      </c>
      <c r="AC41" s="42">
        <v>20261027</v>
      </c>
      <c r="AD41" s="42">
        <v>20261027</v>
      </c>
      <c r="AE41" s="44">
        <v>3.9283364980979965E-2</v>
      </c>
      <c r="AF41" s="48">
        <v>99.015604883565956</v>
      </c>
      <c r="AG41" s="42">
        <v>20260727</v>
      </c>
      <c r="AH41" s="42">
        <v>20261027</v>
      </c>
      <c r="AI41" s="42">
        <v>20261027</v>
      </c>
      <c r="AJ41" s="44">
        <v>3.9283364980979965E-2</v>
      </c>
      <c r="AK41" s="48">
        <v>50.915068493150685</v>
      </c>
    </row>
    <row r="42" spans="1:37" x14ac:dyDescent="0.4">
      <c r="A42" s="21">
        <f t="shared" si="1"/>
        <v>42</v>
      </c>
      <c r="B42" s="148"/>
      <c r="C42" s="148"/>
      <c r="D42" s="72" t="s">
        <v>43</v>
      </c>
      <c r="E42" s="72"/>
      <c r="F42" s="102">
        <v>0</v>
      </c>
      <c r="G42" s="103"/>
      <c r="H42" s="116"/>
      <c r="I42" s="117"/>
      <c r="J42" s="115"/>
      <c r="K42" s="115"/>
      <c r="L42" s="115"/>
      <c r="M42" s="115"/>
      <c r="AB42" s="41">
        <v>20261027</v>
      </c>
      <c r="AC42" s="42">
        <v>20270127</v>
      </c>
      <c r="AD42" s="42">
        <v>20270127</v>
      </c>
      <c r="AE42" s="44">
        <v>3.9224680086761388E-2</v>
      </c>
      <c r="AF42" s="48">
        <v>98.867686794028714</v>
      </c>
      <c r="AG42" s="42">
        <v>20261027</v>
      </c>
      <c r="AH42" s="42">
        <v>20270127</v>
      </c>
      <c r="AI42" s="42">
        <v>20270127</v>
      </c>
      <c r="AJ42" s="44">
        <v>3.9224680086761388E-2</v>
      </c>
      <c r="AK42" s="48">
        <v>50.915068493150685</v>
      </c>
    </row>
    <row r="43" spans="1:37" x14ac:dyDescent="0.4">
      <c r="A43" s="21">
        <f t="shared" si="1"/>
        <v>43</v>
      </c>
      <c r="B43" s="148"/>
      <c r="C43" s="148"/>
      <c r="D43" s="72" t="s">
        <v>44</v>
      </c>
      <c r="E43" s="72"/>
      <c r="F43" s="99">
        <v>1</v>
      </c>
      <c r="G43" s="74"/>
      <c r="AB43" s="41">
        <v>20270127</v>
      </c>
      <c r="AC43" s="42">
        <v>20270427</v>
      </c>
      <c r="AD43" s="42">
        <v>20270427</v>
      </c>
      <c r="AE43" s="44">
        <v>3.9221650681240804E-2</v>
      </c>
      <c r="AF43" s="48">
        <v>96.710919487991021</v>
      </c>
      <c r="AG43" s="42">
        <v>20270127</v>
      </c>
      <c r="AH43" s="42">
        <v>20270427</v>
      </c>
      <c r="AI43" s="42">
        <v>20270427</v>
      </c>
      <c r="AJ43" s="44">
        <v>3.9221650681240804E-2</v>
      </c>
      <c r="AK43" s="48">
        <v>49.80821917808219</v>
      </c>
    </row>
    <row r="44" spans="1:37" x14ac:dyDescent="0.4">
      <c r="A44" s="21">
        <f t="shared" si="1"/>
        <v>44</v>
      </c>
      <c r="B44" s="20"/>
      <c r="C44" s="20"/>
      <c r="AB44" s="41">
        <v>20270427</v>
      </c>
      <c r="AC44" s="42">
        <v>20270727</v>
      </c>
      <c r="AD44" s="42">
        <v>20270727</v>
      </c>
      <c r="AE44" s="44">
        <v>3.9224834267949149E-2</v>
      </c>
      <c r="AF44" s="48">
        <v>97.793422421462267</v>
      </c>
      <c r="AG44" s="42">
        <v>20270427</v>
      </c>
      <c r="AH44" s="42">
        <v>20270727</v>
      </c>
      <c r="AI44" s="42">
        <v>20270727</v>
      </c>
      <c r="AJ44" s="44">
        <v>3.9224834267949149E-2</v>
      </c>
      <c r="AK44" s="48">
        <v>50.361643835616434</v>
      </c>
    </row>
    <row r="45" spans="1:37" ht="17.399999999999999" customHeight="1" x14ac:dyDescent="0.4">
      <c r="A45" s="21">
        <f t="shared" si="1"/>
        <v>45</v>
      </c>
      <c r="B45" s="142" t="s">
        <v>59</v>
      </c>
      <c r="C45" s="143"/>
      <c r="D45" s="143"/>
      <c r="E45" s="143"/>
      <c r="F45" s="143"/>
      <c r="G45" s="144"/>
      <c r="AB45" s="41">
        <v>20270727</v>
      </c>
      <c r="AC45" s="42">
        <v>20271027</v>
      </c>
      <c r="AD45" s="42">
        <v>20271027</v>
      </c>
      <c r="AE45" s="44">
        <v>3.9355346802390889E-2</v>
      </c>
      <c r="AF45" s="48">
        <v>99.197038515615404</v>
      </c>
      <c r="AG45" s="42">
        <v>20270727</v>
      </c>
      <c r="AH45" s="42">
        <v>20271027</v>
      </c>
      <c r="AI45" s="42">
        <v>20271027</v>
      </c>
      <c r="AJ45" s="44">
        <v>3.9355346802390889E-2</v>
      </c>
      <c r="AK45" s="48">
        <v>50.915068493150685</v>
      </c>
    </row>
    <row r="46" spans="1:37" ht="17.399999999999999" customHeight="1" x14ac:dyDescent="0.4">
      <c r="A46" s="21">
        <f t="shared" si="1"/>
        <v>46</v>
      </c>
      <c r="B46" s="145"/>
      <c r="C46" s="146"/>
      <c r="D46" s="146"/>
      <c r="E46" s="146"/>
      <c r="F46" s="146"/>
      <c r="G46" s="147"/>
      <c r="AB46" s="41">
        <v>20271027</v>
      </c>
      <c r="AC46" s="42">
        <v>20280131</v>
      </c>
      <c r="AD46" s="42">
        <v>20280131</v>
      </c>
      <c r="AE46" s="44">
        <v>3.953707393546569E-2</v>
      </c>
      <c r="AF46" s="48">
        <v>103.98792048780017</v>
      </c>
      <c r="AG46" s="42">
        <v>20271027</v>
      </c>
      <c r="AH46" s="42">
        <v>20280131</v>
      </c>
      <c r="AI46" s="42">
        <v>20280131</v>
      </c>
      <c r="AJ46" s="44">
        <v>3.953707393546569E-2</v>
      </c>
      <c r="AK46" s="48">
        <v>53.128767123287666</v>
      </c>
    </row>
    <row r="47" spans="1:37" x14ac:dyDescent="0.4">
      <c r="A47" s="21">
        <f t="shared" si="1"/>
        <v>47</v>
      </c>
      <c r="B47" s="37" t="s">
        <v>60</v>
      </c>
      <c r="C47" s="38" t="s">
        <v>61</v>
      </c>
      <c r="D47" s="38" t="s">
        <v>62</v>
      </c>
      <c r="E47" s="38" t="s">
        <v>63</v>
      </c>
      <c r="AB47" s="41">
        <v>20280131</v>
      </c>
      <c r="AC47" s="42">
        <v>20280427</v>
      </c>
      <c r="AD47" s="42">
        <v>20280427</v>
      </c>
      <c r="AE47" s="44">
        <v>3.9548811221598874E-2</v>
      </c>
      <c r="AF47" s="48">
        <v>94.267029487098682</v>
      </c>
      <c r="AG47" s="42">
        <v>20280131</v>
      </c>
      <c r="AH47" s="42">
        <v>20280427</v>
      </c>
      <c r="AI47" s="42">
        <v>20280427</v>
      </c>
      <c r="AJ47" s="44">
        <v>3.9548811221598874E-2</v>
      </c>
      <c r="AK47" s="48">
        <v>48.147945205479452</v>
      </c>
    </row>
    <row r="48" spans="1:37" x14ac:dyDescent="0.4">
      <c r="A48" s="21">
        <f t="shared" si="1"/>
        <v>48</v>
      </c>
      <c r="B48" s="26">
        <v>45835</v>
      </c>
      <c r="C48" s="26">
        <f>EDATE(B48,1)</f>
        <v>45865</v>
      </c>
      <c r="D48" s="31" t="s">
        <v>102</v>
      </c>
      <c r="E48" s="31">
        <f>COUNT(B48:B1048576)</f>
        <v>10</v>
      </c>
      <c r="AB48" s="41">
        <v>20280427</v>
      </c>
      <c r="AC48" s="42">
        <v>20280727</v>
      </c>
      <c r="AD48" s="42">
        <v>20280727</v>
      </c>
      <c r="AE48" s="44">
        <v>3.9582619996747538E-2</v>
      </c>
      <c r="AF48" s="48">
        <v>98.685436156274676</v>
      </c>
      <c r="AG48" s="42">
        <v>20280427</v>
      </c>
      <c r="AH48" s="42">
        <v>20280727</v>
      </c>
      <c r="AI48" s="42">
        <v>20280727</v>
      </c>
      <c r="AJ48" s="44">
        <v>3.9582619996747538E-2</v>
      </c>
      <c r="AK48" s="48">
        <v>50.361643835616434</v>
      </c>
    </row>
    <row r="49" spans="1:37" x14ac:dyDescent="0.4">
      <c r="A49" s="21">
        <f t="shared" si="1"/>
        <v>49</v>
      </c>
      <c r="B49" s="26">
        <f>EDATE(B48,12)</f>
        <v>46200</v>
      </c>
      <c r="C49" s="26">
        <f>EDATE(B49,1)</f>
        <v>46230</v>
      </c>
      <c r="AB49" s="41">
        <v>20280727</v>
      </c>
      <c r="AC49" s="42">
        <v>20281027</v>
      </c>
      <c r="AD49" s="42">
        <v>20281027</v>
      </c>
      <c r="AE49" s="44">
        <v>3.9613152415829134E-2</v>
      </c>
      <c r="AF49" s="48">
        <v>99.846849924829613</v>
      </c>
      <c r="AG49" s="42">
        <v>20280727</v>
      </c>
      <c r="AH49" s="42">
        <v>20281027</v>
      </c>
      <c r="AI49" s="42">
        <v>20281027</v>
      </c>
      <c r="AJ49" s="44">
        <v>3.9613152415829134E-2</v>
      </c>
      <c r="AK49" s="48">
        <v>50.915068493150685</v>
      </c>
    </row>
    <row r="50" spans="1:37" x14ac:dyDescent="0.4">
      <c r="A50" s="21">
        <f t="shared" si="1"/>
        <v>50</v>
      </c>
      <c r="B50" s="26">
        <f t="shared" ref="B50:B57" si="2">EDATE(B49,12)</f>
        <v>46565</v>
      </c>
      <c r="C50" s="26">
        <f t="shared" ref="C50:C57" si="3">EDATE(B50,1)</f>
        <v>46595</v>
      </c>
      <c r="AB50" s="41">
        <v>20281027</v>
      </c>
      <c r="AC50" s="42">
        <v>20290129</v>
      </c>
      <c r="AD50" s="42">
        <v>20290129</v>
      </c>
      <c r="AE50" s="44">
        <v>3.9646272500365849E-2</v>
      </c>
      <c r="AF50" s="48">
        <v>102.10272917902438</v>
      </c>
      <c r="AG50" s="42">
        <v>20281027</v>
      </c>
      <c r="AH50" s="42">
        <v>20290129</v>
      </c>
      <c r="AI50" s="42">
        <v>20290129</v>
      </c>
      <c r="AJ50" s="44">
        <v>3.9646272500365849E-2</v>
      </c>
      <c r="AK50" s="48">
        <v>52.021917808219179</v>
      </c>
    </row>
    <row r="51" spans="1:37" x14ac:dyDescent="0.4">
      <c r="A51" s="21">
        <f t="shared" si="1"/>
        <v>51</v>
      </c>
      <c r="B51" s="26">
        <f t="shared" si="2"/>
        <v>46931</v>
      </c>
      <c r="C51" s="26">
        <f t="shared" si="3"/>
        <v>46961</v>
      </c>
      <c r="AB51" s="41">
        <v>20290129</v>
      </c>
      <c r="AC51" s="42">
        <v>20290427</v>
      </c>
      <c r="AD51" s="42">
        <v>20290427</v>
      </c>
      <c r="AE51" s="44">
        <v>3.9668656232186711E-2</v>
      </c>
      <c r="AF51" s="48">
        <v>95.639499957052891</v>
      </c>
      <c r="AG51" s="42">
        <v>20290129</v>
      </c>
      <c r="AH51" s="42">
        <v>20290427</v>
      </c>
      <c r="AI51" s="42">
        <v>20290427</v>
      </c>
      <c r="AJ51" s="44">
        <v>3.9668656232186711E-2</v>
      </c>
      <c r="AK51" s="48">
        <v>48.701369863013703</v>
      </c>
    </row>
    <row r="52" spans="1:37" x14ac:dyDescent="0.4">
      <c r="A52" s="21">
        <f t="shared" si="1"/>
        <v>52</v>
      </c>
      <c r="B52" s="26">
        <f t="shared" si="2"/>
        <v>47296</v>
      </c>
      <c r="C52" s="26">
        <f t="shared" si="3"/>
        <v>47326</v>
      </c>
      <c r="AB52" s="41">
        <v>20290427</v>
      </c>
      <c r="AC52" s="42">
        <v>20290727</v>
      </c>
      <c r="AD52" s="42">
        <v>20290727</v>
      </c>
      <c r="AE52" s="44">
        <v>3.9695989425944392E-2</v>
      </c>
      <c r="AF52" s="48">
        <v>98.968083226327124</v>
      </c>
      <c r="AG52" s="42">
        <v>20290427</v>
      </c>
      <c r="AH52" s="42">
        <v>20290727</v>
      </c>
      <c r="AI52" s="42">
        <v>20290727</v>
      </c>
      <c r="AJ52" s="44">
        <v>3.9695989425944392E-2</v>
      </c>
      <c r="AK52" s="48">
        <v>50.361643835616434</v>
      </c>
    </row>
    <row r="53" spans="1:37" x14ac:dyDescent="0.4">
      <c r="A53" s="21">
        <f t="shared" si="1"/>
        <v>53</v>
      </c>
      <c r="B53" s="26">
        <f t="shared" si="2"/>
        <v>47661</v>
      </c>
      <c r="C53" s="26">
        <f t="shared" si="3"/>
        <v>47691</v>
      </c>
      <c r="AB53" s="41">
        <v>20290727</v>
      </c>
      <c r="AC53" s="42">
        <v>20291029</v>
      </c>
      <c r="AD53" s="42">
        <v>20291029</v>
      </c>
      <c r="AE53" s="44">
        <v>3.9830640505763813E-2</v>
      </c>
      <c r="AF53" s="48">
        <v>102.577539932652</v>
      </c>
      <c r="AG53" s="42">
        <v>20290727</v>
      </c>
      <c r="AH53" s="42">
        <v>20291029</v>
      </c>
      <c r="AI53" s="42">
        <v>20291029</v>
      </c>
      <c r="AJ53" s="44">
        <v>3.9830640505763813E-2</v>
      </c>
      <c r="AK53" s="48">
        <v>52.021917808219179</v>
      </c>
    </row>
    <row r="54" spans="1:37" x14ac:dyDescent="0.4">
      <c r="A54" s="21">
        <f t="shared" si="1"/>
        <v>54</v>
      </c>
      <c r="B54" s="26">
        <f t="shared" si="2"/>
        <v>48026</v>
      </c>
      <c r="C54" s="26">
        <f t="shared" si="3"/>
        <v>48056</v>
      </c>
      <c r="AB54" s="41">
        <v>20291029</v>
      </c>
      <c r="AC54" s="42">
        <v>20300128</v>
      </c>
      <c r="AD54" s="42">
        <v>20300128</v>
      </c>
      <c r="AE54" s="44">
        <v>3.9974567853560621E-2</v>
      </c>
      <c r="AF54" s="48">
        <v>99.662621223945649</v>
      </c>
      <c r="AG54" s="42">
        <v>20291029</v>
      </c>
      <c r="AH54" s="42">
        <v>20300128</v>
      </c>
      <c r="AI54" s="42">
        <v>20300128</v>
      </c>
      <c r="AJ54" s="44">
        <v>3.9974567853560621E-2</v>
      </c>
      <c r="AK54" s="48">
        <v>50.361643835616434</v>
      </c>
    </row>
    <row r="55" spans="1:37" x14ac:dyDescent="0.4">
      <c r="A55" s="21">
        <f t="shared" si="1"/>
        <v>55</v>
      </c>
      <c r="B55" s="26">
        <f t="shared" si="2"/>
        <v>48392</v>
      </c>
      <c r="C55" s="26">
        <f t="shared" si="3"/>
        <v>48422</v>
      </c>
      <c r="AB55" s="41">
        <v>20300128</v>
      </c>
      <c r="AC55" s="42">
        <v>20300429</v>
      </c>
      <c r="AD55" s="42">
        <v>20300429</v>
      </c>
      <c r="AE55" s="44">
        <v>4.0014971887730851E-2</v>
      </c>
      <c r="AF55" s="48">
        <v>99.763354569411163</v>
      </c>
      <c r="AG55" s="42">
        <v>20300128</v>
      </c>
      <c r="AH55" s="42">
        <v>20300429</v>
      </c>
      <c r="AI55" s="42">
        <v>20300429</v>
      </c>
      <c r="AJ55" s="44">
        <v>4.0014971887730851E-2</v>
      </c>
      <c r="AK55" s="48">
        <v>50.361643835616434</v>
      </c>
    </row>
    <row r="56" spans="1:37" x14ac:dyDescent="0.4">
      <c r="A56" s="21">
        <f t="shared" si="1"/>
        <v>56</v>
      </c>
      <c r="B56" s="26">
        <f t="shared" si="2"/>
        <v>48757</v>
      </c>
      <c r="C56" s="26">
        <f t="shared" si="3"/>
        <v>48787</v>
      </c>
      <c r="AB56" s="41">
        <v>20300429</v>
      </c>
      <c r="AC56" s="42">
        <v>20300729</v>
      </c>
      <c r="AD56" s="42">
        <v>20300729</v>
      </c>
      <c r="AE56" s="44">
        <v>4.0057763399870119E-2</v>
      </c>
      <c r="AF56" s="48">
        <v>99.870040257210434</v>
      </c>
      <c r="AG56" s="42">
        <v>20300429</v>
      </c>
      <c r="AH56" s="42">
        <v>20300729</v>
      </c>
      <c r="AI56" s="42">
        <v>20300729</v>
      </c>
      <c r="AJ56" s="44">
        <v>4.0057763399870119E-2</v>
      </c>
      <c r="AK56" s="48">
        <v>50.361643835616434</v>
      </c>
    </row>
    <row r="57" spans="1:37" x14ac:dyDescent="0.4">
      <c r="A57" s="21">
        <f t="shared" si="1"/>
        <v>57</v>
      </c>
      <c r="B57" s="26">
        <f t="shared" si="2"/>
        <v>49122</v>
      </c>
      <c r="C57" s="26">
        <f t="shared" si="3"/>
        <v>49152</v>
      </c>
      <c r="AB57" s="41">
        <v>20300729</v>
      </c>
      <c r="AC57" s="42">
        <v>20301028</v>
      </c>
      <c r="AD57" s="42">
        <v>20301028</v>
      </c>
      <c r="AE57" s="44">
        <v>4.0218482525560699E-2</v>
      </c>
      <c r="AF57" s="48">
        <v>100.27073725550748</v>
      </c>
      <c r="AG57" s="42">
        <v>20300729</v>
      </c>
      <c r="AH57" s="42">
        <v>20301028</v>
      </c>
      <c r="AI57" s="42">
        <v>20301028</v>
      </c>
      <c r="AJ57" s="44">
        <v>4.0218482525560699E-2</v>
      </c>
      <c r="AK57" s="48">
        <v>50.361643835616434</v>
      </c>
    </row>
    <row r="58" spans="1:37" x14ac:dyDescent="0.4">
      <c r="A58" s="21">
        <f t="shared" si="1"/>
        <v>58</v>
      </c>
      <c r="AB58" s="41">
        <v>20301028</v>
      </c>
      <c r="AC58" s="42">
        <v>20310127</v>
      </c>
      <c r="AD58" s="42">
        <v>20310127</v>
      </c>
      <c r="AE58" s="44">
        <v>4.039268268093809E-2</v>
      </c>
      <c r="AF58" s="48">
        <v>100.70504449220181</v>
      </c>
      <c r="AG58" s="42">
        <v>20301028</v>
      </c>
      <c r="AH58" s="42">
        <v>20310127</v>
      </c>
      <c r="AI58" s="42">
        <v>20310127</v>
      </c>
      <c r="AJ58" s="44">
        <v>4.039268268093809E-2</v>
      </c>
      <c r="AK58" s="48">
        <v>50.361643835616434</v>
      </c>
    </row>
    <row r="59" spans="1:37" x14ac:dyDescent="0.4">
      <c r="A59" s="21">
        <f t="shared" si="1"/>
        <v>59</v>
      </c>
      <c r="AB59" s="41">
        <v>20310127</v>
      </c>
      <c r="AC59" s="42">
        <v>20310428</v>
      </c>
      <c r="AD59" s="42">
        <v>20310428</v>
      </c>
      <c r="AE59" s="44">
        <v>4.0447438609413258E-2</v>
      </c>
      <c r="AF59" s="48">
        <v>100.84155927278374</v>
      </c>
      <c r="AG59" s="42">
        <v>20310127</v>
      </c>
      <c r="AH59" s="42">
        <v>20310428</v>
      </c>
      <c r="AI59" s="42">
        <v>20310428</v>
      </c>
      <c r="AJ59" s="44">
        <v>4.0447438609413258E-2</v>
      </c>
      <c r="AK59" s="48">
        <v>50.361643835616434</v>
      </c>
    </row>
    <row r="60" spans="1:37" x14ac:dyDescent="0.4">
      <c r="A60" s="21">
        <f t="shared" si="1"/>
        <v>60</v>
      </c>
      <c r="AB60" s="41">
        <v>20310428</v>
      </c>
      <c r="AC60" s="42">
        <v>20310728</v>
      </c>
      <c r="AD60" s="42">
        <v>20310728</v>
      </c>
      <c r="AE60" s="44">
        <v>4.0504707711645313E-2</v>
      </c>
      <c r="AF60" s="48">
        <v>100.984339774239</v>
      </c>
      <c r="AG60" s="42">
        <v>20310428</v>
      </c>
      <c r="AH60" s="42">
        <v>20310728</v>
      </c>
      <c r="AI60" s="42">
        <v>20310728</v>
      </c>
      <c r="AJ60" s="44">
        <v>4.0504707711645313E-2</v>
      </c>
      <c r="AK60" s="48">
        <v>50.361643835616434</v>
      </c>
    </row>
    <row r="61" spans="1:37" x14ac:dyDescent="0.4">
      <c r="A61" s="21">
        <f t="shared" si="1"/>
        <v>61</v>
      </c>
      <c r="AB61" s="41">
        <v>20310728</v>
      </c>
      <c r="AC61" s="42">
        <v>20311027</v>
      </c>
      <c r="AD61" s="42">
        <v>20311027</v>
      </c>
      <c r="AE61" s="44">
        <v>4.0575667834477733E-2</v>
      </c>
      <c r="AF61" s="48">
        <v>101.16125405308146</v>
      </c>
      <c r="AG61" s="42">
        <v>20310728</v>
      </c>
      <c r="AH61" s="42">
        <v>20311027</v>
      </c>
      <c r="AI61" s="42">
        <v>20311027</v>
      </c>
      <c r="AJ61" s="44">
        <v>4.0575667834477733E-2</v>
      </c>
      <c r="AK61" s="48">
        <v>50.361643835616434</v>
      </c>
    </row>
    <row r="62" spans="1:37" x14ac:dyDescent="0.4">
      <c r="AB62" s="41">
        <v>20311027</v>
      </c>
      <c r="AC62" s="42">
        <v>20320127</v>
      </c>
      <c r="AD62" s="42">
        <v>20320127</v>
      </c>
      <c r="AE62" s="44">
        <v>4.0647809724145029E-2</v>
      </c>
      <c r="AF62" s="48">
        <v>102.45475327729707</v>
      </c>
      <c r="AG62" s="42">
        <v>20311027</v>
      </c>
      <c r="AH62" s="42">
        <v>20320127</v>
      </c>
      <c r="AI62" s="42">
        <v>20320127</v>
      </c>
      <c r="AJ62" s="44">
        <v>4.0647809724145029E-2</v>
      </c>
      <c r="AK62" s="48">
        <v>50.915068493150685</v>
      </c>
    </row>
    <row r="63" spans="1:37" x14ac:dyDescent="0.4">
      <c r="AB63" s="41">
        <v>20320127</v>
      </c>
      <c r="AC63" s="42">
        <v>20320427</v>
      </c>
      <c r="AD63" s="42">
        <v>20320427</v>
      </c>
      <c r="AE63" s="44">
        <v>4.070454471312137E-2</v>
      </c>
      <c r="AF63" s="48">
        <v>101.48256353134369</v>
      </c>
      <c r="AG63" s="42">
        <v>20320127</v>
      </c>
      <c r="AH63" s="42">
        <v>20320427</v>
      </c>
      <c r="AI63" s="42">
        <v>20320427</v>
      </c>
      <c r="AJ63" s="44">
        <v>4.070454471312137E-2</v>
      </c>
      <c r="AK63" s="48">
        <v>50.361643835616434</v>
      </c>
    </row>
    <row r="64" spans="1:37" x14ac:dyDescent="0.4">
      <c r="AB64" s="41">
        <v>20320427</v>
      </c>
      <c r="AC64" s="42">
        <v>20320727</v>
      </c>
      <c r="AD64" s="42">
        <v>20320727</v>
      </c>
      <c r="AE64" s="44">
        <v>4.0763184243739051E-2</v>
      </c>
      <c r="AF64" s="48">
        <v>101.62876071726723</v>
      </c>
      <c r="AG64" s="42">
        <v>20320427</v>
      </c>
      <c r="AH64" s="42">
        <v>20320727</v>
      </c>
      <c r="AI64" s="42">
        <v>20320727</v>
      </c>
      <c r="AJ64" s="44">
        <v>4.0763184243739051E-2</v>
      </c>
      <c r="AK64" s="48">
        <v>50.361643835616434</v>
      </c>
    </row>
    <row r="65" spans="28:37" x14ac:dyDescent="0.4">
      <c r="AB65" s="41">
        <v>20320727</v>
      </c>
      <c r="AC65" s="42">
        <v>20321027</v>
      </c>
      <c r="AD65" s="42">
        <v>20321027</v>
      </c>
      <c r="AE65" s="44">
        <v>4.0833591991019484E-2</v>
      </c>
      <c r="AF65" s="48">
        <v>102.92302638832309</v>
      </c>
      <c r="AG65" s="42">
        <v>20320727</v>
      </c>
      <c r="AH65" s="42">
        <v>20321027</v>
      </c>
      <c r="AI65" s="42">
        <v>20321027</v>
      </c>
      <c r="AJ65" s="44">
        <v>4.0833591991019484E-2</v>
      </c>
      <c r="AK65" s="48">
        <v>50.915068493150685</v>
      </c>
    </row>
    <row r="66" spans="28:37" x14ac:dyDescent="0.4">
      <c r="AB66" s="41">
        <v>20321027</v>
      </c>
      <c r="AC66" s="42">
        <v>20330127</v>
      </c>
      <c r="AD66" s="42">
        <v>20330127</v>
      </c>
      <c r="AE66" s="44">
        <v>4.0904566593290441E-2</v>
      </c>
      <c r="AF66" s="48">
        <v>103.10192127623894</v>
      </c>
      <c r="AG66" s="42">
        <v>20321027</v>
      </c>
      <c r="AH66" s="42">
        <v>20330127</v>
      </c>
      <c r="AI66" s="42">
        <v>20330127</v>
      </c>
      <c r="AJ66" s="44">
        <v>4.0904566593290441E-2</v>
      </c>
      <c r="AK66" s="48">
        <v>50.915068493150685</v>
      </c>
    </row>
    <row r="67" spans="28:37" x14ac:dyDescent="0.4">
      <c r="AB67" s="41">
        <v>20330127</v>
      </c>
      <c r="AC67" s="42">
        <v>20330427</v>
      </c>
      <c r="AD67" s="42">
        <v>20330427</v>
      </c>
      <c r="AE67" s="44">
        <v>4.0959684784525621E-2</v>
      </c>
      <c r="AF67" s="48">
        <v>100.99648303033713</v>
      </c>
      <c r="AG67" s="42">
        <v>20330127</v>
      </c>
      <c r="AH67" s="42">
        <v>20330427</v>
      </c>
      <c r="AI67" s="42">
        <v>20330427</v>
      </c>
      <c r="AJ67" s="44">
        <v>4.0959684784525621E-2</v>
      </c>
      <c r="AK67" s="48">
        <v>49.80821917808219</v>
      </c>
    </row>
    <row r="68" spans="28:37" x14ac:dyDescent="0.4">
      <c r="AB68" s="41">
        <v>20330427</v>
      </c>
      <c r="AC68" s="42">
        <v>20330727</v>
      </c>
      <c r="AD68" s="42">
        <v>20330727</v>
      </c>
      <c r="AE68" s="44">
        <v>4.1021253046791273E-2</v>
      </c>
      <c r="AF68" s="48">
        <v>102.27216513035633</v>
      </c>
      <c r="AG68" s="42">
        <v>20330427</v>
      </c>
      <c r="AH68" s="42">
        <v>20330727</v>
      </c>
      <c r="AI68" s="42">
        <v>20330727</v>
      </c>
      <c r="AJ68" s="44">
        <v>4.1021253046791273E-2</v>
      </c>
      <c r="AK68" s="48">
        <v>50.361643835616434</v>
      </c>
    </row>
    <row r="69" spans="28:37" x14ac:dyDescent="0.4">
      <c r="AB69" s="41">
        <v>20330727</v>
      </c>
      <c r="AC69" s="42">
        <v>20331027</v>
      </c>
      <c r="AD69" s="42">
        <v>20331027</v>
      </c>
      <c r="AE69" s="44">
        <v>4.1083490700927573E-2</v>
      </c>
      <c r="AF69" s="48">
        <v>103.55290806809141</v>
      </c>
      <c r="AG69" s="42">
        <v>20330727</v>
      </c>
      <c r="AH69" s="42">
        <v>20331027</v>
      </c>
      <c r="AI69" s="42">
        <v>20331027</v>
      </c>
      <c r="AJ69" s="44">
        <v>4.1083490700927573E-2</v>
      </c>
      <c r="AK69" s="48">
        <v>50.915068493150685</v>
      </c>
    </row>
    <row r="70" spans="28:37" x14ac:dyDescent="0.4">
      <c r="AB70" s="41">
        <v>20331027</v>
      </c>
      <c r="AC70" s="42">
        <v>20340127</v>
      </c>
      <c r="AD70" s="42">
        <v>20340127</v>
      </c>
      <c r="AE70" s="44">
        <v>4.1143789269082236E-2</v>
      </c>
      <c r="AF70" s="48">
        <v>103.70489350015249</v>
      </c>
      <c r="AG70" s="42">
        <v>20331027</v>
      </c>
      <c r="AH70" s="42">
        <v>20340127</v>
      </c>
      <c r="AI70" s="42">
        <v>20340127</v>
      </c>
      <c r="AJ70" s="44">
        <v>4.1143789269082236E-2</v>
      </c>
      <c r="AK70" s="48">
        <v>50.915068493150685</v>
      </c>
    </row>
    <row r="71" spans="28:37" x14ac:dyDescent="0.4">
      <c r="AB71" s="41">
        <v>20340127</v>
      </c>
      <c r="AC71" s="42">
        <v>20340427</v>
      </c>
      <c r="AD71" s="42">
        <v>20340427</v>
      </c>
      <c r="AE71" s="44">
        <v>4.1198857452300723E-2</v>
      </c>
      <c r="AF71" s="48">
        <v>101.58622385498808</v>
      </c>
      <c r="AG71" s="42">
        <v>20340127</v>
      </c>
      <c r="AH71" s="42">
        <v>20340427</v>
      </c>
      <c r="AI71" s="42">
        <v>20340427</v>
      </c>
      <c r="AJ71" s="44">
        <v>4.1198857452300723E-2</v>
      </c>
      <c r="AK71" s="48">
        <v>49.80821917808219</v>
      </c>
    </row>
    <row r="72" spans="28:37" x14ac:dyDescent="0.4">
      <c r="AB72" s="41">
        <v>20340427</v>
      </c>
      <c r="AC72" s="42">
        <v>20340727</v>
      </c>
      <c r="AD72" s="42">
        <v>20340727</v>
      </c>
      <c r="AE72" s="44">
        <v>4.1260455997914232E-2</v>
      </c>
      <c r="AF72" s="48">
        <v>102.86853413178616</v>
      </c>
      <c r="AG72" s="42">
        <v>20340427</v>
      </c>
      <c r="AH72" s="42">
        <v>20340727</v>
      </c>
      <c r="AI72" s="42">
        <v>20340727</v>
      </c>
      <c r="AJ72" s="44">
        <v>4.1260455997914232E-2</v>
      </c>
      <c r="AK72" s="48">
        <v>50.361643835616434</v>
      </c>
    </row>
    <row r="73" spans="28:37" x14ac:dyDescent="0.4">
      <c r="AB73" s="41">
        <v>20340727</v>
      </c>
      <c r="AC73" s="42">
        <v>20341027</v>
      </c>
      <c r="AD73" s="42">
        <v>20341027</v>
      </c>
      <c r="AE73" s="44">
        <v>4.0489099857472163E-2</v>
      </c>
      <c r="AF73" s="48">
        <v>102.05471744897095</v>
      </c>
      <c r="AG73" s="42">
        <v>20340727</v>
      </c>
      <c r="AH73" s="42">
        <v>20341027</v>
      </c>
      <c r="AI73" s="42">
        <v>20341027</v>
      </c>
      <c r="AJ73" s="44">
        <v>4.0489099857472163E-2</v>
      </c>
      <c r="AK73" s="48">
        <v>50.915068493150685</v>
      </c>
    </row>
    <row r="74" spans="28:37" x14ac:dyDescent="0.4">
      <c r="AB74" s="41">
        <v>20341027</v>
      </c>
      <c r="AC74" s="42">
        <v>20350129</v>
      </c>
      <c r="AD74" s="42">
        <v>20350129</v>
      </c>
      <c r="AE74" s="44">
        <v>3.9549356223273942E-2</v>
      </c>
      <c r="AF74" s="48">
        <v>101.85313657500686</v>
      </c>
      <c r="AG74" s="42">
        <v>20341027</v>
      </c>
      <c r="AH74" s="42">
        <v>20350129</v>
      </c>
      <c r="AI74" s="42">
        <v>20350129</v>
      </c>
      <c r="AJ74" s="44">
        <v>3.9549356223273942E-2</v>
      </c>
      <c r="AK74" s="48">
        <v>52.021917808219179</v>
      </c>
    </row>
    <row r="75" spans="28:37" x14ac:dyDescent="0.4">
      <c r="AB75" s="41">
        <v>20350129</v>
      </c>
      <c r="AC75" s="42">
        <v>20350427</v>
      </c>
      <c r="AD75" s="42">
        <v>20350427</v>
      </c>
      <c r="AE75" s="44">
        <v>3.9529170074046514E-2</v>
      </c>
      <c r="AF75" s="48">
        <v>95.303204562084758</v>
      </c>
      <c r="AG75" s="42">
        <v>20350129</v>
      </c>
      <c r="AH75" s="42">
        <v>20350427</v>
      </c>
      <c r="AI75" s="42">
        <v>20350427</v>
      </c>
      <c r="AJ75" s="44">
        <v>3.9529170074046514E-2</v>
      </c>
      <c r="AK75" s="48">
        <v>48.701369863013703</v>
      </c>
    </row>
    <row r="76" spans="28:37" x14ac:dyDescent="0.4">
      <c r="AB76" s="41">
        <v>20350427</v>
      </c>
      <c r="AC76" s="42">
        <v>20350727</v>
      </c>
      <c r="AD76" s="42">
        <v>20350727</v>
      </c>
      <c r="AE76" s="44">
        <v>3.951597435971814E-2</v>
      </c>
      <c r="AF76" s="48">
        <v>10098.519278540667</v>
      </c>
      <c r="AG76" s="42">
        <v>20350427</v>
      </c>
      <c r="AH76" s="42">
        <v>20350727</v>
      </c>
      <c r="AI76" s="42">
        <v>20350727</v>
      </c>
      <c r="AJ76" s="44">
        <v>3.951597435971814E-2</v>
      </c>
      <c r="AK76" s="48">
        <v>10050.361643835617</v>
      </c>
    </row>
  </sheetData>
  <mergeCells count="163">
    <mergeCell ref="AB8:AC8"/>
    <mergeCell ref="AD8:AE8"/>
    <mergeCell ref="AM15:AR15"/>
    <mergeCell ref="AS15:AU15"/>
    <mergeCell ref="AV15:AW15"/>
    <mergeCell ref="AY3:AZ3"/>
    <mergeCell ref="AY5:AZ5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J10:K10"/>
    <mergeCell ref="L10:M10"/>
    <mergeCell ref="AB6:AC6"/>
    <mergeCell ref="AD6:AE6"/>
    <mergeCell ref="AB3:AM4"/>
    <mergeCell ref="AB15:AF15"/>
    <mergeCell ref="AG15:AK15"/>
    <mergeCell ref="AB10:AC10"/>
    <mergeCell ref="AD10:AE10"/>
    <mergeCell ref="W3:X3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Y3:Z3"/>
    <mergeCell ref="AB7:AC7"/>
    <mergeCell ref="AD7:AE7"/>
    <mergeCell ref="AB11:AC11"/>
    <mergeCell ref="AD11:AE11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B29:C34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H12:M12"/>
    <mergeCell ref="B21:C23"/>
    <mergeCell ref="D18:E18"/>
    <mergeCell ref="F18:G18"/>
    <mergeCell ref="B16:C18"/>
    <mergeCell ref="D21:E21"/>
    <mergeCell ref="F21:G21"/>
    <mergeCell ref="D14:E14"/>
    <mergeCell ref="J14:K14"/>
    <mergeCell ref="L14:M14"/>
    <mergeCell ref="F36:G36"/>
    <mergeCell ref="D37:E37"/>
    <mergeCell ref="F37:G37"/>
    <mergeCell ref="D38:E38"/>
    <mergeCell ref="F38:G38"/>
    <mergeCell ref="L34:M34"/>
    <mergeCell ref="D23:E23"/>
    <mergeCell ref="F23:G23"/>
    <mergeCell ref="D29:E29"/>
    <mergeCell ref="F29:G29"/>
    <mergeCell ref="H37:I38"/>
    <mergeCell ref="J37:M38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H16:I16"/>
    <mergeCell ref="O14:R14"/>
    <mergeCell ref="O15:P15"/>
    <mergeCell ref="Q15:R15"/>
    <mergeCell ref="F11:G11"/>
    <mergeCell ref="F12:G12"/>
    <mergeCell ref="F13:G13"/>
    <mergeCell ref="F14:G14"/>
    <mergeCell ref="J13:K13"/>
    <mergeCell ref="L13:M13"/>
    <mergeCell ref="O11:P11"/>
    <mergeCell ref="Q11:R11"/>
    <mergeCell ref="O12:P12"/>
    <mergeCell ref="Q12:R12"/>
    <mergeCell ref="H13:I14"/>
    <mergeCell ref="O34:R34"/>
    <mergeCell ref="O35:P35"/>
    <mergeCell ref="Q35:R35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F9:G9"/>
    <mergeCell ref="F10:G10"/>
    <mergeCell ref="D13:E13"/>
  </mergeCells>
  <phoneticPr fontId="2" type="noConversion"/>
  <dataValidations count="3">
    <dataValidation type="list" allowBlank="1" showInputMessage="1" showErrorMessage="1" sqref="H3:I3" xr:uid="{9AEDA7CF-5773-482E-BA3C-291C2745876D}">
      <formula1>$BA$4:$BC$4</formula1>
    </dataValidation>
    <dataValidation type="list" allowBlank="1" showInputMessage="1" showErrorMessage="1" sqref="D48" xr:uid="{9FDCD900-8DFE-4B54-9E12-094D81F99461}">
      <formula1>$BA$8:$BB$8</formula1>
    </dataValidation>
    <dataValidation type="list" allowBlank="1" showInputMessage="1" showErrorMessage="1" sqref="F9:G9 F29:G29" xr:uid="{A390DC8F-A7C6-471A-90F2-F57E0F83BAB9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2026-08-10T12:46:17Z</dcterms:modified>
</cp:coreProperties>
</file>