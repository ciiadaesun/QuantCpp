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4355B0EC-9C43-41BC-8E0C-BB215BFD3FA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9" i="2"/>
  <c r="J31" i="2"/>
  <c r="J30" i="2"/>
  <c r="J11" i="2"/>
  <c r="J10" i="2"/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D5F136FF-F6C6-4EE5-955D-0584FFD9D4CD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A9DB2471-0B4C-420E-A773-996ED5F4B94E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<sst xmlns="http://schemas.openxmlformats.org/spreadsheetml/2006/main" count="162" uniqueCount="119">
  <si>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</si>
  <si>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</si>
  <si>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</si>
  <si>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</si>
  <si>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</si>
  <si>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</si>
  <si>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</si>
  <si>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</si>
  <si>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</si>
  <si>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</si>
  <si>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</si>
  <si>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</si>
  <si>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</si>
  <si>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</si>
  <si>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</si>
  <si>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</si>
  <si>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</si>
  <si>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</si>
  <si>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</si>
  <si>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</si>
  <si>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</si>
  <si>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</si>
  <si>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</si>
  <si>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</si>
  <si>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</si>
  <si>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</si>
  <si>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</si>
  <si>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</si>
  <si>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</si>
  <si>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</si>
  <si>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</si>
  <si>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</si>
  <si>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</si>
  <si>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</si>
  <si>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</si>
  <si>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</si>
  <si>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</si>
  <si>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</si>
  <si>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</si>
  <si>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</si>
  <si>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</si>
  <si>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</si>
  <si>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</si>
  <si>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</si>
  <si>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</si>
  <si>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</si>
  <si>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</si>
  <si>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</si>
  <si>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</si>
  <si>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</si>
  <si>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</si>
  <si>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</si>
  <si>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</si>
  <si>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</si>
  <si>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</si>
  <si>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</si>
  <si>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</si>
  <si>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</si>
  <si>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</si>
  <si>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</si>
  <si>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</si>
  <si>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</si>
  <si>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</si>
  <si>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</si>
  <si>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</si>
  <si>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</si>
  <si>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</si>
  <si>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</si>
  <si>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</si>
  <si>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</si>
  <si>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</si>
  <si>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</si>
  <si>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</si>
  <si>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</si>
  <si>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</si>
  <si>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</si>
  <si>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</si>
  <si>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</si>
  <si>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</si>
  <si>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</si>
  <si>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</si>
  <si>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</si>
  <si>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</si>
  <si>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</si>
  <si>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</si>
  <si>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</si>
  <si>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</si>
  <si>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</si>
  <si>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</si>
  <si>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</si>
  <si>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</si>
  <si>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</si>
  <si>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</si>
  <si>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</si>
  <si>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</si>
  <si>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-1: 단순 Callable 채권 평가</t>
  </si>
  <si>
    <t>1: Nominal 교환 함</t>
    <phoneticPr fontId="2" type="noConversion"/>
  </si>
  <si>
    <t>DayCount</t>
    <phoneticPr fontId="2" type="noConversion"/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</si>
  <si>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</si>
  <si>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</si>
  <si>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</si>
  <si>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</si>
  <si>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</si>
  <si>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</si>
  <si>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</si>
  <si>
    <t>GreekFlag</t>
    <phoneticPr fontId="2" type="noConversion"/>
  </si>
  <si>
    <t>ZeroTerm</t>
    <phoneticPr fontId="2" type="noConversion"/>
  </si>
  <si>
    <t>DiscTerm</t>
    <phoneticPr fontId="2" type="noConversion"/>
  </si>
  <si>
    <t>IR Greeks</t>
    <phoneticPr fontId="2" type="noConversion"/>
  </si>
  <si>
    <t>Zero Gamma</t>
    <phoneticPr fontId="2" type="noConversion"/>
  </si>
  <si>
    <t>Disc Gamma</t>
    <phoneticPr fontId="2" type="noConversion"/>
  </si>
  <si>
    <t>HW Tenor1</t>
    <phoneticPr fontId="2" type="noConversion"/>
  </si>
  <si>
    <t>HW Tenor2</t>
    <phoneticPr fontId="2" type="noConversion"/>
  </si>
  <si>
    <t>Vega</t>
    <phoneticPr fontId="2" type="noConversion"/>
  </si>
  <si>
    <t>Vega sensi</t>
    <phoneticPr fontId="2" type="noConversion"/>
  </si>
  <si>
    <t>FRTB Curvature Sensi</t>
    <phoneticPr fontId="2" type="noConversion"/>
  </si>
  <si>
    <t xml:space="preserve">Vu </t>
    <phoneticPr fontId="2" type="noConversion"/>
  </si>
  <si>
    <t>Vd</t>
    <phoneticPr fontId="2" type="noConversion"/>
  </si>
  <si>
    <t>Delta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</si>
</sst>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88" fontId="0" fillId="9" borderId="0" xfId="0" applyNumberFormat="1" applyFill="1">
      <alignment vertical="center"/>
    </xf>
    <xf numFmtId="187" fontId="0" fillId="9" borderId="0" xfId="2" applyNumberFormat="1" applyFont="1" applyFill="1">
      <alignment vertical="center"/>
    </xf>
    <xf numFmtId="187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14" fillId="4" borderId="15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F1" workbookViewId="0">
      <selection activeCell="R12" sqref="R1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70" t="s">
        <v>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</row>
    <row r="3" spans="1:4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</row>
    <row r="4" spans="1:41" x14ac:dyDescent="0.4">
      <c r="A4" s="1">
        <f>4</f>
        <v>4</v>
      </c>
      <c r="B4" s="63" t="s">
        <v>1</v>
      </c>
      <c r="C4" s="63"/>
      <c r="D4" s="65">
        <v>1</v>
      </c>
      <c r="E4" s="65"/>
      <c r="G4" s="50" t="s">
        <v>87</v>
      </c>
      <c r="H4" s="51">
        <v>0</v>
      </c>
    </row>
    <row r="5" spans="1:41" x14ac:dyDescent="0.4">
      <c r="A5" s="1">
        <f>A4+1</f>
        <v>5</v>
      </c>
      <c r="B5" s="63" t="s">
        <v>29</v>
      </c>
      <c r="C5" s="63"/>
      <c r="D5" s="64">
        <v>44815</v>
      </c>
      <c r="E5" s="65"/>
      <c r="G5" s="71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72"/>
      <c r="H6" s="73" t="s">
        <v>4</v>
      </c>
      <c r="I6" s="67"/>
      <c r="L6" s="58" t="s">
        <v>73</v>
      </c>
      <c r="M6" s="58"/>
      <c r="N6" s="58"/>
      <c r="O6" s="66" t="s">
        <v>74</v>
      </c>
      <c r="P6" s="67"/>
      <c r="R6" s="58" t="s">
        <v>5</v>
      </c>
      <c r="S6" s="58"/>
      <c r="T6" s="58"/>
    </row>
    <row r="7" spans="1:41" x14ac:dyDescent="0.4">
      <c r="A7" s="1">
        <f t="shared" si="1"/>
        <v>7</v>
      </c>
      <c r="B7" s="63" t="s">
        <v>6</v>
      </c>
      <c r="C7" s="63"/>
      <c r="D7" s="65">
        <v>0</v>
      </c>
      <c r="E7" s="65"/>
      <c r="G7" s="72"/>
      <c r="H7" s="68"/>
      <c r="I7" s="69"/>
      <c r="L7" s="58"/>
      <c r="M7" s="58"/>
      <c r="N7" s="58"/>
      <c r="O7" s="68"/>
      <c r="P7" s="69"/>
      <c r="R7" s="58"/>
      <c r="S7" s="58"/>
      <c r="T7" s="58"/>
    </row>
    <row r="8" spans="1:41" x14ac:dyDescent="0.4">
      <c r="A8" s="1">
        <f t="shared" si="1"/>
        <v>8</v>
      </c>
      <c r="B8" s="63" t="s">
        <v>7</v>
      </c>
      <c r="C8" s="63"/>
      <c r="D8" s="65">
        <v>0.01</v>
      </c>
      <c r="E8" s="65"/>
      <c r="G8" s="72"/>
      <c r="I8" s="3" t="s">
        <v>8</v>
      </c>
      <c r="J8" s="3" t="s">
        <v>9</v>
      </c>
      <c r="K8" s="3" t="s">
        <v>10</v>
      </c>
      <c r="R8" s="58" t="s">
        <v>11</v>
      </c>
      <c r="S8" s="58"/>
      <c r="T8" s="4">
        <v>3</v>
      </c>
    </row>
    <row r="9" spans="1:41" x14ac:dyDescent="0.4">
      <c r="A9" s="1">
        <f t="shared" si="1"/>
        <v>9</v>
      </c>
      <c r="G9" s="72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72"/>
      <c r="H10" s="8" t="s">
        <v>13</v>
      </c>
      <c r="I10" s="59" t="s">
        <v>14</v>
      </c>
      <c r="J10" s="60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61" t="s">
        <v>17</v>
      </c>
      <c r="S10" s="61" t="s">
        <v>18</v>
      </c>
      <c r="T10" s="61" t="s">
        <v>19</v>
      </c>
      <c r="U10" s="61" t="s">
        <v>20</v>
      </c>
      <c r="V10" s="61" t="s">
        <v>21</v>
      </c>
      <c r="W10" s="61" t="s">
        <v>22</v>
      </c>
    </row>
    <row r="11" spans="1:41" x14ac:dyDescent="0.4">
      <c r="A11" s="1">
        <f t="shared" si="1"/>
        <v>11</v>
      </c>
      <c r="G11" s="72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62"/>
      <c r="S11" s="62"/>
      <c r="T11" s="62"/>
      <c r="U11" s="62"/>
      <c r="V11" s="62"/>
      <c r="W11" s="62"/>
    </row>
    <row r="12" spans="1:41" x14ac:dyDescent="0.4">
      <c r="A12" s="1">
        <f t="shared" si="1"/>
        <v>12</v>
      </c>
      <c r="G12" s="72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74" t="s">
        <v>23</v>
      </c>
      <c r="E13" s="74"/>
      <c r="G13" s="72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74"/>
      <c r="E14" s="74"/>
      <c r="G14" s="72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74"/>
      <c r="E15" s="74"/>
      <c r="G15" s="72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72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75">
        <v>45202.835729166669</v>
      </c>
      <c r="E17" s="75"/>
      <c r="G17" s="72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75">
        <v>45202.835729166669</v>
      </c>
      <c r="E18" s="75"/>
      <c r="G18" s="72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72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72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72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72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3" t="s">
        <v>24</v>
      </c>
      <c r="C23" s="63"/>
      <c r="D23" s="65">
        <v>1</v>
      </c>
      <c r="E23" s="65"/>
      <c r="G23" s="72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3" t="s">
        <v>25</v>
      </c>
      <c r="C24" s="63"/>
      <c r="D24" s="65">
        <v>0</v>
      </c>
      <c r="E24" s="65"/>
      <c r="G24" s="72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3" t="s">
        <v>26</v>
      </c>
      <c r="C25" s="63"/>
      <c r="D25" s="65">
        <v>-0.1</v>
      </c>
      <c r="E25" s="65"/>
      <c r="G25" s="72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3" t="s">
        <v>27</v>
      </c>
      <c r="C26" s="63"/>
      <c r="D26" s="65">
        <v>0.15</v>
      </c>
      <c r="E26" s="65"/>
      <c r="G26" s="72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72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72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72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72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72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72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72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72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72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72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72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72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72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72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56"/>
  <sheetViews>
    <sheetView tabSelected="1" topLeftCell="AM1" zoomScaleNormal="100" workbookViewId="0">
      <selection activeCell="AV11" sqref="AV1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8" width="12.5" style="20"/>
    <col min="39" max="39" width="13.796875" style="54" bestFit="1" customWidth="1"/>
    <col min="40" max="40" width="19.09765625" style="55" bestFit="1" customWidth="1"/>
    <col min="41" max="42" width="12.59765625" style="54" bestFit="1" customWidth="1"/>
    <col min="43" max="43" width="19.09765625" style="55" bestFit="1" customWidth="1"/>
    <col min="44" max="44" width="15.3984375" style="54" bestFit="1" customWidth="1"/>
    <col min="45" max="45" width="12.5" style="54"/>
    <col min="46" max="46" width="12.59765625" style="54" bestFit="1" customWidth="1"/>
    <col min="47" max="47" width="15.3984375" style="55" bestFit="1" customWidth="1"/>
    <col min="48" max="48" width="17" style="20" bestFit="1" customWidth="1"/>
    <col min="49" max="49" width="18.09765625" style="20" bestFit="1" customWidth="1"/>
    <col min="50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M2" s="20"/>
      <c r="AN2" s="20"/>
      <c r="AO2" s="20"/>
      <c r="AP2" s="20"/>
      <c r="AQ2" s="20"/>
      <c r="AR2" s="20"/>
      <c r="AS2" s="20"/>
      <c r="AT2" s="20"/>
      <c r="AU2" s="20"/>
    </row>
    <row r="3" spans="1:57" x14ac:dyDescent="0.4">
      <c r="A3" s="21">
        <f t="shared" ref="A3:A61" si="1">A2+1</f>
        <v>3</v>
      </c>
      <c r="B3" s="79" t="s">
        <v>30</v>
      </c>
      <c r="C3" s="79"/>
      <c r="D3" s="80">
        <v>44815</v>
      </c>
      <c r="E3" s="81"/>
      <c r="F3" s="82" t="s">
        <v>88</v>
      </c>
      <c r="G3" s="82"/>
      <c r="H3" s="81" t="s">
        <v>95</v>
      </c>
      <c r="I3" s="81"/>
      <c r="J3" s="82" t="s">
        <v>31</v>
      </c>
      <c r="K3" s="82"/>
      <c r="L3" s="83">
        <v>10000</v>
      </c>
      <c r="M3" s="83"/>
      <c r="O3" s="126" t="s">
        <v>49</v>
      </c>
      <c r="P3" s="127"/>
      <c r="Q3" s="127"/>
      <c r="R3" s="128"/>
      <c r="T3" s="115" t="s">
        <v>54</v>
      </c>
      <c r="U3" s="116"/>
      <c r="W3" s="155" t="s">
        <v>75</v>
      </c>
      <c r="X3" s="156"/>
      <c r="Y3" s="155" t="s">
        <v>76</v>
      </c>
      <c r="Z3" s="156"/>
      <c r="AB3" s="92" t="s">
        <v>64</v>
      </c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4"/>
      <c r="AN3" s="20"/>
      <c r="AO3" s="20"/>
      <c r="AP3" s="20"/>
      <c r="AQ3" s="20"/>
      <c r="AR3" s="20"/>
      <c r="AS3" s="20"/>
      <c r="AT3" s="20"/>
      <c r="AU3" s="20"/>
      <c r="AY3" s="82" t="s">
        <v>88</v>
      </c>
      <c r="AZ3" s="82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9" t="s">
        <v>48</v>
      </c>
      <c r="P4" s="130"/>
      <c r="Q4" s="131">
        <v>44039</v>
      </c>
      <c r="R4" s="132"/>
      <c r="T4" s="29" t="s">
        <v>55</v>
      </c>
      <c r="U4" s="30" t="s">
        <v>56</v>
      </c>
      <c r="W4" s="37" t="s">
        <v>58</v>
      </c>
      <c r="X4" s="38" t="s">
        <v>16</v>
      </c>
      <c r="Y4" s="37" t="s">
        <v>58</v>
      </c>
      <c r="Z4" s="38" t="s">
        <v>16</v>
      </c>
      <c r="AB4" s="95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7"/>
      <c r="AN4" s="20"/>
      <c r="AO4" s="20"/>
      <c r="AP4" s="20"/>
      <c r="AQ4" s="20"/>
      <c r="AR4" s="20"/>
      <c r="AS4" s="20"/>
      <c r="AT4" s="20"/>
      <c r="AU4" s="20"/>
      <c r="BA4" s="31" t="s">
        <v>94</v>
      </c>
      <c r="BB4" s="31" t="s">
        <v>96</v>
      </c>
      <c r="BC4" s="31" t="s">
        <v>95</v>
      </c>
    </row>
    <row r="5" spans="1:57" x14ac:dyDescent="0.4">
      <c r="A5" s="21">
        <f t="shared" si="1"/>
        <v>5</v>
      </c>
      <c r="B5" s="92" t="s">
        <v>47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4"/>
      <c r="O5" s="137" t="s">
        <v>50</v>
      </c>
      <c r="P5" s="138"/>
      <c r="Q5" s="139">
        <v>56822</v>
      </c>
      <c r="R5" s="140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M5" s="20"/>
      <c r="AN5" s="20"/>
      <c r="AO5" s="20"/>
      <c r="AP5" s="20"/>
      <c r="AQ5" s="20"/>
      <c r="AR5" s="20"/>
      <c r="AS5" s="20"/>
      <c r="AT5" s="20"/>
      <c r="AU5" s="20"/>
      <c r="AY5" s="63" t="s">
        <v>34</v>
      </c>
      <c r="AZ5" s="63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5"/>
      <c r="C6" s="96"/>
      <c r="D6" s="96"/>
      <c r="E6" s="96"/>
      <c r="F6" s="96"/>
      <c r="G6" s="96"/>
      <c r="H6" s="96"/>
      <c r="I6" s="96"/>
      <c r="J6" s="96"/>
      <c r="K6" s="96"/>
      <c r="L6" s="96"/>
      <c r="M6" s="97"/>
      <c r="O6" s="135" t="s">
        <v>42</v>
      </c>
      <c r="P6" s="136"/>
      <c r="Q6" s="77">
        <v>0</v>
      </c>
      <c r="R6" s="78"/>
      <c r="W6" s="27">
        <v>44769</v>
      </c>
      <c r="X6" s="34">
        <v>3.6999999999999998E-2</v>
      </c>
      <c r="Y6" s="27">
        <v>44769</v>
      </c>
      <c r="Z6" s="36">
        <v>0.03</v>
      </c>
      <c r="AB6" s="82" t="s">
        <v>65</v>
      </c>
      <c r="AC6" s="82"/>
      <c r="AD6" s="81">
        <v>0</v>
      </c>
      <c r="AE6" s="81"/>
      <c r="AF6" s="20"/>
      <c r="AG6" s="20"/>
      <c r="AH6" s="20"/>
      <c r="AI6" s="20"/>
      <c r="AJ6" s="20"/>
      <c r="AK6" s="20"/>
      <c r="AM6" s="20"/>
      <c r="AN6" s="20"/>
      <c r="AO6" s="20"/>
      <c r="AP6" s="20"/>
      <c r="AQ6" s="20"/>
      <c r="AR6" s="20"/>
      <c r="AS6" s="20"/>
      <c r="AT6" s="20"/>
      <c r="AU6" s="20"/>
      <c r="BA6" s="31" t="s">
        <v>98</v>
      </c>
      <c r="BB6" s="31" t="s">
        <v>99</v>
      </c>
      <c r="BC6" s="31" t="s">
        <v>100</v>
      </c>
      <c r="BD6" s="31" t="s">
        <v>101</v>
      </c>
      <c r="BE6" s="31" t="s">
        <v>104</v>
      </c>
    </row>
    <row r="7" spans="1:57" x14ac:dyDescent="0.4">
      <c r="A7" s="21">
        <f t="shared" si="1"/>
        <v>7</v>
      </c>
      <c r="B7" s="82" t="s">
        <v>32</v>
      </c>
      <c r="C7" s="82"/>
      <c r="D7" s="84">
        <v>1</v>
      </c>
      <c r="E7" s="81"/>
      <c r="F7" s="82" t="s">
        <v>33</v>
      </c>
      <c r="G7" s="82"/>
      <c r="H7" s="84">
        <v>1</v>
      </c>
      <c r="I7" s="81"/>
      <c r="J7" s="82" t="s">
        <v>84</v>
      </c>
      <c r="K7" s="82"/>
      <c r="L7" s="103">
        <v>0</v>
      </c>
      <c r="M7" s="78"/>
      <c r="O7" s="115" t="str">
        <f>IF(Q6&gt;0,"Phase2날짜","")</f>
        <v/>
      </c>
      <c r="P7" s="116"/>
      <c r="Q7" s="133">
        <v>45865</v>
      </c>
      <c r="R7" s="134"/>
      <c r="W7" s="27">
        <v>44815</v>
      </c>
      <c r="X7" s="34">
        <v>3.6999999999999998E-2</v>
      </c>
      <c r="Y7" s="27">
        <v>44815</v>
      </c>
      <c r="Z7" s="34">
        <v>0.03</v>
      </c>
      <c r="AB7" s="82" t="s">
        <v>78</v>
      </c>
      <c r="AC7" s="82"/>
      <c r="AD7" s="81">
        <v>0</v>
      </c>
      <c r="AE7" s="81"/>
      <c r="AF7" s="20"/>
      <c r="AG7" s="20"/>
      <c r="AH7" s="20"/>
      <c r="AI7" s="20"/>
      <c r="AJ7" s="20"/>
      <c r="AK7" s="20"/>
      <c r="AM7" s="20"/>
      <c r="AN7" s="20"/>
      <c r="AO7" s="20"/>
      <c r="AP7" s="20"/>
      <c r="AQ7" s="20"/>
      <c r="AR7" s="20"/>
      <c r="AS7" s="20"/>
      <c r="AT7" s="20"/>
      <c r="AU7" s="20"/>
      <c r="AZ7" s="38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82" t="s">
        <v>105</v>
      </c>
      <c r="AC8" s="82"/>
      <c r="AD8" s="81">
        <v>3</v>
      </c>
      <c r="AE8" s="81"/>
      <c r="AF8" s="20"/>
      <c r="AG8" s="20"/>
      <c r="AH8" s="20"/>
      <c r="AI8" s="20"/>
      <c r="AJ8" s="20"/>
      <c r="AK8" s="20"/>
      <c r="AM8" s="20"/>
      <c r="AN8" s="20"/>
      <c r="AO8" s="20"/>
      <c r="AP8" s="20"/>
      <c r="AQ8" s="20"/>
      <c r="AR8" s="20"/>
      <c r="AS8" s="20"/>
      <c r="AT8" s="20"/>
      <c r="AU8" s="20"/>
      <c r="BA8" s="31" t="s">
        <v>102</v>
      </c>
      <c r="BB8" s="31" t="s">
        <v>103</v>
      </c>
    </row>
    <row r="9" spans="1:57" x14ac:dyDescent="0.4">
      <c r="A9" s="21">
        <f t="shared" si="1"/>
        <v>9</v>
      </c>
      <c r="B9" s="85" t="str">
        <f>"기초금리정보"</f>
        <v>기초금리정보</v>
      </c>
      <c r="C9" s="86"/>
      <c r="D9" s="63" t="s">
        <v>97</v>
      </c>
      <c r="E9" s="63"/>
      <c r="F9" s="103" t="s">
        <v>98</v>
      </c>
      <c r="G9" s="78"/>
      <c r="H9" s="23"/>
      <c r="I9" s="22"/>
      <c r="J9" s="98" t="str">
        <f>IF(F10=0,"금리결정조건이 = "&amp;F10&amp;" 이므로 Ref Swap 금리정보 사용안함", "사용")</f>
        <v>금리결정조건이 = 0 이므로 Ref Swap 금리정보 사용안함</v>
      </c>
      <c r="K9" s="99"/>
      <c r="L9" s="99"/>
      <c r="M9" s="100"/>
      <c r="O9" s="76" t="s">
        <v>51</v>
      </c>
      <c r="P9" s="76"/>
      <c r="Q9" s="76"/>
      <c r="R9" s="76"/>
      <c r="AB9" s="20"/>
      <c r="AC9" s="20"/>
      <c r="AD9" s="20"/>
      <c r="AE9" s="20"/>
      <c r="AF9" s="20"/>
      <c r="AG9" s="20"/>
      <c r="AH9" s="20"/>
      <c r="AI9" s="20"/>
      <c r="AJ9" s="20"/>
      <c r="AK9" s="20"/>
      <c r="AM9" s="20"/>
      <c r="AN9" s="20"/>
      <c r="AO9" s="20"/>
      <c r="AP9" s="20"/>
      <c r="AQ9" s="20"/>
      <c r="AR9" s="20"/>
      <c r="AS9" s="20"/>
      <c r="AT9" s="20"/>
      <c r="AU9" s="20"/>
    </row>
    <row r="10" spans="1:57" ht="17.399999999999999" customHeight="1" x14ac:dyDescent="0.4">
      <c r="A10" s="21">
        <f t="shared" si="1"/>
        <v>10</v>
      </c>
      <c r="B10" s="87"/>
      <c r="C10" s="88"/>
      <c r="D10" s="63" t="s">
        <v>35</v>
      </c>
      <c r="E10" s="91"/>
      <c r="F10" s="104">
        <v>0</v>
      </c>
      <c r="G10" s="105"/>
      <c r="H10" s="98" t="str">
        <f xml:space="preserve"> "Swap 레퍼런스금리정보"</f>
        <v>Swap 레퍼런스금리정보</v>
      </c>
      <c r="I10" s="99"/>
      <c r="J10" s="102" t="str">
        <f>IF(F10=0,"", "연 지급횟수")</f>
        <v/>
      </c>
      <c r="K10" s="148"/>
      <c r="L10" s="81">
        <v>4</v>
      </c>
      <c r="M10" s="151"/>
      <c r="O10" s="76" t="s">
        <v>86</v>
      </c>
      <c r="P10" s="76"/>
      <c r="Q10" s="77">
        <v>4</v>
      </c>
      <c r="R10" s="78"/>
      <c r="AB10" s="137" t="s">
        <v>77</v>
      </c>
      <c r="AC10" s="79"/>
      <c r="AD10" s="154">
        <v>9233.9710126841146</v>
      </c>
      <c r="AE10" s="154"/>
      <c r="AF10" s="20"/>
      <c r="AG10" s="20"/>
      <c r="AH10" s="20"/>
      <c r="AI10" s="20"/>
      <c r="AJ10" s="20"/>
      <c r="AK10" s="20"/>
      <c r="AM10" s="20"/>
      <c r="AN10" s="20"/>
      <c r="AO10" s="20"/>
      <c r="AP10" s="20"/>
      <c r="AQ10" s="20"/>
      <c r="AR10" s="20"/>
      <c r="AS10" s="20"/>
      <c r="AT10" s="20"/>
      <c r="AU10" s="20"/>
    </row>
    <row r="11" spans="1:57" x14ac:dyDescent="0.4">
      <c r="A11" s="21">
        <f t="shared" si="1"/>
        <v>11</v>
      </c>
      <c r="B11" s="87"/>
      <c r="C11" s="88"/>
      <c r="D11" s="76" t="s">
        <v>36</v>
      </c>
      <c r="E11" s="76"/>
      <c r="F11" s="103">
        <v>0</v>
      </c>
      <c r="G11" s="78"/>
      <c r="H11" s="101"/>
      <c r="I11" s="102"/>
      <c r="J11" s="102" t="str">
        <f>IF(F10=0,"",IF(F11=0, "만기", "입력X, 아래만기2개입력"))</f>
        <v/>
      </c>
      <c r="K11" s="148"/>
      <c r="L11" s="149">
        <v>0.25</v>
      </c>
      <c r="M11" s="150"/>
      <c r="O11" s="76" t="s">
        <v>52</v>
      </c>
      <c r="P11" s="76"/>
      <c r="Q11" s="77">
        <v>0</v>
      </c>
      <c r="R11" s="78"/>
      <c r="AB11" s="137" t="s">
        <v>92</v>
      </c>
      <c r="AC11" s="79"/>
      <c r="AD11" s="141">
        <v>10046.931627995991</v>
      </c>
      <c r="AE11" s="141"/>
      <c r="AF11" s="20"/>
      <c r="AG11" s="20"/>
      <c r="AH11" s="20"/>
      <c r="AI11" s="20"/>
      <c r="AJ11" s="20"/>
      <c r="AK11" s="20"/>
      <c r="AM11" s="20"/>
      <c r="AN11" s="20"/>
      <c r="AO11" s="20"/>
      <c r="AP11" s="20"/>
      <c r="AQ11" s="20"/>
      <c r="AR11" s="20"/>
      <c r="AS11" s="20"/>
      <c r="AT11" s="20"/>
      <c r="AU11" s="20"/>
    </row>
    <row r="12" spans="1:57" x14ac:dyDescent="0.4">
      <c r="A12" s="21">
        <f t="shared" si="1"/>
        <v>12</v>
      </c>
      <c r="B12" s="87"/>
      <c r="C12" s="88"/>
      <c r="D12" s="76" t="s">
        <v>37</v>
      </c>
      <c r="E12" s="76"/>
      <c r="F12" s="106">
        <v>0.8</v>
      </c>
      <c r="G12" s="107"/>
      <c r="H12" s="122" t="str">
        <f>"ex) Deposit 3M -&gt; 연 지급횟수= 4, 만기= 0.25 ||  ex2) CMT 5Y 연 지급횟수=2, 만기 5"</f>
        <v>ex) Deposit 3M -&gt; 연 지급횟수= 4, 만기= 0.25 ||  ex2) CMT 5Y 연 지급횟수=2, 만기 5</v>
      </c>
      <c r="I12" s="122"/>
      <c r="J12" s="122"/>
      <c r="K12" s="122"/>
      <c r="L12" s="122"/>
      <c r="M12" s="123"/>
      <c r="O12" s="115" t="s">
        <v>53</v>
      </c>
      <c r="P12" s="116"/>
      <c r="Q12" s="77">
        <v>4</v>
      </c>
      <c r="R12" s="78"/>
      <c r="AB12" s="137" t="s">
        <v>93</v>
      </c>
      <c r="AC12" s="79"/>
      <c r="AD12" s="141">
        <v>0</v>
      </c>
      <c r="AE12" s="141"/>
      <c r="AF12" s="20"/>
      <c r="AG12" s="20"/>
      <c r="AH12" s="20"/>
      <c r="AI12" s="20"/>
      <c r="AJ12" s="20"/>
      <c r="AK12" s="20"/>
      <c r="AM12" s="20"/>
      <c r="AN12" s="20"/>
      <c r="AO12" s="20"/>
      <c r="AP12" s="20"/>
      <c r="AQ12" s="20"/>
      <c r="AR12" s="20"/>
      <c r="AS12" s="20"/>
      <c r="AT12" s="20"/>
      <c r="AU12" s="20"/>
    </row>
    <row r="13" spans="1:57" x14ac:dyDescent="0.4">
      <c r="A13" s="21">
        <f t="shared" si="1"/>
        <v>13</v>
      </c>
      <c r="B13" s="87"/>
      <c r="C13" s="88"/>
      <c r="D13" s="76" t="s">
        <v>38</v>
      </c>
      <c r="E13" s="63"/>
      <c r="F13" s="108">
        <v>-0.8</v>
      </c>
      <c r="G13" s="109"/>
      <c r="H13" s="112" t="str">
        <f>IF(F11&gt;0,"PowerSpreadFlag 1일때 입력","입력필요X")</f>
        <v>입력필요X</v>
      </c>
      <c r="I13" s="112"/>
      <c r="J13" s="112" t="str">
        <f>IF(F11&gt;0,"만기1","")</f>
        <v/>
      </c>
      <c r="K13" s="112"/>
      <c r="L13" s="113">
        <v>10</v>
      </c>
      <c r="M13" s="114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M13" s="20"/>
      <c r="AN13" s="20"/>
      <c r="AO13" s="20"/>
      <c r="AP13" s="20"/>
      <c r="AQ13" s="57"/>
      <c r="AR13" s="57"/>
      <c r="AS13" s="20"/>
      <c r="AT13" s="20"/>
      <c r="AU13" s="20"/>
    </row>
    <row r="14" spans="1:57" x14ac:dyDescent="0.4">
      <c r="A14" s="21">
        <f t="shared" si="1"/>
        <v>14</v>
      </c>
      <c r="B14" s="89"/>
      <c r="C14" s="90"/>
      <c r="D14" s="125" t="s">
        <v>39</v>
      </c>
      <c r="E14" s="125"/>
      <c r="F14" s="110">
        <v>1</v>
      </c>
      <c r="G14" s="111"/>
      <c r="H14" s="112"/>
      <c r="I14" s="112"/>
      <c r="J14" s="112" t="str">
        <f>IF(F11&gt;0,"만기2","")</f>
        <v/>
      </c>
      <c r="K14" s="112"/>
      <c r="L14" s="113">
        <v>5</v>
      </c>
      <c r="M14" s="114"/>
      <c r="O14" s="76" t="s">
        <v>89</v>
      </c>
      <c r="P14" s="76"/>
      <c r="Q14" s="76"/>
      <c r="R14" s="76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M14" s="20"/>
      <c r="AN14" s="56"/>
      <c r="AO14" s="20"/>
      <c r="AP14" s="20"/>
      <c r="AQ14" s="56"/>
      <c r="AR14" s="20"/>
      <c r="AS14" s="20"/>
      <c r="AT14" s="20"/>
      <c r="AU14" s="20"/>
    </row>
    <row r="15" spans="1:57" x14ac:dyDescent="0.4">
      <c r="A15" s="21">
        <f t="shared" si="1"/>
        <v>15</v>
      </c>
      <c r="B15" s="20"/>
      <c r="C15" s="20"/>
      <c r="O15" s="76" t="s">
        <v>90</v>
      </c>
      <c r="P15" s="76"/>
      <c r="Q15" s="77">
        <v>0</v>
      </c>
      <c r="R15" s="78"/>
      <c r="AB15" s="152" t="s">
        <v>71</v>
      </c>
      <c r="AC15" s="153"/>
      <c r="AD15" s="153"/>
      <c r="AE15" s="153"/>
      <c r="AF15" s="153"/>
      <c r="AG15" s="152" t="s">
        <v>72</v>
      </c>
      <c r="AH15" s="153"/>
      <c r="AI15" s="153"/>
      <c r="AJ15" s="153"/>
      <c r="AK15" s="153"/>
      <c r="AM15" s="152" t="s">
        <v>108</v>
      </c>
      <c r="AN15" s="153"/>
      <c r="AO15" s="153"/>
      <c r="AP15" s="153"/>
      <c r="AQ15" s="153"/>
      <c r="AR15" s="153"/>
      <c r="AS15" s="152" t="s">
        <v>114</v>
      </c>
      <c r="AT15" s="153"/>
      <c r="AU15" s="153"/>
      <c r="AV15" s="137" t="s">
        <v>115</v>
      </c>
      <c r="AW15" s="79"/>
    </row>
    <row r="16" spans="1:57" x14ac:dyDescent="0.4">
      <c r="A16" s="21">
        <f t="shared" si="1"/>
        <v>16</v>
      </c>
      <c r="B16" s="124" t="s">
        <v>40</v>
      </c>
      <c r="C16" s="124"/>
      <c r="D16" s="76" t="s">
        <v>79</v>
      </c>
      <c r="E16" s="76"/>
      <c r="F16" s="106">
        <v>0</v>
      </c>
      <c r="G16" s="107"/>
      <c r="H16" s="119" t="s">
        <v>82</v>
      </c>
      <c r="I16" s="120"/>
      <c r="J16" s="121" t="str">
        <f>IF(F11&gt;0, F13&amp;" &lt; "&amp;F10&amp;" x Rate("&amp;L13&amp;"Y-"&amp;L14&amp;"Y) &lt; "&amp;F12,F13&amp;" &lt; "&amp;F10&amp;" x Rate("&amp;L11&amp;"Y) &lt; "&amp;F12)</f>
        <v>-0.8 &lt; 0 x Rate(0.25Y) &lt; 0.8</v>
      </c>
      <c r="K16" s="121"/>
      <c r="L16" s="121"/>
      <c r="M16" s="121"/>
      <c r="AB16" s="37" t="s">
        <v>66</v>
      </c>
      <c r="AC16" s="37" t="s">
        <v>67</v>
      </c>
      <c r="AD16" s="37" t="s">
        <v>68</v>
      </c>
      <c r="AE16" s="37" t="s">
        <v>69</v>
      </c>
      <c r="AF16" s="37" t="s">
        <v>70</v>
      </c>
      <c r="AG16" s="37" t="s">
        <v>66</v>
      </c>
      <c r="AH16" s="37" t="s">
        <v>67</v>
      </c>
      <c r="AI16" s="37" t="s">
        <v>68</v>
      </c>
      <c r="AJ16" s="37" t="s">
        <v>69</v>
      </c>
      <c r="AK16" s="37" t="s">
        <v>70</v>
      </c>
      <c r="AM16" s="37" t="s">
        <v>106</v>
      </c>
      <c r="AN16" s="37" t="s">
        <v>118</v>
      </c>
      <c r="AO16" s="37" t="s">
        <v>109</v>
      </c>
      <c r="AP16" s="37" t="s">
        <v>107</v>
      </c>
      <c r="AQ16" s="37" t="s">
        <v>118</v>
      </c>
      <c r="AR16" s="37" t="s">
        <v>110</v>
      </c>
      <c r="AS16" s="37" t="s">
        <v>111</v>
      </c>
      <c r="AT16" s="37" t="s">
        <v>112</v>
      </c>
      <c r="AU16" s="37" t="s">
        <v>113</v>
      </c>
      <c r="AV16" s="37" t="s">
        <v>116</v>
      </c>
      <c r="AW16" s="37" t="s">
        <v>117</v>
      </c>
    </row>
    <row r="17" spans="1:49" x14ac:dyDescent="0.4">
      <c r="A17" s="21">
        <f t="shared" si="1"/>
        <v>17</v>
      </c>
      <c r="B17" s="124"/>
      <c r="C17" s="124"/>
      <c r="D17" s="76" t="s">
        <v>43</v>
      </c>
      <c r="E17" s="76"/>
      <c r="F17" s="106">
        <v>0</v>
      </c>
      <c r="G17" s="107"/>
      <c r="H17" s="119" t="s">
        <v>80</v>
      </c>
      <c r="I17" s="120"/>
      <c r="J17" s="121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21"/>
      <c r="L17" s="121"/>
      <c r="M17" s="121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  <c r="AM17" s="54">
        <v>0.25</v>
      </c>
      <c r="AN17" s="55">
        <v>-675.49992545536952</v>
      </c>
      <c r="AP17" s="54">
        <v>0</v>
      </c>
      <c r="AQ17" s="55">
        <v>-6.54841349387425</v>
      </c>
      <c r="AS17" s="54">
        <v>0.5</v>
      </c>
      <c r="AT17" s="54">
        <v>1</v>
      </c>
      <c r="AU17" s="55">
        <v>-23.650714102767328</v>
      </c>
      <c r="AV17" s="55">
        <v>9342.1939249383358</v>
      </c>
      <c r="AW17" s="55">
        <v>9100.8469367054622</v>
      </c>
    </row>
    <row r="18" spans="1:49" x14ac:dyDescent="0.4">
      <c r="A18" s="21">
        <f t="shared" si="1"/>
        <v>18</v>
      </c>
      <c r="B18" s="124"/>
      <c r="C18" s="124"/>
      <c r="D18" s="76" t="s">
        <v>44</v>
      </c>
      <c r="E18" s="76"/>
      <c r="F18" s="103">
        <v>1</v>
      </c>
      <c r="G18" s="78"/>
      <c r="H18" s="119"/>
      <c r="I18" s="120"/>
      <c r="J18" s="121"/>
      <c r="K18" s="121"/>
      <c r="L18" s="121"/>
      <c r="M18" s="121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  <c r="AM18" s="54">
        <v>0.5</v>
      </c>
      <c r="AN18" s="55">
        <v>-509.53399189893389</v>
      </c>
      <c r="AP18" s="54">
        <v>0</v>
      </c>
      <c r="AQ18" s="55">
        <v>-76.35165138708544</v>
      </c>
      <c r="AS18" s="54">
        <v>0.5</v>
      </c>
      <c r="AT18" s="54">
        <v>3</v>
      </c>
      <c r="AU18" s="55">
        <v>-21.76363256352607</v>
      </c>
      <c r="AV18" s="55">
        <v>9557.1081289558642</v>
      </c>
      <c r="AW18" s="55">
        <v>8382.5983567556159</v>
      </c>
    </row>
    <row r="19" spans="1:49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  <c r="AM19" s="54">
        <v>1</v>
      </c>
      <c r="AN19" s="55">
        <v>229.0414633898763</v>
      </c>
      <c r="AP19" s="54">
        <v>0</v>
      </c>
      <c r="AQ19" s="55">
        <v>-228.33937453469844</v>
      </c>
      <c r="AS19" s="54">
        <v>1</v>
      </c>
      <c r="AT19" s="54">
        <v>3</v>
      </c>
      <c r="AU19" s="55">
        <v>-25.371093235938876</v>
      </c>
    </row>
    <row r="20" spans="1:49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  <c r="AM20" s="54">
        <v>2</v>
      </c>
      <c r="AN20" s="55">
        <v>1313.4307581094617</v>
      </c>
      <c r="AP20" s="54">
        <v>0</v>
      </c>
      <c r="AQ20" s="55">
        <v>-1566.8449949407659</v>
      </c>
      <c r="AS20" s="54">
        <v>1</v>
      </c>
      <c r="AT20" s="54">
        <v>5</v>
      </c>
      <c r="AU20" s="55">
        <v>-74.524386314892837</v>
      </c>
    </row>
    <row r="21" spans="1:49" x14ac:dyDescent="0.4">
      <c r="A21" s="21">
        <f t="shared" si="1"/>
        <v>21</v>
      </c>
      <c r="B21" s="124" t="s">
        <v>45</v>
      </c>
      <c r="C21" s="124"/>
      <c r="D21" s="76" t="s">
        <v>41</v>
      </c>
      <c r="E21" s="76"/>
      <c r="F21" s="106">
        <v>0</v>
      </c>
      <c r="G21" s="107"/>
      <c r="H21" s="119" t="s">
        <v>81</v>
      </c>
      <c r="I21" s="120"/>
      <c r="J21" s="121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21"/>
      <c r="L21" s="121"/>
      <c r="M21" s="121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  <c r="AM21" s="54">
        <v>3</v>
      </c>
      <c r="AN21" s="55">
        <v>4291.8583092978224</v>
      </c>
      <c r="AP21" s="54">
        <v>0</v>
      </c>
      <c r="AQ21" s="55">
        <v>-4057.1061418995669</v>
      </c>
      <c r="AS21" s="54">
        <v>3</v>
      </c>
      <c r="AT21" s="54">
        <v>5</v>
      </c>
      <c r="AU21" s="55">
        <v>-76.125643834242169</v>
      </c>
    </row>
    <row r="22" spans="1:49" x14ac:dyDescent="0.4">
      <c r="A22" s="21">
        <f t="shared" si="1"/>
        <v>22</v>
      </c>
      <c r="B22" s="124"/>
      <c r="C22" s="124"/>
      <c r="D22" s="76" t="s">
        <v>43</v>
      </c>
      <c r="E22" s="76"/>
      <c r="F22" s="106">
        <v>0</v>
      </c>
      <c r="G22" s="107"/>
      <c r="H22" s="119"/>
      <c r="I22" s="120"/>
      <c r="J22" s="121"/>
      <c r="K22" s="121"/>
      <c r="L22" s="121"/>
      <c r="M22" s="121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  <c r="AM22" s="54">
        <v>5</v>
      </c>
      <c r="AN22" s="55">
        <v>7132.6719685021089</v>
      </c>
      <c r="AP22" s="54">
        <v>0</v>
      </c>
      <c r="AQ22" s="55">
        <v>-6676.7476696622907</v>
      </c>
      <c r="AS22" s="54">
        <v>3</v>
      </c>
      <c r="AT22" s="54">
        <v>10</v>
      </c>
      <c r="AU22" s="55">
        <v>-122.66184118170138</v>
      </c>
    </row>
    <row r="23" spans="1:49" x14ac:dyDescent="0.4">
      <c r="A23" s="21">
        <f t="shared" si="1"/>
        <v>23</v>
      </c>
      <c r="B23" s="124"/>
      <c r="C23" s="124"/>
      <c r="D23" s="76" t="s">
        <v>44</v>
      </c>
      <c r="E23" s="76"/>
      <c r="F23" s="103">
        <v>1</v>
      </c>
      <c r="G23" s="78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  <c r="AM23" s="54">
        <v>10</v>
      </c>
      <c r="AN23" s="55">
        <v>39892.550353597471</v>
      </c>
      <c r="AP23" s="54">
        <v>0</v>
      </c>
      <c r="AQ23" s="55">
        <v>-6122.5232070864877</v>
      </c>
      <c r="AS23" s="54">
        <v>5</v>
      </c>
      <c r="AT23" s="54">
        <v>10</v>
      </c>
      <c r="AU23" s="55">
        <v>-446.46570916234964</v>
      </c>
    </row>
    <row r="24" spans="1:49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  <c r="AM24" s="54">
        <v>15</v>
      </c>
      <c r="AN24" s="55">
        <v>-5697.8818588868307</v>
      </c>
      <c r="AP24" s="54">
        <v>0</v>
      </c>
      <c r="AQ24" s="55">
        <v>-11437.246309433249</v>
      </c>
    </row>
    <row r="25" spans="1:49" x14ac:dyDescent="0.4">
      <c r="A25" s="21">
        <f t="shared" si="1"/>
        <v>25</v>
      </c>
      <c r="B25" s="92" t="s">
        <v>46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4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93.260273972602732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50.915068493150685</v>
      </c>
      <c r="AM25" s="54">
        <v>20</v>
      </c>
      <c r="AN25" s="55">
        <v>4894.7902812687971</v>
      </c>
      <c r="AP25" s="54">
        <v>0</v>
      </c>
      <c r="AQ25" s="55">
        <v>-2927.8838977006671</v>
      </c>
    </row>
    <row r="26" spans="1:49" x14ac:dyDescent="0.4">
      <c r="A26" s="21">
        <f t="shared" si="1"/>
        <v>26</v>
      </c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7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99.420663478346043</v>
      </c>
      <c r="AG26" s="42">
        <v>20221027</v>
      </c>
      <c r="AH26" s="42">
        <v>20230127</v>
      </c>
      <c r="AI26" s="42">
        <v>20230127</v>
      </c>
      <c r="AJ26" s="44">
        <v>3.9444067575648153E-2</v>
      </c>
      <c r="AK26" s="48">
        <v>50.915068493150685</v>
      </c>
      <c r="AM26" s="54">
        <v>30</v>
      </c>
      <c r="AN26" s="55">
        <v>61826.206701152842</v>
      </c>
      <c r="AP26" s="54">
        <v>0</v>
      </c>
      <c r="AQ26" s="55">
        <v>-66078.752811226877</v>
      </c>
    </row>
    <row r="27" spans="1:49" x14ac:dyDescent="0.4">
      <c r="A27" s="21">
        <f t="shared" si="1"/>
        <v>27</v>
      </c>
      <c r="B27" s="82" t="s">
        <v>32</v>
      </c>
      <c r="C27" s="82"/>
      <c r="D27" s="84">
        <v>1</v>
      </c>
      <c r="E27" s="81"/>
      <c r="F27" s="82" t="s">
        <v>33</v>
      </c>
      <c r="G27" s="82"/>
      <c r="H27" s="84">
        <v>1</v>
      </c>
      <c r="I27" s="81"/>
      <c r="J27" s="82" t="s">
        <v>84</v>
      </c>
      <c r="K27" s="82"/>
      <c r="L27" s="103">
        <v>0</v>
      </c>
      <c r="M27" s="78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98.42056387569535</v>
      </c>
      <c r="AG27" s="42">
        <v>20230127</v>
      </c>
      <c r="AH27" s="42">
        <v>20230427</v>
      </c>
      <c r="AI27" s="42">
        <v>20230427</v>
      </c>
      <c r="AJ27" s="44">
        <v>3.9915006460698677E-2</v>
      </c>
      <c r="AK27" s="48">
        <v>49.80821917808219</v>
      </c>
    </row>
    <row r="28" spans="1:49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99.482879529571193</v>
      </c>
      <c r="AG28" s="42">
        <v>20230427</v>
      </c>
      <c r="AH28" s="42">
        <v>20230727</v>
      </c>
      <c r="AI28" s="42">
        <v>20230727</v>
      </c>
      <c r="AJ28" s="44">
        <v>3.9902473657465368E-2</v>
      </c>
      <c r="AK28" s="48">
        <v>50.361643835616434</v>
      </c>
    </row>
    <row r="29" spans="1:49" x14ac:dyDescent="0.4">
      <c r="A29" s="21">
        <f t="shared" si="1"/>
        <v>29</v>
      </c>
      <c r="B29" s="85" t="str">
        <f>"기초금리정보"</f>
        <v>기초금리정보</v>
      </c>
      <c r="C29" s="86"/>
      <c r="D29" s="63" t="s">
        <v>34</v>
      </c>
      <c r="E29" s="63"/>
      <c r="F29" s="103" t="s">
        <v>98</v>
      </c>
      <c r="G29" s="78"/>
      <c r="H29" s="23"/>
      <c r="I29" s="22"/>
      <c r="J29" s="98" t="str">
        <f>IF(F30=0,"금리결정조건이 = "&amp;F30&amp;" 이므로 Ref Swap 금리정보 사용안함", "사용")</f>
        <v>사용</v>
      </c>
      <c r="K29" s="99"/>
      <c r="L29" s="99"/>
      <c r="M29" s="100"/>
      <c r="O29" s="76" t="s">
        <v>57</v>
      </c>
      <c r="P29" s="76"/>
      <c r="Q29" s="76"/>
      <c r="R29" s="76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100.27281949204411</v>
      </c>
      <c r="AG29" s="42">
        <v>20230727</v>
      </c>
      <c r="AH29" s="42">
        <v>20231027</v>
      </c>
      <c r="AI29" s="42">
        <v>20231027</v>
      </c>
      <c r="AJ29" s="44">
        <v>3.9782151211517493E-2</v>
      </c>
      <c r="AK29" s="48">
        <v>50.915068493150685</v>
      </c>
    </row>
    <row r="30" spans="1:49" x14ac:dyDescent="0.4">
      <c r="A30" s="21">
        <f t="shared" si="1"/>
        <v>30</v>
      </c>
      <c r="B30" s="87"/>
      <c r="C30" s="88"/>
      <c r="D30" s="63" t="s">
        <v>35</v>
      </c>
      <c r="E30" s="91"/>
      <c r="F30" s="104">
        <v>1</v>
      </c>
      <c r="G30" s="105"/>
      <c r="H30" s="98" t="str">
        <f xml:space="preserve"> "Swap 레퍼런스금리정보"</f>
        <v>Swap 레퍼런스금리정보</v>
      </c>
      <c r="I30" s="99"/>
      <c r="J30" s="102" t="str">
        <f>IF(F30=0,"", "연 지급횟수")</f>
        <v>연 지급횟수</v>
      </c>
      <c r="K30" s="148"/>
      <c r="L30" s="81">
        <v>4</v>
      </c>
      <c r="M30" s="151"/>
      <c r="O30" s="76" t="s">
        <v>85</v>
      </c>
      <c r="P30" s="76"/>
      <c r="Q30" s="77">
        <v>4</v>
      </c>
      <c r="R30" s="78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101.74125683047232</v>
      </c>
      <c r="AG30" s="42">
        <v>20231027</v>
      </c>
      <c r="AH30" s="42">
        <v>20240129</v>
      </c>
      <c r="AI30" s="42">
        <v>20240129</v>
      </c>
      <c r="AJ30" s="44">
        <v>3.9505913556513193E-2</v>
      </c>
      <c r="AK30" s="48">
        <v>52.021917808219179</v>
      </c>
    </row>
    <row r="31" spans="1:49" x14ac:dyDescent="0.4">
      <c r="A31" s="21">
        <f t="shared" si="1"/>
        <v>31</v>
      </c>
      <c r="B31" s="87"/>
      <c r="C31" s="88"/>
      <c r="D31" s="76" t="s">
        <v>36</v>
      </c>
      <c r="E31" s="76"/>
      <c r="F31" s="103">
        <v>0</v>
      </c>
      <c r="G31" s="78"/>
      <c r="H31" s="101"/>
      <c r="I31" s="102"/>
      <c r="J31" s="102" t="str">
        <f>IF(F30=0,"",IF(F31=0, "만기", "입력X, 아래만기2개입력"))</f>
        <v>만기</v>
      </c>
      <c r="K31" s="148"/>
      <c r="L31" s="149">
        <v>10</v>
      </c>
      <c r="M31" s="150"/>
      <c r="O31" s="76" t="s">
        <v>52</v>
      </c>
      <c r="P31" s="76"/>
      <c r="Q31" s="77">
        <v>0</v>
      </c>
      <c r="R31" s="78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97.929191212924906</v>
      </c>
      <c r="AG31" s="42">
        <v>20240129</v>
      </c>
      <c r="AH31" s="42">
        <v>20240429</v>
      </c>
      <c r="AI31" s="42">
        <v>20240429</v>
      </c>
      <c r="AJ31" s="44">
        <v>3.9279290981008338E-2</v>
      </c>
      <c r="AK31" s="48">
        <v>50.361643835616434</v>
      </c>
    </row>
    <row r="32" spans="1:49" x14ac:dyDescent="0.4">
      <c r="A32" s="21">
        <f t="shared" si="1"/>
        <v>32</v>
      </c>
      <c r="B32" s="87"/>
      <c r="C32" s="88"/>
      <c r="D32" s="76" t="s">
        <v>37</v>
      </c>
      <c r="E32" s="76"/>
      <c r="F32" s="106">
        <v>0.8</v>
      </c>
      <c r="G32" s="107"/>
      <c r="H32" s="122" t="str">
        <f>"ex) Deposit 3M -&gt; 연 지급횟수= 4, 만기= 0.25 ||  ex2) CMT 5Y 연 지급횟수=2, 만기 5"</f>
        <v>ex) Deposit 3M -&gt; 연 지급횟수= 4, 만기= 0.25 ||  ex2) CMT 5Y 연 지급횟수=2, 만기 5</v>
      </c>
      <c r="I32" s="122"/>
      <c r="J32" s="122"/>
      <c r="K32" s="122"/>
      <c r="L32" s="122"/>
      <c r="M32" s="123"/>
      <c r="O32" s="115" t="s">
        <v>53</v>
      </c>
      <c r="P32" s="116"/>
      <c r="Q32" s="77">
        <v>4</v>
      </c>
      <c r="R32" s="78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97.069882400429535</v>
      </c>
      <c r="AG32" s="42">
        <v>20240429</v>
      </c>
      <c r="AH32" s="42">
        <v>20240729</v>
      </c>
      <c r="AI32" s="42">
        <v>20240729</v>
      </c>
      <c r="AJ32" s="44">
        <v>3.8934623160611845E-2</v>
      </c>
      <c r="AK32" s="48">
        <v>50.361643835616434</v>
      </c>
    </row>
    <row r="33" spans="1:37" x14ac:dyDescent="0.4">
      <c r="A33" s="21">
        <f t="shared" si="1"/>
        <v>33</v>
      </c>
      <c r="B33" s="87"/>
      <c r="C33" s="88"/>
      <c r="D33" s="76" t="s">
        <v>38</v>
      </c>
      <c r="E33" s="63"/>
      <c r="F33" s="108">
        <v>-0.8</v>
      </c>
      <c r="G33" s="109"/>
      <c r="H33" s="112" t="str">
        <f>IF(F31&gt;0,"PowerSpreadFlag 1일때 입력","입력필요X")</f>
        <v>입력필요X</v>
      </c>
      <c r="I33" s="112"/>
      <c r="J33" s="112" t="str">
        <f>IF(F31&gt;0,"만기1","")</f>
        <v/>
      </c>
      <c r="K33" s="112"/>
      <c r="L33" s="117">
        <v>10</v>
      </c>
      <c r="M33" s="118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97.086353224208523</v>
      </c>
      <c r="AG33" s="42">
        <v>20240729</v>
      </c>
      <c r="AH33" s="42">
        <v>20241028</v>
      </c>
      <c r="AI33" s="42">
        <v>20241028</v>
      </c>
      <c r="AJ33" s="44">
        <v>3.8941229589929793E-2</v>
      </c>
      <c r="AK33" s="48">
        <v>50.361643835616434</v>
      </c>
    </row>
    <row r="34" spans="1:37" x14ac:dyDescent="0.4">
      <c r="A34" s="21">
        <f t="shared" si="1"/>
        <v>34</v>
      </c>
      <c r="B34" s="89"/>
      <c r="C34" s="90"/>
      <c r="D34" s="125" t="s">
        <v>39</v>
      </c>
      <c r="E34" s="125"/>
      <c r="F34" s="110">
        <v>1</v>
      </c>
      <c r="G34" s="111"/>
      <c r="H34" s="112"/>
      <c r="I34" s="112"/>
      <c r="J34" s="112" t="str">
        <f>IF(F31&gt;0,"만기2","")</f>
        <v/>
      </c>
      <c r="K34" s="112"/>
      <c r="L34" s="117">
        <v>5</v>
      </c>
      <c r="M34" s="118"/>
      <c r="O34" s="76" t="s">
        <v>91</v>
      </c>
      <c r="P34" s="76"/>
      <c r="Q34" s="76"/>
      <c r="R34" s="76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101.51356891129973</v>
      </c>
      <c r="AG34" s="42">
        <v>20241028</v>
      </c>
      <c r="AH34" s="42">
        <v>20250131</v>
      </c>
      <c r="AI34" s="42">
        <v>20250131</v>
      </c>
      <c r="AJ34" s="44">
        <v>3.9002581739604629E-2</v>
      </c>
      <c r="AK34" s="48">
        <v>52.575342465753423</v>
      </c>
    </row>
    <row r="35" spans="1:37" x14ac:dyDescent="0.4">
      <c r="A35" s="21">
        <f t="shared" si="1"/>
        <v>35</v>
      </c>
      <c r="B35" s="20"/>
      <c r="C35" s="20"/>
      <c r="O35" s="76" t="s">
        <v>90</v>
      </c>
      <c r="P35" s="76"/>
      <c r="Q35" s="77">
        <v>0</v>
      </c>
      <c r="R35" s="78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92.786163185131201</v>
      </c>
      <c r="AG35" s="42">
        <v>20250131</v>
      </c>
      <c r="AH35" s="42">
        <v>20250428</v>
      </c>
      <c r="AI35" s="42">
        <v>20250428</v>
      </c>
      <c r="AJ35" s="44">
        <v>3.8927528232842401E-2</v>
      </c>
      <c r="AK35" s="48">
        <v>48.147945205479452</v>
      </c>
    </row>
    <row r="36" spans="1:37" x14ac:dyDescent="0.4">
      <c r="A36" s="21">
        <f t="shared" si="1"/>
        <v>36</v>
      </c>
      <c r="B36" s="124" t="s">
        <v>40</v>
      </c>
      <c r="C36" s="124"/>
      <c r="D36" s="76" t="s">
        <v>41</v>
      </c>
      <c r="E36" s="76"/>
      <c r="F36" s="106">
        <v>2.0199999999999999E-2</v>
      </c>
      <c r="G36" s="107"/>
      <c r="H36" s="119" t="s">
        <v>83</v>
      </c>
      <c r="I36" s="120"/>
      <c r="J36" s="121" t="str">
        <f>IF(F31&gt;0, F33&amp;" &lt; "&amp;F30&amp;" x Rate("&amp;L33&amp;"Y-"&amp;L34&amp;"Y) &lt; "&amp;F32,F33&amp;" &lt; "&amp;F30&amp;" x Rate("&amp;L31&amp;"Y) &lt; "&amp;F32)</f>
        <v>-0.8 &lt; 1 x Rate(10Y) &lt; 0.8</v>
      </c>
      <c r="K36" s="121"/>
      <c r="L36" s="121"/>
      <c r="M36" s="121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96.912830030980857</v>
      </c>
      <c r="AG36" s="42">
        <v>20250428</v>
      </c>
      <c r="AH36" s="42">
        <v>20250728</v>
      </c>
      <c r="AI36" s="42">
        <v>20250728</v>
      </c>
      <c r="AJ36" s="44">
        <v>3.8871629627811002E-2</v>
      </c>
      <c r="AK36" s="48">
        <v>50.361643835616434</v>
      </c>
    </row>
    <row r="37" spans="1:37" x14ac:dyDescent="0.4">
      <c r="A37" s="21">
        <f t="shared" si="1"/>
        <v>37</v>
      </c>
      <c r="B37" s="124"/>
      <c r="C37" s="124"/>
      <c r="D37" s="76" t="s">
        <v>43</v>
      </c>
      <c r="E37" s="76"/>
      <c r="F37" s="106">
        <v>0</v>
      </c>
      <c r="G37" s="107"/>
      <c r="H37" s="119" t="s">
        <v>80</v>
      </c>
      <c r="I37" s="120"/>
      <c r="J37" s="121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1"/>
      <c r="L37" s="121"/>
      <c r="M37" s="121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97.339022161119743</v>
      </c>
      <c r="AG37" s="42">
        <v>20250728</v>
      </c>
      <c r="AH37" s="42">
        <v>20251027</v>
      </c>
      <c r="AI37" s="42">
        <v>20251027</v>
      </c>
      <c r="AJ37" s="44">
        <v>3.9042574822866709E-2</v>
      </c>
      <c r="AK37" s="48">
        <v>50.361643835616434</v>
      </c>
    </row>
    <row r="38" spans="1:37" x14ac:dyDescent="0.4">
      <c r="A38" s="21">
        <f t="shared" si="1"/>
        <v>38</v>
      </c>
      <c r="B38" s="124"/>
      <c r="C38" s="124"/>
      <c r="D38" s="76" t="s">
        <v>44</v>
      </c>
      <c r="E38" s="76"/>
      <c r="F38" s="103">
        <v>0</v>
      </c>
      <c r="G38" s="78"/>
      <c r="H38" s="119"/>
      <c r="I38" s="120"/>
      <c r="J38" s="121"/>
      <c r="K38" s="121"/>
      <c r="L38" s="121"/>
      <c r="M38" s="121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99.031291832904529</v>
      </c>
      <c r="AG38" s="42">
        <v>20251027</v>
      </c>
      <c r="AH38" s="42">
        <v>20260127</v>
      </c>
      <c r="AI38" s="42">
        <v>20260127</v>
      </c>
      <c r="AJ38" s="44">
        <v>3.9289588607619726E-2</v>
      </c>
      <c r="AK38" s="48">
        <v>50.915068493150685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96.905137516868066</v>
      </c>
      <c r="AG39" s="42">
        <v>20260127</v>
      </c>
      <c r="AH39" s="42">
        <v>20260427</v>
      </c>
      <c r="AI39" s="42">
        <v>20260427</v>
      </c>
      <c r="AJ39" s="44">
        <v>3.9300416881840938E-2</v>
      </c>
      <c r="AK39" s="48">
        <v>49.80821917808219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98.024238714529005</v>
      </c>
      <c r="AG40" s="42">
        <v>20260427</v>
      </c>
      <c r="AH40" s="42">
        <v>20260727</v>
      </c>
      <c r="AI40" s="42">
        <v>20260727</v>
      </c>
      <c r="AJ40" s="44">
        <v>3.931741442945394E-2</v>
      </c>
      <c r="AK40" s="48">
        <v>50.361643835616434</v>
      </c>
    </row>
    <row r="41" spans="1:37" x14ac:dyDescent="0.4">
      <c r="A41" s="21">
        <f t="shared" si="1"/>
        <v>41</v>
      </c>
      <c r="B41" s="124" t="s">
        <v>45</v>
      </c>
      <c r="C41" s="124"/>
      <c r="D41" s="76" t="s">
        <v>41</v>
      </c>
      <c r="E41" s="76"/>
      <c r="F41" s="106">
        <v>2.0199999999999999E-2</v>
      </c>
      <c r="G41" s="107"/>
      <c r="H41" s="119" t="s">
        <v>81</v>
      </c>
      <c r="I41" s="120"/>
      <c r="J41" s="121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21"/>
      <c r="L41" s="121"/>
      <c r="M41" s="121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99.015604883565956</v>
      </c>
      <c r="AG41" s="42">
        <v>20260727</v>
      </c>
      <c r="AH41" s="42">
        <v>20261027</v>
      </c>
      <c r="AI41" s="42">
        <v>20261027</v>
      </c>
      <c r="AJ41" s="44">
        <v>3.9283364980979965E-2</v>
      </c>
      <c r="AK41" s="48">
        <v>50.915068493150685</v>
      </c>
    </row>
    <row r="42" spans="1:37" x14ac:dyDescent="0.4">
      <c r="A42" s="21">
        <f t="shared" si="1"/>
        <v>42</v>
      </c>
      <c r="B42" s="124"/>
      <c r="C42" s="124"/>
      <c r="D42" s="76" t="s">
        <v>43</v>
      </c>
      <c r="E42" s="76"/>
      <c r="F42" s="106">
        <v>0</v>
      </c>
      <c r="G42" s="107"/>
      <c r="H42" s="119"/>
      <c r="I42" s="120"/>
      <c r="J42" s="121"/>
      <c r="K42" s="121"/>
      <c r="L42" s="121"/>
      <c r="M42" s="121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98.867686794028714</v>
      </c>
      <c r="AG42" s="42">
        <v>20261027</v>
      </c>
      <c r="AH42" s="42">
        <v>20270127</v>
      </c>
      <c r="AI42" s="42">
        <v>20270127</v>
      </c>
      <c r="AJ42" s="44">
        <v>3.9224680086761388E-2</v>
      </c>
      <c r="AK42" s="48">
        <v>50.915068493150685</v>
      </c>
    </row>
    <row r="43" spans="1:37" x14ac:dyDescent="0.4">
      <c r="A43" s="21">
        <f t="shared" si="1"/>
        <v>43</v>
      </c>
      <c r="B43" s="124"/>
      <c r="C43" s="124"/>
      <c r="D43" s="76" t="s">
        <v>44</v>
      </c>
      <c r="E43" s="76"/>
      <c r="F43" s="103">
        <v>1</v>
      </c>
      <c r="G43" s="78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96.710919487991021</v>
      </c>
      <c r="AG43" s="42">
        <v>20270127</v>
      </c>
      <c r="AH43" s="42">
        <v>20270427</v>
      </c>
      <c r="AI43" s="42">
        <v>20270427</v>
      </c>
      <c r="AJ43" s="44">
        <v>3.9221650681240804E-2</v>
      </c>
      <c r="AK43" s="48">
        <v>49.80821917808219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97.793422421462267</v>
      </c>
      <c r="AG44" s="42">
        <v>20270427</v>
      </c>
      <c r="AH44" s="42">
        <v>20270727</v>
      </c>
      <c r="AI44" s="42">
        <v>20270727</v>
      </c>
      <c r="AJ44" s="44">
        <v>3.9224834267949149E-2</v>
      </c>
      <c r="AK44" s="48">
        <v>50.361643835616434</v>
      </c>
    </row>
    <row r="45" spans="1:37" ht="17.399999999999999" customHeight="1" x14ac:dyDescent="0.4">
      <c r="A45" s="21">
        <f t="shared" si="1"/>
        <v>45</v>
      </c>
      <c r="B45" s="142" t="s">
        <v>59</v>
      </c>
      <c r="C45" s="143"/>
      <c r="D45" s="143"/>
      <c r="E45" s="143"/>
      <c r="F45" s="143"/>
      <c r="G45" s="144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99.197038515615404</v>
      </c>
      <c r="AG45" s="42">
        <v>20270727</v>
      </c>
      <c r="AH45" s="42">
        <v>20271027</v>
      </c>
      <c r="AI45" s="42">
        <v>20271027</v>
      </c>
      <c r="AJ45" s="44">
        <v>3.9355346802390889E-2</v>
      </c>
      <c r="AK45" s="48">
        <v>50.915068493150685</v>
      </c>
    </row>
    <row r="46" spans="1:37" ht="17.399999999999999" customHeight="1" x14ac:dyDescent="0.4">
      <c r="A46" s="21">
        <f t="shared" si="1"/>
        <v>46</v>
      </c>
      <c r="B46" s="145"/>
      <c r="C46" s="146"/>
      <c r="D46" s="146"/>
      <c r="E46" s="146"/>
      <c r="F46" s="146"/>
      <c r="G46" s="147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103.98792048780017</v>
      </c>
      <c r="AG46" s="42">
        <v>20271027</v>
      </c>
      <c r="AH46" s="42">
        <v>20280131</v>
      </c>
      <c r="AI46" s="42">
        <v>20280131</v>
      </c>
      <c r="AJ46" s="44">
        <v>3.953707393546569E-2</v>
      </c>
      <c r="AK46" s="48">
        <v>53.128767123287666</v>
      </c>
    </row>
    <row r="47" spans="1:37" x14ac:dyDescent="0.4">
      <c r="A47" s="21">
        <f t="shared" si="1"/>
        <v>47</v>
      </c>
      <c r="B47" s="37" t="s">
        <v>60</v>
      </c>
      <c r="C47" s="38" t="s">
        <v>61</v>
      </c>
      <c r="D47" s="38" t="s">
        <v>62</v>
      </c>
      <c r="E47" s="38" t="s">
        <v>63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94.267029487098682</v>
      </c>
      <c r="AG47" s="42">
        <v>20280131</v>
      </c>
      <c r="AH47" s="42">
        <v>20280427</v>
      </c>
      <c r="AI47" s="42">
        <v>20280427</v>
      </c>
      <c r="AJ47" s="44">
        <v>3.9548811221598874E-2</v>
      </c>
      <c r="AK47" s="48">
        <v>48.147945205479452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103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98.685436156274676</v>
      </c>
      <c r="AG48" s="42">
        <v>20280427</v>
      </c>
      <c r="AH48" s="42">
        <v>20280727</v>
      </c>
      <c r="AI48" s="42">
        <v>20280727</v>
      </c>
      <c r="AJ48" s="44">
        <v>3.9582619996747538E-2</v>
      </c>
      <c r="AK48" s="48">
        <v>50.361643835616434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99.846849924829613</v>
      </c>
      <c r="AG49" s="42">
        <v>20280727</v>
      </c>
      <c r="AH49" s="42">
        <v>20281027</v>
      </c>
      <c r="AI49" s="42">
        <v>20281027</v>
      </c>
      <c r="AJ49" s="44">
        <v>3.9613152415829134E-2</v>
      </c>
      <c r="AK49" s="48">
        <v>50.915068493150685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102.10272917902438</v>
      </c>
      <c r="AG50" s="42">
        <v>20281027</v>
      </c>
      <c r="AH50" s="42">
        <v>20290129</v>
      </c>
      <c r="AI50" s="42">
        <v>20290129</v>
      </c>
      <c r="AJ50" s="44">
        <v>3.9646272500365849E-2</v>
      </c>
      <c r="AK50" s="48">
        <v>52.021917808219179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95.639499957052891</v>
      </c>
      <c r="AG51" s="42">
        <v>20290129</v>
      </c>
      <c r="AH51" s="42">
        <v>20290427</v>
      </c>
      <c r="AI51" s="42">
        <v>20290427</v>
      </c>
      <c r="AJ51" s="44">
        <v>3.9668656232186711E-2</v>
      </c>
      <c r="AK51" s="48">
        <v>48.701369863013703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98.968083226327124</v>
      </c>
      <c r="AG52" s="42">
        <v>20290427</v>
      </c>
      <c r="AH52" s="42">
        <v>20290727</v>
      </c>
      <c r="AI52" s="42">
        <v>20290727</v>
      </c>
      <c r="AJ52" s="44">
        <v>3.9695989425944392E-2</v>
      </c>
      <c r="AK52" s="48">
        <v>50.361643835616434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102.577539932652</v>
      </c>
      <c r="AG53" s="42">
        <v>20290727</v>
      </c>
      <c r="AH53" s="42">
        <v>20291029</v>
      </c>
      <c r="AI53" s="42">
        <v>20291029</v>
      </c>
      <c r="AJ53" s="44">
        <v>3.9830640505763813E-2</v>
      </c>
      <c r="AK53" s="48">
        <v>52.021917808219179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99.662621223945649</v>
      </c>
      <c r="AG54" s="42">
        <v>20291029</v>
      </c>
      <c r="AH54" s="42">
        <v>20300128</v>
      </c>
      <c r="AI54" s="42">
        <v>20300128</v>
      </c>
      <c r="AJ54" s="44">
        <v>3.9974567853560621E-2</v>
      </c>
      <c r="AK54" s="48">
        <v>50.361643835616434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99.763354569411163</v>
      </c>
      <c r="AG55" s="42">
        <v>20300128</v>
      </c>
      <c r="AH55" s="42">
        <v>20300429</v>
      </c>
      <c r="AI55" s="42">
        <v>20300429</v>
      </c>
      <c r="AJ55" s="44">
        <v>4.0014971887730851E-2</v>
      </c>
      <c r="AK55" s="48">
        <v>50.361643835616434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99.870040257210434</v>
      </c>
      <c r="AG56" s="42">
        <v>20300429</v>
      </c>
      <c r="AH56" s="42">
        <v>20300729</v>
      </c>
      <c r="AI56" s="42">
        <v>20300729</v>
      </c>
      <c r="AJ56" s="44">
        <v>4.0057763399870119E-2</v>
      </c>
      <c r="AK56" s="48">
        <v>50.361643835616434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100.27073725550748</v>
      </c>
      <c r="AG57" s="42">
        <v>20300729</v>
      </c>
      <c r="AH57" s="42">
        <v>20301028</v>
      </c>
      <c r="AI57" s="42">
        <v>20301028</v>
      </c>
      <c r="AJ57" s="44">
        <v>4.0218482525560699E-2</v>
      </c>
      <c r="AK57" s="48">
        <v>50.361643835616434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100.70504449220181</v>
      </c>
      <c r="AG58" s="42">
        <v>20301028</v>
      </c>
      <c r="AH58" s="42">
        <v>20310127</v>
      </c>
      <c r="AI58" s="42">
        <v>20310127</v>
      </c>
      <c r="AJ58" s="44">
        <v>4.039268268093809E-2</v>
      </c>
      <c r="AK58" s="48">
        <v>50.361643835616434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100.84155927278374</v>
      </c>
      <c r="AG59" s="42">
        <v>20310127</v>
      </c>
      <c r="AH59" s="42">
        <v>20310428</v>
      </c>
      <c r="AI59" s="42">
        <v>20310428</v>
      </c>
      <c r="AJ59" s="44">
        <v>4.0447438609413258E-2</v>
      </c>
      <c r="AK59" s="48">
        <v>50.361643835616434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100.984339774239</v>
      </c>
      <c r="AG60" s="42">
        <v>20310428</v>
      </c>
      <c r="AH60" s="42">
        <v>20310728</v>
      </c>
      <c r="AI60" s="42">
        <v>20310728</v>
      </c>
      <c r="AJ60" s="44">
        <v>4.0504707711645313E-2</v>
      </c>
      <c r="AK60" s="48">
        <v>50.361643835616434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101.16125405308146</v>
      </c>
      <c r="AG61" s="42">
        <v>20310728</v>
      </c>
      <c r="AH61" s="42">
        <v>20311027</v>
      </c>
      <c r="AI61" s="42">
        <v>20311027</v>
      </c>
      <c r="AJ61" s="44">
        <v>4.0575667834477733E-2</v>
      </c>
      <c r="AK61" s="48">
        <v>50.361643835616434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102.45475327729707</v>
      </c>
      <c r="AG62" s="42">
        <v>20311027</v>
      </c>
      <c r="AH62" s="42">
        <v>20320127</v>
      </c>
      <c r="AI62" s="42">
        <v>20320127</v>
      </c>
      <c r="AJ62" s="44">
        <v>4.0647809724145029E-2</v>
      </c>
      <c r="AK62" s="48">
        <v>50.915068493150685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101.48256353134369</v>
      </c>
      <c r="AG63" s="42">
        <v>20320127</v>
      </c>
      <c r="AH63" s="42">
        <v>20320427</v>
      </c>
      <c r="AI63" s="42">
        <v>20320427</v>
      </c>
      <c r="AJ63" s="44">
        <v>4.070454471312137E-2</v>
      </c>
      <c r="AK63" s="48">
        <v>50.361643835616434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101.62876071726723</v>
      </c>
      <c r="AG64" s="42">
        <v>20320427</v>
      </c>
      <c r="AH64" s="42">
        <v>20320727</v>
      </c>
      <c r="AI64" s="42">
        <v>20320727</v>
      </c>
      <c r="AJ64" s="44">
        <v>4.0763184243739051E-2</v>
      </c>
      <c r="AK64" s="48">
        <v>50.361643835616434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102.92302638832309</v>
      </c>
      <c r="AG65" s="42">
        <v>20320727</v>
      </c>
      <c r="AH65" s="42">
        <v>20321027</v>
      </c>
      <c r="AI65" s="42">
        <v>20321027</v>
      </c>
      <c r="AJ65" s="44">
        <v>4.0833591991019484E-2</v>
      </c>
      <c r="AK65" s="48">
        <v>50.915068493150685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103.10192127623894</v>
      </c>
      <c r="AG66" s="42">
        <v>20321027</v>
      </c>
      <c r="AH66" s="42">
        <v>20330127</v>
      </c>
      <c r="AI66" s="42">
        <v>20330127</v>
      </c>
      <c r="AJ66" s="44">
        <v>4.0904566593290441E-2</v>
      </c>
      <c r="AK66" s="48">
        <v>50.915068493150685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100.99648303033713</v>
      </c>
      <c r="AG67" s="42">
        <v>20330127</v>
      </c>
      <c r="AH67" s="42">
        <v>20330427</v>
      </c>
      <c r="AI67" s="42">
        <v>20330427</v>
      </c>
      <c r="AJ67" s="44">
        <v>4.0959684784525621E-2</v>
      </c>
      <c r="AK67" s="48">
        <v>49.80821917808219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102.27216513035633</v>
      </c>
      <c r="AG68" s="42">
        <v>20330427</v>
      </c>
      <c r="AH68" s="42">
        <v>20330727</v>
      </c>
      <c r="AI68" s="42">
        <v>20330727</v>
      </c>
      <c r="AJ68" s="44">
        <v>4.1021253046791273E-2</v>
      </c>
      <c r="AK68" s="48">
        <v>50.361643835616434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103.55290806809141</v>
      </c>
      <c r="AG69" s="42">
        <v>20330727</v>
      </c>
      <c r="AH69" s="42">
        <v>20331027</v>
      </c>
      <c r="AI69" s="42">
        <v>20331027</v>
      </c>
      <c r="AJ69" s="44">
        <v>4.1083490700927573E-2</v>
      </c>
      <c r="AK69" s="48">
        <v>50.915068493150685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103.70489350015249</v>
      </c>
      <c r="AG70" s="42">
        <v>20331027</v>
      </c>
      <c r="AH70" s="42">
        <v>20340127</v>
      </c>
      <c r="AI70" s="42">
        <v>20340127</v>
      </c>
      <c r="AJ70" s="44">
        <v>4.1143789269082236E-2</v>
      </c>
      <c r="AK70" s="48">
        <v>50.915068493150685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101.58622385498808</v>
      </c>
      <c r="AG71" s="42">
        <v>20340127</v>
      </c>
      <c r="AH71" s="42">
        <v>20340427</v>
      </c>
      <c r="AI71" s="42">
        <v>20340427</v>
      </c>
      <c r="AJ71" s="44">
        <v>4.1198857452300723E-2</v>
      </c>
      <c r="AK71" s="48">
        <v>49.80821917808219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102.86853413178616</v>
      </c>
      <c r="AG72" s="42">
        <v>20340427</v>
      </c>
      <c r="AH72" s="42">
        <v>20340727</v>
      </c>
      <c r="AI72" s="42">
        <v>20340727</v>
      </c>
      <c r="AJ72" s="44">
        <v>4.1260455997914232E-2</v>
      </c>
      <c r="AK72" s="48">
        <v>50.361643835616434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102.05471744897095</v>
      </c>
      <c r="AG73" s="42">
        <v>20340727</v>
      </c>
      <c r="AH73" s="42">
        <v>20341027</v>
      </c>
      <c r="AI73" s="42">
        <v>20341027</v>
      </c>
      <c r="AJ73" s="44">
        <v>4.0489099857472163E-2</v>
      </c>
      <c r="AK73" s="48">
        <v>50.915068493150685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101.85313657500686</v>
      </c>
      <c r="AG74" s="42">
        <v>20341027</v>
      </c>
      <c r="AH74" s="42">
        <v>20350129</v>
      </c>
      <c r="AI74" s="42">
        <v>20350129</v>
      </c>
      <c r="AJ74" s="44">
        <v>3.9549356223273942E-2</v>
      </c>
      <c r="AK74" s="48">
        <v>52.021917808219179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95.303204562084758</v>
      </c>
      <c r="AG75" s="42">
        <v>20350129</v>
      </c>
      <c r="AH75" s="42">
        <v>20350427</v>
      </c>
      <c r="AI75" s="42">
        <v>20350427</v>
      </c>
      <c r="AJ75" s="44">
        <v>3.9529170074046514E-2</v>
      </c>
      <c r="AK75" s="48">
        <v>48.701369863013703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98.519278540667145</v>
      </c>
      <c r="AG76" s="42">
        <v>20350427</v>
      </c>
      <c r="AH76" s="42">
        <v>20350727</v>
      </c>
      <c r="AI76" s="42">
        <v>20350727</v>
      </c>
      <c r="AJ76" s="44">
        <v>3.951597435971814E-2</v>
      </c>
      <c r="AK76" s="48">
        <v>50.361643835616434</v>
      </c>
    </row>
    <row r="77" spans="28:37" x14ac:dyDescent="0.4">
      <c r="AB77" s="41">
        <v>20350727</v>
      </c>
      <c r="AC77" s="42">
        <v>20351029</v>
      </c>
      <c r="AD77" s="42">
        <v>20351029</v>
      </c>
      <c r="AE77" s="44">
        <v>3.9508406284481337E-2</v>
      </c>
      <c r="AF77" s="48">
        <v>101.74767645866426</v>
      </c>
      <c r="AG77" s="42">
        <v>20350727</v>
      </c>
      <c r="AH77" s="42">
        <v>20351029</v>
      </c>
      <c r="AI77" s="42">
        <v>20351029</v>
      </c>
      <c r="AJ77" s="44">
        <v>3.9508406284481337E-2</v>
      </c>
      <c r="AK77" s="48">
        <v>52.021917808219179</v>
      </c>
    </row>
    <row r="78" spans="28:37" x14ac:dyDescent="0.4">
      <c r="AB78" s="41">
        <v>20351029</v>
      </c>
      <c r="AC78" s="42">
        <v>20360131</v>
      </c>
      <c r="AD78" s="42">
        <v>20360131</v>
      </c>
      <c r="AE78" s="44">
        <v>3.9494306404497963E-2</v>
      </c>
      <c r="AF78" s="48">
        <v>101.71136443898105</v>
      </c>
      <c r="AG78" s="42">
        <v>20351029</v>
      </c>
      <c r="AH78" s="42">
        <v>20360131</v>
      </c>
      <c r="AI78" s="42">
        <v>20360131</v>
      </c>
      <c r="AJ78" s="44">
        <v>3.9494306404497963E-2</v>
      </c>
      <c r="AK78" s="48">
        <v>52.021917808219179</v>
      </c>
    </row>
    <row r="79" spans="28:37" x14ac:dyDescent="0.4">
      <c r="AB79" s="41">
        <v>20360131</v>
      </c>
      <c r="AC79" s="42">
        <v>20360428</v>
      </c>
      <c r="AD79" s="42">
        <v>20360428</v>
      </c>
      <c r="AE79" s="44">
        <v>3.9472115076239572E-2</v>
      </c>
      <c r="AF79" s="48">
        <v>95.165647307098155</v>
      </c>
      <c r="AG79" s="42">
        <v>20360131</v>
      </c>
      <c r="AH79" s="42">
        <v>20360428</v>
      </c>
      <c r="AI79" s="42">
        <v>20360428</v>
      </c>
      <c r="AJ79" s="44">
        <v>3.9472115076239572E-2</v>
      </c>
      <c r="AK79" s="48">
        <v>48.701369863013703</v>
      </c>
    </row>
    <row r="80" spans="28:37" x14ac:dyDescent="0.4">
      <c r="AB80" s="41">
        <v>20360428</v>
      </c>
      <c r="AC80" s="42">
        <v>20360728</v>
      </c>
      <c r="AD80" s="42">
        <v>20360728</v>
      </c>
      <c r="AE80" s="44">
        <v>3.9460942696400346E-2</v>
      </c>
      <c r="AF80" s="48">
        <v>98.382076311573471</v>
      </c>
      <c r="AG80" s="42">
        <v>20360428</v>
      </c>
      <c r="AH80" s="42">
        <v>20360728</v>
      </c>
      <c r="AI80" s="42">
        <v>20360728</v>
      </c>
      <c r="AJ80" s="44">
        <v>3.9460942696400346E-2</v>
      </c>
      <c r="AK80" s="48">
        <v>50.361643835616434</v>
      </c>
    </row>
    <row r="81" spans="28:37" x14ac:dyDescent="0.4">
      <c r="AB81" s="41">
        <v>20360728</v>
      </c>
      <c r="AC81" s="42">
        <v>20361027</v>
      </c>
      <c r="AD81" s="42">
        <v>20361027</v>
      </c>
      <c r="AE81" s="44">
        <v>3.9449317439887291E-2</v>
      </c>
      <c r="AF81" s="48">
        <v>98.353092795335442</v>
      </c>
      <c r="AG81" s="42">
        <v>20360728</v>
      </c>
      <c r="AH81" s="42">
        <v>20361027</v>
      </c>
      <c r="AI81" s="42">
        <v>20361027</v>
      </c>
      <c r="AJ81" s="44">
        <v>3.9449317439887291E-2</v>
      </c>
      <c r="AK81" s="48">
        <v>50.361643835616434</v>
      </c>
    </row>
    <row r="82" spans="28:37" x14ac:dyDescent="0.4">
      <c r="AB82" s="41">
        <v>20361027</v>
      </c>
      <c r="AC82" s="42">
        <v>20370127</v>
      </c>
      <c r="AD82" s="42">
        <v>20370127</v>
      </c>
      <c r="AE82" s="44">
        <v>3.9435670681258105E-2</v>
      </c>
      <c r="AF82" s="48">
        <v>99.399498703445104</v>
      </c>
      <c r="AG82" s="42">
        <v>20361027</v>
      </c>
      <c r="AH82" s="42">
        <v>20370127</v>
      </c>
      <c r="AI82" s="42">
        <v>20370127</v>
      </c>
      <c r="AJ82" s="44">
        <v>3.9435670681258105E-2</v>
      </c>
      <c r="AK82" s="48">
        <v>50.915068493150685</v>
      </c>
    </row>
    <row r="83" spans="28:37" x14ac:dyDescent="0.4">
      <c r="AB83" s="41">
        <v>20370127</v>
      </c>
      <c r="AC83" s="42">
        <v>20370427</v>
      </c>
      <c r="AD83" s="42">
        <v>20370427</v>
      </c>
      <c r="AE83" s="44">
        <v>3.9417839554783368E-2</v>
      </c>
      <c r="AF83" s="48">
        <v>97.194672874808305</v>
      </c>
      <c r="AG83" s="42">
        <v>20370127</v>
      </c>
      <c r="AH83" s="42">
        <v>20370427</v>
      </c>
      <c r="AI83" s="42">
        <v>20370427</v>
      </c>
      <c r="AJ83" s="44">
        <v>3.9417839554783368E-2</v>
      </c>
      <c r="AK83" s="48">
        <v>49.80821917808219</v>
      </c>
    </row>
    <row r="84" spans="28:37" x14ac:dyDescent="0.4">
      <c r="AB84" s="41">
        <v>20370427</v>
      </c>
      <c r="AC84" s="42">
        <v>20370727</v>
      </c>
      <c r="AD84" s="42">
        <v>20370727</v>
      </c>
      <c r="AE84" s="44">
        <v>3.9406361621730113E-2</v>
      </c>
      <c r="AF84" s="48">
        <v>98.245997467875085</v>
      </c>
      <c r="AG84" s="42">
        <v>20370427</v>
      </c>
      <c r="AH84" s="42">
        <v>20370727</v>
      </c>
      <c r="AI84" s="42">
        <v>20370727</v>
      </c>
      <c r="AJ84" s="44">
        <v>3.9406361621730113E-2</v>
      </c>
      <c r="AK84" s="48">
        <v>50.361643835616434</v>
      </c>
    </row>
    <row r="85" spans="28:37" x14ac:dyDescent="0.4">
      <c r="AB85" s="41">
        <v>20370727</v>
      </c>
      <c r="AC85" s="42">
        <v>20371027</v>
      </c>
      <c r="AD85" s="42">
        <v>20371027</v>
      </c>
      <c r="AE85" s="44">
        <v>3.742727766377605E-2</v>
      </c>
      <c r="AF85" s="48">
        <v>94.337247810065662</v>
      </c>
      <c r="AG85" s="42">
        <v>20370727</v>
      </c>
      <c r="AH85" s="42">
        <v>20371027</v>
      </c>
      <c r="AI85" s="42">
        <v>20371027</v>
      </c>
      <c r="AJ85" s="44">
        <v>3.742727766377605E-2</v>
      </c>
      <c r="AK85" s="48">
        <v>50.915068493150685</v>
      </c>
    </row>
    <row r="86" spans="28:37" x14ac:dyDescent="0.4">
      <c r="AB86" s="41">
        <v>20371027</v>
      </c>
      <c r="AC86" s="42">
        <v>20380127</v>
      </c>
      <c r="AD86" s="42">
        <v>20380127</v>
      </c>
      <c r="AE86" s="44">
        <v>3.486134351603587E-2</v>
      </c>
      <c r="AF86" s="48">
        <v>87.869687766446575</v>
      </c>
      <c r="AG86" s="42">
        <v>20371027</v>
      </c>
      <c r="AH86" s="42">
        <v>20380127</v>
      </c>
      <c r="AI86" s="42">
        <v>20380127</v>
      </c>
      <c r="AJ86" s="44">
        <v>3.486134351603587E-2</v>
      </c>
      <c r="AK86" s="48">
        <v>50.915068493150685</v>
      </c>
    </row>
    <row r="87" spans="28:37" x14ac:dyDescent="0.4">
      <c r="AB87" s="41">
        <v>20380127</v>
      </c>
      <c r="AC87" s="42">
        <v>20380427</v>
      </c>
      <c r="AD87" s="42">
        <v>20380427</v>
      </c>
      <c r="AE87" s="44">
        <v>3.4699186003391905E-2</v>
      </c>
      <c r="AF87" s="48">
        <v>85.559636720692367</v>
      </c>
      <c r="AG87" s="42">
        <v>20380127</v>
      </c>
      <c r="AH87" s="42">
        <v>20380427</v>
      </c>
      <c r="AI87" s="42">
        <v>20380427</v>
      </c>
      <c r="AJ87" s="44">
        <v>3.4699186003391905E-2</v>
      </c>
      <c r="AK87" s="48">
        <v>49.80821917808219</v>
      </c>
    </row>
    <row r="88" spans="28:37" x14ac:dyDescent="0.4">
      <c r="AB88" s="41">
        <v>20380427</v>
      </c>
      <c r="AC88" s="42">
        <v>20380727</v>
      </c>
      <c r="AD88" s="42">
        <v>20380727</v>
      </c>
      <c r="AE88" s="44">
        <v>3.4542768868755486E-2</v>
      </c>
      <c r="AF88" s="48">
        <v>86.12032786456848</v>
      </c>
      <c r="AG88" s="42">
        <v>20380427</v>
      </c>
      <c r="AH88" s="42">
        <v>20380727</v>
      </c>
      <c r="AI88" s="42">
        <v>20380727</v>
      </c>
      <c r="AJ88" s="44">
        <v>3.4542768868755486E-2</v>
      </c>
      <c r="AK88" s="48">
        <v>50.361643835616434</v>
      </c>
    </row>
    <row r="89" spans="28:37" x14ac:dyDescent="0.4">
      <c r="AB89" s="41">
        <v>20380727</v>
      </c>
      <c r="AC89" s="42">
        <v>20381027</v>
      </c>
      <c r="AD89" s="42">
        <v>20381027</v>
      </c>
      <c r="AE89" s="44">
        <v>3.4384581629550659E-2</v>
      </c>
      <c r="AF89" s="48">
        <v>86.667986573113993</v>
      </c>
      <c r="AG89" s="42">
        <v>20380727</v>
      </c>
      <c r="AH89" s="42">
        <v>20381027</v>
      </c>
      <c r="AI89" s="42">
        <v>20381027</v>
      </c>
      <c r="AJ89" s="44">
        <v>3.4384581629550659E-2</v>
      </c>
      <c r="AK89" s="48">
        <v>50.915068493150685</v>
      </c>
    </row>
    <row r="90" spans="28:37" x14ac:dyDescent="0.4">
      <c r="AB90" s="41">
        <v>20381027</v>
      </c>
      <c r="AC90" s="42">
        <v>20390127</v>
      </c>
      <c r="AD90" s="42">
        <v>20390127</v>
      </c>
      <c r="AE90" s="44">
        <v>3.4223927415042606E-2</v>
      </c>
      <c r="AF90" s="48">
        <v>86.263049922847117</v>
      </c>
      <c r="AG90" s="42">
        <v>20381027</v>
      </c>
      <c r="AH90" s="42">
        <v>20390127</v>
      </c>
      <c r="AI90" s="42">
        <v>20390127</v>
      </c>
      <c r="AJ90" s="44">
        <v>3.4223927415042606E-2</v>
      </c>
      <c r="AK90" s="48">
        <v>50.915068493150685</v>
      </c>
    </row>
    <row r="91" spans="28:37" x14ac:dyDescent="0.4">
      <c r="AB91" s="41">
        <v>20390127</v>
      </c>
      <c r="AC91" s="42">
        <v>20390427</v>
      </c>
      <c r="AD91" s="42">
        <v>20390427</v>
      </c>
      <c r="AE91" s="44">
        <v>3.4061914762931661E-2</v>
      </c>
      <c r="AF91" s="48">
        <v>83.988282977091757</v>
      </c>
      <c r="AG91" s="42">
        <v>20390127</v>
      </c>
      <c r="AH91" s="42">
        <v>20390427</v>
      </c>
      <c r="AI91" s="42">
        <v>20390427</v>
      </c>
      <c r="AJ91" s="44">
        <v>3.4061914762931661E-2</v>
      </c>
      <c r="AK91" s="48">
        <v>49.80821917808219</v>
      </c>
    </row>
    <row r="92" spans="28:37" x14ac:dyDescent="0.4">
      <c r="AB92" s="41">
        <v>20390427</v>
      </c>
      <c r="AC92" s="42">
        <v>20390727</v>
      </c>
      <c r="AD92" s="42">
        <v>20390727</v>
      </c>
      <c r="AE92" s="44">
        <v>3.3905462751845007E-2</v>
      </c>
      <c r="AF92" s="48">
        <v>84.531427682682079</v>
      </c>
      <c r="AG92" s="42">
        <v>20390427</v>
      </c>
      <c r="AH92" s="42">
        <v>20390727</v>
      </c>
      <c r="AI92" s="42">
        <v>20390727</v>
      </c>
      <c r="AJ92" s="44">
        <v>3.3905462751845007E-2</v>
      </c>
      <c r="AK92" s="48">
        <v>50.361643835616434</v>
      </c>
    </row>
    <row r="93" spans="28:37" x14ac:dyDescent="0.4">
      <c r="AB93" s="41">
        <v>20390727</v>
      </c>
      <c r="AC93" s="42">
        <v>20391027</v>
      </c>
      <c r="AD93" s="42">
        <v>20391027</v>
      </c>
      <c r="AE93" s="44">
        <v>3.3747241459720814E-2</v>
      </c>
      <c r="AF93" s="48">
        <v>85.06154011765247</v>
      </c>
      <c r="AG93" s="42">
        <v>20390727</v>
      </c>
      <c r="AH93" s="42">
        <v>20391027</v>
      </c>
      <c r="AI93" s="42">
        <v>20391027</v>
      </c>
      <c r="AJ93" s="44">
        <v>3.3747241459720814E-2</v>
      </c>
      <c r="AK93" s="48">
        <v>50.915068493150685</v>
      </c>
    </row>
    <row r="94" spans="28:37" x14ac:dyDescent="0.4">
      <c r="AB94" s="41">
        <v>20391027</v>
      </c>
      <c r="AC94" s="42">
        <v>20400127</v>
      </c>
      <c r="AD94" s="42">
        <v>20400127</v>
      </c>
      <c r="AE94" s="44">
        <v>3.3586612831699308E-2</v>
      </c>
      <c r="AF94" s="48">
        <v>84.65666795935168</v>
      </c>
      <c r="AG94" s="42">
        <v>20391027</v>
      </c>
      <c r="AH94" s="42">
        <v>20400127</v>
      </c>
      <c r="AI94" s="42">
        <v>20400127</v>
      </c>
      <c r="AJ94" s="44">
        <v>3.3586612831699308E-2</v>
      </c>
      <c r="AK94" s="48">
        <v>50.915068493150685</v>
      </c>
    </row>
    <row r="95" spans="28:37" x14ac:dyDescent="0.4">
      <c r="AB95" s="41">
        <v>20400127</v>
      </c>
      <c r="AC95" s="42">
        <v>20400427</v>
      </c>
      <c r="AD95" s="42">
        <v>20400427</v>
      </c>
      <c r="AE95" s="44">
        <v>3.3425366925698377E-2</v>
      </c>
      <c r="AF95" s="48">
        <v>83.334476444891848</v>
      </c>
      <c r="AG95" s="42">
        <v>20400127</v>
      </c>
      <c r="AH95" s="42">
        <v>20400427</v>
      </c>
      <c r="AI95" s="42">
        <v>20400427</v>
      </c>
      <c r="AJ95" s="44">
        <v>3.3425366925698377E-2</v>
      </c>
      <c r="AK95" s="48">
        <v>50.361643835616434</v>
      </c>
    </row>
    <row r="96" spans="28:37" x14ac:dyDescent="0.4">
      <c r="AB96" s="41">
        <v>20400427</v>
      </c>
      <c r="AC96" s="42">
        <v>20400727</v>
      </c>
      <c r="AD96" s="42">
        <v>20400727</v>
      </c>
      <c r="AE96" s="44">
        <v>3.326651140068744E-2</v>
      </c>
      <c r="AF96" s="48">
        <v>82.938425683905677</v>
      </c>
      <c r="AG96" s="42">
        <v>20400427</v>
      </c>
      <c r="AH96" s="42">
        <v>20400727</v>
      </c>
      <c r="AI96" s="42">
        <v>20400727</v>
      </c>
      <c r="AJ96" s="44">
        <v>3.326651140068744E-2</v>
      </c>
      <c r="AK96" s="48">
        <v>50.361643835616434</v>
      </c>
    </row>
    <row r="97" spans="28:37" x14ac:dyDescent="0.4">
      <c r="AB97" s="41">
        <v>20400727</v>
      </c>
      <c r="AC97" s="42">
        <v>20401029</v>
      </c>
      <c r="AD97" s="42">
        <v>20401029</v>
      </c>
      <c r="AE97" s="44">
        <v>3.3109445828334284E-2</v>
      </c>
      <c r="AF97" s="48">
        <v>85.268161859271842</v>
      </c>
      <c r="AG97" s="42">
        <v>20400727</v>
      </c>
      <c r="AH97" s="42">
        <v>20401029</v>
      </c>
      <c r="AI97" s="42">
        <v>20401029</v>
      </c>
      <c r="AJ97" s="44">
        <v>3.3109445828334284E-2</v>
      </c>
      <c r="AK97" s="48">
        <v>52.021917808219179</v>
      </c>
    </row>
    <row r="98" spans="28:37" x14ac:dyDescent="0.4">
      <c r="AB98" s="41">
        <v>20401029</v>
      </c>
      <c r="AC98" s="42">
        <v>20410128</v>
      </c>
      <c r="AD98" s="42">
        <v>20410128</v>
      </c>
      <c r="AE98" s="44">
        <v>3.2944162802555327E-2</v>
      </c>
      <c r="AF98" s="48">
        <v>82.134762055685897</v>
      </c>
      <c r="AG98" s="42">
        <v>20401029</v>
      </c>
      <c r="AH98" s="42">
        <v>20410128</v>
      </c>
      <c r="AI98" s="42">
        <v>20410128</v>
      </c>
      <c r="AJ98" s="44">
        <v>3.2944162802555327E-2</v>
      </c>
      <c r="AK98" s="48">
        <v>50.361643835616434</v>
      </c>
    </row>
    <row r="99" spans="28:37" x14ac:dyDescent="0.4">
      <c r="AB99" s="41">
        <v>20410128</v>
      </c>
      <c r="AC99" s="42">
        <v>20410429</v>
      </c>
      <c r="AD99" s="42">
        <v>20410429</v>
      </c>
      <c r="AE99" s="44">
        <v>3.2784745989574225E-2</v>
      </c>
      <c r="AF99" s="48">
        <v>81.737311919212445</v>
      </c>
      <c r="AG99" s="42">
        <v>20410128</v>
      </c>
      <c r="AH99" s="42">
        <v>20410429</v>
      </c>
      <c r="AI99" s="42">
        <v>20410429</v>
      </c>
      <c r="AJ99" s="44">
        <v>3.2784745989574225E-2</v>
      </c>
      <c r="AK99" s="48">
        <v>50.361643835616434</v>
      </c>
    </row>
    <row r="100" spans="28:37" x14ac:dyDescent="0.4">
      <c r="AB100" s="41">
        <v>20410429</v>
      </c>
      <c r="AC100" s="42">
        <v>20410729</v>
      </c>
      <c r="AD100" s="42">
        <v>20410729</v>
      </c>
      <c r="AE100" s="44">
        <v>3.2625915626716816E-2</v>
      </c>
      <c r="AF100" s="48">
        <v>81.341323891266583</v>
      </c>
      <c r="AG100" s="42">
        <v>20410429</v>
      </c>
      <c r="AH100" s="42">
        <v>20410729</v>
      </c>
      <c r="AI100" s="42">
        <v>20410729</v>
      </c>
      <c r="AJ100" s="44">
        <v>3.2625915626716816E-2</v>
      </c>
      <c r="AK100" s="48">
        <v>50.361643835616434</v>
      </c>
    </row>
    <row r="101" spans="28:37" x14ac:dyDescent="0.4">
      <c r="AB101" s="41">
        <v>20410729</v>
      </c>
      <c r="AC101" s="42">
        <v>20411028</v>
      </c>
      <c r="AD101" s="42">
        <v>20411028</v>
      </c>
      <c r="AE101" s="44">
        <v>3.246762929712909E-2</v>
      </c>
      <c r="AF101" s="48">
        <v>80.946692220239655</v>
      </c>
      <c r="AG101" s="42">
        <v>20410729</v>
      </c>
      <c r="AH101" s="42">
        <v>20411028</v>
      </c>
      <c r="AI101" s="42">
        <v>20411028</v>
      </c>
      <c r="AJ101" s="44">
        <v>3.246762929712909E-2</v>
      </c>
      <c r="AK101" s="48">
        <v>50.361643835616434</v>
      </c>
    </row>
    <row r="102" spans="28:37" x14ac:dyDescent="0.4">
      <c r="AB102" s="41">
        <v>20411028</v>
      </c>
      <c r="AC102" s="42">
        <v>20420127</v>
      </c>
      <c r="AD102" s="42">
        <v>20420127</v>
      </c>
      <c r="AE102" s="44">
        <v>3.2308797410383838E-2</v>
      </c>
      <c r="AF102" s="48">
        <v>80.550700393011766</v>
      </c>
      <c r="AG102" s="42">
        <v>20411028</v>
      </c>
      <c r="AH102" s="42">
        <v>20420127</v>
      </c>
      <c r="AI102" s="42">
        <v>20420127</v>
      </c>
      <c r="AJ102" s="44">
        <v>3.2308797410383838E-2</v>
      </c>
      <c r="AK102" s="48">
        <v>50.361643835616434</v>
      </c>
    </row>
    <row r="103" spans="28:37" x14ac:dyDescent="0.4">
      <c r="AB103" s="41">
        <v>20420127</v>
      </c>
      <c r="AC103" s="42">
        <v>20420428</v>
      </c>
      <c r="AD103" s="42">
        <v>20420428</v>
      </c>
      <c r="AE103" s="44">
        <v>3.2149461968167758E-2</v>
      </c>
      <c r="AF103" s="48">
        <v>80.153453126116887</v>
      </c>
      <c r="AG103" s="42">
        <v>20420127</v>
      </c>
      <c r="AH103" s="42">
        <v>20420428</v>
      </c>
      <c r="AI103" s="42">
        <v>20420428</v>
      </c>
      <c r="AJ103" s="44">
        <v>3.2149461968167758E-2</v>
      </c>
      <c r="AK103" s="48">
        <v>50.361643835616434</v>
      </c>
    </row>
    <row r="104" spans="28:37" x14ac:dyDescent="0.4">
      <c r="AB104" s="41">
        <v>20420428</v>
      </c>
      <c r="AC104" s="42">
        <v>20420728</v>
      </c>
      <c r="AD104" s="42">
        <v>20420728</v>
      </c>
      <c r="AE104" s="44">
        <v>3.1990656557841703E-2</v>
      </c>
      <c r="AF104" s="48">
        <v>79.757527308591634</v>
      </c>
      <c r="AG104" s="42">
        <v>20420428</v>
      </c>
      <c r="AH104" s="42">
        <v>20420728</v>
      </c>
      <c r="AI104" s="42">
        <v>20420728</v>
      </c>
      <c r="AJ104" s="44">
        <v>3.1990656557841703E-2</v>
      </c>
      <c r="AK104" s="48">
        <v>50.361643835616434</v>
      </c>
    </row>
    <row r="105" spans="28:37" x14ac:dyDescent="0.4">
      <c r="AB105" s="41">
        <v>20420728</v>
      </c>
      <c r="AC105" s="42">
        <v>20421027</v>
      </c>
      <c r="AD105" s="42">
        <v>20421027</v>
      </c>
      <c r="AE105" s="44">
        <v>3.176511304604486E-2</v>
      </c>
      <c r="AF105" s="48">
        <v>79.195213347673487</v>
      </c>
      <c r="AG105" s="42">
        <v>20420728</v>
      </c>
      <c r="AH105" s="42">
        <v>20421027</v>
      </c>
      <c r="AI105" s="42">
        <v>20421027</v>
      </c>
      <c r="AJ105" s="44">
        <v>3.176511304604486E-2</v>
      </c>
      <c r="AK105" s="48">
        <v>50.361643835616434</v>
      </c>
    </row>
    <row r="106" spans="28:37" x14ac:dyDescent="0.4">
      <c r="AB106" s="41">
        <v>20421027</v>
      </c>
      <c r="AC106" s="42">
        <v>20430127</v>
      </c>
      <c r="AD106" s="42">
        <v>20430127</v>
      </c>
      <c r="AE106" s="44">
        <v>3.1530413400766094E-2</v>
      </c>
      <c r="AF106" s="48">
        <v>79.473918708780289</v>
      </c>
      <c r="AG106" s="42">
        <v>20421027</v>
      </c>
      <c r="AH106" s="42">
        <v>20430127</v>
      </c>
      <c r="AI106" s="42">
        <v>20430127</v>
      </c>
      <c r="AJ106" s="44">
        <v>3.1530413400766094E-2</v>
      </c>
      <c r="AK106" s="48">
        <v>50.915068493150685</v>
      </c>
    </row>
    <row r="107" spans="28:37" x14ac:dyDescent="0.4">
      <c r="AB107" s="41">
        <v>20430127</v>
      </c>
      <c r="AC107" s="42">
        <v>20430427</v>
      </c>
      <c r="AD107" s="42">
        <v>20430427</v>
      </c>
      <c r="AE107" s="44">
        <v>3.1365509781721937E-2</v>
      </c>
      <c r="AF107" s="48">
        <v>77.339613160410252</v>
      </c>
      <c r="AG107" s="42">
        <v>20430127</v>
      </c>
      <c r="AH107" s="42">
        <v>20430427</v>
      </c>
      <c r="AI107" s="42">
        <v>20430427</v>
      </c>
      <c r="AJ107" s="44">
        <v>3.1365509781721937E-2</v>
      </c>
      <c r="AK107" s="48">
        <v>49.80821917808219</v>
      </c>
    </row>
    <row r="108" spans="28:37" x14ac:dyDescent="0.4">
      <c r="AB108" s="41">
        <v>20430427</v>
      </c>
      <c r="AC108" s="42">
        <v>20430727</v>
      </c>
      <c r="AD108" s="42">
        <v>20430727</v>
      </c>
      <c r="AE108" s="44">
        <v>3.1205462640418694E-2</v>
      </c>
      <c r="AF108" s="48">
        <v>77.799920555564412</v>
      </c>
      <c r="AG108" s="42">
        <v>20430427</v>
      </c>
      <c r="AH108" s="42">
        <v>20430727</v>
      </c>
      <c r="AI108" s="42">
        <v>20430727</v>
      </c>
      <c r="AJ108" s="44">
        <v>3.1205462640418694E-2</v>
      </c>
      <c r="AK108" s="48">
        <v>50.361643835616434</v>
      </c>
    </row>
    <row r="109" spans="28:37" x14ac:dyDescent="0.4">
      <c r="AB109" s="41">
        <v>20430727</v>
      </c>
      <c r="AC109" s="42">
        <v>20431027</v>
      </c>
      <c r="AD109" s="42">
        <v>20431027</v>
      </c>
      <c r="AE109" s="44">
        <v>3.1043611162585874E-2</v>
      </c>
      <c r="AF109" s="48">
        <v>78.246910327613719</v>
      </c>
      <c r="AG109" s="42">
        <v>20430727</v>
      </c>
      <c r="AH109" s="42">
        <v>20431027</v>
      </c>
      <c r="AI109" s="42">
        <v>20431027</v>
      </c>
      <c r="AJ109" s="44">
        <v>3.1043611162585874E-2</v>
      </c>
      <c r="AK109" s="48">
        <v>50.915068493150685</v>
      </c>
    </row>
    <row r="110" spans="28:37" x14ac:dyDescent="0.4">
      <c r="AB110" s="41">
        <v>20431027</v>
      </c>
      <c r="AC110" s="42">
        <v>20440127</v>
      </c>
      <c r="AD110" s="42">
        <v>20440127</v>
      </c>
      <c r="AE110" s="44">
        <v>3.0879573942033688E-2</v>
      </c>
      <c r="AF110" s="48">
        <v>77.833446648413684</v>
      </c>
      <c r="AG110" s="42">
        <v>20431027</v>
      </c>
      <c r="AH110" s="42">
        <v>20440127</v>
      </c>
      <c r="AI110" s="42">
        <v>20440127</v>
      </c>
      <c r="AJ110" s="44">
        <v>3.0879573942033688E-2</v>
      </c>
      <c r="AK110" s="48">
        <v>50.915068493150685</v>
      </c>
    </row>
    <row r="111" spans="28:37" x14ac:dyDescent="0.4">
      <c r="AB111" s="41">
        <v>20440127</v>
      </c>
      <c r="AC111" s="42">
        <v>20440427</v>
      </c>
      <c r="AD111" s="42">
        <v>20440427</v>
      </c>
      <c r="AE111" s="44">
        <v>3.0715175417715304E-2</v>
      </c>
      <c r="AF111" s="48">
        <v>76.577560630468284</v>
      </c>
      <c r="AG111" s="42">
        <v>20440127</v>
      </c>
      <c r="AH111" s="42">
        <v>20440427</v>
      </c>
      <c r="AI111" s="42">
        <v>20440427</v>
      </c>
      <c r="AJ111" s="44">
        <v>3.0715175417715304E-2</v>
      </c>
      <c r="AK111" s="48">
        <v>50.361643835616434</v>
      </c>
    </row>
    <row r="112" spans="28:37" x14ac:dyDescent="0.4">
      <c r="AB112" s="41">
        <v>20440427</v>
      </c>
      <c r="AC112" s="42">
        <v>20440727</v>
      </c>
      <c r="AD112" s="42">
        <v>20440727</v>
      </c>
      <c r="AE112" s="44">
        <v>3.0552948014086482E-2</v>
      </c>
      <c r="AF112" s="48">
        <v>76.173103267996439</v>
      </c>
      <c r="AG112" s="42">
        <v>20440427</v>
      </c>
      <c r="AH112" s="42">
        <v>20440727</v>
      </c>
      <c r="AI112" s="42">
        <v>20440727</v>
      </c>
      <c r="AJ112" s="44">
        <v>3.0552948014086482E-2</v>
      </c>
      <c r="AK112" s="48">
        <v>50.361643835616434</v>
      </c>
    </row>
    <row r="113" spans="28:37" x14ac:dyDescent="0.4">
      <c r="AB113" s="41">
        <v>20440727</v>
      </c>
      <c r="AC113" s="42">
        <v>20441027</v>
      </c>
      <c r="AD113" s="42">
        <v>20441027</v>
      </c>
      <c r="AE113" s="44">
        <v>3.0391068173491059E-2</v>
      </c>
      <c r="AF113" s="48">
        <v>76.602144437292537</v>
      </c>
      <c r="AG113" s="42">
        <v>20440727</v>
      </c>
      <c r="AH113" s="42">
        <v>20441027</v>
      </c>
      <c r="AI113" s="42">
        <v>20441027</v>
      </c>
      <c r="AJ113" s="44">
        <v>3.0391068173491059E-2</v>
      </c>
      <c r="AK113" s="48">
        <v>50.915068493150685</v>
      </c>
    </row>
    <row r="114" spans="28:37" x14ac:dyDescent="0.4">
      <c r="AB114" s="41">
        <v>20441027</v>
      </c>
      <c r="AC114" s="42">
        <v>20450127</v>
      </c>
      <c r="AD114" s="42">
        <v>20450127</v>
      </c>
      <c r="AE114" s="44">
        <v>3.0227057723746158E-2</v>
      </c>
      <c r="AF114" s="48">
        <v>76.188748235195803</v>
      </c>
      <c r="AG114" s="42">
        <v>20441027</v>
      </c>
      <c r="AH114" s="42">
        <v>20450127</v>
      </c>
      <c r="AI114" s="42">
        <v>20450127</v>
      </c>
      <c r="AJ114" s="44">
        <v>3.0227057723746158E-2</v>
      </c>
      <c r="AK114" s="48">
        <v>50.915068493150685</v>
      </c>
    </row>
    <row r="115" spans="28:37" x14ac:dyDescent="0.4">
      <c r="AB115" s="41">
        <v>20450127</v>
      </c>
      <c r="AC115" s="42">
        <v>20450427</v>
      </c>
      <c r="AD115" s="42">
        <v>20450427</v>
      </c>
      <c r="AE115" s="44">
        <v>3.0062425470375683E-2</v>
      </c>
      <c r="AF115" s="48">
        <v>74.126528557090722</v>
      </c>
      <c r="AG115" s="42">
        <v>20450127</v>
      </c>
      <c r="AH115" s="42">
        <v>20450427</v>
      </c>
      <c r="AI115" s="42">
        <v>20450427</v>
      </c>
      <c r="AJ115" s="44">
        <v>3.0062425470375683E-2</v>
      </c>
      <c r="AK115" s="48">
        <v>49.80821917808219</v>
      </c>
    </row>
    <row r="116" spans="28:37" x14ac:dyDescent="0.4">
      <c r="AB116" s="41">
        <v>20450427</v>
      </c>
      <c r="AC116" s="42">
        <v>20450727</v>
      </c>
      <c r="AD116" s="42">
        <v>20450727</v>
      </c>
      <c r="AE116" s="44">
        <v>2.9902321116040135E-2</v>
      </c>
      <c r="AF116" s="48">
        <v>74.55099237149733</v>
      </c>
      <c r="AG116" s="42">
        <v>20450427</v>
      </c>
      <c r="AH116" s="42">
        <v>20450727</v>
      </c>
      <c r="AI116" s="42">
        <v>20450727</v>
      </c>
      <c r="AJ116" s="44">
        <v>2.9902321116040135E-2</v>
      </c>
      <c r="AK116" s="48">
        <v>50.361643835616434</v>
      </c>
    </row>
    <row r="117" spans="28:37" x14ac:dyDescent="0.4">
      <c r="AB117" s="41">
        <v>20450727</v>
      </c>
      <c r="AC117" s="42">
        <v>20451027</v>
      </c>
      <c r="AD117" s="42">
        <v>20451027</v>
      </c>
      <c r="AE117" s="44">
        <v>2.9740414147453199E-2</v>
      </c>
      <c r="AF117" s="48">
        <v>74.962139768923137</v>
      </c>
      <c r="AG117" s="42">
        <v>20450727</v>
      </c>
      <c r="AH117" s="42">
        <v>20451027</v>
      </c>
      <c r="AI117" s="42">
        <v>20451027</v>
      </c>
      <c r="AJ117" s="44">
        <v>2.9740414147453199E-2</v>
      </c>
      <c r="AK117" s="48">
        <v>50.915068493150685</v>
      </c>
    </row>
    <row r="118" spans="28:37" x14ac:dyDescent="0.4">
      <c r="AB118" s="41">
        <v>20451027</v>
      </c>
      <c r="AC118" s="42">
        <v>20460129</v>
      </c>
      <c r="AD118" s="42">
        <v>20460129</v>
      </c>
      <c r="AE118" s="44">
        <v>2.9576978331964075E-2</v>
      </c>
      <c r="AF118" s="48">
        <v>76.170848306975969</v>
      </c>
      <c r="AG118" s="42">
        <v>20451027</v>
      </c>
      <c r="AH118" s="42">
        <v>20460129</v>
      </c>
      <c r="AI118" s="42">
        <v>20460129</v>
      </c>
      <c r="AJ118" s="44">
        <v>2.9576978331964075E-2</v>
      </c>
      <c r="AK118" s="48">
        <v>52.021917808219179</v>
      </c>
    </row>
    <row r="119" spans="28:37" x14ac:dyDescent="0.4">
      <c r="AB119" s="41">
        <v>20460129</v>
      </c>
      <c r="AC119" s="42">
        <v>20460427</v>
      </c>
      <c r="AD119" s="42">
        <v>20460427</v>
      </c>
      <c r="AE119" s="44">
        <v>2.94086275964573E-2</v>
      </c>
      <c r="AF119" s="48">
        <v>70.90299256132171</v>
      </c>
      <c r="AG119" s="42">
        <v>20460129</v>
      </c>
      <c r="AH119" s="42">
        <v>20460427</v>
      </c>
      <c r="AI119" s="42">
        <v>20460427</v>
      </c>
      <c r="AJ119" s="44">
        <v>2.94086275964573E-2</v>
      </c>
      <c r="AK119" s="48">
        <v>48.701369863013703</v>
      </c>
    </row>
    <row r="120" spans="28:37" x14ac:dyDescent="0.4">
      <c r="AB120" s="41">
        <v>20460427</v>
      </c>
      <c r="AC120" s="42">
        <v>20460727</v>
      </c>
      <c r="AD120" s="42">
        <v>20460727</v>
      </c>
      <c r="AE120" s="44">
        <v>2.9251798959045557E-2</v>
      </c>
      <c r="AF120" s="48">
        <v>72.929142610223167</v>
      </c>
      <c r="AG120" s="42">
        <v>20460427</v>
      </c>
      <c r="AH120" s="42">
        <v>20460727</v>
      </c>
      <c r="AI120" s="42">
        <v>20460727</v>
      </c>
      <c r="AJ120" s="44">
        <v>2.9251798959045557E-2</v>
      </c>
      <c r="AK120" s="48">
        <v>50.361643835616434</v>
      </c>
    </row>
    <row r="121" spans="28:37" x14ac:dyDescent="0.4">
      <c r="AB121" s="41">
        <v>20460727</v>
      </c>
      <c r="AC121" s="42">
        <v>20461029</v>
      </c>
      <c r="AD121" s="42">
        <v>20461029</v>
      </c>
      <c r="AE121" s="44">
        <v>2.9090336264118812E-2</v>
      </c>
      <c r="AF121" s="48">
        <v>74.917578324032007</v>
      </c>
      <c r="AG121" s="42">
        <v>20460727</v>
      </c>
      <c r="AH121" s="42">
        <v>20461029</v>
      </c>
      <c r="AI121" s="42">
        <v>20461029</v>
      </c>
      <c r="AJ121" s="44">
        <v>2.9090336264118812E-2</v>
      </c>
      <c r="AK121" s="48">
        <v>52.021917808219179</v>
      </c>
    </row>
    <row r="122" spans="28:37" x14ac:dyDescent="0.4">
      <c r="AB122" s="41">
        <v>20461029</v>
      </c>
      <c r="AC122" s="42">
        <v>20470128</v>
      </c>
      <c r="AD122" s="42">
        <v>20470128</v>
      </c>
      <c r="AE122" s="44">
        <v>2.8922344740957045E-2</v>
      </c>
      <c r="AF122" s="48">
        <v>72.107763600742231</v>
      </c>
      <c r="AG122" s="42">
        <v>20461029</v>
      </c>
      <c r="AH122" s="42">
        <v>20470128</v>
      </c>
      <c r="AI122" s="42">
        <v>20470128</v>
      </c>
      <c r="AJ122" s="44">
        <v>2.8922344740957045E-2</v>
      </c>
      <c r="AK122" s="48">
        <v>50.361643835616434</v>
      </c>
    </row>
    <row r="123" spans="28:37" x14ac:dyDescent="0.4">
      <c r="AB123" s="41">
        <v>20470128</v>
      </c>
      <c r="AC123" s="42">
        <v>20470429</v>
      </c>
      <c r="AD123" s="42">
        <v>20470429</v>
      </c>
      <c r="AE123" s="44">
        <v>2.8759966808308546E-2</v>
      </c>
      <c r="AF123" s="48">
        <v>71.702930946741859</v>
      </c>
      <c r="AG123" s="42">
        <v>20470128</v>
      </c>
      <c r="AH123" s="42">
        <v>20470429</v>
      </c>
      <c r="AI123" s="42">
        <v>20470429</v>
      </c>
      <c r="AJ123" s="44">
        <v>2.8759966808308546E-2</v>
      </c>
      <c r="AK123" s="48">
        <v>50.361643835616434</v>
      </c>
    </row>
    <row r="124" spans="28:37" x14ac:dyDescent="0.4">
      <c r="AB124" s="41">
        <v>20470429</v>
      </c>
      <c r="AC124" s="42">
        <v>20470729</v>
      </c>
      <c r="AD124" s="42">
        <v>20470729</v>
      </c>
      <c r="AE124" s="44">
        <v>2.8597817883560358E-2</v>
      </c>
      <c r="AF124" s="48">
        <v>71.298669243945</v>
      </c>
      <c r="AG124" s="42">
        <v>20470429</v>
      </c>
      <c r="AH124" s="42">
        <v>20470729</v>
      </c>
      <c r="AI124" s="42">
        <v>20470729</v>
      </c>
      <c r="AJ124" s="44">
        <v>2.8597817883560358E-2</v>
      </c>
      <c r="AK124" s="48">
        <v>50.361643835616434</v>
      </c>
    </row>
    <row r="125" spans="28:37" x14ac:dyDescent="0.4">
      <c r="AB125" s="41">
        <v>20470729</v>
      </c>
      <c r="AC125" s="42">
        <v>20471028</v>
      </c>
      <c r="AD125" s="42">
        <v>20471028</v>
      </c>
      <c r="AE125" s="44">
        <v>3.01881665761712E-2</v>
      </c>
      <c r="AF125" s="48">
        <v>75.263648176207653</v>
      </c>
      <c r="AG125" s="42">
        <v>20470729</v>
      </c>
      <c r="AH125" s="42">
        <v>20471028</v>
      </c>
      <c r="AI125" s="42">
        <v>20471028</v>
      </c>
      <c r="AJ125" s="44">
        <v>3.01881665761712E-2</v>
      </c>
      <c r="AK125" s="48">
        <v>50.361643835616434</v>
      </c>
    </row>
    <row r="126" spans="28:37" x14ac:dyDescent="0.4">
      <c r="AB126" s="41">
        <v>20471028</v>
      </c>
      <c r="AC126" s="42">
        <v>20480127</v>
      </c>
      <c r="AD126" s="42">
        <v>20480127</v>
      </c>
      <c r="AE126" s="44">
        <v>3.1991876342518807E-2</v>
      </c>
      <c r="AF126" s="48">
        <v>79.760568415594847</v>
      </c>
      <c r="AG126" s="42">
        <v>20471028</v>
      </c>
      <c r="AH126" s="42">
        <v>20480127</v>
      </c>
      <c r="AI126" s="42">
        <v>20480127</v>
      </c>
      <c r="AJ126" s="44">
        <v>3.1991876342518807E-2</v>
      </c>
      <c r="AK126" s="48">
        <v>50.361643835616434</v>
      </c>
    </row>
    <row r="127" spans="28:37" x14ac:dyDescent="0.4">
      <c r="AB127" s="41">
        <v>20480127</v>
      </c>
      <c r="AC127" s="42">
        <v>20480427</v>
      </c>
      <c r="AD127" s="42">
        <v>20480427</v>
      </c>
      <c r="AE127" s="44">
        <v>3.1901409099561219E-2</v>
      </c>
      <c r="AF127" s="48">
        <v>79.535019946851264</v>
      </c>
      <c r="AG127" s="42">
        <v>20480127</v>
      </c>
      <c r="AH127" s="42">
        <v>20480427</v>
      </c>
      <c r="AI127" s="42">
        <v>20480427</v>
      </c>
      <c r="AJ127" s="44">
        <v>3.1901409099561219E-2</v>
      </c>
      <c r="AK127" s="48">
        <v>50.361643835616434</v>
      </c>
    </row>
    <row r="128" spans="28:37" x14ac:dyDescent="0.4">
      <c r="AB128" s="41">
        <v>20480427</v>
      </c>
      <c r="AC128" s="42">
        <v>20480727</v>
      </c>
      <c r="AD128" s="42">
        <v>20480727</v>
      </c>
      <c r="AE128" s="44">
        <v>3.1811820182062384E-2</v>
      </c>
      <c r="AF128" s="48">
        <v>79.311661275826765</v>
      </c>
      <c r="AG128" s="42">
        <v>20480427</v>
      </c>
      <c r="AH128" s="42">
        <v>20480727</v>
      </c>
      <c r="AI128" s="42">
        <v>20480727</v>
      </c>
      <c r="AJ128" s="44">
        <v>3.1811820182062384E-2</v>
      </c>
      <c r="AK128" s="48">
        <v>50.361643835616434</v>
      </c>
    </row>
    <row r="129" spans="28:37" x14ac:dyDescent="0.4">
      <c r="AB129" s="41">
        <v>20480727</v>
      </c>
      <c r="AC129" s="42">
        <v>20481027</v>
      </c>
      <c r="AD129" s="42">
        <v>20481027</v>
      </c>
      <c r="AE129" s="44">
        <v>3.1723086259173805E-2</v>
      </c>
      <c r="AF129" s="48">
        <v>79.959559886136731</v>
      </c>
      <c r="AG129" s="42">
        <v>20480727</v>
      </c>
      <c r="AH129" s="42">
        <v>20481027</v>
      </c>
      <c r="AI129" s="42">
        <v>20481027</v>
      </c>
      <c r="AJ129" s="44">
        <v>3.1723086259173805E-2</v>
      </c>
      <c r="AK129" s="48">
        <v>50.915068493150685</v>
      </c>
    </row>
    <row r="130" spans="28:37" x14ac:dyDescent="0.4">
      <c r="AB130" s="41">
        <v>20481027</v>
      </c>
      <c r="AC130" s="42">
        <v>20490127</v>
      </c>
      <c r="AD130" s="42">
        <v>20490127</v>
      </c>
      <c r="AE130" s="44">
        <v>3.1632509055391542E-2</v>
      </c>
      <c r="AF130" s="48">
        <v>79.731255701260878</v>
      </c>
      <c r="AG130" s="42">
        <v>20481027</v>
      </c>
      <c r="AH130" s="42">
        <v>20490127</v>
      </c>
      <c r="AI130" s="42">
        <v>20490127</v>
      </c>
      <c r="AJ130" s="44">
        <v>3.1632509055391542E-2</v>
      </c>
      <c r="AK130" s="48">
        <v>50.915068493150685</v>
      </c>
    </row>
    <row r="131" spans="28:37" x14ac:dyDescent="0.4">
      <c r="AB131" s="41">
        <v>20490127</v>
      </c>
      <c r="AC131" s="42">
        <v>20490427</v>
      </c>
      <c r="AD131" s="42">
        <v>20490427</v>
      </c>
      <c r="AE131" s="44">
        <v>3.1540258782345135E-2</v>
      </c>
      <c r="AF131" s="48">
        <v>77.770501107152384</v>
      </c>
      <c r="AG131" s="42">
        <v>20490127</v>
      </c>
      <c r="AH131" s="42">
        <v>20490427</v>
      </c>
      <c r="AI131" s="42">
        <v>20490427</v>
      </c>
      <c r="AJ131" s="44">
        <v>3.1540258782345135E-2</v>
      </c>
      <c r="AK131" s="48">
        <v>49.80821917808219</v>
      </c>
    </row>
    <row r="132" spans="28:37" x14ac:dyDescent="0.4">
      <c r="AB132" s="41">
        <v>20490427</v>
      </c>
      <c r="AC132" s="42">
        <v>20490727</v>
      </c>
      <c r="AD132" s="42">
        <v>20490727</v>
      </c>
      <c r="AE132" s="44">
        <v>3.1452499968879902E-2</v>
      </c>
      <c r="AF132" s="48">
        <v>78.415821840221128</v>
      </c>
      <c r="AG132" s="42">
        <v>20490427</v>
      </c>
      <c r="AH132" s="42">
        <v>20490727</v>
      </c>
      <c r="AI132" s="42">
        <v>20490727</v>
      </c>
      <c r="AJ132" s="44">
        <v>3.1452499968879902E-2</v>
      </c>
      <c r="AK132" s="48">
        <v>50.361643835616434</v>
      </c>
    </row>
    <row r="133" spans="28:37" x14ac:dyDescent="0.4">
      <c r="AB133" s="41">
        <v>20490727</v>
      </c>
      <c r="AC133" s="42">
        <v>20491027</v>
      </c>
      <c r="AD133" s="42">
        <v>20491027</v>
      </c>
      <c r="AE133" s="44">
        <v>3.1363743124361083E-2</v>
      </c>
      <c r="AF133" s="48">
        <v>79.053818286060832</v>
      </c>
      <c r="AG133" s="42">
        <v>20490727</v>
      </c>
      <c r="AH133" s="42">
        <v>20491027</v>
      </c>
      <c r="AI133" s="42">
        <v>20491027</v>
      </c>
      <c r="AJ133" s="44">
        <v>3.1363743124361083E-2</v>
      </c>
      <c r="AK133" s="48">
        <v>50.915068493150685</v>
      </c>
    </row>
    <row r="134" spans="28:37" x14ac:dyDescent="0.4">
      <c r="AB134" s="41">
        <v>20491027</v>
      </c>
      <c r="AC134" s="42">
        <v>20500127</v>
      </c>
      <c r="AD134" s="42">
        <v>20500127</v>
      </c>
      <c r="AE134" s="44">
        <v>3.1273174059454761E-2</v>
      </c>
      <c r="AF134" s="48">
        <v>78.825534615612014</v>
      </c>
      <c r="AG134" s="42">
        <v>20491027</v>
      </c>
      <c r="AH134" s="42">
        <v>20500127</v>
      </c>
      <c r="AI134" s="42">
        <v>20500127</v>
      </c>
      <c r="AJ134" s="44">
        <v>3.1273174059454761E-2</v>
      </c>
      <c r="AK134" s="48">
        <v>50.915068493150685</v>
      </c>
    </row>
    <row r="135" spans="28:37" x14ac:dyDescent="0.4">
      <c r="AB135" s="41">
        <v>20500127</v>
      </c>
      <c r="AC135" s="42">
        <v>20500427</v>
      </c>
      <c r="AD135" s="42">
        <v>20500427</v>
      </c>
      <c r="AE135" s="44">
        <v>3.1180993334962978E-2</v>
      </c>
      <c r="AF135" s="48">
        <v>76.884641099908706</v>
      </c>
      <c r="AG135" s="42">
        <v>20500127</v>
      </c>
      <c r="AH135" s="42">
        <v>20500427</v>
      </c>
      <c r="AI135" s="42">
        <v>20500427</v>
      </c>
      <c r="AJ135" s="44">
        <v>3.1180993334962978E-2</v>
      </c>
      <c r="AK135" s="48">
        <v>49.80821917808219</v>
      </c>
    </row>
    <row r="136" spans="28:37" x14ac:dyDescent="0.4">
      <c r="AB136" s="41">
        <v>20500427</v>
      </c>
      <c r="AC136" s="42">
        <v>20500727</v>
      </c>
      <c r="AD136" s="42">
        <v>20500727</v>
      </c>
      <c r="AE136" s="44">
        <v>3.1093211691730242E-2</v>
      </c>
      <c r="AF136" s="48">
        <v>77.520062025957586</v>
      </c>
      <c r="AG136" s="42">
        <v>20500427</v>
      </c>
      <c r="AH136" s="42">
        <v>20500727</v>
      </c>
      <c r="AI136" s="42">
        <v>20500727</v>
      </c>
      <c r="AJ136" s="44">
        <v>3.1093211691730242E-2</v>
      </c>
      <c r="AK136" s="48">
        <v>50.361643835616434</v>
      </c>
    </row>
    <row r="137" spans="28:37" x14ac:dyDescent="0.4">
      <c r="AB137" s="41">
        <v>20500727</v>
      </c>
      <c r="AC137" s="42">
        <v>20501027</v>
      </c>
      <c r="AD137" s="42">
        <v>20501027</v>
      </c>
      <c r="AE137" s="44">
        <v>3.1004432278568979E-2</v>
      </c>
      <c r="AF137" s="48">
        <v>78.148158072009494</v>
      </c>
      <c r="AG137" s="42">
        <v>20500727</v>
      </c>
      <c r="AH137" s="42">
        <v>20501027</v>
      </c>
      <c r="AI137" s="42">
        <v>20501027</v>
      </c>
      <c r="AJ137" s="44">
        <v>3.1004432278568979E-2</v>
      </c>
      <c r="AK137" s="48">
        <v>50.915068493150685</v>
      </c>
    </row>
    <row r="138" spans="28:37" x14ac:dyDescent="0.4">
      <c r="AB138" s="41">
        <v>20501027</v>
      </c>
      <c r="AC138" s="42">
        <v>20510127</v>
      </c>
      <c r="AD138" s="42">
        <v>20510127</v>
      </c>
      <c r="AE138" s="44">
        <v>3.0913871351807912E-2</v>
      </c>
      <c r="AF138" s="48">
        <v>77.919894914145971</v>
      </c>
      <c r="AG138" s="42">
        <v>20501027</v>
      </c>
      <c r="AH138" s="42">
        <v>20510127</v>
      </c>
      <c r="AI138" s="42">
        <v>20510127</v>
      </c>
      <c r="AJ138" s="44">
        <v>3.0913871351807912E-2</v>
      </c>
      <c r="AK138" s="48">
        <v>50.915068493150685</v>
      </c>
    </row>
    <row r="139" spans="28:37" x14ac:dyDescent="0.4">
      <c r="AB139" s="41">
        <v>20510127</v>
      </c>
      <c r="AC139" s="42">
        <v>20510427</v>
      </c>
      <c r="AD139" s="42">
        <v>20510427</v>
      </c>
      <c r="AE139" s="44">
        <v>3.0821759467869858E-2</v>
      </c>
      <c r="AF139" s="48">
        <v>75.99885896187088</v>
      </c>
      <c r="AG139" s="42">
        <v>20510127</v>
      </c>
      <c r="AH139" s="42">
        <v>20510427</v>
      </c>
      <c r="AI139" s="42">
        <v>20510427</v>
      </c>
      <c r="AJ139" s="44">
        <v>3.0821759467869858E-2</v>
      </c>
      <c r="AK139" s="48">
        <v>49.80821917808219</v>
      </c>
    </row>
    <row r="140" spans="28:37" x14ac:dyDescent="0.4">
      <c r="AB140" s="41">
        <v>20510427</v>
      </c>
      <c r="AC140" s="42">
        <v>20510727</v>
      </c>
      <c r="AD140" s="42">
        <v>20510727</v>
      </c>
      <c r="AE140" s="44">
        <v>3.0733955347773546E-2</v>
      </c>
      <c r="AF140" s="48">
        <v>76.624381825955965</v>
      </c>
      <c r="AG140" s="42">
        <v>20510427</v>
      </c>
      <c r="AH140" s="42">
        <v>20510727</v>
      </c>
      <c r="AI140" s="42">
        <v>20510727</v>
      </c>
      <c r="AJ140" s="44">
        <v>3.0733955347773546E-2</v>
      </c>
      <c r="AK140" s="48">
        <v>50.361643835616434</v>
      </c>
    </row>
    <row r="141" spans="28:37" x14ac:dyDescent="0.4">
      <c r="AB141" s="41">
        <v>20510727</v>
      </c>
      <c r="AC141" s="42">
        <v>20511027</v>
      </c>
      <c r="AD141" s="42">
        <v>20511027</v>
      </c>
      <c r="AE141" s="44">
        <v>3.0645153718895948E-2</v>
      </c>
      <c r="AF141" s="48">
        <v>77.242579236669243</v>
      </c>
      <c r="AG141" s="42">
        <v>20510727</v>
      </c>
      <c r="AH141" s="42">
        <v>20511027</v>
      </c>
      <c r="AI141" s="42">
        <v>20511027</v>
      </c>
      <c r="AJ141" s="44">
        <v>3.0645153718895948E-2</v>
      </c>
      <c r="AK141" s="48">
        <v>50.915068493150685</v>
      </c>
    </row>
    <row r="142" spans="28:37" x14ac:dyDescent="0.4">
      <c r="AB142" s="41">
        <v>20511027</v>
      </c>
      <c r="AC142" s="42">
        <v>20520129</v>
      </c>
      <c r="AD142" s="42">
        <v>20520129</v>
      </c>
      <c r="AE142" s="44">
        <v>3.0556107667964062E-2</v>
      </c>
      <c r="AF142" s="48">
        <v>78.692441665441706</v>
      </c>
      <c r="AG142" s="42">
        <v>20511027</v>
      </c>
      <c r="AH142" s="42">
        <v>20520129</v>
      </c>
      <c r="AI142" s="42">
        <v>20520129</v>
      </c>
      <c r="AJ142" s="44">
        <v>3.0556107667964062E-2</v>
      </c>
      <c r="AK142" s="48">
        <v>52.021917808219179</v>
      </c>
    </row>
    <row r="143" spans="28:37" x14ac:dyDescent="0.4">
      <c r="AB143" s="41">
        <v>20520129</v>
      </c>
      <c r="AC143" s="42">
        <v>20520429</v>
      </c>
      <c r="AD143" s="42">
        <v>20520429</v>
      </c>
      <c r="AE143" s="44">
        <v>3.0461335543051062E-2</v>
      </c>
      <c r="AF143" s="48">
        <v>75.944699573086211</v>
      </c>
      <c r="AG143" s="42">
        <v>20520129</v>
      </c>
      <c r="AH143" s="42">
        <v>20520429</v>
      </c>
      <c r="AI143" s="42">
        <v>20520429</v>
      </c>
      <c r="AJ143" s="44">
        <v>3.0461335543051062E-2</v>
      </c>
      <c r="AK143" s="48">
        <v>50.361643835616434</v>
      </c>
    </row>
    <row r="144" spans="28:37" x14ac:dyDescent="0.4">
      <c r="AB144" s="41">
        <v>20520429</v>
      </c>
      <c r="AC144" s="42">
        <v>20520729</v>
      </c>
      <c r="AD144" s="42">
        <v>20520729</v>
      </c>
      <c r="AE144" s="44">
        <v>3.0371778537034964E-2</v>
      </c>
      <c r="AF144" s="48">
        <v>75.721420462196761</v>
      </c>
      <c r="AG144" s="42">
        <v>20520429</v>
      </c>
      <c r="AH144" s="42">
        <v>20520729</v>
      </c>
      <c r="AI144" s="42">
        <v>20520729</v>
      </c>
      <c r="AJ144" s="44">
        <v>3.0371778537034964E-2</v>
      </c>
      <c r="AK144" s="48">
        <v>50.361643835616434</v>
      </c>
    </row>
    <row r="145" spans="28:37" x14ac:dyDescent="0.4">
      <c r="AB145" s="41">
        <v>20520729</v>
      </c>
      <c r="AC145" s="42">
        <v>20521028</v>
      </c>
      <c r="AD145" s="42">
        <v>20521028</v>
      </c>
      <c r="AE145" s="44">
        <v>3.2932965894173397E-2</v>
      </c>
      <c r="AF145" s="48">
        <v>82.106846475884353</v>
      </c>
      <c r="AG145" s="42">
        <v>20520729</v>
      </c>
      <c r="AH145" s="42">
        <v>20521028</v>
      </c>
      <c r="AI145" s="42">
        <v>20521028</v>
      </c>
      <c r="AJ145" s="44">
        <v>3.2932965894173397E-2</v>
      </c>
      <c r="AK145" s="48">
        <v>50.361643835616434</v>
      </c>
    </row>
    <row r="146" spans="28:37" x14ac:dyDescent="0.4">
      <c r="AB146" s="41">
        <v>20521028</v>
      </c>
      <c r="AC146" s="42">
        <v>20530127</v>
      </c>
      <c r="AD146" s="42">
        <v>20530127</v>
      </c>
      <c r="AE146" s="44">
        <v>3.5679470927272118E-2</v>
      </c>
      <c r="AF146" s="48">
        <v>88.954297380322274</v>
      </c>
      <c r="AG146" s="42">
        <v>20521028</v>
      </c>
      <c r="AH146" s="42">
        <v>20530127</v>
      </c>
      <c r="AI146" s="42">
        <v>20530127</v>
      </c>
      <c r="AJ146" s="44">
        <v>3.5679470927272118E-2</v>
      </c>
      <c r="AK146" s="48">
        <v>50.361643835616434</v>
      </c>
    </row>
    <row r="147" spans="28:37" x14ac:dyDescent="0.4">
      <c r="AB147" s="41">
        <v>20530127</v>
      </c>
      <c r="AC147" s="42">
        <v>20530428</v>
      </c>
      <c r="AD147" s="42">
        <v>20530428</v>
      </c>
      <c r="AE147" s="44">
        <v>3.5677761975829725E-2</v>
      </c>
      <c r="AF147" s="48">
        <v>88.950036706863159</v>
      </c>
      <c r="AG147" s="42">
        <v>20530127</v>
      </c>
      <c r="AH147" s="42">
        <v>20530428</v>
      </c>
      <c r="AI147" s="42">
        <v>20530428</v>
      </c>
      <c r="AJ147" s="44">
        <v>3.5677761975829725E-2</v>
      </c>
      <c r="AK147" s="48">
        <v>50.361643835616434</v>
      </c>
    </row>
    <row r="148" spans="28:37" x14ac:dyDescent="0.4">
      <c r="AB148" s="41">
        <v>20530428</v>
      </c>
      <c r="AC148" s="42">
        <v>20530728</v>
      </c>
      <c r="AD148" s="42">
        <v>20530728</v>
      </c>
      <c r="AE148" s="44">
        <v>3.5677761975829725E-2</v>
      </c>
      <c r="AF148" s="48">
        <v>88.950036706863159</v>
      </c>
      <c r="AG148" s="42">
        <v>20530428</v>
      </c>
      <c r="AH148" s="42">
        <v>20530728</v>
      </c>
      <c r="AI148" s="42">
        <v>20530728</v>
      </c>
      <c r="AJ148" s="44">
        <v>3.5677761975829725E-2</v>
      </c>
      <c r="AK148" s="48">
        <v>50.361643835616434</v>
      </c>
    </row>
    <row r="149" spans="28:37" x14ac:dyDescent="0.4">
      <c r="AB149" s="41">
        <v>20530728</v>
      </c>
      <c r="AC149" s="42">
        <v>20531027</v>
      </c>
      <c r="AD149" s="42">
        <v>20531027</v>
      </c>
      <c r="AE149" s="44">
        <v>3.5679470927271216E-2</v>
      </c>
      <c r="AF149" s="48">
        <v>88.954297380320014</v>
      </c>
      <c r="AG149" s="42">
        <v>20530728</v>
      </c>
      <c r="AH149" s="42">
        <v>20531027</v>
      </c>
      <c r="AI149" s="42">
        <v>20531027</v>
      </c>
      <c r="AJ149" s="44">
        <v>3.5679470927271216E-2</v>
      </c>
      <c r="AK149" s="48">
        <v>50.361643835616434</v>
      </c>
    </row>
    <row r="150" spans="28:37" x14ac:dyDescent="0.4">
      <c r="AB150" s="41">
        <v>20531027</v>
      </c>
      <c r="AC150" s="42">
        <v>20540127</v>
      </c>
      <c r="AD150" s="42">
        <v>20540127</v>
      </c>
      <c r="AE150" s="44">
        <v>3.5679470927271216E-2</v>
      </c>
      <c r="AF150" s="48">
        <v>89.931817131752112</v>
      </c>
      <c r="AG150" s="42">
        <v>20531027</v>
      </c>
      <c r="AH150" s="42">
        <v>20540127</v>
      </c>
      <c r="AI150" s="42">
        <v>20540127</v>
      </c>
      <c r="AJ150" s="44">
        <v>3.5679470927271216E-2</v>
      </c>
      <c r="AK150" s="48">
        <v>50.915068493150685</v>
      </c>
    </row>
    <row r="151" spans="28:37" x14ac:dyDescent="0.4">
      <c r="AB151" s="41">
        <v>20540127</v>
      </c>
      <c r="AC151" s="42">
        <v>20540427</v>
      </c>
      <c r="AD151" s="42">
        <v>20540427</v>
      </c>
      <c r="AE151" s="44">
        <v>3.5676052814520534E-2</v>
      </c>
      <c r="AF151" s="48">
        <v>87.968349405667055</v>
      </c>
      <c r="AG151" s="42">
        <v>20540127</v>
      </c>
      <c r="AH151" s="42">
        <v>20540427</v>
      </c>
      <c r="AI151" s="42">
        <v>20540427</v>
      </c>
      <c r="AJ151" s="44">
        <v>3.5676052814520534E-2</v>
      </c>
      <c r="AK151" s="48">
        <v>49.80821917808219</v>
      </c>
    </row>
    <row r="152" spans="28:37" x14ac:dyDescent="0.4">
      <c r="AB152" s="41">
        <v>20540427</v>
      </c>
      <c r="AC152" s="42">
        <v>20540727</v>
      </c>
      <c r="AD152" s="42">
        <v>20540727</v>
      </c>
      <c r="AE152" s="44">
        <v>3.5677761975829725E-2</v>
      </c>
      <c r="AF152" s="48">
        <v>88.950036706863159</v>
      </c>
      <c r="AG152" s="42">
        <v>20540427</v>
      </c>
      <c r="AH152" s="42">
        <v>20540727</v>
      </c>
      <c r="AI152" s="42">
        <v>20540727</v>
      </c>
      <c r="AJ152" s="44">
        <v>3.5677761975829725E-2</v>
      </c>
      <c r="AK152" s="48">
        <v>50.361643835616434</v>
      </c>
    </row>
    <row r="153" spans="28:37" x14ac:dyDescent="0.4">
      <c r="AB153" s="41">
        <v>20540727</v>
      </c>
      <c r="AC153" s="42">
        <v>20541027</v>
      </c>
      <c r="AD153" s="42">
        <v>20541027</v>
      </c>
      <c r="AE153" s="44">
        <v>3.5679470927271667E-2</v>
      </c>
      <c r="AF153" s="48">
        <v>89.931817131753249</v>
      </c>
      <c r="AG153" s="42">
        <v>20540727</v>
      </c>
      <c r="AH153" s="42">
        <v>20541027</v>
      </c>
      <c r="AI153" s="42">
        <v>20541027</v>
      </c>
      <c r="AJ153" s="44">
        <v>3.5679470927271667E-2</v>
      </c>
      <c r="AK153" s="48">
        <v>50.915068493150685</v>
      </c>
    </row>
    <row r="154" spans="28:37" x14ac:dyDescent="0.4">
      <c r="AB154" s="41">
        <v>20541027</v>
      </c>
      <c r="AC154" s="42">
        <v>20550127</v>
      </c>
      <c r="AD154" s="42">
        <v>20550127</v>
      </c>
      <c r="AE154" s="44">
        <v>3.5679470927271667E-2</v>
      </c>
      <c r="AF154" s="48">
        <v>89.931817131753249</v>
      </c>
      <c r="AG154" s="42">
        <v>20541027</v>
      </c>
      <c r="AH154" s="42">
        <v>20550127</v>
      </c>
      <c r="AI154" s="42">
        <v>20550127</v>
      </c>
      <c r="AJ154" s="44">
        <v>3.5679470927271667E-2</v>
      </c>
      <c r="AK154" s="48">
        <v>50.915068493150685</v>
      </c>
    </row>
    <row r="155" spans="28:37" x14ac:dyDescent="0.4">
      <c r="AB155" s="41">
        <v>20550127</v>
      </c>
      <c r="AC155" s="42">
        <v>20550427</v>
      </c>
      <c r="AD155" s="42">
        <v>20550427</v>
      </c>
      <c r="AE155" s="44">
        <v>3.5676052814520076E-2</v>
      </c>
      <c r="AF155" s="48">
        <v>87.968349405665933</v>
      </c>
      <c r="AG155" s="42">
        <v>20550127</v>
      </c>
      <c r="AH155" s="42">
        <v>20550427</v>
      </c>
      <c r="AI155" s="42">
        <v>20550427</v>
      </c>
      <c r="AJ155" s="44">
        <v>3.5676052814520076E-2</v>
      </c>
      <c r="AK155" s="48">
        <v>49.80821917808219</v>
      </c>
    </row>
    <row r="156" spans="28:37" x14ac:dyDescent="0.4">
      <c r="AB156" s="41">
        <v>20550427</v>
      </c>
      <c r="AC156" s="42">
        <v>20550727</v>
      </c>
      <c r="AD156" s="42">
        <v>20550727</v>
      </c>
      <c r="AE156" s="44">
        <v>3.5677761975830627E-2</v>
      </c>
      <c r="AF156" s="48">
        <v>10088.950036706865</v>
      </c>
      <c r="AG156" s="42">
        <v>20550427</v>
      </c>
      <c r="AH156" s="42">
        <v>20550727</v>
      </c>
      <c r="AI156" s="42">
        <v>20550727</v>
      </c>
      <c r="AJ156" s="44">
        <v>3.5677761975830627E-2</v>
      </c>
      <c r="AK156" s="48">
        <v>10050.361643835617</v>
      </c>
    </row>
  </sheetData>
  <mergeCells count="163">
    <mergeCell ref="J10:K10"/>
    <mergeCell ref="L10:M10"/>
    <mergeCell ref="AB8:AC8"/>
    <mergeCell ref="AD8:AE8"/>
    <mergeCell ref="AM15:AR15"/>
    <mergeCell ref="AS15:AU15"/>
    <mergeCell ref="AV15:AW15"/>
    <mergeCell ref="AY3:AZ3"/>
    <mergeCell ref="AY5:AZ5"/>
    <mergeCell ref="J7:K7"/>
    <mergeCell ref="L7:M7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6:G36"/>
    <mergeCell ref="D37:E37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9:C34"/>
    <mergeCell ref="F31:G31"/>
    <mergeCell ref="J31:K31"/>
    <mergeCell ref="L31:M31"/>
    <mergeCell ref="H12:M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21:C23"/>
    <mergeCell ref="D18:E18"/>
    <mergeCell ref="F18:G18"/>
    <mergeCell ref="B16:C18"/>
    <mergeCell ref="D21:E21"/>
    <mergeCell ref="F21:G21"/>
    <mergeCell ref="D14:E14"/>
    <mergeCell ref="J14:K14"/>
    <mergeCell ref="L14:M14"/>
    <mergeCell ref="F16:G16"/>
    <mergeCell ref="D17:E17"/>
    <mergeCell ref="F17:G17"/>
    <mergeCell ref="J16:M16"/>
    <mergeCell ref="D22:E22"/>
    <mergeCell ref="F22:G22"/>
    <mergeCell ref="D16:E16"/>
    <mergeCell ref="H16:I16"/>
    <mergeCell ref="H17:I18"/>
    <mergeCell ref="J17:M18"/>
    <mergeCell ref="H21:I22"/>
    <mergeCell ref="J21:M22"/>
    <mergeCell ref="F37:G37"/>
    <mergeCell ref="D38:E38"/>
    <mergeCell ref="F38:G38"/>
    <mergeCell ref="L34:M34"/>
    <mergeCell ref="D23:E23"/>
    <mergeCell ref="F23:G23"/>
    <mergeCell ref="D29:E29"/>
    <mergeCell ref="F29:G29"/>
    <mergeCell ref="H37:I38"/>
    <mergeCell ref="J37:M38"/>
    <mergeCell ref="D32:E32"/>
    <mergeCell ref="F32:G32"/>
    <mergeCell ref="H32:M32"/>
    <mergeCell ref="H36:I36"/>
    <mergeCell ref="J34:K34"/>
    <mergeCell ref="J27:K27"/>
    <mergeCell ref="L27:M27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J11:K11"/>
    <mergeCell ref="L11:M11"/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</mergeCells>
  <phoneticPr fontId="2" type="noConversion"/>
  <dataValidations count="3">
    <dataValidation type="list" allowBlank="1" showInputMessage="1" showErrorMessage="1" sqref="H3:I3" xr:uid="{9AEDA7CF-5773-482E-BA3C-291C2745876D}">
      <formula1>$BA$4:$BC$4</formula1>
    </dataValidation>
    <dataValidation type="list" allowBlank="1" showInputMessage="1" showErrorMessage="1" sqref="D48" xr:uid="{9FDCD900-8DFE-4B54-9E12-094D81F99461}">
      <formula1>$BA$8:$BB$8</formula1>
    </dataValidation>
    <dataValidation type="list" allowBlank="1" showInputMessage="1" showErrorMessage="1" sqref="F9:G9 F29:G29" xr:uid="{A390DC8F-A7C6-471A-90F2-F57E0F83BAB9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2026-08-11T10:02:01Z</dcterms:modified>
</cp:coreProperties>
</file>