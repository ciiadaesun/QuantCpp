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C45585A3-41DF-4D64-9640-91A897D655EC}" xr6:coauthVersionLast="47" xr6:coauthVersionMax="47" xr10:uidLastSave="{00000000-0000-0000-0000-000000000000}"/>
  <bookViews>
    <workbookView xWindow="-96" yWindow="0" windowWidth="11712" windowHeight="12336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<sst xmlns="http://schemas.openxmlformats.org/spreadsheetml/2006/main" count="124" uniqueCount="89">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</sst>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abSelected="1"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  <c r="G4" s="149" t="s">
        <v>88</v>
      </c>
      <c r="H4" s="150">
        <v>0</v>
      </c>
    </row>
    <row r="5" spans="1:41" x14ac:dyDescent="0.4">
      <c r="A5" s="1">
        <f>A4+1</f>
        <v>5</v>
      </c>
      <c r="B5" s="51" t="s">
        <v>29</v>
      </c>
      <c r="C5" s="51"/>
      <c r="D5" s="67">
        <v>45538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1.7820416739655577E-3</v>
      </c>
      <c r="W12" s="16">
        <v>4.407138077438047E-9</v>
      </c>
    </row>
    <row r="13" spans="1:41" x14ac:dyDescent="0.4">
      <c r="A13" s="1">
        <f t="shared" si="1"/>
        <v>13</v>
      </c>
      <c r="C13" s="17" t="s">
        <v>22</v>
      </c>
      <c r="D13" s="55" t="s">
        <v>23</v>
      </c>
      <c r="E13" s="55"/>
      <c r="G13" s="59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5.0325576158811525E-3</v>
      </c>
      <c r="W13" s="16">
        <v>-5.0817293064525648E-9</v>
      </c>
    </row>
    <row r="14" spans="1:41" x14ac:dyDescent="0.4">
      <c r="A14" s="1">
        <f t="shared" si="1"/>
        <v>14</v>
      </c>
      <c r="D14" s="55"/>
      <c r="E14" s="55"/>
      <c r="G14" s="59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9.1647910653788276E-3</v>
      </c>
      <c r="W14" s="16">
        <v>-1.5241719050068658E-9</v>
      </c>
    </row>
    <row r="15" spans="1:41" x14ac:dyDescent="0.4">
      <c r="A15" s="1">
        <f t="shared" si="1"/>
        <v>15</v>
      </c>
      <c r="D15" s="55"/>
      <c r="E15" s="55"/>
      <c r="G15" s="59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1.4037367708151107E-2</v>
      </c>
      <c r="W15" s="16">
        <v>-5.4232384399249822E-9</v>
      </c>
    </row>
    <row r="16" spans="1:41" x14ac:dyDescent="0.4">
      <c r="A16" s="1">
        <f t="shared" si="1"/>
        <v>16</v>
      </c>
      <c r="G16" s="59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2.1274652828266245E-2</v>
      </c>
      <c r="W16" s="16">
        <v>-5.1291614427961818E-9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3.009426427638854E-2</v>
      </c>
      <c r="W17" s="16">
        <v>-3.8844178915087291E-9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4.5431990238158991E-2</v>
      </c>
      <c r="W18" s="16">
        <v>-2.3264610973794397E-8</v>
      </c>
    </row>
    <row r="19" spans="1:23" x14ac:dyDescent="0.4">
      <c r="A19" s="1">
        <f t="shared" si="1"/>
        <v>19</v>
      </c>
      <c r="G19" s="59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9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9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9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9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9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9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9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9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9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9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9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9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9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9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9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9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9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workbookViewId="0">
      <selection activeCell="B2" sqref="B2:C2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147" t="s">
        <v>88</v>
      </c>
      <c r="C2" s="148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0" t="s">
        <v>30</v>
      </c>
      <c r="C3" s="110"/>
      <c r="D3" s="145">
        <v>45538</v>
      </c>
      <c r="E3" s="87"/>
      <c r="F3" s="69" t="s">
        <v>31</v>
      </c>
      <c r="G3" s="69"/>
      <c r="H3" s="87">
        <v>0</v>
      </c>
      <c r="I3" s="87"/>
      <c r="J3" s="69" t="s">
        <v>32</v>
      </c>
      <c r="K3" s="69"/>
      <c r="L3" s="146">
        <v>40000000000</v>
      </c>
      <c r="M3" s="146"/>
      <c r="O3" s="129" t="s">
        <v>50</v>
      </c>
      <c r="P3" s="130"/>
      <c r="Q3" s="130"/>
      <c r="R3" s="131"/>
      <c r="T3" s="121" t="s">
        <v>56</v>
      </c>
      <c r="U3" s="122"/>
      <c r="W3" s="112" t="s">
        <v>77</v>
      </c>
      <c r="X3" s="113"/>
      <c r="Y3" s="112" t="s">
        <v>78</v>
      </c>
      <c r="Z3" s="113"/>
      <c r="AB3" s="80" t="s">
        <v>66</v>
      </c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2"/>
    </row>
    <row r="4" spans="1:57" x14ac:dyDescent="0.4">
      <c r="A4" s="21">
        <f t="shared" si="1"/>
        <v>4</v>
      </c>
      <c r="B4" s="20"/>
      <c r="C4" s="20"/>
      <c r="O4" s="132" t="s">
        <v>49</v>
      </c>
      <c r="P4" s="133"/>
      <c r="Q4" s="134">
        <v>43819</v>
      </c>
      <c r="R4" s="135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3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5"/>
    </row>
    <row r="5" spans="1:57" x14ac:dyDescent="0.4">
      <c r="A5" s="21">
        <f t="shared" si="1"/>
        <v>5</v>
      </c>
      <c r="B5" s="80" t="s">
        <v>48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2"/>
      <c r="O5" s="109" t="s">
        <v>51</v>
      </c>
      <c r="P5" s="140"/>
      <c r="Q5" s="141">
        <v>49298</v>
      </c>
      <c r="R5" s="142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O6" s="138" t="s">
        <v>43</v>
      </c>
      <c r="P6" s="139"/>
      <c r="Q6" s="120">
        <v>1</v>
      </c>
      <c r="R6" s="71"/>
      <c r="W6" s="27">
        <v>44769</v>
      </c>
      <c r="X6" s="34">
        <v>3.6999999999999998E-2</v>
      </c>
      <c r="Y6" s="27">
        <v>44769</v>
      </c>
      <c r="Z6" s="36">
        <v>0.03</v>
      </c>
      <c r="AB6" s="69" t="s">
        <v>67</v>
      </c>
      <c r="AC6" s="69"/>
      <c r="AD6" s="87">
        <v>0</v>
      </c>
      <c r="AE6" s="87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9" t="s">
        <v>33</v>
      </c>
      <c r="C7" s="69"/>
      <c r="D7" s="86">
        <v>1</v>
      </c>
      <c r="E7" s="87"/>
      <c r="F7" s="69" t="s">
        <v>34</v>
      </c>
      <c r="G7" s="69"/>
      <c r="H7" s="86">
        <v>1</v>
      </c>
      <c r="I7" s="87"/>
      <c r="J7" s="69" t="s">
        <v>86</v>
      </c>
      <c r="K7" s="69"/>
      <c r="L7" s="70">
        <v>0</v>
      </c>
      <c r="M7" s="71"/>
      <c r="O7" s="121" t="str">
        <f>IF(Q6&gt;0,"Phase2날짜","")</f>
        <v>Phase2날짜</v>
      </c>
      <c r="P7" s="122"/>
      <c r="Q7" s="136">
        <f>EDATE(Q4,84)</f>
        <v>46376</v>
      </c>
      <c r="R7" s="137"/>
      <c r="W7" s="27">
        <v>44815</v>
      </c>
      <c r="X7" s="34">
        <v>3.6999999999999998E-2</v>
      </c>
      <c r="Y7" s="27">
        <v>44815</v>
      </c>
      <c r="Z7" s="34">
        <v>0.03</v>
      </c>
      <c r="AB7" s="69" t="s">
        <v>80</v>
      </c>
      <c r="AC7" s="69"/>
      <c r="AD7" s="87">
        <v>0</v>
      </c>
      <c r="AE7" s="87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3" t="str">
        <f>"기초금리정보"</f>
        <v>기초금리정보</v>
      </c>
      <c r="C9" s="124"/>
      <c r="D9" s="51" t="s">
        <v>35</v>
      </c>
      <c r="E9" s="51"/>
      <c r="F9" s="70">
        <v>0</v>
      </c>
      <c r="G9" s="71"/>
      <c r="H9" s="23"/>
      <c r="I9" s="22"/>
      <c r="J9" s="88" t="str">
        <f>IF(OR(F10 = 0, F10 = 2, F10 = 4), "RefType = "&amp;F10&amp;" 이므로 Ref Swap 금리정보 사용안함", "사용")</f>
        <v>사용</v>
      </c>
      <c r="K9" s="89"/>
      <c r="L9" s="89"/>
      <c r="M9" s="90"/>
      <c r="O9" s="96" t="s">
        <v>53</v>
      </c>
      <c r="P9" s="96"/>
      <c r="Q9" s="96"/>
      <c r="R9" s="96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5"/>
      <c r="C10" s="126"/>
      <c r="D10" s="51" t="s">
        <v>36</v>
      </c>
      <c r="E10" s="91"/>
      <c r="F10" s="92">
        <v>1</v>
      </c>
      <c r="G10" s="93"/>
      <c r="H10" s="88" t="str">
        <f xml:space="preserve"> "Swap 레퍼런스금리정보"</f>
        <v>Swap 레퍼런스금리정보</v>
      </c>
      <c r="I10" s="89"/>
      <c r="J10" s="76" t="str">
        <f>IF(OR(F10 = 0, F10 = 2, F10 = 4), "", "연 지급횟수")</f>
        <v>연 지급횟수</v>
      </c>
      <c r="K10" s="77"/>
      <c r="L10" s="87">
        <v>4</v>
      </c>
      <c r="M10" s="95"/>
      <c r="O10" s="96" t="s">
        <v>52</v>
      </c>
      <c r="P10" s="96"/>
      <c r="Q10" s="120">
        <v>4</v>
      </c>
      <c r="R10" s="71"/>
      <c r="AB10" s="109" t="s">
        <v>79</v>
      </c>
      <c r="AC10" s="110"/>
      <c r="AD10" s="111">
        <v>3626866115.7013407</v>
      </c>
      <c r="AE10" s="111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5"/>
      <c r="C11" s="126"/>
      <c r="D11" s="96" t="s">
        <v>37</v>
      </c>
      <c r="E11" s="96"/>
      <c r="F11" s="70">
        <v>0</v>
      </c>
      <c r="G11" s="71"/>
      <c r="H11" s="94"/>
      <c r="I11" s="76"/>
      <c r="J11" s="76" t="str">
        <f>IF(F11=0, "만기", "입력X, 아래만기2개입력")</f>
        <v>만기</v>
      </c>
      <c r="K11" s="77"/>
      <c r="L11" s="78">
        <v>0.25</v>
      </c>
      <c r="M11" s="79"/>
      <c r="O11" s="96" t="s">
        <v>54</v>
      </c>
      <c r="P11" s="96"/>
      <c r="Q11" s="120">
        <v>0</v>
      </c>
      <c r="R11" s="71"/>
      <c r="AB11" s="20"/>
      <c r="AC11" s="20"/>
      <c r="AD11" s="20"/>
      <c r="AE11" s="49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5"/>
      <c r="C12" s="126"/>
      <c r="D12" s="96" t="s">
        <v>38</v>
      </c>
      <c r="E12" s="96"/>
      <c r="F12" s="105">
        <v>1</v>
      </c>
      <c r="G12" s="106"/>
      <c r="H12" s="143" t="str">
        <f>"ex) Deposit 3M -&gt; 연 지급횟수= 4, 만기= 0.25 ||  ex2) CMT 5Y 연 지급횟수=2, 만기 5"</f>
        <v>ex) Deposit 3M -&gt; 연 지급횟수= 4, 만기= 0.25 ||  ex2) CMT 5Y 연 지급횟수=2, 만기 5</v>
      </c>
      <c r="I12" s="143"/>
      <c r="J12" s="143"/>
      <c r="K12" s="143"/>
      <c r="L12" s="143"/>
      <c r="M12" s="144"/>
      <c r="O12" s="121" t="s">
        <v>55</v>
      </c>
      <c r="P12" s="122"/>
      <c r="Q12" s="120">
        <v>1</v>
      </c>
      <c r="R12" s="71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5"/>
      <c r="C13" s="126"/>
      <c r="D13" s="96" t="s">
        <v>39</v>
      </c>
      <c r="E13" s="51"/>
      <c r="F13" s="97">
        <v>-1</v>
      </c>
      <c r="G13" s="98"/>
      <c r="H13" s="75" t="str">
        <f>IF(F11&gt;0,"PowerSpreadFlag 1일때 입력","입력필요X")</f>
        <v>입력필요X</v>
      </c>
      <c r="I13" s="75"/>
      <c r="J13" s="75" t="str">
        <f>IF(F11&gt;0,"만기1","")</f>
        <v/>
      </c>
      <c r="K13" s="75"/>
      <c r="L13" s="99">
        <v>10</v>
      </c>
      <c r="M13" s="100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27"/>
      <c r="C14" s="128"/>
      <c r="D14" s="101" t="s">
        <v>40</v>
      </c>
      <c r="E14" s="101"/>
      <c r="F14" s="102">
        <v>1</v>
      </c>
      <c r="G14" s="103"/>
      <c r="H14" s="75"/>
      <c r="I14" s="75"/>
      <c r="J14" s="75" t="str">
        <f>IF(F11&gt;0,"만기2","")</f>
        <v/>
      </c>
      <c r="K14" s="75"/>
      <c r="L14" s="99">
        <v>5</v>
      </c>
      <c r="M14" s="100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07" t="s">
        <v>73</v>
      </c>
      <c r="AC15" s="108"/>
      <c r="AD15" s="108"/>
      <c r="AE15" s="108"/>
      <c r="AF15" s="108"/>
      <c r="AG15" s="107" t="s">
        <v>74</v>
      </c>
      <c r="AH15" s="108"/>
      <c r="AI15" s="108"/>
      <c r="AJ15" s="108"/>
      <c r="AK15" s="108"/>
    </row>
    <row r="16" spans="1:57" x14ac:dyDescent="0.4">
      <c r="A16" s="21">
        <f t="shared" si="1"/>
        <v>16</v>
      </c>
      <c r="B16" s="104" t="s">
        <v>41</v>
      </c>
      <c r="C16" s="104"/>
      <c r="D16" s="96" t="s">
        <v>81</v>
      </c>
      <c r="E16" s="96"/>
      <c r="F16" s="105">
        <v>-1E-4</v>
      </c>
      <c r="G16" s="106"/>
      <c r="H16" s="72" t="s">
        <v>84</v>
      </c>
      <c r="I16" s="73"/>
      <c r="J16" s="74" t="str">
        <f>IF(F11&gt;0, F13&amp;" &lt; "&amp;F10&amp;" x Rate("&amp;L13&amp;"Y-"&amp;L14&amp;"Y) &lt; "&amp;F12,F13&amp;" &lt; "&amp;F10&amp;" x Rate("&amp;L11&amp;"Y) &lt; "&amp;F12)</f>
        <v>-1 &lt; 1 x Rate(0.25Y) &lt; 1</v>
      </c>
      <c r="K16" s="74"/>
      <c r="L16" s="74"/>
      <c r="M16" s="74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04"/>
      <c r="C17" s="104"/>
      <c r="D17" s="96" t="s">
        <v>44</v>
      </c>
      <c r="E17" s="96"/>
      <c r="F17" s="105">
        <v>0</v>
      </c>
      <c r="G17" s="106"/>
      <c r="H17" s="72" t="s">
        <v>82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4"/>
      <c r="L17" s="74"/>
      <c r="M17" s="74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04"/>
      <c r="C18" s="104"/>
      <c r="D18" s="96" t="s">
        <v>45</v>
      </c>
      <c r="E18" s="96"/>
      <c r="F18" s="70">
        <v>1</v>
      </c>
      <c r="G18" s="71"/>
      <c r="H18" s="72"/>
      <c r="I18" s="73"/>
      <c r="J18" s="74"/>
      <c r="K18" s="74"/>
      <c r="L18" s="74"/>
      <c r="M18" s="74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04" t="s">
        <v>46</v>
      </c>
      <c r="C21" s="104"/>
      <c r="D21" s="96" t="s">
        <v>42</v>
      </c>
      <c r="E21" s="96"/>
      <c r="F21" s="105">
        <v>-1E-4</v>
      </c>
      <c r="G21" s="106"/>
      <c r="H21" s="72" t="s">
        <v>83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4"/>
      <c r="L21" s="74"/>
      <c r="M21" s="74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04"/>
      <c r="C22" s="104"/>
      <c r="D22" s="96" t="s">
        <v>44</v>
      </c>
      <c r="E22" s="96"/>
      <c r="F22" s="105">
        <v>0</v>
      </c>
      <c r="G22" s="106"/>
      <c r="H22" s="72"/>
      <c r="I22" s="73"/>
      <c r="J22" s="74"/>
      <c r="K22" s="74"/>
      <c r="L22" s="74"/>
      <c r="M22" s="74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04"/>
      <c r="C23" s="104"/>
      <c r="D23" s="96" t="s">
        <v>45</v>
      </c>
      <c r="E23" s="96"/>
      <c r="F23" s="70">
        <v>1</v>
      </c>
      <c r="G23" s="71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0" t="s">
        <v>47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2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3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69" t="s">
        <v>33</v>
      </c>
      <c r="C27" s="69"/>
      <c r="D27" s="86">
        <v>1</v>
      </c>
      <c r="E27" s="87"/>
      <c r="F27" s="69" t="s">
        <v>34</v>
      </c>
      <c r="G27" s="69"/>
      <c r="H27" s="86">
        <v>1</v>
      </c>
      <c r="I27" s="87"/>
      <c r="J27" s="69" t="s">
        <v>86</v>
      </c>
      <c r="K27" s="69"/>
      <c r="L27" s="70">
        <v>4</v>
      </c>
      <c r="M27" s="71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123" t="str">
        <f>"기초금리정보"</f>
        <v>기초금리정보</v>
      </c>
      <c r="C29" s="124"/>
      <c r="D29" s="51" t="s">
        <v>35</v>
      </c>
      <c r="E29" s="51"/>
      <c r="F29" s="70">
        <v>3</v>
      </c>
      <c r="G29" s="71"/>
      <c r="H29" s="23"/>
      <c r="I29" s="22"/>
      <c r="J29" s="88" t="str">
        <f>IF(OR(F30 = 0, F30 = 2, F30 = 4), "RefType = "&amp;F30&amp;" 이므로 Ref Swap 금리정보 사용안함", "사용")</f>
        <v>RefType = 0 이므로 Ref Swap 금리정보 사용안함</v>
      </c>
      <c r="K29" s="89"/>
      <c r="L29" s="89"/>
      <c r="M29" s="90"/>
      <c r="O29" s="96" t="s">
        <v>59</v>
      </c>
      <c r="P29" s="96"/>
      <c r="Q29" s="96"/>
      <c r="R29" s="96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125"/>
      <c r="C30" s="126"/>
      <c r="D30" s="51" t="s">
        <v>36</v>
      </c>
      <c r="E30" s="91"/>
      <c r="F30" s="92">
        <v>0</v>
      </c>
      <c r="G30" s="93"/>
      <c r="H30" s="88" t="str">
        <f xml:space="preserve"> "Swap 레퍼런스금리정보"</f>
        <v>Swap 레퍼런스금리정보</v>
      </c>
      <c r="I30" s="89"/>
      <c r="J30" s="76" t="str">
        <f>IF(OR(F30 = 0, F30 = 2, F30 = 4), "", "연 지급횟수")</f>
        <v/>
      </c>
      <c r="K30" s="77"/>
      <c r="L30" s="87">
        <v>4</v>
      </c>
      <c r="M30" s="95"/>
      <c r="O30" s="96" t="s">
        <v>87</v>
      </c>
      <c r="P30" s="96"/>
      <c r="Q30" s="120">
        <v>4</v>
      </c>
      <c r="R30" s="71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125"/>
      <c r="C31" s="126"/>
      <c r="D31" s="96" t="s">
        <v>37</v>
      </c>
      <c r="E31" s="96"/>
      <c r="F31" s="70">
        <v>0</v>
      </c>
      <c r="G31" s="71"/>
      <c r="H31" s="94"/>
      <c r="I31" s="76"/>
      <c r="J31" s="76" t="str">
        <f>IF(F31=0, "만기", "입력X, 아래만기2개입력")</f>
        <v>만기</v>
      </c>
      <c r="K31" s="77"/>
      <c r="L31" s="78">
        <v>10</v>
      </c>
      <c r="M31" s="79"/>
      <c r="O31" s="96" t="s">
        <v>54</v>
      </c>
      <c r="P31" s="96"/>
      <c r="Q31" s="120">
        <v>0</v>
      </c>
      <c r="R31" s="71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125"/>
      <c r="C32" s="126"/>
      <c r="D32" s="96" t="s">
        <v>38</v>
      </c>
      <c r="E32" s="96"/>
      <c r="F32" s="105">
        <v>0.8</v>
      </c>
      <c r="G32" s="106"/>
      <c r="H32" s="143" t="str">
        <f>"ex) Deposit 3M -&gt; 연 지급횟수= 4, 만기= 0.25 ||  ex2) CMT 5Y 연 지급횟수=2, 만기 5"</f>
        <v>ex) Deposit 3M -&gt; 연 지급횟수= 4, 만기= 0.25 ||  ex2) CMT 5Y 연 지급횟수=2, 만기 5</v>
      </c>
      <c r="I32" s="143"/>
      <c r="J32" s="143"/>
      <c r="K32" s="143"/>
      <c r="L32" s="143"/>
      <c r="M32" s="144"/>
      <c r="O32" s="121" t="s">
        <v>55</v>
      </c>
      <c r="P32" s="122"/>
      <c r="Q32" s="120">
        <v>4</v>
      </c>
      <c r="R32" s="71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125"/>
      <c r="C33" s="126"/>
      <c r="D33" s="96" t="s">
        <v>39</v>
      </c>
      <c r="E33" s="51"/>
      <c r="F33" s="97">
        <v>-0.8</v>
      </c>
      <c r="G33" s="98"/>
      <c r="H33" s="75" t="str">
        <f>IF(F31&gt;0,"PowerSpreadFlag 1일때 입력","입력필요X")</f>
        <v>입력필요X</v>
      </c>
      <c r="I33" s="75"/>
      <c r="J33" s="75" t="str">
        <f>IF(F31&gt;0,"만기1","")</f>
        <v/>
      </c>
      <c r="K33" s="75"/>
      <c r="L33" s="99">
        <v>10</v>
      </c>
      <c r="M33" s="100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127"/>
      <c r="C34" s="128"/>
      <c r="D34" s="101" t="s">
        <v>40</v>
      </c>
      <c r="E34" s="101"/>
      <c r="F34" s="102">
        <v>0</v>
      </c>
      <c r="G34" s="103"/>
      <c r="H34" s="75"/>
      <c r="I34" s="75"/>
      <c r="J34" s="75" t="str">
        <f>IF(F31&gt;0,"만기2","")</f>
        <v/>
      </c>
      <c r="K34" s="75"/>
      <c r="L34" s="99">
        <v>5</v>
      </c>
      <c r="M34" s="100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204000000</v>
      </c>
    </row>
    <row r="36" spans="1:37" x14ac:dyDescent="0.4">
      <c r="A36" s="21">
        <f t="shared" si="1"/>
        <v>36</v>
      </c>
      <c r="B36" s="104" t="s">
        <v>41</v>
      </c>
      <c r="C36" s="104"/>
      <c r="D36" s="96" t="s">
        <v>42</v>
      </c>
      <c r="E36" s="96"/>
      <c r="F36" s="105">
        <v>2.0199999999999999E-2</v>
      </c>
      <c r="G36" s="106"/>
      <c r="H36" s="72" t="s">
        <v>85</v>
      </c>
      <c r="I36" s="73"/>
      <c r="J36" s="74" t="str">
        <f>IF(F31&gt;0, F33&amp;" &lt; "&amp;F30&amp;" x Rate("&amp;L33&amp;"Y-"&amp;L34&amp;"Y) &lt; "&amp;F32,F33&amp;" &lt; "&amp;F30&amp;" x Rate("&amp;L31&amp;"Y) &lt; "&amp;F32)</f>
        <v>-0.8 &lt; 0 x Rate(10Y) &lt; 0.8</v>
      </c>
      <c r="K36" s="74"/>
      <c r="L36" s="74"/>
      <c r="M36" s="74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  <c r="AG36" s="42">
        <v>20240920</v>
      </c>
      <c r="AH36" s="42">
        <v>20241220</v>
      </c>
      <c r="AI36" s="42">
        <v>20241220</v>
      </c>
      <c r="AJ36" s="44">
        <v>2.8838488457202695E-2</v>
      </c>
      <c r="AK36" s="48">
        <v>204000000</v>
      </c>
    </row>
    <row r="37" spans="1:37" x14ac:dyDescent="0.4">
      <c r="A37" s="21">
        <f t="shared" si="1"/>
        <v>37</v>
      </c>
      <c r="B37" s="104"/>
      <c r="C37" s="104"/>
      <c r="D37" s="96" t="s">
        <v>44</v>
      </c>
      <c r="E37" s="96"/>
      <c r="F37" s="105">
        <v>0</v>
      </c>
      <c r="G37" s="106"/>
      <c r="H37" s="72" t="s">
        <v>82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4"/>
      <c r="L37" s="74"/>
      <c r="M37" s="74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  <c r="AG37" s="42">
        <v>20241220</v>
      </c>
      <c r="AH37" s="42">
        <v>20250320</v>
      </c>
      <c r="AI37" s="42">
        <v>20250320</v>
      </c>
      <c r="AJ37" s="44">
        <v>2.8720386406983912E-2</v>
      </c>
      <c r="AK37" s="48">
        <v>204000000</v>
      </c>
    </row>
    <row r="38" spans="1:37" x14ac:dyDescent="0.4">
      <c r="A38" s="21">
        <f t="shared" si="1"/>
        <v>38</v>
      </c>
      <c r="B38" s="104"/>
      <c r="C38" s="104"/>
      <c r="D38" s="96" t="s">
        <v>45</v>
      </c>
      <c r="E38" s="96"/>
      <c r="F38" s="70">
        <v>0</v>
      </c>
      <c r="G38" s="71"/>
      <c r="H38" s="72"/>
      <c r="I38" s="73"/>
      <c r="J38" s="74"/>
      <c r="K38" s="74"/>
      <c r="L38" s="74"/>
      <c r="M38" s="74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  <c r="AG38" s="42">
        <v>20250320</v>
      </c>
      <c r="AH38" s="42">
        <v>20250620</v>
      </c>
      <c r="AI38" s="42">
        <v>20250620</v>
      </c>
      <c r="AJ38" s="44">
        <v>2.8666143757934547E-2</v>
      </c>
      <c r="AK38" s="48">
        <v>204000000</v>
      </c>
    </row>
    <row r="39" spans="1:37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  <c r="AG39" s="42">
        <v>20250620</v>
      </c>
      <c r="AH39" s="42">
        <v>20250922</v>
      </c>
      <c r="AI39" s="42">
        <v>20250922</v>
      </c>
      <c r="AJ39" s="44">
        <v>2.8662284212534556E-2</v>
      </c>
      <c r="AK39" s="48">
        <v>204000000</v>
      </c>
    </row>
    <row r="40" spans="1:37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  <c r="AG40" s="42">
        <v>20250922</v>
      </c>
      <c r="AH40" s="42">
        <v>20251222</v>
      </c>
      <c r="AI40" s="42">
        <v>20251222</v>
      </c>
      <c r="AJ40" s="44">
        <v>2.8723904998602945E-2</v>
      </c>
      <c r="AK40" s="48">
        <v>204000000</v>
      </c>
    </row>
    <row r="41" spans="1:37" x14ac:dyDescent="0.4">
      <c r="A41" s="21">
        <f t="shared" si="1"/>
        <v>41</v>
      </c>
      <c r="B41" s="104" t="s">
        <v>46</v>
      </c>
      <c r="C41" s="104"/>
      <c r="D41" s="96" t="s">
        <v>42</v>
      </c>
      <c r="E41" s="96"/>
      <c r="F41" s="105">
        <v>2.0199999999999999E-2</v>
      </c>
      <c r="G41" s="106"/>
      <c r="H41" s="72" t="s">
        <v>83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4"/>
      <c r="L41" s="74"/>
      <c r="M41" s="74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  <c r="AG41" s="42">
        <v>20251222</v>
      </c>
      <c r="AH41" s="42">
        <v>20260320</v>
      </c>
      <c r="AI41" s="42">
        <v>20260320</v>
      </c>
      <c r="AJ41" s="44">
        <v>2.8775563852311774E-2</v>
      </c>
      <c r="AK41" s="48">
        <v>204000000</v>
      </c>
    </row>
    <row r="42" spans="1:37" x14ac:dyDescent="0.4">
      <c r="A42" s="21">
        <f t="shared" si="1"/>
        <v>42</v>
      </c>
      <c r="B42" s="104"/>
      <c r="C42" s="104"/>
      <c r="D42" s="96" t="s">
        <v>44</v>
      </c>
      <c r="E42" s="96"/>
      <c r="F42" s="105">
        <v>0</v>
      </c>
      <c r="G42" s="106"/>
      <c r="H42" s="72"/>
      <c r="I42" s="73"/>
      <c r="J42" s="74"/>
      <c r="K42" s="74"/>
      <c r="L42" s="74"/>
      <c r="M42" s="74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  <c r="AG42" s="42">
        <v>20260320</v>
      </c>
      <c r="AH42" s="42">
        <v>20260622</v>
      </c>
      <c r="AI42" s="42">
        <v>20260622</v>
      </c>
      <c r="AJ42" s="44">
        <v>2.8846119167467196E-2</v>
      </c>
      <c r="AK42" s="48">
        <v>204000000</v>
      </c>
    </row>
    <row r="43" spans="1:37" x14ac:dyDescent="0.4">
      <c r="A43" s="21">
        <f t="shared" si="1"/>
        <v>43</v>
      </c>
      <c r="B43" s="104"/>
      <c r="C43" s="104"/>
      <c r="D43" s="96" t="s">
        <v>45</v>
      </c>
      <c r="E43" s="96"/>
      <c r="F43" s="70">
        <v>0</v>
      </c>
      <c r="G43" s="71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  <c r="AG43" s="42">
        <v>20260622</v>
      </c>
      <c r="AH43" s="42">
        <v>20260921</v>
      </c>
      <c r="AI43" s="42">
        <v>20260921</v>
      </c>
      <c r="AJ43" s="44">
        <v>2.8921453536478313E-2</v>
      </c>
      <c r="AK43" s="48">
        <v>204000000</v>
      </c>
    </row>
    <row r="44" spans="1:37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  <c r="AG44" s="42">
        <v>20260921</v>
      </c>
      <c r="AH44" s="42">
        <v>20261221</v>
      </c>
      <c r="AI44" s="42">
        <v>20261221</v>
      </c>
      <c r="AJ44" s="44">
        <v>2.8995140584590229E-2</v>
      </c>
      <c r="AK44" s="48">
        <v>204000000</v>
      </c>
    </row>
    <row r="45" spans="1:37" ht="17.399999999999999" customHeight="1" x14ac:dyDescent="0.4">
      <c r="A45" s="21">
        <f t="shared" si="1"/>
        <v>45</v>
      </c>
      <c r="B45" s="114" t="s">
        <v>61</v>
      </c>
      <c r="C45" s="115"/>
      <c r="D45" s="115"/>
      <c r="E45" s="115"/>
      <c r="F45" s="115"/>
      <c r="G45" s="116"/>
      <c r="AB45" s="41">
        <v>20261221</v>
      </c>
      <c r="AC45" s="42">
        <v>20271220</v>
      </c>
      <c r="AD45" s="42">
        <v>20271220</v>
      </c>
      <c r="AE45" s="44">
        <v>2.8061692061964072E-2</v>
      </c>
      <c r="AF45" s="48">
        <v>1115403387.4580739</v>
      </c>
      <c r="AG45" s="42">
        <v>20261221</v>
      </c>
      <c r="AH45" s="42">
        <v>20270322</v>
      </c>
      <c r="AI45" s="42">
        <v>20270322</v>
      </c>
      <c r="AJ45" s="44">
        <v>2.9023791925882697E-2</v>
      </c>
      <c r="AK45" s="48">
        <v>204000000</v>
      </c>
    </row>
    <row r="46" spans="1:37" ht="17.399999999999999" customHeight="1" x14ac:dyDescent="0.4">
      <c r="A46" s="21">
        <f t="shared" si="1"/>
        <v>46</v>
      </c>
      <c r="B46" s="117"/>
      <c r="C46" s="118"/>
      <c r="D46" s="118"/>
      <c r="E46" s="118"/>
      <c r="F46" s="118"/>
      <c r="G46" s="119"/>
      <c r="AB46" s="41">
        <v>20271220</v>
      </c>
      <c r="AC46" s="42">
        <v>20281220</v>
      </c>
      <c r="AD46" s="42">
        <v>20281220</v>
      </c>
      <c r="AE46" s="44">
        <v>2.8244664088454993E-2</v>
      </c>
      <c r="AF46" s="48">
        <v>1128870910.2876196</v>
      </c>
      <c r="AG46" s="42">
        <v>20270322</v>
      </c>
      <c r="AH46" s="42">
        <v>20270621</v>
      </c>
      <c r="AI46" s="42">
        <v>20270621</v>
      </c>
      <c r="AJ46" s="44">
        <v>2.906524368729866E-2</v>
      </c>
      <c r="AK46" s="48">
        <v>204000000</v>
      </c>
    </row>
    <row r="47" spans="1:37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20281220</v>
      </c>
      <c r="AC47" s="42">
        <v>20291220</v>
      </c>
      <c r="AD47" s="42">
        <v>20291220</v>
      </c>
      <c r="AE47" s="44">
        <v>2.8761572001036306E-2</v>
      </c>
      <c r="AF47" s="48">
        <v>1146462880.0414522</v>
      </c>
      <c r="AG47" s="42">
        <v>20270621</v>
      </c>
      <c r="AH47" s="42">
        <v>20270920</v>
      </c>
      <c r="AI47" s="42">
        <v>20270920</v>
      </c>
      <c r="AJ47" s="44">
        <v>2.9113023239610271E-2</v>
      </c>
      <c r="AK47" s="48">
        <v>204000000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20291220</v>
      </c>
      <c r="AC48" s="42">
        <v>20301220</v>
      </c>
      <c r="AD48" s="42">
        <v>20301220</v>
      </c>
      <c r="AE48" s="44">
        <v>2.875580399186305E-2</v>
      </c>
      <c r="AF48" s="48">
        <v>1146232159.6745219</v>
      </c>
      <c r="AG48" s="42">
        <v>20270920</v>
      </c>
      <c r="AH48" s="42">
        <v>20271220</v>
      </c>
      <c r="AI48" s="42">
        <v>20271220</v>
      </c>
      <c r="AJ48" s="44">
        <v>2.916486413587439E-2</v>
      </c>
      <c r="AK48" s="48">
        <v>204000000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B49" s="41">
        <v>20301220</v>
      </c>
      <c r="AC49" s="42">
        <v>20311222</v>
      </c>
      <c r="AD49" s="42">
        <v>20311222</v>
      </c>
      <c r="AE49" s="44">
        <v>2.9584052599903168E-2</v>
      </c>
      <c r="AF49" s="48">
        <v>1185824362.1002152</v>
      </c>
      <c r="AG49" s="42">
        <v>20271220</v>
      </c>
      <c r="AH49" s="42">
        <v>20280320</v>
      </c>
      <c r="AI49" s="42">
        <v>20280320</v>
      </c>
      <c r="AJ49" s="44">
        <v>2.9194206419398336E-2</v>
      </c>
      <c r="AK49" s="48">
        <v>204000000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B50" s="41">
        <v>20311222</v>
      </c>
      <c r="AC50" s="42">
        <v>20321220</v>
      </c>
      <c r="AD50" s="42">
        <v>20321220</v>
      </c>
      <c r="AE50" s="44">
        <v>2.9960114908587254E-2</v>
      </c>
      <c r="AF50" s="48">
        <v>1191132254.983645</v>
      </c>
      <c r="AG50" s="42">
        <v>20280320</v>
      </c>
      <c r="AH50" s="42">
        <v>20280620</v>
      </c>
      <c r="AI50" s="42">
        <v>20280620</v>
      </c>
      <c r="AJ50" s="44">
        <v>2.9226628608746634E-2</v>
      </c>
      <c r="AK50" s="48">
        <v>204000000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B51" s="41">
        <v>20321220</v>
      </c>
      <c r="AC51" s="42">
        <v>20331220</v>
      </c>
      <c r="AD51" s="42">
        <v>20331220</v>
      </c>
      <c r="AE51" s="44">
        <v>2.9446311049456608E-2</v>
      </c>
      <c r="AF51" s="48">
        <v>1173852441.9782643</v>
      </c>
      <c r="AG51" s="42">
        <v>20280620</v>
      </c>
      <c r="AH51" s="42">
        <v>20280920</v>
      </c>
      <c r="AI51" s="42">
        <v>20280920</v>
      </c>
      <c r="AJ51" s="44">
        <v>2.9249076341796704E-2</v>
      </c>
      <c r="AK51" s="48">
        <v>204000000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B52" s="41">
        <v>20331220</v>
      </c>
      <c r="AC52" s="42">
        <v>20341220</v>
      </c>
      <c r="AD52" s="42">
        <v>20341220</v>
      </c>
      <c r="AE52" s="44">
        <v>3.0636631195195937E-2</v>
      </c>
      <c r="AF52" s="48">
        <v>1221465247.8078375</v>
      </c>
      <c r="AG52" s="42">
        <v>20280920</v>
      </c>
      <c r="AH52" s="42">
        <v>20281220</v>
      </c>
      <c r="AI52" s="42">
        <v>20281220</v>
      </c>
      <c r="AJ52" s="44">
        <v>2.927081482986995E-2</v>
      </c>
      <c r="AK52" s="48">
        <v>204000000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G53" s="42">
        <v>20281220</v>
      </c>
      <c r="AH53" s="42">
        <v>20290320</v>
      </c>
      <c r="AI53" s="42">
        <v>20290320</v>
      </c>
      <c r="AJ53" s="44">
        <v>2.9280997777786019E-2</v>
      </c>
      <c r="AK53" s="48">
        <v>204000000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G54" s="42">
        <v>20290320</v>
      </c>
      <c r="AH54" s="42">
        <v>20290620</v>
      </c>
      <c r="AI54" s="42">
        <v>20290620</v>
      </c>
      <c r="AJ54" s="44">
        <v>2.9301008490991199E-2</v>
      </c>
      <c r="AK54" s="48">
        <v>204000000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G55" s="42">
        <v>20290620</v>
      </c>
      <c r="AH55" s="42">
        <v>20290920</v>
      </c>
      <c r="AI55" s="42">
        <v>20290920</v>
      </c>
      <c r="AJ55" s="44">
        <v>2.9305119940678175E-2</v>
      </c>
      <c r="AK55" s="48">
        <v>204000000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G56" s="42">
        <v>20290920</v>
      </c>
      <c r="AH56" s="42">
        <v>20291220</v>
      </c>
      <c r="AI56" s="42">
        <v>20291220</v>
      </c>
      <c r="AJ56" s="44">
        <v>2.9308796207730088E-2</v>
      </c>
      <c r="AK56" s="48">
        <v>204000000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G57" s="42">
        <v>20291220</v>
      </c>
      <c r="AH57" s="42">
        <v>20300320</v>
      </c>
      <c r="AI57" s="42">
        <v>20300320</v>
      </c>
      <c r="AJ57" s="44">
        <v>2.9275775851003633E-2</v>
      </c>
      <c r="AK57" s="48">
        <v>204000000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G58" s="42">
        <v>20300320</v>
      </c>
      <c r="AH58" s="42">
        <v>20300620</v>
      </c>
      <c r="AI58" s="42">
        <v>20300620</v>
      </c>
      <c r="AJ58" s="44">
        <v>2.925039422534547E-2</v>
      </c>
      <c r="AK58" s="48">
        <v>204000000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G59" s="42">
        <v>20300620</v>
      </c>
      <c r="AH59" s="42">
        <v>20300920</v>
      </c>
      <c r="AI59" s="42">
        <v>20300920</v>
      </c>
      <c r="AJ59" s="44">
        <v>2.921273317566753E-2</v>
      </c>
      <c r="AK59" s="48">
        <v>204000000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G60" s="42">
        <v>20300920</v>
      </c>
      <c r="AH60" s="42">
        <v>20301220</v>
      </c>
      <c r="AI60" s="42">
        <v>20301220</v>
      </c>
      <c r="AJ60" s="44">
        <v>2.9169340256822811E-2</v>
      </c>
      <c r="AK60" s="48">
        <v>204000000</v>
      </c>
    </row>
    <row r="61" spans="1:37" x14ac:dyDescent="0.4">
      <c r="A61" s="21">
        <f t="shared" si="1"/>
        <v>61</v>
      </c>
      <c r="AG61" s="42">
        <v>20301220</v>
      </c>
      <c r="AH61" s="42">
        <v>20310320</v>
      </c>
      <c r="AI61" s="42">
        <v>20310320</v>
      </c>
      <c r="AJ61" s="44">
        <v>2.9106646327966623E-2</v>
      </c>
      <c r="AK61" s="48">
        <v>204000000</v>
      </c>
    </row>
    <row r="62" spans="1:37" x14ac:dyDescent="0.4">
      <c r="AG62" s="42">
        <v>20310320</v>
      </c>
      <c r="AH62" s="42">
        <v>20310620</v>
      </c>
      <c r="AI62" s="42">
        <v>20310620</v>
      </c>
      <c r="AJ62" s="44">
        <v>2.9043673679970159E-2</v>
      </c>
      <c r="AK62" s="48">
        <v>204000000</v>
      </c>
    </row>
    <row r="63" spans="1:37" x14ac:dyDescent="0.4">
      <c r="AG63" s="42">
        <v>20310620</v>
      </c>
      <c r="AH63" s="42">
        <v>20310922</v>
      </c>
      <c r="AI63" s="42">
        <v>20310922</v>
      </c>
      <c r="AJ63" s="44">
        <v>2.8971823878660423E-2</v>
      </c>
      <c r="AK63" s="48">
        <v>204000000</v>
      </c>
    </row>
    <row r="64" spans="1:37" x14ac:dyDescent="0.4">
      <c r="AG64" s="42">
        <v>20310922</v>
      </c>
      <c r="AH64" s="42">
        <v>20311222</v>
      </c>
      <c r="AI64" s="42">
        <v>20311222</v>
      </c>
      <c r="AJ64" s="44">
        <v>2.8898837544120103E-2</v>
      </c>
      <c r="AK64" s="48">
        <v>204000000</v>
      </c>
    </row>
    <row r="65" spans="33:37" x14ac:dyDescent="0.4">
      <c r="AG65" s="42">
        <v>20311222</v>
      </c>
      <c r="AH65" s="42">
        <v>20320322</v>
      </c>
      <c r="AI65" s="42">
        <v>20320322</v>
      </c>
      <c r="AJ65" s="44">
        <v>2.8817106450679565E-2</v>
      </c>
      <c r="AK65" s="48">
        <v>204000000</v>
      </c>
    </row>
    <row r="66" spans="33:37" x14ac:dyDescent="0.4">
      <c r="AG66" s="42">
        <v>20320322</v>
      </c>
      <c r="AH66" s="42">
        <v>20320621</v>
      </c>
      <c r="AI66" s="42">
        <v>20320621</v>
      </c>
      <c r="AJ66" s="44">
        <v>2.8731318608006963E-2</v>
      </c>
      <c r="AK66" s="48">
        <v>204000000</v>
      </c>
    </row>
    <row r="67" spans="33:37" x14ac:dyDescent="0.4">
      <c r="AG67" s="42">
        <v>20320621</v>
      </c>
      <c r="AH67" s="42">
        <v>20320922</v>
      </c>
      <c r="AI67" s="42">
        <v>20320922</v>
      </c>
      <c r="AJ67" s="44">
        <v>2.8638837480052349E-2</v>
      </c>
      <c r="AK67" s="48">
        <v>204000000</v>
      </c>
    </row>
    <row r="68" spans="33:37" x14ac:dyDescent="0.4">
      <c r="AG68" s="42">
        <v>20320922</v>
      </c>
      <c r="AH68" s="42">
        <v>20321220</v>
      </c>
      <c r="AI68" s="42">
        <v>20321220</v>
      </c>
      <c r="AJ68" s="44">
        <v>2.8531770876148718E-2</v>
      </c>
      <c r="AK68" s="48">
        <v>204000000</v>
      </c>
    </row>
    <row r="69" spans="33:37" x14ac:dyDescent="0.4">
      <c r="AG69" s="42">
        <v>20321220</v>
      </c>
      <c r="AH69" s="42">
        <v>20330321</v>
      </c>
      <c r="AI69" s="42">
        <v>20330321</v>
      </c>
      <c r="AJ69" s="44">
        <v>2.8466735489005714E-2</v>
      </c>
      <c r="AK69" s="48">
        <v>204000000</v>
      </c>
    </row>
    <row r="70" spans="33:37" x14ac:dyDescent="0.4">
      <c r="AG70" s="42">
        <v>20330321</v>
      </c>
      <c r="AH70" s="42">
        <v>20330620</v>
      </c>
      <c r="AI70" s="42">
        <v>20330620</v>
      </c>
      <c r="AJ70" s="44">
        <v>2.8387628518624686E-2</v>
      </c>
      <c r="AK70" s="48">
        <v>204000000</v>
      </c>
    </row>
    <row r="71" spans="33:37" x14ac:dyDescent="0.4">
      <c r="AG71" s="42">
        <v>20330620</v>
      </c>
      <c r="AH71" s="42">
        <v>20330920</v>
      </c>
      <c r="AI71" s="42">
        <v>20330920</v>
      </c>
      <c r="AJ71" s="44">
        <v>2.830117433749527E-2</v>
      </c>
      <c r="AK71" s="48">
        <v>204000000</v>
      </c>
    </row>
    <row r="72" spans="33:37" x14ac:dyDescent="0.4">
      <c r="AG72" s="42">
        <v>20330920</v>
      </c>
      <c r="AH72" s="42">
        <v>20331220</v>
      </c>
      <c r="AI72" s="42">
        <v>20331220</v>
      </c>
      <c r="AJ72" s="44">
        <v>2.8199714876486672E-2</v>
      </c>
      <c r="AK72" s="48">
        <v>204000000</v>
      </c>
    </row>
    <row r="73" spans="33:37" x14ac:dyDescent="0.4">
      <c r="AG73" s="42">
        <v>20331220</v>
      </c>
      <c r="AH73" s="42">
        <v>20340320</v>
      </c>
      <c r="AI73" s="42">
        <v>20340320</v>
      </c>
      <c r="AJ73" s="44">
        <v>2.807828071949333E-2</v>
      </c>
      <c r="AK73" s="48">
        <v>204000000</v>
      </c>
    </row>
    <row r="74" spans="33:37" x14ac:dyDescent="0.4">
      <c r="AG74" s="42">
        <v>20340320</v>
      </c>
      <c r="AH74" s="42">
        <v>20340620</v>
      </c>
      <c r="AI74" s="42">
        <v>20340620</v>
      </c>
      <c r="AJ74" s="44">
        <v>2.7961542948744565E-2</v>
      </c>
      <c r="AK74" s="48">
        <v>204000000</v>
      </c>
    </row>
    <row r="75" spans="33:37" x14ac:dyDescent="0.4">
      <c r="AG75" s="42">
        <v>20340620</v>
      </c>
      <c r="AH75" s="42">
        <v>20340920</v>
      </c>
      <c r="AI75" s="42">
        <v>20340920</v>
      </c>
      <c r="AJ75" s="44">
        <v>2.7821258540257823E-2</v>
      </c>
      <c r="AK75" s="48">
        <v>204000000</v>
      </c>
    </row>
    <row r="76" spans="33:37" x14ac:dyDescent="0.4">
      <c r="AG76" s="42">
        <v>20340920</v>
      </c>
      <c r="AH76" s="42">
        <v>20341220</v>
      </c>
      <c r="AI76" s="42">
        <v>20341220</v>
      </c>
      <c r="AJ76" s="44">
        <v>2.7682905857429888E-2</v>
      </c>
      <c r="AK76" s="48">
        <v>204000000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2025-11-25T12:52:02Z</dcterms:modified>
</cp:coreProperties>
</file>