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6D56E874-0186-4D00-9278-F6531F95DAAF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12" i="2" l="1"/>
  <c r="Y6" i="2" l="1"/>
  <c r="W6" i="2"/>
  <c r="Q7" i="2"/>
  <c r="AE11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L12" i="1" l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<sst xmlns="http://schemas.openxmlformats.org/spreadsheetml/2006/main" count="138" uniqueCount="98">
  <si>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</si>
  <si>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</si>
  <si>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</si>
  <si>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</si>
  <si>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</si>
  <si>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</si>
  <si>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</si>
  <si>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</si>
  <si>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</si>
  <si>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</si>
  <si>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</si>
  <si>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</si>
  <si>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</si>
  <si>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</si>
  <si>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</si>
  <si>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</si>
  <si>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</si>
  <si>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</si>
  <si>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</si>
  <si>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</si>
  <si>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</si>
  <si>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</si>
  <si>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</si>
  <si>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</si>
  <si>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</si>
  <si>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</si>
  <si>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</si>
  <si>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</si>
  <si>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</si>
  <si>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</si>
  <si>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</si>
  <si>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</si>
  <si>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</si>
  <si>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</si>
  <si>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</si>
  <si>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</si>
  <si>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</si>
  <si>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</si>
  <si>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</si>
  <si>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</si>
  <si>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</si>
  <si>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</si>
  <si>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</si>
  <si>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</si>
  <si>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</si>
  <si>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</si>
  <si>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</si>
  <si>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</si>
  <si>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</si>
  <si>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</si>
  <si>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</si>
  <si>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</si>
  <si>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</si>
  <si>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</si>
  <si>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</si>
  <si>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</si>
  <si>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</si>
  <si>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</si>
  <si>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</si>
  <si>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</si>
  <si>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</si>
  <si>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</si>
  <si>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</si>
  <si>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</si>
  <si>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</si>
  <si>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</si>
  <si>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</si>
  <si>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</si>
  <si>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</si>
  <si>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</si>
  <si>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</si>
  <si>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</si>
  <si>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</si>
  <si>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</si>
  <si>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</si>
  <si>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</si>
  <si>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</si>
  <si>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</si>
  <si>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</si>
  <si>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</si>
  <si>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</si>
  <si>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</si>
  <si>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</si>
  <si>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</si>
  <si>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</si>
  <si>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</si>
  <si>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</si>
  <si>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Debug</t>
    <phoneticPr fontId="2" type="noConversion"/>
  </si>
  <si>
    <t>이름</t>
  </si>
  <si>
    <t>값</t>
  </si>
  <si>
    <t>형식</t>
  </si>
  <si>
    <t>[0]</t>
  </si>
  <si>
    <t>long</t>
  </si>
  <si>
    <t>[1]</t>
  </si>
  <si>
    <t>[2]</t>
  </si>
  <si>
    <t>[3]</t>
  </si>
  <si>
    <t>[4]</t>
  </si>
  <si>
    <t>optv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</si>
</sst>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24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>
      <alignment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20" fillId="2" borderId="0" xfId="0" applyFont="1" applyFill="1">
      <alignment vertical="center"/>
    </xf>
    <xf numFmtId="0" fontId="21" fillId="2" borderId="0" xfId="0" applyFont="1" applyFill="1">
      <alignment vertical="center"/>
    </xf>
    <xf numFmtId="0" fontId="22" fillId="0" borderId="24" xfId="0" applyFont="1" applyBorder="1" applyAlignment="1">
      <alignment horizontal="center" vertical="center" wrapText="1"/>
    </xf>
    <xf numFmtId="0" fontId="22" fillId="0" borderId="25" xfId="0" applyFont="1" applyBorder="1" applyAlignment="1">
      <alignment horizontal="center" vertical="center" wrapText="1"/>
    </xf>
    <xf numFmtId="0" fontId="23" fillId="0" borderId="26" xfId="0" applyFont="1" applyBorder="1" applyAlignment="1">
      <alignment vertical="center" wrapText="1"/>
    </xf>
    <xf numFmtId="0" fontId="23" fillId="0" borderId="27" xfId="0" applyFont="1" applyBorder="1" applyAlignment="1">
      <alignment vertical="center" wrapText="1"/>
    </xf>
    <xf numFmtId="41" fontId="0" fillId="2" borderId="0" xfId="0" applyNumberFormat="1" applyFill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Alignment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zoomScale="85" zoomScaleNormal="85" workbookViewId="0">
      <selection activeCell="G5" sqref="G5:G40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5" t="s">
        <v>0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</row>
    <row r="3" spans="1:41" x14ac:dyDescent="0.4">
      <c r="A3" s="65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</row>
    <row r="4" spans="1:41" x14ac:dyDescent="0.4">
      <c r="A4" s="1">
        <f>4</f>
        <v>4</v>
      </c>
      <c r="B4" s="59" t="s">
        <v>1</v>
      </c>
      <c r="C4" s="59"/>
      <c r="D4" s="60">
        <v>1</v>
      </c>
      <c r="E4" s="60"/>
      <c r="G4" s="52" t="s">
        <v>87</v>
      </c>
      <c r="H4" s="53">
        <v>0</v>
      </c>
    </row>
    <row r="5" spans="1:41" x14ac:dyDescent="0.4">
      <c r="A5" s="1">
        <f>A4+1</f>
        <v>5</v>
      </c>
      <c r="B5" s="59" t="s">
        <v>29</v>
      </c>
      <c r="C5" s="59"/>
      <c r="D5" s="75">
        <v>44848</v>
      </c>
      <c r="E5" s="60"/>
      <c r="G5" s="66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7"/>
      <c r="H6" s="68" t="s">
        <v>4</v>
      </c>
      <c r="I6" s="69"/>
      <c r="L6" s="72" t="s">
        <v>75</v>
      </c>
      <c r="M6" s="72"/>
      <c r="N6" s="72"/>
      <c r="O6" s="76" t="s">
        <v>76</v>
      </c>
      <c r="P6" s="69"/>
      <c r="R6" s="72" t="s">
        <v>5</v>
      </c>
      <c r="S6" s="72"/>
      <c r="T6" s="72"/>
    </row>
    <row r="7" spans="1:41" x14ac:dyDescent="0.4">
      <c r="A7" s="1">
        <f t="shared" si="1"/>
        <v>7</v>
      </c>
      <c r="B7" s="59" t="s">
        <v>6</v>
      </c>
      <c r="C7" s="59"/>
      <c r="D7" s="60">
        <v>0</v>
      </c>
      <c r="E7" s="60"/>
      <c r="G7" s="67"/>
      <c r="H7" s="70"/>
      <c r="I7" s="71"/>
      <c r="L7" s="72"/>
      <c r="M7" s="72"/>
      <c r="N7" s="72"/>
      <c r="O7" s="70"/>
      <c r="P7" s="71"/>
      <c r="R7" s="72"/>
      <c r="S7" s="72"/>
      <c r="T7" s="72"/>
    </row>
    <row r="8" spans="1:41" x14ac:dyDescent="0.4">
      <c r="A8" s="1">
        <f t="shared" si="1"/>
        <v>8</v>
      </c>
      <c r="B8" s="59" t="s">
        <v>7</v>
      </c>
      <c r="C8" s="59"/>
      <c r="D8" s="60">
        <v>0.01</v>
      </c>
      <c r="E8" s="60"/>
      <c r="G8" s="67"/>
      <c r="I8" s="3" t="s">
        <v>8</v>
      </c>
      <c r="J8" s="3" t="s">
        <v>9</v>
      </c>
      <c r="K8" s="3" t="s">
        <v>10</v>
      </c>
      <c r="R8" s="72" t="s">
        <v>11</v>
      </c>
      <c r="S8" s="72"/>
      <c r="T8" s="4">
        <v>3</v>
      </c>
    </row>
    <row r="9" spans="1:41" x14ac:dyDescent="0.4">
      <c r="A9" s="1">
        <f t="shared" si="1"/>
        <v>9</v>
      </c>
      <c r="G9" s="67"/>
      <c r="H9" s="3" t="s">
        <v>12</v>
      </c>
      <c r="I9" s="5">
        <v>1E-3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7"/>
      <c r="H10" s="8" t="s">
        <v>13</v>
      </c>
      <c r="I10" s="73" t="s">
        <v>14</v>
      </c>
      <c r="J10" s="74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61" t="s">
        <v>17</v>
      </c>
      <c r="S10" s="61" t="s">
        <v>18</v>
      </c>
      <c r="T10" s="61" t="s">
        <v>19</v>
      </c>
      <c r="U10" s="61" t="s">
        <v>20</v>
      </c>
      <c r="V10" s="61" t="s">
        <v>21</v>
      </c>
      <c r="W10" s="61" t="s">
        <v>22</v>
      </c>
    </row>
    <row r="11" spans="1:41" x14ac:dyDescent="0.4">
      <c r="A11" s="1">
        <f t="shared" si="1"/>
        <v>11</v>
      </c>
      <c r="G11" s="67"/>
      <c r="H11" s="49">
        <v>44849</v>
      </c>
      <c r="I11" s="10">
        <v>0.01</v>
      </c>
      <c r="J11" s="11"/>
      <c r="K11" s="7">
        <v>45539</v>
      </c>
      <c r="L11" s="12">
        <v>1</v>
      </c>
      <c r="M11" s="44">
        <v>44849</v>
      </c>
      <c r="N11" s="13">
        <v>3.1520000000000001</v>
      </c>
      <c r="O11" s="44">
        <v>44849</v>
      </c>
      <c r="P11" s="13">
        <v>3.1520000000000001</v>
      </c>
      <c r="R11" s="62"/>
      <c r="S11" s="62"/>
      <c r="T11" s="62"/>
      <c r="U11" s="62"/>
      <c r="V11" s="62"/>
      <c r="W11" s="62"/>
    </row>
    <row r="12" spans="1:41" x14ac:dyDescent="0.4">
      <c r="A12" s="1">
        <f t="shared" si="1"/>
        <v>12</v>
      </c>
      <c r="G12" s="67"/>
      <c r="H12" s="49"/>
      <c r="I12" s="10"/>
      <c r="J12" s="11"/>
      <c r="K12" s="7">
        <v>45569</v>
      </c>
      <c r="L12" s="12">
        <f>L11+1</f>
        <v>2</v>
      </c>
      <c r="M12" s="44">
        <v>44939</v>
      </c>
      <c r="N12" s="13">
        <v>3.2610000000000001</v>
      </c>
      <c r="O12" s="44">
        <v>44939</v>
      </c>
      <c r="P12" s="13">
        <v>3.2610000000000001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63" t="s">
        <v>23</v>
      </c>
      <c r="E13" s="63"/>
      <c r="G13" s="67"/>
      <c r="H13" s="49"/>
      <c r="I13" s="10"/>
      <c r="J13" s="11"/>
      <c r="K13" s="7">
        <v>45629</v>
      </c>
      <c r="L13" s="12">
        <f t="shared" ref="L13:L53" si="2">L12+1</f>
        <v>3</v>
      </c>
      <c r="M13" s="44">
        <v>45030</v>
      </c>
      <c r="N13" s="13">
        <v>3.35</v>
      </c>
      <c r="O13" s="44">
        <v>45030</v>
      </c>
      <c r="P13" s="13">
        <v>3.35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63"/>
      <c r="E14" s="63"/>
      <c r="G14" s="67"/>
      <c r="H14" s="49"/>
      <c r="I14" s="10"/>
      <c r="J14" s="11"/>
      <c r="K14" s="7">
        <v>45720</v>
      </c>
      <c r="L14" s="12">
        <f t="shared" si="2"/>
        <v>4</v>
      </c>
      <c r="M14" s="44">
        <v>45213</v>
      </c>
      <c r="N14" s="13">
        <v>3.4510000000000001</v>
      </c>
      <c r="O14" s="44">
        <v>45213</v>
      </c>
      <c r="P14" s="13">
        <v>3.4510000000000001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63"/>
      <c r="E15" s="63"/>
      <c r="G15" s="67"/>
      <c r="H15" s="49"/>
      <c r="I15" s="10"/>
      <c r="J15" s="11"/>
      <c r="K15" s="7">
        <v>45903</v>
      </c>
      <c r="L15" s="12">
        <f t="shared" si="2"/>
        <v>5</v>
      </c>
      <c r="M15" s="44">
        <v>45395</v>
      </c>
      <c r="N15" s="13">
        <v>3.9999999999999996</v>
      </c>
      <c r="O15" s="44">
        <v>45395</v>
      </c>
      <c r="P15" s="13">
        <v>3.9999999999999996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7"/>
      <c r="H16" s="49"/>
      <c r="I16" s="10"/>
      <c r="J16" s="11"/>
      <c r="K16" s="7">
        <v>46268</v>
      </c>
      <c r="L16" s="12">
        <f t="shared" si="2"/>
        <v>6</v>
      </c>
      <c r="M16" s="44">
        <v>45578</v>
      </c>
      <c r="N16" s="13">
        <v>4.222999999999999</v>
      </c>
      <c r="O16" s="44">
        <v>45578</v>
      </c>
      <c r="P16" s="13">
        <v>4.222999999999999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64">
        <v>45202.835729166669</v>
      </c>
      <c r="E17" s="64"/>
      <c r="G17" s="67"/>
      <c r="H17" s="49"/>
      <c r="I17" s="10"/>
      <c r="J17" s="11"/>
      <c r="K17" s="7">
        <v>46633</v>
      </c>
      <c r="L17" s="12">
        <f t="shared" si="2"/>
        <v>7</v>
      </c>
      <c r="M17" s="44">
        <v>45943</v>
      </c>
      <c r="N17" s="13">
        <v>4.25</v>
      </c>
      <c r="O17" s="44">
        <v>45943</v>
      </c>
      <c r="P17" s="13">
        <v>4.25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64">
        <v>45202.835729166669</v>
      </c>
      <c r="E18" s="64"/>
      <c r="G18" s="67"/>
      <c r="H18" s="49"/>
      <c r="I18" s="10"/>
      <c r="J18" s="11"/>
      <c r="K18" s="7">
        <v>47001</v>
      </c>
      <c r="L18" s="12">
        <f t="shared" si="2"/>
        <v>8</v>
      </c>
      <c r="M18" s="44">
        <v>46308</v>
      </c>
      <c r="N18" s="13">
        <v>4.3450000000000006</v>
      </c>
      <c r="O18" s="44">
        <v>46308</v>
      </c>
      <c r="P18" s="13">
        <v>4.3450000000000006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7"/>
      <c r="H19" s="49"/>
      <c r="I19" s="10"/>
      <c r="J19" s="11"/>
      <c r="K19" s="7">
        <v>47363</v>
      </c>
      <c r="L19" s="12">
        <f t="shared" si="2"/>
        <v>9</v>
      </c>
      <c r="M19" s="44">
        <v>46673</v>
      </c>
      <c r="N19" s="13">
        <v>4.2889999999999997</v>
      </c>
      <c r="O19" s="44">
        <v>46673</v>
      </c>
      <c r="P19" s="13">
        <v>4.2889999999999997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7"/>
      <c r="H20" s="49"/>
      <c r="I20" s="10"/>
      <c r="J20" s="11"/>
      <c r="K20" s="7">
        <v>48093</v>
      </c>
      <c r="L20" s="12">
        <f t="shared" si="2"/>
        <v>10</v>
      </c>
      <c r="M20" s="44">
        <v>48498</v>
      </c>
      <c r="N20" s="13">
        <v>4.274</v>
      </c>
      <c r="O20" s="44">
        <v>48498</v>
      </c>
      <c r="P20" s="13">
        <v>4.274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7"/>
      <c r="H21" s="49"/>
      <c r="I21" s="10"/>
      <c r="J21" s="11"/>
      <c r="K21" s="7">
        <v>48906</v>
      </c>
      <c r="L21" s="12">
        <f t="shared" si="2"/>
        <v>11</v>
      </c>
      <c r="M21" s="44">
        <v>52148</v>
      </c>
      <c r="N21" s="13">
        <v>4.1399999999999988</v>
      </c>
      <c r="O21" s="44">
        <v>52148</v>
      </c>
      <c r="P21" s="13">
        <v>4.1399999999999988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7"/>
      <c r="H22" s="49"/>
      <c r="I22" s="10"/>
      <c r="J22" s="11"/>
      <c r="K22" s="7">
        <v>59856</v>
      </c>
      <c r="L22" s="12">
        <f t="shared" si="2"/>
        <v>12</v>
      </c>
      <c r="M22" s="44">
        <v>55798</v>
      </c>
      <c r="N22" s="13">
        <v>4.0489999999999995</v>
      </c>
      <c r="O22" s="44">
        <v>55798</v>
      </c>
      <c r="P22" s="13">
        <v>4.0489999999999995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9" t="s">
        <v>24</v>
      </c>
      <c r="C23" s="59"/>
      <c r="D23" s="60">
        <v>1</v>
      </c>
      <c r="E23" s="60"/>
      <c r="G23" s="67"/>
      <c r="H23" s="49"/>
      <c r="I23" s="10"/>
      <c r="J23" s="11"/>
      <c r="L23" s="12">
        <f t="shared" si="2"/>
        <v>13</v>
      </c>
      <c r="M23" s="44"/>
      <c r="N23" s="13"/>
      <c r="O23" s="44"/>
      <c r="P23" s="13"/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9" t="s">
        <v>25</v>
      </c>
      <c r="C24" s="59"/>
      <c r="D24" s="60">
        <v>0</v>
      </c>
      <c r="E24" s="60"/>
      <c r="G24" s="67"/>
      <c r="H24" s="49"/>
      <c r="I24" s="10"/>
      <c r="J24" s="11"/>
      <c r="L24" s="12">
        <f t="shared" si="2"/>
        <v>14</v>
      </c>
      <c r="M24" s="44"/>
      <c r="N24" s="13"/>
      <c r="O24" s="44"/>
      <c r="P24" s="13"/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9" t="s">
        <v>26</v>
      </c>
      <c r="C25" s="59"/>
      <c r="D25" s="60">
        <v>-0.1</v>
      </c>
      <c r="E25" s="60"/>
      <c r="G25" s="67"/>
      <c r="H25" s="49"/>
      <c r="I25" s="10"/>
      <c r="J25" s="11"/>
      <c r="L25" s="12">
        <f t="shared" si="2"/>
        <v>15</v>
      </c>
      <c r="M25" s="44"/>
      <c r="N25" s="13"/>
      <c r="O25" s="44"/>
      <c r="P25" s="13"/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9" t="s">
        <v>27</v>
      </c>
      <c r="C26" s="59"/>
      <c r="D26" s="60">
        <v>0.15</v>
      </c>
      <c r="E26" s="60"/>
      <c r="G26" s="67"/>
      <c r="H26" s="49"/>
      <c r="I26" s="10"/>
      <c r="J26" s="11"/>
      <c r="L26" s="12">
        <f t="shared" si="2"/>
        <v>16</v>
      </c>
      <c r="M26" s="44"/>
      <c r="N26" s="13"/>
      <c r="O26" s="44"/>
      <c r="P26" s="13"/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7"/>
      <c r="H27" s="49"/>
      <c r="I27" s="10"/>
      <c r="J27" s="11"/>
      <c r="L27" s="12">
        <f t="shared" si="2"/>
        <v>17</v>
      </c>
      <c r="M27" s="44"/>
      <c r="N27" s="13"/>
      <c r="O27" s="44"/>
      <c r="P27" s="13"/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7"/>
      <c r="H28" s="49"/>
      <c r="I28" s="10"/>
      <c r="J28" s="11"/>
      <c r="L28" s="12">
        <f t="shared" si="2"/>
        <v>18</v>
      </c>
      <c r="M28" s="44"/>
      <c r="N28" s="13"/>
      <c r="O28" s="44"/>
      <c r="P28" s="13"/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7"/>
      <c r="H29" s="49"/>
      <c r="I29" s="10"/>
      <c r="J29" s="11"/>
      <c r="L29" s="12">
        <f t="shared" si="2"/>
        <v>19</v>
      </c>
      <c r="M29" s="44"/>
      <c r="N29" s="13"/>
      <c r="O29" s="44"/>
      <c r="P29" s="13"/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7"/>
      <c r="H30" s="49"/>
      <c r="I30" s="10"/>
      <c r="J30" s="11"/>
      <c r="L30" s="12">
        <f t="shared" si="2"/>
        <v>20</v>
      </c>
      <c r="M30" s="44"/>
      <c r="N30" s="13"/>
      <c r="O30" s="44"/>
      <c r="P30" s="13"/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7"/>
      <c r="H31" s="49"/>
      <c r="I31" s="10"/>
      <c r="J31" s="11"/>
      <c r="L31" s="12">
        <f t="shared" si="2"/>
        <v>21</v>
      </c>
      <c r="M31" s="44"/>
      <c r="N31" s="13"/>
      <c r="O31" s="44"/>
      <c r="P31" s="13"/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7"/>
      <c r="H32" s="49"/>
      <c r="I32" s="10"/>
      <c r="J32" s="11"/>
      <c r="L32" s="12">
        <f t="shared" si="2"/>
        <v>22</v>
      </c>
      <c r="M32" s="45"/>
      <c r="N32" s="18"/>
      <c r="O32" s="45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7"/>
      <c r="H33" s="49"/>
      <c r="I33" s="10"/>
      <c r="J33" s="11"/>
      <c r="L33" s="12">
        <f t="shared" si="2"/>
        <v>23</v>
      </c>
      <c r="M33" s="45"/>
      <c r="N33" s="18"/>
      <c r="O33" s="45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7"/>
      <c r="H34" s="49"/>
      <c r="I34" s="10"/>
      <c r="J34" s="11"/>
      <c r="L34" s="12">
        <f t="shared" si="2"/>
        <v>24</v>
      </c>
      <c r="M34" s="45"/>
      <c r="N34" s="18"/>
      <c r="O34" s="45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7"/>
      <c r="H35" s="49"/>
      <c r="I35" s="10"/>
      <c r="J35" s="11"/>
      <c r="L35" s="12">
        <f t="shared" si="2"/>
        <v>25</v>
      </c>
      <c r="M35" s="45"/>
      <c r="N35" s="18"/>
      <c r="O35" s="45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7"/>
      <c r="H36" s="49"/>
      <c r="I36" s="10"/>
      <c r="J36" s="11"/>
      <c r="L36" s="12">
        <f t="shared" si="2"/>
        <v>26</v>
      </c>
      <c r="M36" s="45"/>
      <c r="N36" s="18"/>
      <c r="O36" s="45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7"/>
      <c r="H37" s="49"/>
      <c r="I37" s="10"/>
      <c r="J37" s="11"/>
      <c r="L37" s="12">
        <f t="shared" si="2"/>
        <v>27</v>
      </c>
      <c r="M37" s="45"/>
      <c r="N37" s="18"/>
      <c r="O37" s="45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7"/>
      <c r="H38" s="49"/>
      <c r="I38" s="10"/>
      <c r="J38" s="11"/>
      <c r="L38" s="12">
        <f t="shared" si="2"/>
        <v>28</v>
      </c>
      <c r="M38" s="45"/>
      <c r="N38" s="18"/>
      <c r="O38" s="45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7"/>
      <c r="H39" s="49"/>
      <c r="I39" s="10"/>
      <c r="J39" s="11"/>
      <c r="L39" s="12">
        <f t="shared" si="2"/>
        <v>29</v>
      </c>
      <c r="M39" s="45"/>
      <c r="N39" s="18"/>
      <c r="O39" s="45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7"/>
      <c r="H40" s="49"/>
      <c r="I40" s="10"/>
      <c r="J40" s="11"/>
      <c r="L40" s="12">
        <f t="shared" si="2"/>
        <v>30</v>
      </c>
      <c r="M40" s="45"/>
      <c r="N40" s="18"/>
      <c r="O40" s="45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49"/>
      <c r="I41" s="10"/>
      <c r="J41" s="11"/>
      <c r="L41" s="12">
        <f t="shared" si="2"/>
        <v>31</v>
      </c>
      <c r="M41" s="45"/>
      <c r="N41" s="18"/>
      <c r="O41" s="45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49"/>
      <c r="I42" s="10"/>
      <c r="J42" s="11"/>
      <c r="L42" s="12">
        <f t="shared" si="2"/>
        <v>32</v>
      </c>
      <c r="M42" s="45"/>
      <c r="N42" s="18"/>
      <c r="O42" s="45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49"/>
      <c r="I43" s="10"/>
      <c r="J43" s="11"/>
      <c r="L43" s="12">
        <f t="shared" si="2"/>
        <v>33</v>
      </c>
      <c r="M43" s="45"/>
      <c r="N43" s="18"/>
      <c r="O43" s="45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49"/>
      <c r="I44" s="10"/>
      <c r="J44" s="11"/>
      <c r="L44" s="12">
        <f t="shared" si="2"/>
        <v>34</v>
      </c>
      <c r="M44" s="45"/>
      <c r="N44" s="18"/>
      <c r="O44" s="45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49"/>
      <c r="I45" s="10"/>
      <c r="J45" s="11"/>
      <c r="L45" s="12">
        <f t="shared" si="2"/>
        <v>35</v>
      </c>
      <c r="M45" s="45"/>
      <c r="N45" s="18"/>
      <c r="O45" s="45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49"/>
      <c r="I46" s="10"/>
      <c r="J46" s="11"/>
      <c r="L46" s="12">
        <f t="shared" si="2"/>
        <v>36</v>
      </c>
      <c r="M46" s="45"/>
      <c r="N46" s="18"/>
      <c r="O46" s="45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49"/>
      <c r="I47" s="10"/>
      <c r="J47" s="11"/>
      <c r="L47" s="12">
        <f t="shared" si="2"/>
        <v>37</v>
      </c>
      <c r="M47" s="45"/>
      <c r="N47" s="18"/>
      <c r="O47" s="45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49"/>
      <c r="I48" s="10"/>
      <c r="J48" s="11"/>
      <c r="L48" s="12">
        <f t="shared" si="2"/>
        <v>38</v>
      </c>
      <c r="M48" s="45"/>
      <c r="N48" s="18"/>
      <c r="O48" s="45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49"/>
      <c r="I49" s="10"/>
      <c r="J49" s="11"/>
      <c r="L49" s="12">
        <f t="shared" si="2"/>
        <v>39</v>
      </c>
      <c r="M49" s="45"/>
      <c r="N49" s="18"/>
      <c r="O49" s="45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49"/>
      <c r="I50" s="10"/>
      <c r="J50" s="11"/>
      <c r="L50" s="12">
        <f t="shared" si="2"/>
        <v>40</v>
      </c>
      <c r="M50" s="45"/>
      <c r="N50" s="18"/>
      <c r="O50" s="45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49"/>
      <c r="I51" s="10"/>
      <c r="J51" s="11"/>
      <c r="L51" s="12">
        <f t="shared" si="2"/>
        <v>41</v>
      </c>
      <c r="M51" s="45"/>
      <c r="N51" s="18"/>
      <c r="O51" s="45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49"/>
      <c r="I52" s="10"/>
      <c r="J52" s="11"/>
      <c r="L52" s="12">
        <f t="shared" si="2"/>
        <v>42</v>
      </c>
      <c r="M52" s="45"/>
      <c r="N52" s="18"/>
      <c r="O52" s="45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49"/>
      <c r="I53" s="10"/>
      <c r="J53" s="11"/>
      <c r="L53" s="12">
        <f t="shared" si="2"/>
        <v>43</v>
      </c>
      <c r="M53" s="45"/>
      <c r="N53" s="18"/>
      <c r="O53" s="45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61"/>
  <sheetViews>
    <sheetView tabSelected="1" topLeftCell="U1" zoomScale="70" zoomScaleNormal="70" workbookViewId="0">
      <selection activeCell="AF12" sqref="AF12"/>
    </sheetView>
  </sheetViews>
  <sheetFormatPr defaultColWidth="12.5" defaultRowHeight="17.399999999999999" x14ac:dyDescent="0.4"/>
  <cols>
    <col min="1" max="1" width="12.5" style="20"/>
    <col min="2" max="3" width="12.5" style="26"/>
    <col min="4" max="4" width="11.59765625" style="20" customWidth="1"/>
    <col min="5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5"/>
    <col min="27" max="27" width="12.5" style="20"/>
    <col min="28" max="28" width="12.5" style="40"/>
    <col min="29" max="30" width="12.5" style="41"/>
    <col min="31" max="31" width="12.5" style="43"/>
    <col min="32" max="32" width="17.59765625" style="47" bestFit="1" customWidth="1"/>
    <col min="33" max="35" width="12.5" style="41"/>
    <col min="36" max="36" width="12.5" style="43"/>
    <col min="37" max="37" width="18.09765625" style="47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50" t="s">
        <v>87</v>
      </c>
      <c r="C2" s="51">
        <v>0</v>
      </c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118" t="s">
        <v>30</v>
      </c>
      <c r="C3" s="118"/>
      <c r="D3" s="153">
        <v>44848</v>
      </c>
      <c r="E3" s="95"/>
      <c r="F3" s="77" t="s">
        <v>31</v>
      </c>
      <c r="G3" s="77"/>
      <c r="H3" s="95">
        <v>0</v>
      </c>
      <c r="I3" s="95"/>
      <c r="J3" s="77" t="s">
        <v>32</v>
      </c>
      <c r="K3" s="77"/>
      <c r="L3" s="154">
        <v>10000</v>
      </c>
      <c r="M3" s="154"/>
      <c r="O3" s="137" t="s">
        <v>50</v>
      </c>
      <c r="P3" s="138"/>
      <c r="Q3" s="138"/>
      <c r="R3" s="139"/>
      <c r="T3" s="129" t="s">
        <v>56</v>
      </c>
      <c r="U3" s="130"/>
      <c r="W3" s="120" t="s">
        <v>77</v>
      </c>
      <c r="X3" s="121"/>
      <c r="Y3" s="120" t="s">
        <v>78</v>
      </c>
      <c r="Z3" s="121"/>
      <c r="AB3" s="88" t="s">
        <v>66</v>
      </c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90"/>
    </row>
    <row r="4" spans="1:57" x14ac:dyDescent="0.4">
      <c r="A4" s="21">
        <f t="shared" si="1"/>
        <v>4</v>
      </c>
      <c r="B4" s="20"/>
      <c r="C4" s="20"/>
      <c r="O4" s="140" t="s">
        <v>49</v>
      </c>
      <c r="P4" s="141"/>
      <c r="Q4" s="142">
        <v>43169</v>
      </c>
      <c r="R4" s="143"/>
      <c r="T4" s="29" t="s">
        <v>57</v>
      </c>
      <c r="U4" s="30" t="s">
        <v>58</v>
      </c>
      <c r="W4" s="36" t="s">
        <v>60</v>
      </c>
      <c r="X4" s="37" t="s">
        <v>16</v>
      </c>
      <c r="Y4" s="36" t="s">
        <v>60</v>
      </c>
      <c r="Z4" s="37" t="s">
        <v>16</v>
      </c>
      <c r="AB4" s="91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3"/>
    </row>
    <row r="5" spans="1:57" x14ac:dyDescent="0.4">
      <c r="A5" s="21">
        <f t="shared" si="1"/>
        <v>5</v>
      </c>
      <c r="B5" s="88" t="s">
        <v>48</v>
      </c>
      <c r="C5" s="89"/>
      <c r="D5" s="89"/>
      <c r="E5" s="89"/>
      <c r="F5" s="89"/>
      <c r="G5" s="89"/>
      <c r="H5" s="89"/>
      <c r="I5" s="89"/>
      <c r="J5" s="89"/>
      <c r="K5" s="89"/>
      <c r="L5" s="89"/>
      <c r="M5" s="90"/>
      <c r="O5" s="117" t="s">
        <v>51</v>
      </c>
      <c r="P5" s="148"/>
      <c r="Q5" s="149">
        <v>46822</v>
      </c>
      <c r="R5" s="150"/>
      <c r="T5" s="24">
        <v>45292</v>
      </c>
      <c r="U5" s="25">
        <v>45651</v>
      </c>
      <c r="W5" s="32">
        <v>44817</v>
      </c>
      <c r="X5" s="33">
        <v>3.09E-2</v>
      </c>
      <c r="Y5" s="32">
        <v>44817</v>
      </c>
      <c r="Z5" s="33">
        <v>3.09E-2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91"/>
      <c r="C6" s="92"/>
      <c r="D6" s="92"/>
      <c r="E6" s="92"/>
      <c r="F6" s="92"/>
      <c r="G6" s="92"/>
      <c r="H6" s="92"/>
      <c r="I6" s="92"/>
      <c r="J6" s="92"/>
      <c r="K6" s="92"/>
      <c r="L6" s="92"/>
      <c r="M6" s="93"/>
      <c r="O6" s="146" t="s">
        <v>43</v>
      </c>
      <c r="P6" s="147"/>
      <c r="Q6" s="128">
        <v>0</v>
      </c>
      <c r="R6" s="79"/>
      <c r="W6" s="27">
        <f>W5+1</f>
        <v>44818</v>
      </c>
      <c r="X6" s="33">
        <v>3.09E-2</v>
      </c>
      <c r="Y6" s="27">
        <f>Y5+1</f>
        <v>44818</v>
      </c>
      <c r="Z6" s="33">
        <v>3.09E-2</v>
      </c>
      <c r="AB6" s="77" t="s">
        <v>67</v>
      </c>
      <c r="AC6" s="77"/>
      <c r="AD6" s="95">
        <v>0</v>
      </c>
      <c r="AE6" s="95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7" t="s">
        <v>33</v>
      </c>
      <c r="C7" s="77"/>
      <c r="D7" s="94">
        <v>1</v>
      </c>
      <c r="E7" s="95"/>
      <c r="F7" s="77" t="s">
        <v>34</v>
      </c>
      <c r="G7" s="77"/>
      <c r="H7" s="94">
        <v>1</v>
      </c>
      <c r="I7" s="95"/>
      <c r="J7" s="77" t="s">
        <v>86</v>
      </c>
      <c r="K7" s="77"/>
      <c r="L7" s="78">
        <v>0</v>
      </c>
      <c r="M7" s="79"/>
      <c r="O7" s="129" t="str">
        <f>IF(Q6&gt;0,"Phase2날짜","")</f>
        <v/>
      </c>
      <c r="P7" s="130"/>
      <c r="Q7" s="144">
        <f>EDATE(Q4,12)</f>
        <v>43534</v>
      </c>
      <c r="R7" s="145"/>
      <c r="W7" s="27">
        <v>44815</v>
      </c>
      <c r="X7" s="34">
        <v>3.6999999999999998E-2</v>
      </c>
      <c r="Y7" s="27">
        <v>44630</v>
      </c>
      <c r="Z7" s="33">
        <v>3.09E-2</v>
      </c>
      <c r="AB7" s="77" t="s">
        <v>80</v>
      </c>
      <c r="AC7" s="77"/>
      <c r="AD7" s="95">
        <v>0</v>
      </c>
      <c r="AE7" s="95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W8" s="27">
        <v>45463</v>
      </c>
      <c r="X8" s="34">
        <v>3.5999999999999997E-2</v>
      </c>
      <c r="Y8" s="27">
        <v>45463</v>
      </c>
      <c r="Z8" s="34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131" t="str">
        <f>"기초금리정보"</f>
        <v>기초금리정보</v>
      </c>
      <c r="C9" s="132"/>
      <c r="D9" s="59" t="s">
        <v>35</v>
      </c>
      <c r="E9" s="59"/>
      <c r="F9" s="78">
        <v>0</v>
      </c>
      <c r="G9" s="79"/>
      <c r="H9" s="23"/>
      <c r="I9" s="22"/>
      <c r="J9" s="96" t="str">
        <f>IF(OR(F10 = 0, F10 = 2, F10 = 4), "RefType = "&amp;F10&amp;" 이므로 Ref Swap 금리정보 사용안함", "사용")</f>
        <v>사용</v>
      </c>
      <c r="K9" s="97"/>
      <c r="L9" s="97"/>
      <c r="M9" s="98"/>
      <c r="O9" s="104" t="s">
        <v>53</v>
      </c>
      <c r="P9" s="104"/>
      <c r="Q9" s="104"/>
      <c r="R9" s="104"/>
      <c r="AB9" s="20"/>
      <c r="AC9" s="20"/>
      <c r="AD9" s="20">
        <v>940293287.59126413</v>
      </c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133"/>
      <c r="C10" s="134"/>
      <c r="D10" s="59" t="s">
        <v>36</v>
      </c>
      <c r="E10" s="99"/>
      <c r="F10" s="100">
        <v>1</v>
      </c>
      <c r="G10" s="101"/>
      <c r="H10" s="96" t="str">
        <f xml:space="preserve"> "Swap 레퍼런스금리정보"</f>
        <v>Swap 레퍼런스금리정보</v>
      </c>
      <c r="I10" s="97"/>
      <c r="J10" s="84" t="str">
        <f>IF(OR(F10 = 0, F10 = 2, F10 = 4), "", "연 지급횟수")</f>
        <v>연 지급횟수</v>
      </c>
      <c r="K10" s="85"/>
      <c r="L10" s="95">
        <v>4</v>
      </c>
      <c r="M10" s="103"/>
      <c r="O10" s="104" t="s">
        <v>52</v>
      </c>
      <c r="P10" s="104"/>
      <c r="Q10" s="128">
        <v>4</v>
      </c>
      <c r="R10" s="79"/>
      <c r="AB10" s="117" t="s">
        <v>79</v>
      </c>
      <c r="AC10" s="118"/>
      <c r="AD10" s="119">
        <v>324.66186327693111</v>
      </c>
      <c r="AE10" s="119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133"/>
      <c r="C11" s="134"/>
      <c r="D11" s="104" t="s">
        <v>37</v>
      </c>
      <c r="E11" s="104"/>
      <c r="F11" s="78">
        <v>0</v>
      </c>
      <c r="G11" s="79"/>
      <c r="H11" s="102"/>
      <c r="I11" s="84"/>
      <c r="J11" s="84" t="str">
        <f>IF(F11=0, "만기", "입력X, 아래만기2개입력")</f>
        <v>만기</v>
      </c>
      <c r="K11" s="85"/>
      <c r="L11" s="86">
        <v>0.25</v>
      </c>
      <c r="M11" s="87"/>
      <c r="O11" s="104" t="s">
        <v>54</v>
      </c>
      <c r="P11" s="104"/>
      <c r="Q11" s="128">
        <v>0</v>
      </c>
      <c r="R11" s="79"/>
      <c r="AB11" s="20"/>
      <c r="AC11" s="20"/>
      <c r="AD11" s="20">
        <v>798615000</v>
      </c>
      <c r="AE11" s="48">
        <f>(AD11-AD10)/L3</f>
        <v>79861.467533813673</v>
      </c>
      <c r="AF11" s="20">
        <v>231.17600548012274</v>
      </c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133"/>
      <c r="C12" s="134"/>
      <c r="D12" s="104" t="s">
        <v>38</v>
      </c>
      <c r="E12" s="104"/>
      <c r="F12" s="113">
        <v>1</v>
      </c>
      <c r="G12" s="114"/>
      <c r="H12" s="151" t="str">
        <f>"ex) Deposit 3M -&gt; 연 지급횟수= 4, 만기= 0.25 ||  ex2) CMT 5Y 연 지급횟수=2, 만기 5"</f>
        <v>ex) Deposit 3M -&gt; 연 지급횟수= 4, 만기= 0.25 ||  ex2) CMT 5Y 연 지급횟수=2, 만기 5</v>
      </c>
      <c r="I12" s="151"/>
      <c r="J12" s="151"/>
      <c r="K12" s="151"/>
      <c r="L12" s="151"/>
      <c r="M12" s="152"/>
      <c r="O12" s="129" t="s">
        <v>55</v>
      </c>
      <c r="P12" s="130"/>
      <c r="Q12" s="128">
        <v>4</v>
      </c>
      <c r="R12" s="79"/>
      <c r="AB12" s="20"/>
      <c r="AC12" s="20"/>
      <c r="AD12" s="20"/>
      <c r="AE12" s="20" t="s">
        <v>97</v>
      </c>
      <c r="AF12" s="58">
        <f>AD10-AF11</f>
        <v>93.485857796808375</v>
      </c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133"/>
      <c r="C13" s="134"/>
      <c r="D13" s="104" t="s">
        <v>39</v>
      </c>
      <c r="E13" s="59"/>
      <c r="F13" s="105">
        <v>-1</v>
      </c>
      <c r="G13" s="106"/>
      <c r="H13" s="83" t="str">
        <f>IF(F11&gt;0,"PowerSpreadFlag 1일때 입력","입력필요X")</f>
        <v>입력필요X</v>
      </c>
      <c r="I13" s="83"/>
      <c r="J13" s="83" t="str">
        <f>IF(F11&gt;0,"만기1","")</f>
        <v/>
      </c>
      <c r="K13" s="83"/>
      <c r="L13" s="107">
        <v>10</v>
      </c>
      <c r="M13" s="108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135"/>
      <c r="C14" s="136"/>
      <c r="D14" s="109" t="s">
        <v>40</v>
      </c>
      <c r="E14" s="109"/>
      <c r="F14" s="110">
        <v>1</v>
      </c>
      <c r="G14" s="111"/>
      <c r="H14" s="83"/>
      <c r="I14" s="83"/>
      <c r="J14" s="83" t="str">
        <f>IF(F11&gt;0,"만기2","")</f>
        <v/>
      </c>
      <c r="K14" s="83"/>
      <c r="L14" s="107">
        <v>5</v>
      </c>
      <c r="M14" s="108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15" t="s">
        <v>73</v>
      </c>
      <c r="AC15" s="116"/>
      <c r="AD15" s="116"/>
      <c r="AE15" s="116"/>
      <c r="AF15" s="116"/>
      <c r="AG15" s="115" t="s">
        <v>74</v>
      </c>
      <c r="AH15" s="116"/>
      <c r="AI15" s="116"/>
      <c r="AJ15" s="116"/>
      <c r="AK15" s="116"/>
    </row>
    <row r="16" spans="1:57" x14ac:dyDescent="0.4">
      <c r="A16" s="21">
        <f t="shared" si="1"/>
        <v>16</v>
      </c>
      <c r="B16" s="112" t="s">
        <v>41</v>
      </c>
      <c r="C16" s="112"/>
      <c r="D16" s="104" t="s">
        <v>81</v>
      </c>
      <c r="E16" s="104"/>
      <c r="F16" s="113">
        <v>0</v>
      </c>
      <c r="G16" s="114"/>
      <c r="H16" s="80" t="s">
        <v>84</v>
      </c>
      <c r="I16" s="81"/>
      <c r="J16" s="82" t="str">
        <f>IF(F11&gt;0, F13&amp;" &lt; "&amp;F10&amp;" x Rate("&amp;L13&amp;"Y-"&amp;L14&amp;"Y) &lt; "&amp;F12,F13&amp;" &lt; "&amp;F10&amp;" x Rate("&amp;L11&amp;"Y) &lt; "&amp;F12)</f>
        <v>-1 &lt; 1 x Rate(0.25Y) &lt; 1</v>
      </c>
      <c r="K16" s="82"/>
      <c r="L16" s="82"/>
      <c r="M16" s="82"/>
      <c r="AB16" s="36" t="s">
        <v>68</v>
      </c>
      <c r="AC16" s="36" t="s">
        <v>69</v>
      </c>
      <c r="AD16" s="36" t="s">
        <v>70</v>
      </c>
      <c r="AE16" s="36" t="s">
        <v>71</v>
      </c>
      <c r="AF16" s="36" t="s">
        <v>72</v>
      </c>
      <c r="AG16" s="36" t="s">
        <v>68</v>
      </c>
      <c r="AH16" s="36" t="s">
        <v>69</v>
      </c>
      <c r="AI16" s="36" t="s">
        <v>70</v>
      </c>
      <c r="AJ16" s="36" t="s">
        <v>71</v>
      </c>
      <c r="AK16" s="36" t="s">
        <v>72</v>
      </c>
    </row>
    <row r="17" spans="1:37" x14ac:dyDescent="0.4">
      <c r="A17" s="21">
        <f t="shared" si="1"/>
        <v>17</v>
      </c>
      <c r="B17" s="112"/>
      <c r="C17" s="112"/>
      <c r="D17" s="104" t="s">
        <v>44</v>
      </c>
      <c r="E17" s="104"/>
      <c r="F17" s="113">
        <v>0</v>
      </c>
      <c r="G17" s="114"/>
      <c r="H17" s="80" t="s">
        <v>82</v>
      </c>
      <c r="I17" s="81"/>
      <c r="J17" s="82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+ 0(고정) + 0(Range충족시)</v>
      </c>
      <c r="K17" s="82"/>
      <c r="L17" s="82"/>
      <c r="M17" s="82"/>
      <c r="AB17" s="38">
        <v>20180310</v>
      </c>
      <c r="AC17" s="39">
        <v>20180611</v>
      </c>
      <c r="AD17" s="39">
        <v>20180611</v>
      </c>
      <c r="AE17" s="42">
        <v>0</v>
      </c>
      <c r="AF17" s="46">
        <v>0</v>
      </c>
      <c r="AG17" s="39">
        <v>20180310</v>
      </c>
      <c r="AH17" s="39">
        <v>20190311</v>
      </c>
      <c r="AI17" s="39">
        <v>20190311</v>
      </c>
      <c r="AJ17" s="42">
        <v>0</v>
      </c>
      <c r="AK17" s="46">
        <v>0</v>
      </c>
    </row>
    <row r="18" spans="1:37" x14ac:dyDescent="0.4">
      <c r="A18" s="21">
        <f t="shared" si="1"/>
        <v>18</v>
      </c>
      <c r="B18" s="112"/>
      <c r="C18" s="112"/>
      <c r="D18" s="104" t="s">
        <v>45</v>
      </c>
      <c r="E18" s="104"/>
      <c r="F18" s="78">
        <v>1</v>
      </c>
      <c r="G18" s="79"/>
      <c r="H18" s="80"/>
      <c r="I18" s="81"/>
      <c r="J18" s="82"/>
      <c r="K18" s="82"/>
      <c r="L18" s="82"/>
      <c r="M18" s="82"/>
      <c r="AB18" s="40">
        <v>20180611</v>
      </c>
      <c r="AC18" s="41">
        <v>20180910</v>
      </c>
      <c r="AD18" s="41">
        <v>20180910</v>
      </c>
      <c r="AE18" s="43">
        <v>0</v>
      </c>
      <c r="AF18" s="47">
        <v>0</v>
      </c>
      <c r="AG18" s="41">
        <v>20190311</v>
      </c>
      <c r="AH18" s="41">
        <v>20200310</v>
      </c>
      <c r="AI18" s="41">
        <v>20200310</v>
      </c>
      <c r="AJ18" s="43">
        <v>0</v>
      </c>
      <c r="AK18" s="47">
        <v>0</v>
      </c>
    </row>
    <row r="19" spans="1:37" x14ac:dyDescent="0.4">
      <c r="A19" s="21">
        <f t="shared" si="1"/>
        <v>19</v>
      </c>
      <c r="B19" s="20"/>
      <c r="C19" s="20"/>
      <c r="AB19" s="40">
        <v>20180910</v>
      </c>
      <c r="AC19" s="41">
        <v>20181210</v>
      </c>
      <c r="AD19" s="41">
        <v>20181210</v>
      </c>
      <c r="AE19" s="43">
        <v>0</v>
      </c>
      <c r="AF19" s="47">
        <v>0</v>
      </c>
      <c r="AG19" s="41">
        <v>20200310</v>
      </c>
      <c r="AH19" s="41">
        <v>20210310</v>
      </c>
      <c r="AI19" s="41">
        <v>20210310</v>
      </c>
      <c r="AJ19" s="43">
        <v>0</v>
      </c>
      <c r="AK19" s="47">
        <v>0</v>
      </c>
    </row>
    <row r="20" spans="1:37" x14ac:dyDescent="0.4">
      <c r="A20" s="21">
        <f t="shared" si="1"/>
        <v>20</v>
      </c>
      <c r="B20" s="20"/>
      <c r="C20" s="20"/>
      <c r="AB20" s="40">
        <v>20181210</v>
      </c>
      <c r="AC20" s="41">
        <v>20190311</v>
      </c>
      <c r="AD20" s="41">
        <v>20190311</v>
      </c>
      <c r="AE20" s="43">
        <v>0</v>
      </c>
      <c r="AF20" s="47">
        <v>0</v>
      </c>
      <c r="AG20" s="41">
        <v>20210310</v>
      </c>
      <c r="AH20" s="41">
        <v>20220310</v>
      </c>
      <c r="AI20" s="41">
        <v>20220310</v>
      </c>
      <c r="AJ20" s="43">
        <v>0</v>
      </c>
      <c r="AK20" s="47">
        <v>0</v>
      </c>
    </row>
    <row r="21" spans="1:37" x14ac:dyDescent="0.4">
      <c r="A21" s="21">
        <f t="shared" si="1"/>
        <v>21</v>
      </c>
      <c r="B21" s="112" t="s">
        <v>46</v>
      </c>
      <c r="C21" s="112"/>
      <c r="D21" s="104" t="s">
        <v>42</v>
      </c>
      <c r="E21" s="104"/>
      <c r="F21" s="113">
        <v>0</v>
      </c>
      <c r="G21" s="114"/>
      <c r="H21" s="80" t="s">
        <v>83</v>
      </c>
      <c r="I21" s="81"/>
      <c r="J21" s="82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+ 0(고정) + 0(Range충족시)</v>
      </c>
      <c r="K21" s="82"/>
      <c r="L21" s="82"/>
      <c r="M21" s="82"/>
      <c r="AB21" s="40">
        <v>20190311</v>
      </c>
      <c r="AC21" s="41">
        <v>20190610</v>
      </c>
      <c r="AD21" s="41">
        <v>20190610</v>
      </c>
      <c r="AE21" s="43">
        <v>0</v>
      </c>
      <c r="AF21" s="47">
        <v>0</v>
      </c>
      <c r="AG21" s="41">
        <v>20220310</v>
      </c>
      <c r="AH21" s="41">
        <v>20230310</v>
      </c>
      <c r="AI21" s="41">
        <v>20230310</v>
      </c>
      <c r="AJ21" s="43">
        <v>3.09E-2</v>
      </c>
      <c r="AK21" s="47">
        <v>350.00000000000006</v>
      </c>
    </row>
    <row r="22" spans="1:37" x14ac:dyDescent="0.4">
      <c r="A22" s="21">
        <f t="shared" si="1"/>
        <v>22</v>
      </c>
      <c r="B22" s="112"/>
      <c r="C22" s="112"/>
      <c r="D22" s="104" t="s">
        <v>44</v>
      </c>
      <c r="E22" s="104"/>
      <c r="F22" s="113">
        <v>0</v>
      </c>
      <c r="G22" s="114"/>
      <c r="H22" s="80"/>
      <c r="I22" s="81"/>
      <c r="J22" s="82"/>
      <c r="K22" s="82"/>
      <c r="L22" s="82"/>
      <c r="M22" s="82"/>
      <c r="AB22" s="40">
        <v>20190610</v>
      </c>
      <c r="AC22" s="41">
        <v>20190910</v>
      </c>
      <c r="AD22" s="41">
        <v>20190910</v>
      </c>
      <c r="AE22" s="43">
        <v>0</v>
      </c>
      <c r="AF22" s="47">
        <v>0</v>
      </c>
      <c r="AG22" s="41">
        <v>20230310</v>
      </c>
      <c r="AH22" s="41">
        <v>20240311</v>
      </c>
      <c r="AI22" s="41">
        <v>20240311</v>
      </c>
      <c r="AJ22" s="43">
        <v>4.1911238682933144E-2</v>
      </c>
      <c r="AK22" s="47">
        <v>350.00000000000006</v>
      </c>
    </row>
    <row r="23" spans="1:37" x14ac:dyDescent="0.4">
      <c r="A23" s="21">
        <f t="shared" si="1"/>
        <v>23</v>
      </c>
      <c r="B23" s="112"/>
      <c r="C23" s="112"/>
      <c r="D23" s="104" t="s">
        <v>45</v>
      </c>
      <c r="E23" s="104"/>
      <c r="F23" s="78">
        <v>1</v>
      </c>
      <c r="G23" s="79"/>
      <c r="AB23" s="40">
        <v>20190910</v>
      </c>
      <c r="AC23" s="41">
        <v>20191210</v>
      </c>
      <c r="AD23" s="41">
        <v>20191210</v>
      </c>
      <c r="AE23" s="43">
        <v>0</v>
      </c>
      <c r="AF23" s="47">
        <v>0</v>
      </c>
      <c r="AG23" s="41">
        <v>20240311</v>
      </c>
      <c r="AH23" s="41">
        <v>20250310</v>
      </c>
      <c r="AI23" s="41">
        <v>20250310</v>
      </c>
      <c r="AJ23" s="43">
        <v>4.1987528316160538E-2</v>
      </c>
      <c r="AK23" s="47">
        <v>350.00000000000006</v>
      </c>
    </row>
    <row r="24" spans="1:37" x14ac:dyDescent="0.4">
      <c r="A24" s="21">
        <f t="shared" si="1"/>
        <v>24</v>
      </c>
      <c r="B24" s="20"/>
      <c r="C24" s="20"/>
      <c r="AB24" s="40">
        <v>20191210</v>
      </c>
      <c r="AC24" s="41">
        <v>20200310</v>
      </c>
      <c r="AD24" s="41">
        <v>20200310</v>
      </c>
      <c r="AE24" s="43">
        <v>0</v>
      </c>
      <c r="AF24" s="47">
        <v>0</v>
      </c>
      <c r="AG24" s="41">
        <v>20250310</v>
      </c>
      <c r="AH24" s="41">
        <v>20260310</v>
      </c>
      <c r="AI24" s="41">
        <v>20260310</v>
      </c>
      <c r="AJ24" s="43">
        <v>4.1304591676044972E-2</v>
      </c>
      <c r="AK24" s="47">
        <v>350.00000000000006</v>
      </c>
    </row>
    <row r="25" spans="1:37" x14ac:dyDescent="0.4">
      <c r="A25" s="21">
        <f t="shared" si="1"/>
        <v>25</v>
      </c>
      <c r="B25" s="88" t="s">
        <v>47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90"/>
      <c r="AB25" s="40">
        <v>20200310</v>
      </c>
      <c r="AC25" s="41">
        <v>20200610</v>
      </c>
      <c r="AD25" s="41">
        <v>20200610</v>
      </c>
      <c r="AE25" s="43">
        <v>0</v>
      </c>
      <c r="AF25" s="47">
        <v>0</v>
      </c>
      <c r="AG25" s="41">
        <v>20260310</v>
      </c>
      <c r="AH25" s="41">
        <v>20270310</v>
      </c>
      <c r="AI25" s="41">
        <v>20270310</v>
      </c>
      <c r="AJ25" s="43">
        <v>4.0928345846243309E-2</v>
      </c>
      <c r="AK25" s="47">
        <v>350.00000000000006</v>
      </c>
    </row>
    <row r="26" spans="1:37" x14ac:dyDescent="0.4">
      <c r="A26" s="21">
        <f t="shared" si="1"/>
        <v>26</v>
      </c>
      <c r="B26" s="91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3"/>
      <c r="AB26" s="40">
        <v>20200610</v>
      </c>
      <c r="AC26" s="41">
        <v>20200910</v>
      </c>
      <c r="AD26" s="41">
        <v>20200910</v>
      </c>
      <c r="AE26" s="43">
        <v>0</v>
      </c>
      <c r="AF26" s="47">
        <v>0</v>
      </c>
      <c r="AG26" s="41">
        <v>20270310</v>
      </c>
      <c r="AH26" s="41">
        <v>20280310</v>
      </c>
      <c r="AI26" s="41">
        <v>20280310</v>
      </c>
      <c r="AJ26" s="43">
        <v>4.0495988260871793E-2</v>
      </c>
      <c r="AK26" s="47">
        <v>350.00000000000006</v>
      </c>
    </row>
    <row r="27" spans="1:37" x14ac:dyDescent="0.4">
      <c r="A27" s="21">
        <f t="shared" si="1"/>
        <v>27</v>
      </c>
      <c r="B27" s="77" t="s">
        <v>33</v>
      </c>
      <c r="C27" s="77"/>
      <c r="D27" s="94">
        <v>1</v>
      </c>
      <c r="E27" s="95"/>
      <c r="F27" s="77" t="s">
        <v>34</v>
      </c>
      <c r="G27" s="77"/>
      <c r="H27" s="94">
        <v>1</v>
      </c>
      <c r="I27" s="95"/>
      <c r="J27" s="77" t="s">
        <v>86</v>
      </c>
      <c r="K27" s="77"/>
      <c r="L27" s="78">
        <v>0</v>
      </c>
      <c r="M27" s="79"/>
      <c r="AB27" s="40">
        <v>20200910</v>
      </c>
      <c r="AC27" s="41">
        <v>20201210</v>
      </c>
      <c r="AD27" s="41">
        <v>20201210</v>
      </c>
      <c r="AE27" s="43">
        <v>0</v>
      </c>
      <c r="AF27" s="47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0">
        <v>20201210</v>
      </c>
      <c r="AC28" s="41">
        <v>20210310</v>
      </c>
      <c r="AD28" s="41">
        <v>20210310</v>
      </c>
      <c r="AE28" s="43">
        <v>0</v>
      </c>
      <c r="AF28" s="47">
        <v>0</v>
      </c>
    </row>
    <row r="29" spans="1:37" x14ac:dyDescent="0.4">
      <c r="A29" s="21">
        <f t="shared" si="1"/>
        <v>29</v>
      </c>
      <c r="B29" s="131" t="str">
        <f>"기초금리정보"</f>
        <v>기초금리정보</v>
      </c>
      <c r="C29" s="132"/>
      <c r="D29" s="59" t="s">
        <v>35</v>
      </c>
      <c r="E29" s="59"/>
      <c r="F29" s="78">
        <v>3</v>
      </c>
      <c r="G29" s="79"/>
      <c r="H29" s="23"/>
      <c r="I29" s="22"/>
      <c r="J29" s="96" t="str">
        <f>IF(OR(F30 = 0, F30 = 2, F30 = 4), "RefType = "&amp;F30&amp;" 이므로 Ref Swap 금리정보 사용안함", "사용")</f>
        <v>RefType = 0 이므로 Ref Swap 금리정보 사용안함</v>
      </c>
      <c r="K29" s="97"/>
      <c r="L29" s="97"/>
      <c r="M29" s="98"/>
      <c r="O29" s="104" t="s">
        <v>59</v>
      </c>
      <c r="P29" s="104"/>
      <c r="Q29" s="104"/>
      <c r="R29" s="104"/>
      <c r="AB29" s="40">
        <v>20210310</v>
      </c>
      <c r="AC29" s="41">
        <v>20210610</v>
      </c>
      <c r="AD29" s="41">
        <v>20210610</v>
      </c>
      <c r="AE29" s="43">
        <v>0</v>
      </c>
      <c r="AF29" s="47">
        <v>0</v>
      </c>
    </row>
    <row r="30" spans="1:37" x14ac:dyDescent="0.4">
      <c r="A30" s="21">
        <f t="shared" si="1"/>
        <v>30</v>
      </c>
      <c r="B30" s="133"/>
      <c r="C30" s="134"/>
      <c r="D30" s="59" t="s">
        <v>36</v>
      </c>
      <c r="E30" s="99"/>
      <c r="F30" s="100">
        <v>0</v>
      </c>
      <c r="G30" s="101"/>
      <c r="H30" s="96" t="str">
        <f xml:space="preserve"> "Swap 레퍼런스금리정보"</f>
        <v>Swap 레퍼런스금리정보</v>
      </c>
      <c r="I30" s="97"/>
      <c r="J30" s="84" t="str">
        <f>IF(OR(F30 = 0, F30 = 2, F30 = 4), "", "연 지급횟수")</f>
        <v/>
      </c>
      <c r="K30" s="85"/>
      <c r="L30" s="95">
        <v>4</v>
      </c>
      <c r="M30" s="103"/>
      <c r="O30" s="104" t="s">
        <v>52</v>
      </c>
      <c r="P30" s="104"/>
      <c r="Q30" s="128">
        <v>1</v>
      </c>
      <c r="R30" s="79"/>
      <c r="AB30" s="40">
        <v>20210610</v>
      </c>
      <c r="AC30" s="41">
        <v>20210910</v>
      </c>
      <c r="AD30" s="41">
        <v>20210910</v>
      </c>
      <c r="AE30" s="43">
        <v>0</v>
      </c>
      <c r="AF30" s="47">
        <v>0</v>
      </c>
    </row>
    <row r="31" spans="1:37" x14ac:dyDescent="0.4">
      <c r="A31" s="21">
        <f t="shared" si="1"/>
        <v>31</v>
      </c>
      <c r="B31" s="133"/>
      <c r="C31" s="134"/>
      <c r="D31" s="104" t="s">
        <v>37</v>
      </c>
      <c r="E31" s="104"/>
      <c r="F31" s="78">
        <v>0</v>
      </c>
      <c r="G31" s="79"/>
      <c r="H31" s="102"/>
      <c r="I31" s="84"/>
      <c r="J31" s="84" t="str">
        <f>IF(F31=0, "만기", "입력X, 아래만기2개입력")</f>
        <v>만기</v>
      </c>
      <c r="K31" s="85"/>
      <c r="L31" s="86">
        <v>10</v>
      </c>
      <c r="M31" s="87"/>
      <c r="O31" s="104" t="s">
        <v>54</v>
      </c>
      <c r="P31" s="104"/>
      <c r="Q31" s="128">
        <v>0</v>
      </c>
      <c r="R31" s="79"/>
      <c r="AB31" s="40">
        <v>20210910</v>
      </c>
      <c r="AC31" s="41">
        <v>20211210</v>
      </c>
      <c r="AD31" s="41">
        <v>20211210</v>
      </c>
      <c r="AE31" s="43">
        <v>0</v>
      </c>
      <c r="AF31" s="47">
        <v>0</v>
      </c>
    </row>
    <row r="32" spans="1:37" x14ac:dyDescent="0.4">
      <c r="A32" s="21">
        <f t="shared" si="1"/>
        <v>32</v>
      </c>
      <c r="B32" s="133"/>
      <c r="C32" s="134"/>
      <c r="D32" s="104" t="s">
        <v>38</v>
      </c>
      <c r="E32" s="104"/>
      <c r="F32" s="113">
        <v>1</v>
      </c>
      <c r="G32" s="114"/>
      <c r="H32" s="151" t="str">
        <f>"ex) Deposit 3M -&gt; 연 지급횟수= 4, 만기= 0.25 ||  ex2) CMT 5Y 연 지급횟수=2, 만기 5"</f>
        <v>ex) Deposit 3M -&gt; 연 지급횟수= 4, 만기= 0.25 ||  ex2) CMT 5Y 연 지급횟수=2, 만기 5</v>
      </c>
      <c r="I32" s="151"/>
      <c r="J32" s="151"/>
      <c r="K32" s="151"/>
      <c r="L32" s="151"/>
      <c r="M32" s="152"/>
      <c r="O32" s="129" t="s">
        <v>55</v>
      </c>
      <c r="P32" s="130"/>
      <c r="Q32" s="128">
        <v>1</v>
      </c>
      <c r="R32" s="79"/>
      <c r="AB32" s="40">
        <v>20211210</v>
      </c>
      <c r="AC32" s="41">
        <v>20220310</v>
      </c>
      <c r="AD32" s="41">
        <v>20220310</v>
      </c>
      <c r="AE32" s="43">
        <v>0</v>
      </c>
      <c r="AF32" s="47">
        <v>0</v>
      </c>
    </row>
    <row r="33" spans="1:32" x14ac:dyDescent="0.4">
      <c r="A33" s="21">
        <f t="shared" si="1"/>
        <v>33</v>
      </c>
      <c r="B33" s="133"/>
      <c r="C33" s="134"/>
      <c r="D33" s="104" t="s">
        <v>39</v>
      </c>
      <c r="E33" s="59"/>
      <c r="F33" s="105">
        <v>-1</v>
      </c>
      <c r="G33" s="106"/>
      <c r="H33" s="83" t="str">
        <f>IF(F31&gt;0,"PowerSpreadFlag 1일때 입력","입력필요X")</f>
        <v>입력필요X</v>
      </c>
      <c r="I33" s="83"/>
      <c r="J33" s="83" t="str">
        <f>IF(F31&gt;0,"만기1","")</f>
        <v/>
      </c>
      <c r="K33" s="83"/>
      <c r="L33" s="107">
        <v>10</v>
      </c>
      <c r="M33" s="108"/>
      <c r="AB33" s="40">
        <v>20220310</v>
      </c>
      <c r="AC33" s="41">
        <v>20220610</v>
      </c>
      <c r="AD33" s="41">
        <v>20220610</v>
      </c>
      <c r="AE33" s="43">
        <v>0</v>
      </c>
      <c r="AF33" s="47">
        <v>0</v>
      </c>
    </row>
    <row r="34" spans="1:32" x14ac:dyDescent="0.4">
      <c r="A34" s="21">
        <f t="shared" si="1"/>
        <v>34</v>
      </c>
      <c r="B34" s="135"/>
      <c r="C34" s="136"/>
      <c r="D34" s="109" t="s">
        <v>40</v>
      </c>
      <c r="E34" s="109"/>
      <c r="F34" s="110">
        <v>0</v>
      </c>
      <c r="G34" s="111"/>
      <c r="H34" s="83"/>
      <c r="I34" s="83"/>
      <c r="J34" s="83" t="str">
        <f>IF(F31&gt;0,"만기2","")</f>
        <v/>
      </c>
      <c r="K34" s="83"/>
      <c r="L34" s="107">
        <v>5</v>
      </c>
      <c r="M34" s="108"/>
      <c r="AB34" s="40">
        <v>20220610</v>
      </c>
      <c r="AC34" s="41">
        <v>20220913</v>
      </c>
      <c r="AD34" s="41">
        <v>20220913</v>
      </c>
      <c r="AE34" s="43">
        <v>0</v>
      </c>
      <c r="AF34" s="47">
        <v>0</v>
      </c>
    </row>
    <row r="35" spans="1:32" x14ac:dyDescent="0.4">
      <c r="A35" s="21">
        <f t="shared" si="1"/>
        <v>35</v>
      </c>
      <c r="B35" s="20"/>
      <c r="C35" s="20"/>
      <c r="AB35" s="40">
        <v>20220913</v>
      </c>
      <c r="AC35" s="41">
        <v>20221212</v>
      </c>
      <c r="AD35" s="41">
        <v>20221212</v>
      </c>
      <c r="AE35" s="43">
        <v>3.09E-2</v>
      </c>
      <c r="AF35" s="47">
        <v>76.191780821917803</v>
      </c>
    </row>
    <row r="36" spans="1:32" x14ac:dyDescent="0.4">
      <c r="A36" s="21">
        <f t="shared" si="1"/>
        <v>36</v>
      </c>
      <c r="B36" s="112" t="s">
        <v>41</v>
      </c>
      <c r="C36" s="112"/>
      <c r="D36" s="104" t="s">
        <v>42</v>
      </c>
      <c r="E36" s="104"/>
      <c r="F36" s="113">
        <v>3.5000000000000003E-2</v>
      </c>
      <c r="G36" s="114"/>
      <c r="H36" s="80" t="s">
        <v>85</v>
      </c>
      <c r="I36" s="81"/>
      <c r="J36" s="82" t="str">
        <f>IF(F31&gt;0, F33&amp;" &lt; "&amp;F30&amp;" x Rate("&amp;L33&amp;"Y-"&amp;L34&amp;"Y) &lt; "&amp;F32,F33&amp;" &lt; "&amp;F30&amp;" x Rate("&amp;L31&amp;"Y) &lt; "&amp;F32)</f>
        <v>-1 &lt; 0 x Rate(10Y) &lt; 1</v>
      </c>
      <c r="K36" s="82"/>
      <c r="L36" s="82"/>
      <c r="M36" s="82"/>
      <c r="AB36" s="40">
        <v>20221212</v>
      </c>
      <c r="AC36" s="41">
        <v>20230310</v>
      </c>
      <c r="AD36" s="41">
        <v>20230310</v>
      </c>
      <c r="AE36" s="43">
        <v>3.395430078630559E-2</v>
      </c>
      <c r="AF36" s="47">
        <v>81.862423813558692</v>
      </c>
    </row>
    <row r="37" spans="1:32" x14ac:dyDescent="0.4">
      <c r="A37" s="21">
        <f t="shared" si="1"/>
        <v>37</v>
      </c>
      <c r="B37" s="112"/>
      <c r="C37" s="112"/>
      <c r="D37" s="104" t="s">
        <v>44</v>
      </c>
      <c r="E37" s="104"/>
      <c r="F37" s="113">
        <v>0</v>
      </c>
      <c r="G37" s="114"/>
      <c r="H37" s="80" t="s">
        <v>82</v>
      </c>
      <c r="I37" s="81"/>
      <c r="J37" s="82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+ 0.035(고정) + 0(Range충족시)</v>
      </c>
      <c r="K37" s="82"/>
      <c r="L37" s="82"/>
      <c r="M37" s="82"/>
      <c r="AB37" s="40">
        <v>20230310</v>
      </c>
      <c r="AC37" s="41">
        <v>20230612</v>
      </c>
      <c r="AD37" s="41">
        <v>20230612</v>
      </c>
      <c r="AE37" s="43">
        <v>3.5026093019883013E-2</v>
      </c>
      <c r="AF37" s="47">
        <v>90.204184763534329</v>
      </c>
    </row>
    <row r="38" spans="1:32" x14ac:dyDescent="0.4">
      <c r="A38" s="21">
        <f t="shared" si="1"/>
        <v>38</v>
      </c>
      <c r="B38" s="112"/>
      <c r="C38" s="112"/>
      <c r="D38" s="104" t="s">
        <v>45</v>
      </c>
      <c r="E38" s="104"/>
      <c r="F38" s="78">
        <v>0</v>
      </c>
      <c r="G38" s="79"/>
      <c r="H38" s="80"/>
      <c r="I38" s="81"/>
      <c r="J38" s="82"/>
      <c r="K38" s="82"/>
      <c r="L38" s="82"/>
      <c r="M38" s="82"/>
      <c r="AB38" s="40">
        <v>20230612</v>
      </c>
      <c r="AC38" s="41">
        <v>20230911</v>
      </c>
      <c r="AD38" s="41">
        <v>20230911</v>
      </c>
      <c r="AE38" s="43">
        <v>3.5823202806293683E-2</v>
      </c>
      <c r="AF38" s="47">
        <v>89.312642612951379</v>
      </c>
    </row>
    <row r="39" spans="1:32" x14ac:dyDescent="0.4">
      <c r="A39" s="21">
        <f t="shared" si="1"/>
        <v>39</v>
      </c>
      <c r="B39" s="20"/>
      <c r="C39" s="20"/>
      <c r="AB39" s="40">
        <v>20230911</v>
      </c>
      <c r="AC39" s="41">
        <v>20231211</v>
      </c>
      <c r="AD39" s="41">
        <v>20231211</v>
      </c>
      <c r="AE39" s="43">
        <v>4.354064260780606E-2</v>
      </c>
      <c r="AF39" s="47">
        <v>108.55338294000963</v>
      </c>
    </row>
    <row r="40" spans="1:32" x14ac:dyDescent="0.4">
      <c r="A40" s="21">
        <f t="shared" si="1"/>
        <v>40</v>
      </c>
      <c r="B40" s="20"/>
      <c r="C40" s="20"/>
      <c r="AB40" s="40">
        <v>20231211</v>
      </c>
      <c r="AC40" s="41">
        <v>20240311</v>
      </c>
      <c r="AD40" s="41">
        <v>20240311</v>
      </c>
      <c r="AE40" s="43">
        <v>5.2098703078234658E-2</v>
      </c>
      <c r="AF40" s="47">
        <v>129.88991726354396</v>
      </c>
    </row>
    <row r="41" spans="1:32" x14ac:dyDescent="0.4">
      <c r="A41" s="21">
        <f t="shared" si="1"/>
        <v>41</v>
      </c>
      <c r="B41" s="112" t="s">
        <v>46</v>
      </c>
      <c r="C41" s="112"/>
      <c r="D41" s="104" t="s">
        <v>42</v>
      </c>
      <c r="E41" s="104"/>
      <c r="F41" s="113">
        <v>3.5000000000000003E-2</v>
      </c>
      <c r="G41" s="114"/>
      <c r="H41" s="80" t="s">
        <v>83</v>
      </c>
      <c r="I41" s="81"/>
      <c r="J41" s="82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+ 0.035(고정) + 0(Range충족시)</v>
      </c>
      <c r="K41" s="82"/>
      <c r="L41" s="82"/>
      <c r="M41" s="82"/>
      <c r="AB41" s="40">
        <v>20240311</v>
      </c>
      <c r="AC41" s="41">
        <v>20240610</v>
      </c>
      <c r="AD41" s="41">
        <v>20240610</v>
      </c>
      <c r="AE41" s="43">
        <v>5.0616352536513136E-2</v>
      </c>
      <c r="AF41" s="47">
        <v>126.19419399514234</v>
      </c>
    </row>
    <row r="42" spans="1:32" x14ac:dyDescent="0.4">
      <c r="A42" s="21">
        <f t="shared" si="1"/>
        <v>42</v>
      </c>
      <c r="B42" s="112"/>
      <c r="C42" s="112"/>
      <c r="D42" s="104" t="s">
        <v>44</v>
      </c>
      <c r="E42" s="104"/>
      <c r="F42" s="113">
        <v>0</v>
      </c>
      <c r="G42" s="114"/>
      <c r="H42" s="80"/>
      <c r="I42" s="81"/>
      <c r="J42" s="82"/>
      <c r="K42" s="82"/>
      <c r="L42" s="82"/>
      <c r="M42" s="82"/>
      <c r="AB42" s="40">
        <v>20240610</v>
      </c>
      <c r="AC42" s="41">
        <v>20240910</v>
      </c>
      <c r="AD42" s="41">
        <v>20240910</v>
      </c>
      <c r="AE42" s="43">
        <v>4.9505536714294404E-2</v>
      </c>
      <c r="AF42" s="47">
        <v>124.7810788415092</v>
      </c>
    </row>
    <row r="43" spans="1:32" x14ac:dyDescent="0.4">
      <c r="A43" s="21">
        <f t="shared" si="1"/>
        <v>43</v>
      </c>
      <c r="B43" s="112"/>
      <c r="C43" s="112"/>
      <c r="D43" s="104" t="s">
        <v>45</v>
      </c>
      <c r="E43" s="104"/>
      <c r="F43" s="78">
        <v>0</v>
      </c>
      <c r="G43" s="79"/>
      <c r="AB43" s="40">
        <v>20240910</v>
      </c>
      <c r="AC43" s="41">
        <v>20241210</v>
      </c>
      <c r="AD43" s="41">
        <v>20241210</v>
      </c>
      <c r="AE43" s="43">
        <v>4.5941659697792916E-2</v>
      </c>
      <c r="AF43" s="47">
        <v>114.53948034244262</v>
      </c>
    </row>
    <row r="44" spans="1:32" x14ac:dyDescent="0.4">
      <c r="A44" s="21">
        <f t="shared" si="1"/>
        <v>44</v>
      </c>
      <c r="B44" s="20"/>
      <c r="C44" s="20"/>
      <c r="AB44" s="40">
        <v>20241210</v>
      </c>
      <c r="AC44" s="41">
        <v>20250310</v>
      </c>
      <c r="AD44" s="41">
        <v>20250310</v>
      </c>
      <c r="AE44" s="43">
        <v>4.3149299779227754E-2</v>
      </c>
      <c r="AF44" s="47">
        <v>106.39553370220541</v>
      </c>
    </row>
    <row r="45" spans="1:32" ht="17.399999999999999" customHeight="1" x14ac:dyDescent="0.4">
      <c r="A45" s="21">
        <f t="shared" si="1"/>
        <v>45</v>
      </c>
      <c r="B45" s="122" t="s">
        <v>61</v>
      </c>
      <c r="C45" s="123"/>
      <c r="D45" s="123"/>
      <c r="E45" s="123"/>
      <c r="F45" s="123"/>
      <c r="G45" s="124"/>
      <c r="AB45" s="40">
        <v>20250310</v>
      </c>
      <c r="AC45" s="41">
        <v>20250610</v>
      </c>
      <c r="AD45" s="41">
        <v>20250610</v>
      </c>
      <c r="AE45" s="43">
        <v>4.3290434026257235E-2</v>
      </c>
      <c r="AF45" s="47">
        <v>109.11561453193606</v>
      </c>
    </row>
    <row r="46" spans="1:32" ht="17.399999999999999" customHeight="1" x14ac:dyDescent="0.4">
      <c r="A46" s="21">
        <f t="shared" si="1"/>
        <v>46</v>
      </c>
      <c r="B46" s="125"/>
      <c r="C46" s="126"/>
      <c r="D46" s="126"/>
      <c r="E46" s="126"/>
      <c r="F46" s="126"/>
      <c r="G46" s="127"/>
      <c r="AB46" s="40">
        <v>20250610</v>
      </c>
      <c r="AC46" s="41">
        <v>20250910</v>
      </c>
      <c r="AD46" s="41">
        <v>20250910</v>
      </c>
      <c r="AE46" s="43">
        <v>4.3428031143708239E-2</v>
      </c>
      <c r="AF46" s="47">
        <v>109.46243466359338</v>
      </c>
    </row>
    <row r="47" spans="1:32" x14ac:dyDescent="0.4">
      <c r="A47" s="21">
        <f t="shared" si="1"/>
        <v>47</v>
      </c>
      <c r="B47" s="36" t="s">
        <v>62</v>
      </c>
      <c r="C47" s="37" t="s">
        <v>63</v>
      </c>
      <c r="D47" s="37" t="s">
        <v>64</v>
      </c>
      <c r="E47" s="37" t="s">
        <v>65</v>
      </c>
      <c r="AB47" s="40">
        <v>20250910</v>
      </c>
      <c r="AC47" s="41">
        <v>20251210</v>
      </c>
      <c r="AD47" s="41">
        <v>20251210</v>
      </c>
      <c r="AE47" s="43">
        <v>4.4946513381596762E-2</v>
      </c>
      <c r="AF47" s="47">
        <v>112.05843062261111</v>
      </c>
    </row>
    <row r="48" spans="1:32" x14ac:dyDescent="0.4">
      <c r="A48" s="21">
        <f t="shared" si="1"/>
        <v>48</v>
      </c>
      <c r="B48" s="26">
        <v>44995</v>
      </c>
      <c r="C48" s="26">
        <v>44995</v>
      </c>
      <c r="D48" s="31">
        <v>0</v>
      </c>
      <c r="E48" s="31">
        <f>COUNT(B48:B1048576)</f>
        <v>5</v>
      </c>
      <c r="AB48" s="40">
        <v>20251210</v>
      </c>
      <c r="AC48" s="41">
        <v>20260310</v>
      </c>
      <c r="AD48" s="41">
        <v>20260310</v>
      </c>
      <c r="AE48" s="43">
        <v>4.6145708652740626E-2</v>
      </c>
      <c r="AF48" s="47">
        <v>113.78393914374399</v>
      </c>
    </row>
    <row r="49" spans="1:32" x14ac:dyDescent="0.4">
      <c r="A49" s="21">
        <f t="shared" si="1"/>
        <v>49</v>
      </c>
      <c r="B49" s="26">
        <v>45362</v>
      </c>
      <c r="C49" s="26">
        <v>45362</v>
      </c>
      <c r="AB49" s="40">
        <v>20260310</v>
      </c>
      <c r="AC49" s="41">
        <v>20260610</v>
      </c>
      <c r="AD49" s="41">
        <v>20260610</v>
      </c>
      <c r="AE49" s="43">
        <v>4.6630712781052637E-2</v>
      </c>
      <c r="AF49" s="47">
        <v>117.53494728374912</v>
      </c>
    </row>
    <row r="50" spans="1:32" ht="18" thickBot="1" x14ac:dyDescent="0.45">
      <c r="A50" s="21">
        <f t="shared" si="1"/>
        <v>50</v>
      </c>
      <c r="B50" s="26">
        <v>45726</v>
      </c>
      <c r="C50" s="26">
        <v>45726</v>
      </c>
      <c r="AB50" s="40">
        <v>20260610</v>
      </c>
      <c r="AC50" s="41">
        <v>20260910</v>
      </c>
      <c r="AD50" s="41">
        <v>20260910</v>
      </c>
      <c r="AE50" s="43">
        <v>4.7115274932748009E-2</v>
      </c>
      <c r="AF50" s="47">
        <v>118.75630941952923</v>
      </c>
    </row>
    <row r="51" spans="1:32" ht="18" thickBot="1" x14ac:dyDescent="0.45">
      <c r="A51" s="21">
        <f t="shared" si="1"/>
        <v>51</v>
      </c>
      <c r="B51" s="26">
        <v>46091</v>
      </c>
      <c r="C51" s="26">
        <v>46091</v>
      </c>
      <c r="H51" s="54"/>
      <c r="I51" s="55" t="s">
        <v>88</v>
      </c>
      <c r="J51" s="55" t="s">
        <v>89</v>
      </c>
      <c r="K51" s="55" t="s">
        <v>90</v>
      </c>
      <c r="AB51" s="40">
        <v>20260910</v>
      </c>
      <c r="AC51" s="41">
        <v>20261210</v>
      </c>
      <c r="AD51" s="41">
        <v>20261210</v>
      </c>
      <c r="AE51" s="43">
        <v>4.354611682688446E-2</v>
      </c>
      <c r="AF51" s="47">
        <v>108.56703099305442</v>
      </c>
    </row>
    <row r="52" spans="1:32" ht="18" thickBot="1" x14ac:dyDescent="0.45">
      <c r="A52" s="21">
        <f t="shared" si="1"/>
        <v>52</v>
      </c>
      <c r="B52" s="26">
        <v>46456</v>
      </c>
      <c r="C52" s="26">
        <v>46456</v>
      </c>
      <c r="H52" s="56"/>
      <c r="I52" s="57" t="s">
        <v>91</v>
      </c>
      <c r="J52" s="57">
        <v>20230310</v>
      </c>
      <c r="K52" s="57" t="s">
        <v>92</v>
      </c>
      <c r="AB52" s="40">
        <v>20261210</v>
      </c>
      <c r="AC52" s="41">
        <v>20270310</v>
      </c>
      <c r="AD52" s="41">
        <v>20270310</v>
      </c>
      <c r="AE52" s="43">
        <v>4.1099792331417251E-2</v>
      </c>
      <c r="AF52" s="47">
        <v>101.34195369390555</v>
      </c>
    </row>
    <row r="53" spans="1:32" ht="18" thickBot="1" x14ac:dyDescent="0.45">
      <c r="A53" s="21">
        <f t="shared" si="1"/>
        <v>53</v>
      </c>
      <c r="H53" s="56"/>
      <c r="I53" s="57" t="s">
        <v>93</v>
      </c>
      <c r="J53" s="57">
        <v>20240311</v>
      </c>
      <c r="K53" s="57" t="s">
        <v>92</v>
      </c>
      <c r="AB53" s="40">
        <v>20270310</v>
      </c>
      <c r="AC53" s="41">
        <v>20270610</v>
      </c>
      <c r="AD53" s="41">
        <v>20270610</v>
      </c>
      <c r="AE53" s="43">
        <v>4.0822243114240493E-2</v>
      </c>
      <c r="AF53" s="47">
        <v>102.89442100027742</v>
      </c>
    </row>
    <row r="54" spans="1:32" ht="18" thickBot="1" x14ac:dyDescent="0.45">
      <c r="A54" s="21">
        <f t="shared" si="1"/>
        <v>54</v>
      </c>
      <c r="H54" s="56"/>
      <c r="I54" s="57" t="s">
        <v>94</v>
      </c>
      <c r="J54" s="57">
        <v>20250310</v>
      </c>
      <c r="K54" s="57" t="s">
        <v>92</v>
      </c>
      <c r="AB54" s="40">
        <v>20270610</v>
      </c>
      <c r="AC54" s="41">
        <v>20270910</v>
      </c>
      <c r="AD54" s="41">
        <v>20270910</v>
      </c>
      <c r="AE54" s="43">
        <v>4.0537047167514488E-2</v>
      </c>
      <c r="AF54" s="47">
        <v>102.17557094277626</v>
      </c>
    </row>
    <row r="55" spans="1:32" ht="18" thickBot="1" x14ac:dyDescent="0.45">
      <c r="A55" s="21">
        <f t="shared" si="1"/>
        <v>55</v>
      </c>
      <c r="H55" s="56"/>
      <c r="I55" s="57" t="s">
        <v>95</v>
      </c>
      <c r="J55" s="57">
        <v>20260310</v>
      </c>
      <c r="K55" s="57" t="s">
        <v>92</v>
      </c>
      <c r="AB55" s="40">
        <v>20270910</v>
      </c>
      <c r="AC55" s="41">
        <v>20271210</v>
      </c>
      <c r="AD55" s="41">
        <v>20271210</v>
      </c>
      <c r="AE55" s="43">
        <v>4.2011792218760904E-2</v>
      </c>
      <c r="AF55" s="47">
        <v>104.7417285454039</v>
      </c>
    </row>
    <row r="56" spans="1:32" ht="18" thickBot="1" x14ac:dyDescent="0.45">
      <c r="A56" s="21">
        <f t="shared" si="1"/>
        <v>56</v>
      </c>
      <c r="H56" s="56"/>
      <c r="I56" s="57" t="s">
        <v>96</v>
      </c>
      <c r="J56" s="57">
        <v>20270310</v>
      </c>
      <c r="K56" s="57" t="s">
        <v>92</v>
      </c>
      <c r="AB56" s="40">
        <v>20271210</v>
      </c>
      <c r="AC56" s="41">
        <v>20280310</v>
      </c>
      <c r="AD56" s="41">
        <v>20280310</v>
      </c>
      <c r="AE56" s="43">
        <v>4.2950281051936441E-2</v>
      </c>
      <c r="AF56" s="47">
        <v>107.08152262263606</v>
      </c>
    </row>
    <row r="57" spans="1:32" x14ac:dyDescent="0.4">
      <c r="A57" s="21">
        <f t="shared" si="1"/>
        <v>57</v>
      </c>
    </row>
    <row r="58" spans="1:32" x14ac:dyDescent="0.4">
      <c r="A58" s="21">
        <f t="shared" si="1"/>
        <v>58</v>
      </c>
    </row>
    <row r="59" spans="1:32" x14ac:dyDescent="0.4">
      <c r="A59" s="21">
        <f t="shared" si="1"/>
        <v>59</v>
      </c>
    </row>
    <row r="60" spans="1:32" x14ac:dyDescent="0.4">
      <c r="A60" s="21">
        <f t="shared" si="1"/>
        <v>60</v>
      </c>
    </row>
    <row r="61" spans="1:32" x14ac:dyDescent="0.4">
      <c r="A61" s="21">
        <f t="shared" si="1"/>
        <v>61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2026-05-08T15:38:50Z</dcterms:modified>
</cp:coreProperties>
</file>