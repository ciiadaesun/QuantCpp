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625D1042-F785-45BE-A59F-8A06F13DC5D0}" xr6:coauthVersionLast="47" xr6:coauthVersionMax="47" xr10:uidLastSave="{00000000-0000-0000-0000-000000000000}"/>
  <bookViews>
    <workbookView xWindow="11424" yWindow="0" windowWidth="11712" windowHeight="1233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9" i="2" l="1"/>
  <c r="J31" i="2"/>
  <c r="J30" i="2"/>
  <c r="J11" i="2"/>
  <c r="J10" i="2"/>
  <c r="J9" i="2"/>
  <c r="E48" i="2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7" i="2" l="1"/>
  <c r="J41" i="2" l="1"/>
  <c r="J37" i="2"/>
  <c r="J21" i="2"/>
  <c r="J17" i="2"/>
  <c r="J36" i="2"/>
  <c r="J16" i="2"/>
  <c r="O7" i="2" l="1"/>
  <c r="J34" i="2"/>
  <c r="J33" i="2"/>
  <c r="H33" i="2"/>
  <c r="H32" i="2"/>
  <c r="H30" i="2"/>
  <c r="B29" i="2"/>
  <c r="J14" i="2"/>
  <c r="J13" i="2"/>
  <c r="H13" i="2"/>
  <c r="H12" i="2"/>
  <c r="H10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AY5" authorId="0" shapeId="0" xr:uid="{6D153834-5592-4332-8E0F-66D4563F7EC1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AZ7" authorId="0" shapeId="0" xr:uid="{6B2CD79C-2769-4E94-B4B0-26727C42E02A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15" authorId="0" shapeId="0" xr:uid="{E767773F-34B8-4DA0-ABE2-CD9DA0D22F51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35" authorId="0" shapeId="0" xr:uid="{392EA8BB-2CF4-43A2-B121-4A98FA3E1009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<sst xmlns="http://schemas.openxmlformats.org/spreadsheetml/2006/main" count="147" uniqueCount="103">
  <si>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</si>
  <si>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</si>
  <si>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</si>
  <si>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</si>
  <si>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</si>
  <si>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</si>
  <si>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</si>
  <si>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</si>
  <si>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</si>
  <si>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</si>
  <si>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</si>
  <si>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</si>
  <si>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</si>
  <si>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</si>
  <si>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</si>
  <si>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</si>
  <si>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</si>
  <si>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</si>
  <si>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</si>
  <si>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</si>
  <si>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</si>
  <si>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</si>
  <si>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</si>
  <si>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</si>
  <si>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</si>
  <si>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</si>
  <si>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</si>
  <si>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</si>
  <si>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</si>
  <si>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</si>
  <si>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</si>
  <si>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</si>
  <si>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</si>
  <si>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</si>
  <si>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</si>
  <si>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</si>
  <si>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</si>
  <si>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</si>
  <si>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</si>
  <si>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</si>
  <si>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</si>
  <si>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</si>
  <si>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</si>
  <si>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</si>
  <si>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</si>
  <si>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</si>
  <si>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</si>
  <si>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</si>
  <si>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</si>
  <si>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</si>
  <si>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</si>
  <si>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</si>
  <si>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</si>
  <si>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</si>
  <si>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</si>
  <si>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</si>
  <si>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</si>
  <si>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</si>
  <si>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</si>
  <si>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</si>
  <si>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</si>
  <si>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</si>
  <si>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</si>
  <si>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</si>
  <si>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</si>
  <si>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</si>
  <si>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</si>
  <si>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</si>
  <si>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</si>
  <si>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</si>
  <si>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</si>
  <si>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</si>
  <si>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</si>
  <si>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</si>
  <si>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</si>
  <si>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</si>
  <si>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</si>
  <si>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</si>
  <si>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</si>
  <si>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</si>
  <si>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</si>
  <si>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</si>
  <si>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</si>
  <si>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</si>
  <si>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</si>
  <si>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</si>
  <si>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Debug</t>
    <phoneticPr fontId="2" type="noConversion"/>
  </si>
  <si>
    <t>NAFlag/BondFlag</t>
    <phoneticPr fontId="2" type="noConversion"/>
  </si>
  <si>
    <t>Receive Leg Range Accrual 정보</t>
    <phoneticPr fontId="2" type="noConversion"/>
  </si>
  <si>
    <t>Range Accrual Payoff Flag</t>
    <phoneticPr fontId="2" type="noConversion"/>
  </si>
  <si>
    <t>Pay Leg Range Accrual 정보</t>
    <phoneticPr fontId="2" type="noConversion"/>
  </si>
  <si>
    <t>Leg1Value NonOption</t>
    <phoneticPr fontId="2" type="noConversion"/>
  </si>
  <si>
    <t>Leg2Value NonOption</t>
    <phoneticPr fontId="2" type="noConversion"/>
  </si>
  <si>
    <t>0: Nominal 교환 안함</t>
  </si>
  <si>
    <t>1: Nominal 교환 함</t>
    <phoneticPr fontId="2" type="noConversion"/>
  </si>
  <si>
    <t>-1: 단순 Callable 채권 평가</t>
  </si>
  <si>
    <t>0: ACT/365</t>
  </si>
  <si>
    <t>1: ACT/360</t>
  </si>
  <si>
    <t>2: ACT/ACT</t>
  </si>
  <si>
    <t>3: 30/360</t>
  </si>
  <si>
    <t>4: ACT(주말제외)/ACT(주말제외)</t>
    <phoneticPr fontId="2" type="noConversion"/>
  </si>
  <si>
    <t>0: Receiver가 옵션보유</t>
  </si>
  <si>
    <t>1: Payer가 옵션보유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</si>
</sst>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14" fillId="4" borderId="0" xfId="0" applyFont="1" applyFill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187" fontId="8" fillId="11" borderId="0" xfId="2" applyNumberFormat="1" applyFont="1" applyFill="1" applyAlignment="1" applyProtection="1">
      <alignment horizontal="center" vertical="center"/>
      <protection locked="0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A8" workbookViewId="0">
      <selection activeCell="O11" sqref="O11:O31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6" t="s">
        <v>0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</row>
    <row r="3" spans="1:41" x14ac:dyDescent="0.4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</row>
    <row r="4" spans="1:41" x14ac:dyDescent="0.4">
      <c r="A4" s="1">
        <f>4</f>
        <v>4</v>
      </c>
      <c r="B4" s="59" t="s">
        <v>1</v>
      </c>
      <c r="C4" s="59"/>
      <c r="D4" s="61">
        <v>1</v>
      </c>
      <c r="E4" s="61"/>
      <c r="G4" s="52" t="s">
        <v>86</v>
      </c>
      <c r="H4" s="53">
        <v>0</v>
      </c>
    </row>
    <row r="5" spans="1:41" x14ac:dyDescent="0.4">
      <c r="A5" s="1">
        <f>A4+1</f>
        <v>5</v>
      </c>
      <c r="B5" s="59" t="s">
        <v>29</v>
      </c>
      <c r="C5" s="59"/>
      <c r="D5" s="60">
        <v>45538</v>
      </c>
      <c r="E5" s="61"/>
      <c r="G5" s="67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8"/>
      <c r="H6" s="69" t="s">
        <v>4</v>
      </c>
      <c r="I6" s="63"/>
      <c r="L6" s="54" t="s">
        <v>74</v>
      </c>
      <c r="M6" s="54"/>
      <c r="N6" s="54"/>
      <c r="O6" s="62" t="s">
        <v>75</v>
      </c>
      <c r="P6" s="63"/>
      <c r="R6" s="54" t="s">
        <v>5</v>
      </c>
      <c r="S6" s="54"/>
      <c r="T6" s="54"/>
    </row>
    <row r="7" spans="1:41" x14ac:dyDescent="0.4">
      <c r="A7" s="1">
        <f t="shared" si="1"/>
        <v>7</v>
      </c>
      <c r="B7" s="59" t="s">
        <v>6</v>
      </c>
      <c r="C7" s="59"/>
      <c r="D7" s="61">
        <v>0</v>
      </c>
      <c r="E7" s="61"/>
      <c r="G7" s="68"/>
      <c r="H7" s="64"/>
      <c r="I7" s="65"/>
      <c r="L7" s="54"/>
      <c r="M7" s="54"/>
      <c r="N7" s="54"/>
      <c r="O7" s="64"/>
      <c r="P7" s="65"/>
      <c r="R7" s="54"/>
      <c r="S7" s="54"/>
      <c r="T7" s="54"/>
    </row>
    <row r="8" spans="1:41" x14ac:dyDescent="0.4">
      <c r="A8" s="1">
        <f t="shared" si="1"/>
        <v>8</v>
      </c>
      <c r="B8" s="59" t="s">
        <v>7</v>
      </c>
      <c r="C8" s="59"/>
      <c r="D8" s="61">
        <v>0.01</v>
      </c>
      <c r="E8" s="61"/>
      <c r="G8" s="68"/>
      <c r="I8" s="3" t="s">
        <v>8</v>
      </c>
      <c r="J8" s="3" t="s">
        <v>9</v>
      </c>
      <c r="K8" s="3" t="s">
        <v>10</v>
      </c>
      <c r="R8" s="54" t="s">
        <v>11</v>
      </c>
      <c r="S8" s="54"/>
      <c r="T8" s="4">
        <v>3</v>
      </c>
    </row>
    <row r="9" spans="1:41" x14ac:dyDescent="0.4">
      <c r="A9" s="1">
        <f t="shared" si="1"/>
        <v>9</v>
      </c>
      <c r="G9" s="68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8"/>
      <c r="H10" s="8" t="s">
        <v>13</v>
      </c>
      <c r="I10" s="55" t="s">
        <v>14</v>
      </c>
      <c r="J10" s="5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7" t="s">
        <v>17</v>
      </c>
      <c r="S10" s="57" t="s">
        <v>18</v>
      </c>
      <c r="T10" s="57" t="s">
        <v>19</v>
      </c>
      <c r="U10" s="57" t="s">
        <v>20</v>
      </c>
      <c r="V10" s="57" t="s">
        <v>21</v>
      </c>
      <c r="W10" s="57" t="s">
        <v>22</v>
      </c>
    </row>
    <row r="11" spans="1:41" x14ac:dyDescent="0.4">
      <c r="A11" s="1">
        <f t="shared" si="1"/>
        <v>11</v>
      </c>
      <c r="G11" s="68"/>
      <c r="H11" s="49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Q11" s="1">
        <f>P11/100</f>
        <v>3.5068000000000002E-2</v>
      </c>
      <c r="R11" s="58"/>
      <c r="S11" s="58"/>
      <c r="T11" s="58"/>
      <c r="U11" s="58"/>
      <c r="V11" s="58"/>
      <c r="W11" s="58"/>
    </row>
    <row r="12" spans="1:41" x14ac:dyDescent="0.4">
      <c r="A12" s="1">
        <f t="shared" si="1"/>
        <v>12</v>
      </c>
      <c r="G12" s="68"/>
      <c r="H12" s="49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Q12" s="1">
        <f t="shared" ref="Q12:Q31" si="2">P12/100</f>
        <v>3.5068000000000002E-2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70" t="s">
        <v>23</v>
      </c>
      <c r="E13" s="70"/>
      <c r="G13" s="68"/>
      <c r="H13" s="49">
        <v>45629</v>
      </c>
      <c r="I13" s="10">
        <v>6.6679E-3</v>
      </c>
      <c r="J13" s="11"/>
      <c r="K13" s="7">
        <v>45629</v>
      </c>
      <c r="L13" s="12">
        <f t="shared" ref="L13:L53" si="3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Q13" s="1">
        <f t="shared" si="2"/>
        <v>3.4949000000000001E-2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70"/>
      <c r="E14" s="70"/>
      <c r="G14" s="68"/>
      <c r="H14" s="49">
        <v>45720</v>
      </c>
      <c r="I14" s="10">
        <v>6.6254E-3</v>
      </c>
      <c r="J14" s="11"/>
      <c r="K14" s="7">
        <v>45720</v>
      </c>
      <c r="L14" s="12">
        <f t="shared" si="3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Q14" s="1">
        <f t="shared" si="2"/>
        <v>3.3959000000000003E-2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70"/>
      <c r="E15" s="70"/>
      <c r="G15" s="68"/>
      <c r="H15" s="49">
        <v>45903</v>
      </c>
      <c r="I15" s="10">
        <v>6.3022E-3</v>
      </c>
      <c r="J15" s="11"/>
      <c r="K15" s="7">
        <v>45903</v>
      </c>
      <c r="L15" s="12">
        <f t="shared" si="3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Q15" s="1">
        <f t="shared" si="2"/>
        <v>3.2936E-2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8"/>
      <c r="H16" s="49">
        <v>46268</v>
      </c>
      <c r="I16" s="10">
        <v>5.6702999999999996E-3</v>
      </c>
      <c r="J16" s="11"/>
      <c r="K16" s="7">
        <v>46268</v>
      </c>
      <c r="L16" s="12">
        <f t="shared" si="3"/>
        <v>6</v>
      </c>
      <c r="M16" s="45">
        <v>45904</v>
      </c>
      <c r="N16" s="13">
        <v>3.1911</v>
      </c>
      <c r="O16" s="45">
        <v>45904</v>
      </c>
      <c r="P16" s="13">
        <v>3.1911</v>
      </c>
      <c r="Q16" s="1">
        <f t="shared" si="2"/>
        <v>3.1911000000000002E-2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71">
        <v>45202.835729166669</v>
      </c>
      <c r="E17" s="71"/>
      <c r="G17" s="68"/>
      <c r="H17" s="49">
        <v>46633</v>
      </c>
      <c r="I17" s="10">
        <v>5.5912000000000002E-3</v>
      </c>
      <c r="J17" s="11"/>
      <c r="K17" s="7">
        <v>46633</v>
      </c>
      <c r="L17" s="12">
        <f t="shared" si="3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Q17" s="1">
        <f t="shared" si="2"/>
        <v>3.0758000000000001E-2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71">
        <v>45202.835729166669</v>
      </c>
      <c r="E18" s="71"/>
      <c r="G18" s="68"/>
      <c r="H18" s="49">
        <v>47001</v>
      </c>
      <c r="I18" s="10">
        <v>4.9401000000000002E-3</v>
      </c>
      <c r="J18" s="11"/>
      <c r="K18" s="7">
        <v>47001</v>
      </c>
      <c r="L18" s="12">
        <f t="shared" si="3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Q18" s="1">
        <f t="shared" si="2"/>
        <v>3.0029E-2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8"/>
      <c r="H19" s="49">
        <v>47363</v>
      </c>
      <c r="I19" s="10">
        <v>5.0549999999999996E-3</v>
      </c>
      <c r="J19" s="11"/>
      <c r="K19" s="7">
        <v>47363</v>
      </c>
      <c r="L19" s="12">
        <f t="shared" si="3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Q19" s="1">
        <f t="shared" si="2"/>
        <v>2.9298999999999999E-2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8"/>
      <c r="H20" s="49">
        <v>48093</v>
      </c>
      <c r="I20" s="10">
        <v>5.1679999999999999E-3</v>
      </c>
      <c r="J20" s="11"/>
      <c r="K20" s="7">
        <v>48093</v>
      </c>
      <c r="L20" s="12">
        <f t="shared" si="3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Q20" s="1">
        <f t="shared" si="2"/>
        <v>2.8999E-2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8"/>
      <c r="H21" s="49">
        <v>48906</v>
      </c>
      <c r="I21" s="10">
        <v>5.0507E-3</v>
      </c>
      <c r="J21" s="11"/>
      <c r="K21" s="7">
        <v>48906</v>
      </c>
      <c r="L21" s="12">
        <f t="shared" si="3"/>
        <v>11</v>
      </c>
      <c r="M21" s="45">
        <v>47365</v>
      </c>
      <c r="N21" s="13">
        <v>2.8929</v>
      </c>
      <c r="O21" s="45">
        <v>47365</v>
      </c>
      <c r="P21" s="13">
        <v>2.8929</v>
      </c>
      <c r="Q21" s="1">
        <f t="shared" si="2"/>
        <v>2.8929E-2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8"/>
      <c r="H22" s="49">
        <v>59856</v>
      </c>
      <c r="I22" s="10">
        <v>5.0507E-3</v>
      </c>
      <c r="J22" s="11"/>
      <c r="K22" s="7">
        <v>59856</v>
      </c>
      <c r="L22" s="12">
        <f t="shared" si="3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Q22" s="1">
        <f t="shared" si="2"/>
        <v>2.8881999999999998E-2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9" t="s">
        <v>24</v>
      </c>
      <c r="C23" s="59"/>
      <c r="D23" s="61">
        <v>1</v>
      </c>
      <c r="E23" s="61"/>
      <c r="G23" s="68"/>
      <c r="H23" s="49"/>
      <c r="I23" s="10"/>
      <c r="J23" s="11"/>
      <c r="L23" s="12">
        <f t="shared" si="3"/>
        <v>13</v>
      </c>
      <c r="M23" s="45">
        <v>48095</v>
      </c>
      <c r="N23" s="13">
        <v>2.8969</v>
      </c>
      <c r="O23" s="45">
        <v>48095</v>
      </c>
      <c r="P23" s="13">
        <v>2.8969</v>
      </c>
      <c r="Q23" s="1">
        <f t="shared" si="2"/>
        <v>2.8969000000000002E-2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9" t="s">
        <v>25</v>
      </c>
      <c r="C24" s="59"/>
      <c r="D24" s="61">
        <v>0</v>
      </c>
      <c r="E24" s="61"/>
      <c r="G24" s="68"/>
      <c r="H24" s="49"/>
      <c r="I24" s="10"/>
      <c r="J24" s="11"/>
      <c r="L24" s="12">
        <f t="shared" si="3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Q24" s="1">
        <f t="shared" si="2"/>
        <v>2.9082E-2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9" t="s">
        <v>26</v>
      </c>
      <c r="C25" s="59"/>
      <c r="D25" s="61">
        <v>-0.1</v>
      </c>
      <c r="E25" s="61"/>
      <c r="G25" s="68"/>
      <c r="H25" s="49"/>
      <c r="I25" s="10"/>
      <c r="J25" s="11"/>
      <c r="L25" s="12">
        <f t="shared" si="3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Q25" s="1">
        <f t="shared" si="2"/>
        <v>2.9110999999999998E-2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9" t="s">
        <v>27</v>
      </c>
      <c r="C26" s="59"/>
      <c r="D26" s="61">
        <v>0.15</v>
      </c>
      <c r="E26" s="61"/>
      <c r="G26" s="68"/>
      <c r="H26" s="49"/>
      <c r="I26" s="10"/>
      <c r="J26" s="11"/>
      <c r="L26" s="12">
        <f t="shared" si="3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Q26" s="1">
        <f t="shared" si="2"/>
        <v>2.9253999999999999E-2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8"/>
      <c r="H27" s="49"/>
      <c r="I27" s="10"/>
      <c r="J27" s="11"/>
      <c r="L27" s="12">
        <f t="shared" si="3"/>
        <v>17</v>
      </c>
      <c r="M27" s="45">
        <v>49922</v>
      </c>
      <c r="N27" s="13">
        <v>2.9455</v>
      </c>
      <c r="O27" s="45">
        <v>49922</v>
      </c>
      <c r="P27" s="13">
        <v>2.9455</v>
      </c>
      <c r="Q27" s="1">
        <f t="shared" si="2"/>
        <v>2.9454999999999999E-2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8"/>
      <c r="H28" s="49"/>
      <c r="I28" s="10"/>
      <c r="J28" s="11"/>
      <c r="L28" s="12">
        <f t="shared" si="3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Q28" s="1">
        <f t="shared" si="2"/>
        <v>2.9357000000000001E-2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8"/>
      <c r="H29" s="49"/>
      <c r="I29" s="10"/>
      <c r="J29" s="11"/>
      <c r="L29" s="12">
        <f t="shared" si="3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Q29" s="1">
        <f t="shared" si="2"/>
        <v>2.8538000000000001E-2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8"/>
      <c r="H30" s="49"/>
      <c r="I30" s="10"/>
      <c r="J30" s="11"/>
      <c r="L30" s="12">
        <f t="shared" si="3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Q30" s="1">
        <f t="shared" si="2"/>
        <v>2.7635E-2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8"/>
      <c r="H31" s="49"/>
      <c r="I31" s="10"/>
      <c r="J31" s="11"/>
      <c r="L31" s="12">
        <f t="shared" si="3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Q31" s="1">
        <f t="shared" si="2"/>
        <v>2.5066999999999999E-2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8"/>
      <c r="H32" s="49"/>
      <c r="I32" s="10"/>
      <c r="J32" s="11"/>
      <c r="L32" s="12">
        <f t="shared" si="3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8"/>
      <c r="H33" s="49"/>
      <c r="I33" s="10"/>
      <c r="J33" s="11"/>
      <c r="L33" s="12">
        <f t="shared" si="3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8"/>
      <c r="H34" s="49"/>
      <c r="I34" s="10"/>
      <c r="J34" s="11"/>
      <c r="L34" s="12">
        <f t="shared" si="3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8"/>
      <c r="H35" s="49"/>
      <c r="I35" s="10"/>
      <c r="J35" s="11"/>
      <c r="L35" s="12">
        <f t="shared" si="3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8"/>
      <c r="H36" s="49"/>
      <c r="I36" s="10"/>
      <c r="J36" s="11"/>
      <c r="L36" s="12">
        <f t="shared" si="3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8"/>
      <c r="H37" s="49"/>
      <c r="I37" s="10"/>
      <c r="J37" s="11"/>
      <c r="L37" s="12">
        <f t="shared" si="3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8"/>
      <c r="H38" s="49"/>
      <c r="I38" s="10"/>
      <c r="J38" s="11"/>
      <c r="L38" s="12">
        <f t="shared" si="3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8"/>
      <c r="H39" s="49"/>
      <c r="I39" s="10"/>
      <c r="J39" s="11"/>
      <c r="L39" s="12">
        <f t="shared" si="3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8"/>
      <c r="H40" s="49"/>
      <c r="I40" s="10"/>
      <c r="J40" s="11"/>
      <c r="L40" s="12">
        <f t="shared" si="3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3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3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3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3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3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3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3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3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3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3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3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3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3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4">A69+1</f>
        <v>70</v>
      </c>
    </row>
    <row r="71" spans="1:1" x14ac:dyDescent="0.4">
      <c r="A71" s="1">
        <f t="shared" si="4"/>
        <v>71</v>
      </c>
    </row>
    <row r="72" spans="1:1" x14ac:dyDescent="0.4">
      <c r="A72" s="1">
        <f t="shared" si="4"/>
        <v>72</v>
      </c>
    </row>
    <row r="73" spans="1:1" x14ac:dyDescent="0.4">
      <c r="A73" s="1">
        <f t="shared" si="4"/>
        <v>73</v>
      </c>
    </row>
    <row r="74" spans="1:1" x14ac:dyDescent="0.4">
      <c r="A74" s="1">
        <f t="shared" si="4"/>
        <v>74</v>
      </c>
    </row>
    <row r="75" spans="1:1" x14ac:dyDescent="0.4">
      <c r="A75" s="1">
        <f t="shared" si="4"/>
        <v>75</v>
      </c>
    </row>
    <row r="76" spans="1:1" x14ac:dyDescent="0.4">
      <c r="A76" s="1">
        <f t="shared" si="4"/>
        <v>76</v>
      </c>
    </row>
    <row r="77" spans="1:1" x14ac:dyDescent="0.4">
      <c r="A77" s="1">
        <f t="shared" si="4"/>
        <v>77</v>
      </c>
    </row>
    <row r="78" spans="1:1" x14ac:dyDescent="0.4">
      <c r="A78" s="1">
        <f t="shared" si="4"/>
        <v>78</v>
      </c>
    </row>
    <row r="79" spans="1:1" x14ac:dyDescent="0.4">
      <c r="A79" s="1">
        <f t="shared" si="4"/>
        <v>79</v>
      </c>
    </row>
    <row r="80" spans="1:1" x14ac:dyDescent="0.4">
      <c r="A80" s="1">
        <f t="shared" si="4"/>
        <v>80</v>
      </c>
    </row>
    <row r="81" spans="1:1" x14ac:dyDescent="0.4">
      <c r="A81" s="1">
        <f t="shared" si="4"/>
        <v>81</v>
      </c>
    </row>
    <row r="82" spans="1:1" x14ac:dyDescent="0.4">
      <c r="A82" s="1">
        <f t="shared" si="4"/>
        <v>82</v>
      </c>
    </row>
    <row r="83" spans="1:1" x14ac:dyDescent="0.4">
      <c r="A83" s="1">
        <f t="shared" si="4"/>
        <v>83</v>
      </c>
    </row>
    <row r="84" spans="1:1" x14ac:dyDescent="0.4">
      <c r="A84" s="1">
        <f t="shared" si="4"/>
        <v>84</v>
      </c>
    </row>
    <row r="85" spans="1:1" x14ac:dyDescent="0.4">
      <c r="A85" s="1">
        <f t="shared" si="4"/>
        <v>85</v>
      </c>
    </row>
    <row r="86" spans="1:1" x14ac:dyDescent="0.4">
      <c r="A86" s="1">
        <f t="shared" si="4"/>
        <v>86</v>
      </c>
    </row>
    <row r="87" spans="1:1" x14ac:dyDescent="0.4">
      <c r="A87" s="1">
        <f t="shared" si="4"/>
        <v>87</v>
      </c>
    </row>
    <row r="88" spans="1:1" x14ac:dyDescent="0.4">
      <c r="A88" s="1">
        <f t="shared" si="4"/>
        <v>88</v>
      </c>
    </row>
    <row r="89" spans="1:1" x14ac:dyDescent="0.4">
      <c r="A89" s="1">
        <f t="shared" si="4"/>
        <v>89</v>
      </c>
    </row>
    <row r="90" spans="1:1" x14ac:dyDescent="0.4">
      <c r="A90" s="1">
        <f t="shared" si="4"/>
        <v>90</v>
      </c>
    </row>
    <row r="91" spans="1:1" x14ac:dyDescent="0.4">
      <c r="A91" s="1">
        <f t="shared" si="4"/>
        <v>91</v>
      </c>
    </row>
    <row r="92" spans="1:1" x14ac:dyDescent="0.4">
      <c r="A92" s="1">
        <f t="shared" si="4"/>
        <v>92</v>
      </c>
    </row>
    <row r="93" spans="1:1" x14ac:dyDescent="0.4">
      <c r="A93" s="1">
        <f t="shared" si="4"/>
        <v>93</v>
      </c>
    </row>
    <row r="94" spans="1:1" x14ac:dyDescent="0.4">
      <c r="A94" s="1">
        <f t="shared" si="4"/>
        <v>94</v>
      </c>
    </row>
    <row r="95" spans="1:1" x14ac:dyDescent="0.4">
      <c r="A95" s="1">
        <f t="shared" si="4"/>
        <v>95</v>
      </c>
    </row>
    <row r="96" spans="1:1" x14ac:dyDescent="0.4">
      <c r="A96" s="1">
        <f t="shared" si="4"/>
        <v>96</v>
      </c>
    </row>
    <row r="97" spans="1:1" x14ac:dyDescent="0.4">
      <c r="A97" s="1">
        <f t="shared" si="4"/>
        <v>97</v>
      </c>
    </row>
    <row r="98" spans="1:1" x14ac:dyDescent="0.4">
      <c r="A98" s="1">
        <f t="shared" si="4"/>
        <v>98</v>
      </c>
    </row>
    <row r="99" spans="1:1" x14ac:dyDescent="0.4">
      <c r="A99" s="1">
        <f t="shared" si="4"/>
        <v>99</v>
      </c>
    </row>
    <row r="100" spans="1:1" x14ac:dyDescent="0.4">
      <c r="A100" s="1">
        <f t="shared" si="4"/>
        <v>100</v>
      </c>
    </row>
    <row r="101" spans="1:1" x14ac:dyDescent="0.4">
      <c r="A101" s="1">
        <f t="shared" si="4"/>
        <v>101</v>
      </c>
    </row>
    <row r="102" spans="1:1" x14ac:dyDescent="0.4">
      <c r="A102" s="1">
        <f t="shared" si="4"/>
        <v>102</v>
      </c>
    </row>
    <row r="103" spans="1:1" x14ac:dyDescent="0.4">
      <c r="A103" s="1">
        <f t="shared" si="4"/>
        <v>103</v>
      </c>
    </row>
    <row r="104" spans="1:1" x14ac:dyDescent="0.4">
      <c r="A104" s="1">
        <f t="shared" si="4"/>
        <v>104</v>
      </c>
    </row>
    <row r="105" spans="1:1" x14ac:dyDescent="0.4">
      <c r="A105" s="1">
        <f t="shared" si="4"/>
        <v>105</v>
      </c>
    </row>
    <row r="106" spans="1:1" x14ac:dyDescent="0.4">
      <c r="A106" s="1">
        <f t="shared" si="4"/>
        <v>106</v>
      </c>
    </row>
    <row r="107" spans="1:1" x14ac:dyDescent="0.4">
      <c r="A107" s="1">
        <f t="shared" si="4"/>
        <v>107</v>
      </c>
    </row>
    <row r="108" spans="1:1" x14ac:dyDescent="0.4">
      <c r="A108" s="1">
        <f t="shared" si="4"/>
        <v>108</v>
      </c>
    </row>
    <row r="109" spans="1:1" x14ac:dyDescent="0.4">
      <c r="A109" s="1">
        <f t="shared" si="4"/>
        <v>109</v>
      </c>
    </row>
    <row r="110" spans="1:1" x14ac:dyDescent="0.4">
      <c r="A110" s="1">
        <f t="shared" si="4"/>
        <v>110</v>
      </c>
    </row>
    <row r="111" spans="1:1" x14ac:dyDescent="0.4">
      <c r="A111" s="1">
        <f t="shared" si="4"/>
        <v>111</v>
      </c>
    </row>
    <row r="112" spans="1:1" x14ac:dyDescent="0.4">
      <c r="A112" s="1">
        <f t="shared" si="4"/>
        <v>112</v>
      </c>
    </row>
    <row r="113" spans="1:1" x14ac:dyDescent="0.4">
      <c r="A113" s="1">
        <f t="shared" si="4"/>
        <v>113</v>
      </c>
    </row>
    <row r="114" spans="1:1" x14ac:dyDescent="0.4">
      <c r="A114" s="1">
        <f t="shared" si="4"/>
        <v>114</v>
      </c>
    </row>
    <row r="115" spans="1:1" x14ac:dyDescent="0.4">
      <c r="A115" s="1">
        <f t="shared" si="4"/>
        <v>115</v>
      </c>
    </row>
    <row r="116" spans="1:1" x14ac:dyDescent="0.4">
      <c r="A116" s="1">
        <f t="shared" si="4"/>
        <v>116</v>
      </c>
    </row>
    <row r="117" spans="1:1" x14ac:dyDescent="0.4">
      <c r="A117" s="1">
        <f t="shared" si="4"/>
        <v>117</v>
      </c>
    </row>
    <row r="118" spans="1:1" x14ac:dyDescent="0.4">
      <c r="A118" s="1">
        <f t="shared" si="4"/>
        <v>118</v>
      </c>
    </row>
    <row r="119" spans="1:1" x14ac:dyDescent="0.4">
      <c r="A119" s="1">
        <f t="shared" si="4"/>
        <v>119</v>
      </c>
    </row>
    <row r="120" spans="1:1" x14ac:dyDescent="0.4">
      <c r="A120" s="1">
        <f t="shared" si="4"/>
        <v>120</v>
      </c>
    </row>
    <row r="121" spans="1:1" x14ac:dyDescent="0.4">
      <c r="A121" s="1">
        <f t="shared" si="4"/>
        <v>121</v>
      </c>
    </row>
    <row r="122" spans="1:1" x14ac:dyDescent="0.4">
      <c r="A122" s="1">
        <f t="shared" si="4"/>
        <v>122</v>
      </c>
    </row>
    <row r="123" spans="1:1" x14ac:dyDescent="0.4">
      <c r="A123" s="1">
        <f t="shared" si="4"/>
        <v>123</v>
      </c>
    </row>
    <row r="124" spans="1:1" x14ac:dyDescent="0.4">
      <c r="A124" s="1">
        <f t="shared" si="4"/>
        <v>124</v>
      </c>
    </row>
    <row r="125" spans="1:1" x14ac:dyDescent="0.4">
      <c r="A125" s="1">
        <f t="shared" si="4"/>
        <v>125</v>
      </c>
    </row>
    <row r="126" spans="1:1" x14ac:dyDescent="0.4">
      <c r="A126" s="1">
        <f t="shared" si="4"/>
        <v>126</v>
      </c>
    </row>
    <row r="127" spans="1:1" x14ac:dyDescent="0.4">
      <c r="A127" s="1">
        <f t="shared" si="4"/>
        <v>127</v>
      </c>
    </row>
    <row r="128" spans="1:1" x14ac:dyDescent="0.4">
      <c r="A128" s="1">
        <f t="shared" si="4"/>
        <v>128</v>
      </c>
    </row>
    <row r="129" spans="1:1" x14ac:dyDescent="0.4">
      <c r="A129" s="1">
        <f t="shared" si="4"/>
        <v>129</v>
      </c>
    </row>
    <row r="130" spans="1:1" x14ac:dyDescent="0.4">
      <c r="A130" s="1">
        <f t="shared" si="4"/>
        <v>130</v>
      </c>
    </row>
    <row r="131" spans="1:1" x14ac:dyDescent="0.4">
      <c r="A131" s="1">
        <f t="shared" si="4"/>
        <v>131</v>
      </c>
    </row>
    <row r="132" spans="1:1" x14ac:dyDescent="0.4">
      <c r="A132" s="1">
        <f t="shared" si="4"/>
        <v>132</v>
      </c>
    </row>
    <row r="133" spans="1:1" x14ac:dyDescent="0.4">
      <c r="A133" s="1">
        <f t="shared" si="4"/>
        <v>133</v>
      </c>
    </row>
    <row r="134" spans="1:1" x14ac:dyDescent="0.4">
      <c r="A134" s="1">
        <f t="shared" ref="A134:A197" si="5">A133+1</f>
        <v>134</v>
      </c>
    </row>
    <row r="135" spans="1:1" x14ac:dyDescent="0.4">
      <c r="A135" s="1">
        <f t="shared" si="5"/>
        <v>135</v>
      </c>
    </row>
    <row r="136" spans="1:1" x14ac:dyDescent="0.4">
      <c r="A136" s="1">
        <f t="shared" si="5"/>
        <v>136</v>
      </c>
    </row>
    <row r="137" spans="1:1" x14ac:dyDescent="0.4">
      <c r="A137" s="1">
        <f t="shared" si="5"/>
        <v>137</v>
      </c>
    </row>
    <row r="138" spans="1:1" x14ac:dyDescent="0.4">
      <c r="A138" s="1">
        <f t="shared" si="5"/>
        <v>138</v>
      </c>
    </row>
    <row r="139" spans="1:1" x14ac:dyDescent="0.4">
      <c r="A139" s="1">
        <f t="shared" si="5"/>
        <v>139</v>
      </c>
    </row>
    <row r="140" spans="1:1" x14ac:dyDescent="0.4">
      <c r="A140" s="1">
        <f t="shared" si="5"/>
        <v>140</v>
      </c>
    </row>
    <row r="141" spans="1:1" x14ac:dyDescent="0.4">
      <c r="A141" s="1">
        <f t="shared" si="5"/>
        <v>141</v>
      </c>
    </row>
    <row r="142" spans="1:1" x14ac:dyDescent="0.4">
      <c r="A142" s="1">
        <f t="shared" si="5"/>
        <v>142</v>
      </c>
    </row>
    <row r="143" spans="1:1" x14ac:dyDescent="0.4">
      <c r="A143" s="1">
        <f t="shared" si="5"/>
        <v>143</v>
      </c>
    </row>
    <row r="144" spans="1:1" x14ac:dyDescent="0.4">
      <c r="A144" s="1">
        <f t="shared" si="5"/>
        <v>144</v>
      </c>
    </row>
    <row r="145" spans="1:1" x14ac:dyDescent="0.4">
      <c r="A145" s="1">
        <f t="shared" si="5"/>
        <v>145</v>
      </c>
    </row>
    <row r="146" spans="1:1" x14ac:dyDescent="0.4">
      <c r="A146" s="1">
        <f t="shared" si="5"/>
        <v>146</v>
      </c>
    </row>
    <row r="147" spans="1:1" x14ac:dyDescent="0.4">
      <c r="A147" s="1">
        <f t="shared" si="5"/>
        <v>147</v>
      </c>
    </row>
    <row r="148" spans="1:1" x14ac:dyDescent="0.4">
      <c r="A148" s="1">
        <f t="shared" si="5"/>
        <v>148</v>
      </c>
    </row>
    <row r="149" spans="1:1" x14ac:dyDescent="0.4">
      <c r="A149" s="1">
        <f t="shared" si="5"/>
        <v>149</v>
      </c>
    </row>
    <row r="150" spans="1:1" x14ac:dyDescent="0.4">
      <c r="A150" s="1">
        <f t="shared" si="5"/>
        <v>150</v>
      </c>
    </row>
    <row r="151" spans="1:1" x14ac:dyDescent="0.4">
      <c r="A151" s="1">
        <f t="shared" si="5"/>
        <v>151</v>
      </c>
    </row>
    <row r="152" spans="1:1" x14ac:dyDescent="0.4">
      <c r="A152" s="1">
        <f t="shared" si="5"/>
        <v>152</v>
      </c>
    </row>
    <row r="153" spans="1:1" x14ac:dyDescent="0.4">
      <c r="A153" s="1">
        <f t="shared" si="5"/>
        <v>153</v>
      </c>
    </row>
    <row r="154" spans="1:1" x14ac:dyDescent="0.4">
      <c r="A154" s="1">
        <f t="shared" si="5"/>
        <v>154</v>
      </c>
    </row>
    <row r="155" spans="1:1" x14ac:dyDescent="0.4">
      <c r="A155" s="1">
        <f t="shared" si="5"/>
        <v>155</v>
      </c>
    </row>
    <row r="156" spans="1:1" x14ac:dyDescent="0.4">
      <c r="A156" s="1">
        <f t="shared" si="5"/>
        <v>156</v>
      </c>
    </row>
    <row r="157" spans="1:1" x14ac:dyDescent="0.4">
      <c r="A157" s="1">
        <f t="shared" si="5"/>
        <v>157</v>
      </c>
    </row>
    <row r="158" spans="1:1" x14ac:dyDescent="0.4">
      <c r="A158" s="1">
        <f t="shared" si="5"/>
        <v>158</v>
      </c>
    </row>
    <row r="159" spans="1:1" x14ac:dyDescent="0.4">
      <c r="A159" s="1">
        <f t="shared" si="5"/>
        <v>159</v>
      </c>
    </row>
    <row r="160" spans="1:1" x14ac:dyDescent="0.4">
      <c r="A160" s="1">
        <f t="shared" si="5"/>
        <v>160</v>
      </c>
    </row>
    <row r="161" spans="1:1" x14ac:dyDescent="0.4">
      <c r="A161" s="1">
        <f t="shared" si="5"/>
        <v>161</v>
      </c>
    </row>
    <row r="162" spans="1:1" x14ac:dyDescent="0.4">
      <c r="A162" s="1">
        <f t="shared" si="5"/>
        <v>162</v>
      </c>
    </row>
    <row r="163" spans="1:1" x14ac:dyDescent="0.4">
      <c r="A163" s="1">
        <f t="shared" si="5"/>
        <v>163</v>
      </c>
    </row>
    <row r="164" spans="1:1" x14ac:dyDescent="0.4">
      <c r="A164" s="1">
        <f t="shared" si="5"/>
        <v>164</v>
      </c>
    </row>
    <row r="165" spans="1:1" x14ac:dyDescent="0.4">
      <c r="A165" s="1">
        <f t="shared" si="5"/>
        <v>165</v>
      </c>
    </row>
    <row r="166" spans="1:1" x14ac:dyDescent="0.4">
      <c r="A166" s="1">
        <f t="shared" si="5"/>
        <v>166</v>
      </c>
    </row>
    <row r="167" spans="1:1" x14ac:dyDescent="0.4">
      <c r="A167" s="1">
        <f t="shared" si="5"/>
        <v>167</v>
      </c>
    </row>
    <row r="168" spans="1:1" x14ac:dyDescent="0.4">
      <c r="A168" s="1">
        <f t="shared" si="5"/>
        <v>168</v>
      </c>
    </row>
    <row r="169" spans="1:1" x14ac:dyDescent="0.4">
      <c r="A169" s="1">
        <f t="shared" si="5"/>
        <v>169</v>
      </c>
    </row>
    <row r="170" spans="1:1" x14ac:dyDescent="0.4">
      <c r="A170" s="1">
        <f t="shared" si="5"/>
        <v>170</v>
      </c>
    </row>
    <row r="171" spans="1:1" x14ac:dyDescent="0.4">
      <c r="A171" s="1">
        <f t="shared" si="5"/>
        <v>171</v>
      </c>
    </row>
    <row r="172" spans="1:1" x14ac:dyDescent="0.4">
      <c r="A172" s="1">
        <f t="shared" si="5"/>
        <v>172</v>
      </c>
    </row>
    <row r="173" spans="1:1" x14ac:dyDescent="0.4">
      <c r="A173" s="1">
        <f t="shared" si="5"/>
        <v>173</v>
      </c>
    </row>
    <row r="174" spans="1:1" x14ac:dyDescent="0.4">
      <c r="A174" s="1">
        <f t="shared" si="5"/>
        <v>174</v>
      </c>
    </row>
    <row r="175" spans="1:1" x14ac:dyDescent="0.4">
      <c r="A175" s="1">
        <f t="shared" si="5"/>
        <v>175</v>
      </c>
    </row>
    <row r="176" spans="1:1" x14ac:dyDescent="0.4">
      <c r="A176" s="1">
        <f t="shared" si="5"/>
        <v>176</v>
      </c>
    </row>
    <row r="177" spans="1:1" x14ac:dyDescent="0.4">
      <c r="A177" s="1">
        <f t="shared" si="5"/>
        <v>177</v>
      </c>
    </row>
    <row r="178" spans="1:1" x14ac:dyDescent="0.4">
      <c r="A178" s="1">
        <f t="shared" si="5"/>
        <v>178</v>
      </c>
    </row>
    <row r="179" spans="1:1" x14ac:dyDescent="0.4">
      <c r="A179" s="1">
        <f t="shared" si="5"/>
        <v>179</v>
      </c>
    </row>
    <row r="180" spans="1:1" x14ac:dyDescent="0.4">
      <c r="A180" s="1">
        <f t="shared" si="5"/>
        <v>180</v>
      </c>
    </row>
    <row r="181" spans="1:1" x14ac:dyDescent="0.4">
      <c r="A181" s="1">
        <f t="shared" si="5"/>
        <v>181</v>
      </c>
    </row>
    <row r="182" spans="1:1" x14ac:dyDescent="0.4">
      <c r="A182" s="1">
        <f t="shared" si="5"/>
        <v>182</v>
      </c>
    </row>
    <row r="183" spans="1:1" x14ac:dyDescent="0.4">
      <c r="A183" s="1">
        <f t="shared" si="5"/>
        <v>183</v>
      </c>
    </row>
    <row r="184" spans="1:1" x14ac:dyDescent="0.4">
      <c r="A184" s="1">
        <f t="shared" si="5"/>
        <v>184</v>
      </c>
    </row>
    <row r="185" spans="1:1" x14ac:dyDescent="0.4">
      <c r="A185" s="1">
        <f t="shared" si="5"/>
        <v>185</v>
      </c>
    </row>
    <row r="186" spans="1:1" x14ac:dyDescent="0.4">
      <c r="A186" s="1">
        <f t="shared" si="5"/>
        <v>186</v>
      </c>
    </row>
    <row r="187" spans="1:1" x14ac:dyDescent="0.4">
      <c r="A187" s="1">
        <f t="shared" si="5"/>
        <v>187</v>
      </c>
    </row>
    <row r="188" spans="1:1" x14ac:dyDescent="0.4">
      <c r="A188" s="1">
        <f t="shared" si="5"/>
        <v>188</v>
      </c>
    </row>
    <row r="189" spans="1:1" x14ac:dyDescent="0.4">
      <c r="A189" s="1">
        <f t="shared" si="5"/>
        <v>189</v>
      </c>
    </row>
    <row r="190" spans="1:1" x14ac:dyDescent="0.4">
      <c r="A190" s="1">
        <f t="shared" si="5"/>
        <v>190</v>
      </c>
    </row>
    <row r="191" spans="1:1" x14ac:dyDescent="0.4">
      <c r="A191" s="1">
        <f t="shared" si="5"/>
        <v>191</v>
      </c>
    </row>
    <row r="192" spans="1:1" x14ac:dyDescent="0.4">
      <c r="A192" s="1">
        <f t="shared" si="5"/>
        <v>192</v>
      </c>
    </row>
    <row r="193" spans="1:1" x14ac:dyDescent="0.4">
      <c r="A193" s="1">
        <f t="shared" si="5"/>
        <v>193</v>
      </c>
    </row>
    <row r="194" spans="1:1" x14ac:dyDescent="0.4">
      <c r="A194" s="1">
        <f t="shared" si="5"/>
        <v>194</v>
      </c>
    </row>
    <row r="195" spans="1:1" x14ac:dyDescent="0.4">
      <c r="A195" s="1">
        <f t="shared" si="5"/>
        <v>195</v>
      </c>
    </row>
    <row r="196" spans="1:1" x14ac:dyDescent="0.4">
      <c r="A196" s="1">
        <f t="shared" si="5"/>
        <v>196</v>
      </c>
    </row>
    <row r="197" spans="1:1" x14ac:dyDescent="0.4">
      <c r="A197" s="1">
        <f t="shared" si="5"/>
        <v>197</v>
      </c>
    </row>
    <row r="198" spans="1:1" x14ac:dyDescent="0.4">
      <c r="A198" s="1">
        <f t="shared" ref="A198:A202" si="6">A197+1</f>
        <v>198</v>
      </c>
    </row>
    <row r="199" spans="1:1" x14ac:dyDescent="0.4">
      <c r="A199" s="1">
        <f t="shared" si="6"/>
        <v>199</v>
      </c>
    </row>
    <row r="200" spans="1:1" x14ac:dyDescent="0.4">
      <c r="A200" s="1">
        <f t="shared" si="6"/>
        <v>200</v>
      </c>
    </row>
    <row r="201" spans="1:1" x14ac:dyDescent="0.4">
      <c r="A201" s="1">
        <f t="shared" si="6"/>
        <v>201</v>
      </c>
    </row>
    <row r="202" spans="1:1" x14ac:dyDescent="0.4">
      <c r="A202" s="1">
        <f t="shared" si="6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A13" workbookViewId="0">
      <selection activeCell="D33" sqref="D33:E34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0" t="s">
        <v>86</v>
      </c>
      <c r="C2" s="51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3" t="s">
        <v>30</v>
      </c>
      <c r="C3" s="73"/>
      <c r="D3" s="74">
        <v>45538</v>
      </c>
      <c r="E3" s="75"/>
      <c r="F3" s="72" t="s">
        <v>87</v>
      </c>
      <c r="G3" s="72"/>
      <c r="H3" s="75" t="s">
        <v>95</v>
      </c>
      <c r="I3" s="75"/>
      <c r="J3" s="72" t="s">
        <v>31</v>
      </c>
      <c r="K3" s="72"/>
      <c r="L3" s="76">
        <v>40000000000</v>
      </c>
      <c r="M3" s="76"/>
      <c r="O3" s="120" t="s">
        <v>49</v>
      </c>
      <c r="P3" s="121"/>
      <c r="Q3" s="121"/>
      <c r="R3" s="122"/>
      <c r="T3" s="118" t="s">
        <v>55</v>
      </c>
      <c r="U3" s="119"/>
      <c r="W3" s="146" t="s">
        <v>76</v>
      </c>
      <c r="X3" s="147"/>
      <c r="Y3" s="146" t="s">
        <v>77</v>
      </c>
      <c r="Z3" s="147"/>
      <c r="AB3" s="86" t="s">
        <v>65</v>
      </c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8"/>
      <c r="AY3" s="72" t="s">
        <v>87</v>
      </c>
      <c r="AZ3" s="72"/>
      <c r="BA3" s="31">
        <v>0</v>
      </c>
      <c r="BB3" s="31">
        <v>1</v>
      </c>
      <c r="BC3" s="31">
        <v>-1</v>
      </c>
    </row>
    <row r="4" spans="1:57" x14ac:dyDescent="0.4">
      <c r="A4" s="21">
        <f t="shared" si="1"/>
        <v>4</v>
      </c>
      <c r="B4" s="20"/>
      <c r="C4" s="20"/>
      <c r="O4" s="123" t="s">
        <v>48</v>
      </c>
      <c r="P4" s="124"/>
      <c r="Q4" s="125">
        <v>43819</v>
      </c>
      <c r="R4" s="126"/>
      <c r="T4" s="29" t="s">
        <v>56</v>
      </c>
      <c r="U4" s="30" t="s">
        <v>57</v>
      </c>
      <c r="W4" s="37" t="s">
        <v>59</v>
      </c>
      <c r="X4" s="38" t="s">
        <v>16</v>
      </c>
      <c r="Y4" s="37" t="s">
        <v>59</v>
      </c>
      <c r="Z4" s="38" t="s">
        <v>16</v>
      </c>
      <c r="AB4" s="89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1"/>
      <c r="BA4" s="31" t="s">
        <v>93</v>
      </c>
      <c r="BB4" s="31" t="s">
        <v>94</v>
      </c>
      <c r="BC4" s="31" t="s">
        <v>95</v>
      </c>
    </row>
    <row r="5" spans="1:57" x14ac:dyDescent="0.4">
      <c r="A5" s="21">
        <f t="shared" si="1"/>
        <v>5</v>
      </c>
      <c r="B5" s="86" t="s">
        <v>47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8"/>
      <c r="O5" s="132" t="s">
        <v>50</v>
      </c>
      <c r="P5" s="133"/>
      <c r="Q5" s="134">
        <v>49298</v>
      </c>
      <c r="R5" s="135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  <c r="AY5" s="59" t="s">
        <v>34</v>
      </c>
      <c r="AZ5" s="59"/>
      <c r="BA5" s="31">
        <v>0</v>
      </c>
      <c r="BB5" s="31">
        <v>1</v>
      </c>
      <c r="BC5" s="31">
        <v>2</v>
      </c>
      <c r="BD5" s="31">
        <v>3</v>
      </c>
      <c r="BE5" s="31">
        <v>4</v>
      </c>
    </row>
    <row r="6" spans="1:57" x14ac:dyDescent="0.4">
      <c r="A6" s="21">
        <f t="shared" si="1"/>
        <v>6</v>
      </c>
      <c r="B6" s="89"/>
      <c r="C6" s="90"/>
      <c r="D6" s="90"/>
      <c r="E6" s="90"/>
      <c r="F6" s="90"/>
      <c r="G6" s="90"/>
      <c r="H6" s="90"/>
      <c r="I6" s="90"/>
      <c r="J6" s="90"/>
      <c r="K6" s="90"/>
      <c r="L6" s="90"/>
      <c r="M6" s="91"/>
      <c r="O6" s="130" t="s">
        <v>42</v>
      </c>
      <c r="P6" s="131"/>
      <c r="Q6" s="127">
        <v>0</v>
      </c>
      <c r="R6" s="103"/>
      <c r="W6" s="27">
        <v>44769</v>
      </c>
      <c r="X6" s="34">
        <v>3.6999999999999998E-2</v>
      </c>
      <c r="Y6" s="27">
        <v>44769</v>
      </c>
      <c r="Z6" s="36">
        <v>0.03</v>
      </c>
      <c r="AB6" s="72" t="s">
        <v>66</v>
      </c>
      <c r="AC6" s="72"/>
      <c r="AD6" s="75">
        <v>0</v>
      </c>
      <c r="AE6" s="75"/>
      <c r="AF6" s="20"/>
      <c r="AG6" s="20"/>
      <c r="AH6" s="20"/>
      <c r="AI6" s="20"/>
      <c r="AJ6" s="20"/>
      <c r="AK6" s="20"/>
      <c r="BA6" s="31" t="s">
        <v>96</v>
      </c>
      <c r="BB6" s="31" t="s">
        <v>97</v>
      </c>
      <c r="BC6" s="31" t="s">
        <v>98</v>
      </c>
      <c r="BD6" s="31" t="s">
        <v>99</v>
      </c>
      <c r="BE6" s="31" t="s">
        <v>100</v>
      </c>
    </row>
    <row r="7" spans="1:57" x14ac:dyDescent="0.4">
      <c r="A7" s="21">
        <f t="shared" si="1"/>
        <v>7</v>
      </c>
      <c r="B7" s="72" t="s">
        <v>32</v>
      </c>
      <c r="C7" s="72"/>
      <c r="D7" s="77">
        <v>1</v>
      </c>
      <c r="E7" s="75"/>
      <c r="F7" s="72" t="s">
        <v>33</v>
      </c>
      <c r="G7" s="72"/>
      <c r="H7" s="77">
        <v>1</v>
      </c>
      <c r="I7" s="75"/>
      <c r="J7" s="72" t="s">
        <v>85</v>
      </c>
      <c r="K7" s="72"/>
      <c r="L7" s="102">
        <v>0</v>
      </c>
      <c r="M7" s="103"/>
      <c r="O7" s="118" t="str">
        <f>IF(Q6&gt;0,"Phase2날짜","")</f>
        <v/>
      </c>
      <c r="P7" s="119"/>
      <c r="Q7" s="128">
        <f>EDATE(Q4,12)</f>
        <v>44185</v>
      </c>
      <c r="R7" s="129"/>
      <c r="W7" s="27">
        <v>44815</v>
      </c>
      <c r="X7" s="34">
        <v>3.6999999999999998E-2</v>
      </c>
      <c r="Y7" s="27">
        <v>44815</v>
      </c>
      <c r="Z7" s="34">
        <v>0.03</v>
      </c>
      <c r="AB7" s="72" t="s">
        <v>79</v>
      </c>
      <c r="AC7" s="72"/>
      <c r="AD7" s="75">
        <v>0</v>
      </c>
      <c r="AE7" s="75"/>
      <c r="AF7" s="20"/>
      <c r="AG7" s="20"/>
      <c r="AH7" s="20"/>
      <c r="AI7" s="20"/>
      <c r="AJ7" s="20"/>
      <c r="AK7" s="20"/>
      <c r="AZ7" s="38" t="s">
        <v>63</v>
      </c>
      <c r="BA7" s="31">
        <v>0</v>
      </c>
      <c r="BB7" s="31">
        <v>1</v>
      </c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  <c r="BA8" s="31" t="s">
        <v>101</v>
      </c>
      <c r="BB8" s="31" t="s">
        <v>102</v>
      </c>
    </row>
    <row r="9" spans="1:57" x14ac:dyDescent="0.4">
      <c r="A9" s="21">
        <f t="shared" si="1"/>
        <v>9</v>
      </c>
      <c r="B9" s="78" t="str">
        <f>"기초금리정보"</f>
        <v>기초금리정보</v>
      </c>
      <c r="C9" s="79"/>
      <c r="D9" s="59" t="s">
        <v>34</v>
      </c>
      <c r="E9" s="59"/>
      <c r="F9" s="102" t="s">
        <v>99</v>
      </c>
      <c r="G9" s="103"/>
      <c r="H9" s="23"/>
      <c r="I9" s="22"/>
      <c r="J9" s="92" t="str">
        <f>IF(F10=0,"금리결정조건이 = "&amp;F10&amp;" 이므로 Ref Swap 금리정보 사용안함", "사용")</f>
        <v>사용</v>
      </c>
      <c r="K9" s="93"/>
      <c r="L9" s="93"/>
      <c r="M9" s="94"/>
      <c r="O9" s="85" t="s">
        <v>52</v>
      </c>
      <c r="P9" s="85"/>
      <c r="Q9" s="85"/>
      <c r="R9" s="85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80"/>
      <c r="C10" s="81"/>
      <c r="D10" s="59" t="s">
        <v>35</v>
      </c>
      <c r="E10" s="84"/>
      <c r="F10" s="104">
        <v>1</v>
      </c>
      <c r="G10" s="105"/>
      <c r="H10" s="92" t="str">
        <f xml:space="preserve"> "Swap 레퍼런스금리정보"</f>
        <v>Swap 레퍼런스금리정보</v>
      </c>
      <c r="I10" s="93"/>
      <c r="J10" s="96" t="str">
        <f>IF(F10=0,"", "연 지급횟수")</f>
        <v>연 지급횟수</v>
      </c>
      <c r="K10" s="97"/>
      <c r="L10" s="75">
        <v>4</v>
      </c>
      <c r="M10" s="98"/>
      <c r="O10" s="85" t="s">
        <v>51</v>
      </c>
      <c r="P10" s="85"/>
      <c r="Q10" s="127">
        <v>4</v>
      </c>
      <c r="R10" s="103"/>
      <c r="AB10" s="132" t="s">
        <v>78</v>
      </c>
      <c r="AC10" s="73"/>
      <c r="AD10" s="145">
        <v>40077097999.909378</v>
      </c>
      <c r="AE10" s="14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80"/>
      <c r="C11" s="81"/>
      <c r="D11" s="85" t="s">
        <v>36</v>
      </c>
      <c r="E11" s="85"/>
      <c r="F11" s="102">
        <v>0</v>
      </c>
      <c r="G11" s="103"/>
      <c r="H11" s="95"/>
      <c r="I11" s="96"/>
      <c r="J11" s="96" t="str">
        <f>IF(F10=0,"",IF(F11=0, "만기", "입력X, 아래만기2개입력"))</f>
        <v>만기</v>
      </c>
      <c r="K11" s="97"/>
      <c r="L11" s="149">
        <v>0.25</v>
      </c>
      <c r="M11" s="150"/>
      <c r="O11" s="85" t="s">
        <v>53</v>
      </c>
      <c r="P11" s="85"/>
      <c r="Q11" s="127">
        <v>0</v>
      </c>
      <c r="R11" s="103"/>
      <c r="AB11" s="132" t="s">
        <v>91</v>
      </c>
      <c r="AC11" s="73"/>
      <c r="AD11" s="148">
        <v>36834363970.547668</v>
      </c>
      <c r="AE11" s="148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80"/>
      <c r="C12" s="81"/>
      <c r="D12" s="85" t="s">
        <v>37</v>
      </c>
      <c r="E12" s="85"/>
      <c r="F12" s="111">
        <v>1</v>
      </c>
      <c r="G12" s="112"/>
      <c r="H12" s="99" t="str">
        <f>"ex) Deposit 3M -&gt; 연 지급횟수= 4, 만기= 0.25 ||  ex2) CMT 5Y 연 지급횟수=2, 만기 5"</f>
        <v>ex) Deposit 3M -&gt; 연 지급횟수= 4, 만기= 0.25 ||  ex2) CMT 5Y 연 지급횟수=2, 만기 5</v>
      </c>
      <c r="I12" s="99"/>
      <c r="J12" s="99"/>
      <c r="K12" s="99"/>
      <c r="L12" s="99"/>
      <c r="M12" s="100"/>
      <c r="O12" s="118" t="s">
        <v>54</v>
      </c>
      <c r="P12" s="119"/>
      <c r="Q12" s="127">
        <v>4</v>
      </c>
      <c r="R12" s="103"/>
      <c r="AB12" s="132" t="s">
        <v>92</v>
      </c>
      <c r="AC12" s="73"/>
      <c r="AD12" s="148">
        <v>0</v>
      </c>
      <c r="AE12" s="148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80"/>
      <c r="C13" s="81"/>
      <c r="D13" s="85" t="s">
        <v>38</v>
      </c>
      <c r="E13" s="59"/>
      <c r="F13" s="113">
        <v>-1</v>
      </c>
      <c r="G13" s="114"/>
      <c r="H13" s="101" t="str">
        <f>IF(F11&gt;0,"PowerSpreadFlag 1일때 입력","입력필요X")</f>
        <v>입력필요X</v>
      </c>
      <c r="I13" s="101"/>
      <c r="J13" s="101" t="str">
        <f>IF(F11&gt;0,"만기1","")</f>
        <v/>
      </c>
      <c r="K13" s="101"/>
      <c r="L13" s="107">
        <v>10</v>
      </c>
      <c r="M13" s="108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2"/>
      <c r="C14" s="83"/>
      <c r="D14" s="106" t="s">
        <v>39</v>
      </c>
      <c r="E14" s="106"/>
      <c r="F14" s="115">
        <v>0</v>
      </c>
      <c r="G14" s="116"/>
      <c r="H14" s="101"/>
      <c r="I14" s="101"/>
      <c r="J14" s="101" t="str">
        <f>IF(F11&gt;0,"만기2","")</f>
        <v/>
      </c>
      <c r="K14" s="101"/>
      <c r="L14" s="107">
        <v>5</v>
      </c>
      <c r="M14" s="108"/>
      <c r="O14" s="85" t="s">
        <v>88</v>
      </c>
      <c r="P14" s="85"/>
      <c r="Q14" s="85"/>
      <c r="R14" s="85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O15" s="85" t="s">
        <v>89</v>
      </c>
      <c r="P15" s="85"/>
      <c r="Q15" s="127">
        <v>0</v>
      </c>
      <c r="R15" s="103"/>
      <c r="AB15" s="143" t="s">
        <v>72</v>
      </c>
      <c r="AC15" s="144"/>
      <c r="AD15" s="144"/>
      <c r="AE15" s="144"/>
      <c r="AF15" s="144"/>
      <c r="AG15" s="143" t="s">
        <v>73</v>
      </c>
      <c r="AH15" s="144"/>
      <c r="AI15" s="144"/>
      <c r="AJ15" s="144"/>
      <c r="AK15" s="144"/>
    </row>
    <row r="16" spans="1:57" x14ac:dyDescent="0.4">
      <c r="A16" s="21">
        <f t="shared" si="1"/>
        <v>16</v>
      </c>
      <c r="B16" s="142" t="s">
        <v>40</v>
      </c>
      <c r="C16" s="142"/>
      <c r="D16" s="85" t="s">
        <v>80</v>
      </c>
      <c r="E16" s="85"/>
      <c r="F16" s="111">
        <v>0.02</v>
      </c>
      <c r="G16" s="112"/>
      <c r="H16" s="109" t="s">
        <v>83</v>
      </c>
      <c r="I16" s="110"/>
      <c r="J16" s="117" t="str">
        <f>IF(F11&gt;0, F13&amp;" &lt; "&amp;F10&amp;" x Rate("&amp;L13&amp;"Y-"&amp;L14&amp;"Y) &lt; "&amp;F12,F13&amp;" &lt; "&amp;F10&amp;" x Rate("&amp;L11&amp;"Y) &lt; "&amp;F12)</f>
        <v>-1 &lt; 1 x Rate(0.25Y) &lt; 1</v>
      </c>
      <c r="K16" s="117"/>
      <c r="L16" s="117"/>
      <c r="M16" s="117"/>
      <c r="AB16" s="37" t="s">
        <v>67</v>
      </c>
      <c r="AC16" s="37" t="s">
        <v>68</v>
      </c>
      <c r="AD16" s="37" t="s">
        <v>69</v>
      </c>
      <c r="AE16" s="37" t="s">
        <v>70</v>
      </c>
      <c r="AF16" s="37" t="s">
        <v>71</v>
      </c>
      <c r="AG16" s="37" t="s">
        <v>67</v>
      </c>
      <c r="AH16" s="37" t="s">
        <v>68</v>
      </c>
      <c r="AI16" s="37" t="s">
        <v>69</v>
      </c>
      <c r="AJ16" s="37" t="s">
        <v>70</v>
      </c>
      <c r="AK16" s="37" t="s">
        <v>71</v>
      </c>
    </row>
    <row r="17" spans="1:37" x14ac:dyDescent="0.4">
      <c r="A17" s="21">
        <f t="shared" si="1"/>
        <v>17</v>
      </c>
      <c r="B17" s="142"/>
      <c r="C17" s="142"/>
      <c r="D17" s="85" t="s">
        <v>43</v>
      </c>
      <c r="E17" s="85"/>
      <c r="F17" s="111">
        <v>0</v>
      </c>
      <c r="G17" s="112"/>
      <c r="H17" s="109" t="s">
        <v>81</v>
      </c>
      <c r="I17" s="110"/>
      <c r="J17" s="117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0 x Rate(0.25Y) + 0.02(고정) + 0(Range충족시)</v>
      </c>
      <c r="K17" s="117"/>
      <c r="L17" s="117"/>
      <c r="M17" s="117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20341220</v>
      </c>
      <c r="AI17" s="40">
        <v>20341220</v>
      </c>
      <c r="AJ17" s="43">
        <v>0</v>
      </c>
      <c r="AK17" s="47">
        <v>54008000000</v>
      </c>
    </row>
    <row r="18" spans="1:37" x14ac:dyDescent="0.4">
      <c r="A18" s="21">
        <f t="shared" si="1"/>
        <v>18</v>
      </c>
      <c r="B18" s="142"/>
      <c r="C18" s="142"/>
      <c r="D18" s="85" t="s">
        <v>44</v>
      </c>
      <c r="E18" s="85"/>
      <c r="F18" s="102">
        <v>1</v>
      </c>
      <c r="G18" s="103"/>
      <c r="H18" s="109"/>
      <c r="I18" s="110"/>
      <c r="J18" s="117"/>
      <c r="K18" s="117"/>
      <c r="L18" s="117"/>
      <c r="M18" s="117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</row>
    <row r="21" spans="1:37" x14ac:dyDescent="0.4">
      <c r="A21" s="21">
        <f t="shared" si="1"/>
        <v>21</v>
      </c>
      <c r="B21" s="142" t="s">
        <v>45</v>
      </c>
      <c r="C21" s="142"/>
      <c r="D21" s="85" t="s">
        <v>41</v>
      </c>
      <c r="E21" s="85"/>
      <c r="F21" s="111">
        <v>0.02</v>
      </c>
      <c r="G21" s="112"/>
      <c r="H21" s="109" t="s">
        <v>82</v>
      </c>
      <c r="I21" s="110"/>
      <c r="J21" s="117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0 x Rate(0.25Y) + 0.02(고정) + 0(Range충족시)</v>
      </c>
      <c r="K21" s="117"/>
      <c r="L21" s="117"/>
      <c r="M21" s="117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</row>
    <row r="22" spans="1:37" x14ac:dyDescent="0.4">
      <c r="A22" s="21">
        <f t="shared" si="1"/>
        <v>22</v>
      </c>
      <c r="B22" s="142"/>
      <c r="C22" s="142"/>
      <c r="D22" s="85" t="s">
        <v>43</v>
      </c>
      <c r="E22" s="85"/>
      <c r="F22" s="111">
        <v>0</v>
      </c>
      <c r="G22" s="112"/>
      <c r="H22" s="109"/>
      <c r="I22" s="110"/>
      <c r="J22" s="117"/>
      <c r="K22" s="117"/>
      <c r="L22" s="117"/>
      <c r="M22" s="117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</row>
    <row r="23" spans="1:37" x14ac:dyDescent="0.4">
      <c r="A23" s="21">
        <f t="shared" si="1"/>
        <v>23</v>
      </c>
      <c r="B23" s="142"/>
      <c r="C23" s="142"/>
      <c r="D23" s="85" t="s">
        <v>44</v>
      </c>
      <c r="E23" s="85"/>
      <c r="F23" s="102">
        <v>1</v>
      </c>
      <c r="G23" s="103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</row>
    <row r="25" spans="1:37" x14ac:dyDescent="0.4">
      <c r="A25" s="21">
        <f t="shared" si="1"/>
        <v>25</v>
      </c>
      <c r="B25" s="86" t="s">
        <v>46</v>
      </c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8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</row>
    <row r="26" spans="1:37" x14ac:dyDescent="0.4">
      <c r="A26" s="21">
        <f t="shared" si="1"/>
        <v>26</v>
      </c>
      <c r="B26" s="89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1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</row>
    <row r="27" spans="1:37" x14ac:dyDescent="0.4">
      <c r="A27" s="21">
        <f t="shared" si="1"/>
        <v>27</v>
      </c>
      <c r="B27" s="72" t="s">
        <v>32</v>
      </c>
      <c r="C27" s="72"/>
      <c r="D27" s="77">
        <v>1</v>
      </c>
      <c r="E27" s="75"/>
      <c r="F27" s="72" t="s">
        <v>33</v>
      </c>
      <c r="G27" s="72"/>
      <c r="H27" s="77">
        <v>1</v>
      </c>
      <c r="I27" s="75"/>
      <c r="J27" s="72" t="s">
        <v>85</v>
      </c>
      <c r="K27" s="72"/>
      <c r="L27" s="102">
        <v>4</v>
      </c>
      <c r="M27" s="103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</row>
    <row r="29" spans="1:37" x14ac:dyDescent="0.4">
      <c r="A29" s="21">
        <f t="shared" si="1"/>
        <v>29</v>
      </c>
      <c r="B29" s="78" t="str">
        <f>"기초금리정보"</f>
        <v>기초금리정보</v>
      </c>
      <c r="C29" s="79"/>
      <c r="D29" s="59" t="s">
        <v>34</v>
      </c>
      <c r="E29" s="59"/>
      <c r="F29" s="102" t="s">
        <v>99</v>
      </c>
      <c r="G29" s="103"/>
      <c r="H29" s="23"/>
      <c r="I29" s="22"/>
      <c r="J29" s="92" t="str">
        <f>IF(F30=0,"금리결정조건이 = "&amp;F30&amp;" 이므로 Ref Swap 금리정보 사용안함", "사용")</f>
        <v>금리결정조건이 = 0 이므로 Ref Swap 금리정보 사용안함</v>
      </c>
      <c r="K29" s="93"/>
      <c r="L29" s="93"/>
      <c r="M29" s="94"/>
      <c r="O29" s="85" t="s">
        <v>58</v>
      </c>
      <c r="P29" s="85"/>
      <c r="Q29" s="85"/>
      <c r="R29" s="85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</row>
    <row r="30" spans="1:37" x14ac:dyDescent="0.4">
      <c r="A30" s="21">
        <f t="shared" si="1"/>
        <v>30</v>
      </c>
      <c r="B30" s="80"/>
      <c r="C30" s="81"/>
      <c r="D30" s="59" t="s">
        <v>35</v>
      </c>
      <c r="E30" s="84"/>
      <c r="F30" s="104">
        <v>0</v>
      </c>
      <c r="G30" s="105"/>
      <c r="H30" s="92" t="str">
        <f xml:space="preserve"> "Swap 레퍼런스금리정보"</f>
        <v>Swap 레퍼런스금리정보</v>
      </c>
      <c r="I30" s="93"/>
      <c r="J30" s="96" t="str">
        <f>IF(F30=0,"", "연 지급횟수")</f>
        <v/>
      </c>
      <c r="K30" s="97"/>
      <c r="L30" s="75">
        <v>4</v>
      </c>
      <c r="M30" s="98"/>
      <c r="O30" s="85" t="s">
        <v>51</v>
      </c>
      <c r="P30" s="85"/>
      <c r="Q30" s="127">
        <v>0</v>
      </c>
      <c r="R30" s="103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</row>
    <row r="31" spans="1:37" x14ac:dyDescent="0.4">
      <c r="A31" s="21">
        <f t="shared" si="1"/>
        <v>31</v>
      </c>
      <c r="B31" s="80"/>
      <c r="C31" s="81"/>
      <c r="D31" s="85" t="s">
        <v>36</v>
      </c>
      <c r="E31" s="85"/>
      <c r="F31" s="102">
        <v>0</v>
      </c>
      <c r="G31" s="103"/>
      <c r="H31" s="95"/>
      <c r="I31" s="96"/>
      <c r="J31" s="96" t="str">
        <f>IF(F30=0,"",IF(F31=0, "만기", "입력X, 아래만기2개입력"))</f>
        <v/>
      </c>
      <c r="K31" s="97"/>
      <c r="L31" s="149">
        <v>10</v>
      </c>
      <c r="M31" s="150"/>
      <c r="O31" s="85" t="s">
        <v>53</v>
      </c>
      <c r="P31" s="85"/>
      <c r="Q31" s="127">
        <v>0</v>
      </c>
      <c r="R31" s="103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</row>
    <row r="32" spans="1:37" x14ac:dyDescent="0.4">
      <c r="A32" s="21">
        <f t="shared" si="1"/>
        <v>32</v>
      </c>
      <c r="B32" s="80"/>
      <c r="C32" s="81"/>
      <c r="D32" s="85" t="s">
        <v>37</v>
      </c>
      <c r="E32" s="85"/>
      <c r="F32" s="111">
        <v>0.8</v>
      </c>
      <c r="G32" s="112"/>
      <c r="H32" s="99" t="str">
        <f>"ex) Deposit 3M -&gt; 연 지급횟수= 4, 만기= 0.25 ||  ex2) CMT 5Y 연 지급횟수=2, 만기 5"</f>
        <v>ex) Deposit 3M -&gt; 연 지급횟수= 4, 만기= 0.25 ||  ex2) CMT 5Y 연 지급횟수=2, 만기 5</v>
      </c>
      <c r="I32" s="99"/>
      <c r="J32" s="99"/>
      <c r="K32" s="99"/>
      <c r="L32" s="99"/>
      <c r="M32" s="100"/>
      <c r="O32" s="118" t="s">
        <v>54</v>
      </c>
      <c r="P32" s="119"/>
      <c r="Q32" s="127">
        <v>0</v>
      </c>
      <c r="R32" s="103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</row>
    <row r="33" spans="1:32" x14ac:dyDescent="0.4">
      <c r="A33" s="21">
        <f t="shared" si="1"/>
        <v>33</v>
      </c>
      <c r="B33" s="80"/>
      <c r="C33" s="81"/>
      <c r="D33" s="85" t="s">
        <v>38</v>
      </c>
      <c r="E33" s="59"/>
      <c r="F33" s="113">
        <v>-0.8</v>
      </c>
      <c r="G33" s="114"/>
      <c r="H33" s="101" t="str">
        <f>IF(F31&gt;0,"PowerSpreadFlag 1일때 입력","입력필요X")</f>
        <v>입력필요X</v>
      </c>
      <c r="I33" s="101"/>
      <c r="J33" s="101" t="str">
        <f>IF(F31&gt;0,"만기1","")</f>
        <v/>
      </c>
      <c r="K33" s="101"/>
      <c r="L33" s="107">
        <v>10</v>
      </c>
      <c r="M33" s="108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</row>
    <row r="34" spans="1:32" x14ac:dyDescent="0.4">
      <c r="A34" s="21">
        <f t="shared" si="1"/>
        <v>34</v>
      </c>
      <c r="B34" s="82"/>
      <c r="C34" s="83"/>
      <c r="D34" s="106" t="s">
        <v>39</v>
      </c>
      <c r="E34" s="106"/>
      <c r="F34" s="115">
        <v>0</v>
      </c>
      <c r="G34" s="116"/>
      <c r="H34" s="101"/>
      <c r="I34" s="101"/>
      <c r="J34" s="101" t="str">
        <f>IF(F31&gt;0,"만기2","")</f>
        <v/>
      </c>
      <c r="K34" s="101"/>
      <c r="L34" s="107">
        <v>5</v>
      </c>
      <c r="M34" s="108"/>
      <c r="O34" s="85" t="s">
        <v>90</v>
      </c>
      <c r="P34" s="85"/>
      <c r="Q34" s="85"/>
      <c r="R34" s="85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</row>
    <row r="35" spans="1:32" x14ac:dyDescent="0.4">
      <c r="A35" s="21">
        <f t="shared" si="1"/>
        <v>35</v>
      </c>
      <c r="B35" s="20"/>
      <c r="C35" s="20"/>
      <c r="O35" s="85" t="s">
        <v>89</v>
      </c>
      <c r="P35" s="85"/>
      <c r="Q35" s="127">
        <v>0</v>
      </c>
      <c r="R35" s="103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200000000</v>
      </c>
    </row>
    <row r="36" spans="1:32" x14ac:dyDescent="0.4">
      <c r="A36" s="21">
        <f t="shared" si="1"/>
        <v>36</v>
      </c>
      <c r="B36" s="142" t="s">
        <v>40</v>
      </c>
      <c r="C36" s="142"/>
      <c r="D36" s="85" t="s">
        <v>41</v>
      </c>
      <c r="E36" s="85"/>
      <c r="F36" s="111">
        <v>2.0199999999999999E-2</v>
      </c>
      <c r="G36" s="112"/>
      <c r="H36" s="109" t="s">
        <v>84</v>
      </c>
      <c r="I36" s="110"/>
      <c r="J36" s="117" t="str">
        <f>IF(F31&gt;0, F33&amp;" &lt; "&amp;F30&amp;" x Rate("&amp;L33&amp;"Y-"&amp;L34&amp;"Y) &lt; "&amp;F32,F33&amp;" &lt; "&amp;F30&amp;" x Rate("&amp;L31&amp;"Y) &lt; "&amp;F32)</f>
        <v>-0.8 &lt; 0 x Rate(10Y) &lt; 0.8</v>
      </c>
      <c r="K36" s="117"/>
      <c r="L36" s="117"/>
      <c r="M36" s="117"/>
      <c r="AB36" s="41">
        <v>20240920</v>
      </c>
      <c r="AC36" s="42">
        <v>20241220</v>
      </c>
      <c r="AD36" s="42">
        <v>20241220</v>
      </c>
      <c r="AE36" s="44">
        <v>3.4776254054278553E-2</v>
      </c>
      <c r="AF36" s="48">
        <v>200000000</v>
      </c>
    </row>
    <row r="37" spans="1:32" x14ac:dyDescent="0.4">
      <c r="A37" s="21">
        <f t="shared" si="1"/>
        <v>37</v>
      </c>
      <c r="B37" s="142"/>
      <c r="C37" s="142"/>
      <c r="D37" s="85" t="s">
        <v>43</v>
      </c>
      <c r="E37" s="85"/>
      <c r="F37" s="111">
        <v>0</v>
      </c>
      <c r="G37" s="112"/>
      <c r="H37" s="109" t="s">
        <v>81</v>
      </c>
      <c r="I37" s="110"/>
      <c r="J37" s="117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7"/>
      <c r="L37" s="117"/>
      <c r="M37" s="117"/>
      <c r="AB37" s="41">
        <v>20241220</v>
      </c>
      <c r="AC37" s="42">
        <v>20250320</v>
      </c>
      <c r="AD37" s="42">
        <v>20250320</v>
      </c>
      <c r="AE37" s="44">
        <v>3.2273402357810593E-2</v>
      </c>
      <c r="AF37" s="48">
        <v>200000000</v>
      </c>
    </row>
    <row r="38" spans="1:32" x14ac:dyDescent="0.4">
      <c r="A38" s="21">
        <f t="shared" si="1"/>
        <v>38</v>
      </c>
      <c r="B38" s="142"/>
      <c r="C38" s="142"/>
      <c r="D38" s="85" t="s">
        <v>44</v>
      </c>
      <c r="E38" s="85"/>
      <c r="F38" s="102">
        <v>0</v>
      </c>
      <c r="G38" s="103"/>
      <c r="H38" s="109"/>
      <c r="I38" s="110"/>
      <c r="J38" s="117"/>
      <c r="K38" s="117"/>
      <c r="L38" s="117"/>
      <c r="M38" s="117"/>
      <c r="AB38" s="41">
        <v>20250320</v>
      </c>
      <c r="AC38" s="42">
        <v>20250620</v>
      </c>
      <c r="AD38" s="42">
        <v>20250620</v>
      </c>
      <c r="AE38" s="44">
        <v>3.0924930411542668E-2</v>
      </c>
      <c r="AF38" s="48">
        <v>200000000</v>
      </c>
    </row>
    <row r="39" spans="1:32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2.9809229264098989E-2</v>
      </c>
      <c r="AF39" s="48">
        <v>200000000</v>
      </c>
    </row>
    <row r="40" spans="1:32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2.8794430761481422E-2</v>
      </c>
      <c r="AF40" s="48">
        <v>200000000</v>
      </c>
    </row>
    <row r="41" spans="1:32" x14ac:dyDescent="0.4">
      <c r="A41" s="21">
        <f t="shared" si="1"/>
        <v>41</v>
      </c>
      <c r="B41" s="142" t="s">
        <v>45</v>
      </c>
      <c r="C41" s="142"/>
      <c r="D41" s="85" t="s">
        <v>41</v>
      </c>
      <c r="E41" s="85"/>
      <c r="F41" s="111">
        <v>2.0199999999999999E-2</v>
      </c>
      <c r="G41" s="112"/>
      <c r="H41" s="109" t="s">
        <v>82</v>
      </c>
      <c r="I41" s="110"/>
      <c r="J41" s="117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17"/>
      <c r="L41" s="117"/>
      <c r="M41" s="117"/>
      <c r="AB41" s="41">
        <v>20251222</v>
      </c>
      <c r="AC41" s="42">
        <v>20260320</v>
      </c>
      <c r="AD41" s="42">
        <v>20260320</v>
      </c>
      <c r="AE41" s="44">
        <v>2.7915885320428237E-2</v>
      </c>
      <c r="AF41" s="48">
        <v>200000000</v>
      </c>
    </row>
    <row r="42" spans="1:32" x14ac:dyDescent="0.4">
      <c r="A42" s="21">
        <f t="shared" si="1"/>
        <v>42</v>
      </c>
      <c r="B42" s="142"/>
      <c r="C42" s="142"/>
      <c r="D42" s="85" t="s">
        <v>43</v>
      </c>
      <c r="E42" s="85"/>
      <c r="F42" s="111">
        <v>0</v>
      </c>
      <c r="G42" s="112"/>
      <c r="H42" s="109"/>
      <c r="I42" s="110"/>
      <c r="J42" s="117"/>
      <c r="K42" s="117"/>
      <c r="L42" s="117"/>
      <c r="M42" s="117"/>
      <c r="AB42" s="41">
        <v>20260320</v>
      </c>
      <c r="AC42" s="42">
        <v>20260622</v>
      </c>
      <c r="AD42" s="42">
        <v>20260622</v>
      </c>
      <c r="AE42" s="44">
        <v>2.904272961727308E-2</v>
      </c>
      <c r="AF42" s="48">
        <v>200000000</v>
      </c>
    </row>
    <row r="43" spans="1:32" x14ac:dyDescent="0.4">
      <c r="A43" s="21">
        <f t="shared" si="1"/>
        <v>43</v>
      </c>
      <c r="B43" s="142"/>
      <c r="C43" s="142"/>
      <c r="D43" s="85" t="s">
        <v>44</v>
      </c>
      <c r="E43" s="85"/>
      <c r="F43" s="102">
        <v>0</v>
      </c>
      <c r="G43" s="103"/>
      <c r="AB43" s="41">
        <v>20260622</v>
      </c>
      <c r="AC43" s="42">
        <v>20260921</v>
      </c>
      <c r="AD43" s="42">
        <v>20260921</v>
      </c>
      <c r="AE43" s="44">
        <v>2.7967967789448857E-2</v>
      </c>
      <c r="AF43" s="48">
        <v>200000000</v>
      </c>
    </row>
    <row r="44" spans="1:32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2.8348375134182695E-2</v>
      </c>
      <c r="AF44" s="48">
        <v>200000000</v>
      </c>
    </row>
    <row r="45" spans="1:32" ht="17.399999999999999" customHeight="1" x14ac:dyDescent="0.4">
      <c r="A45" s="21">
        <f t="shared" si="1"/>
        <v>45</v>
      </c>
      <c r="B45" s="136" t="s">
        <v>60</v>
      </c>
      <c r="C45" s="137"/>
      <c r="D45" s="137"/>
      <c r="E45" s="137"/>
      <c r="F45" s="137"/>
      <c r="G45" s="138"/>
      <c r="AB45" s="41">
        <v>20261221</v>
      </c>
      <c r="AC45" s="42">
        <v>20270322</v>
      </c>
      <c r="AD45" s="42">
        <v>20270322</v>
      </c>
      <c r="AE45" s="44">
        <v>2.79848107138491E-2</v>
      </c>
      <c r="AF45" s="48">
        <v>200000000</v>
      </c>
    </row>
    <row r="46" spans="1:32" ht="17.399999999999999" customHeight="1" x14ac:dyDescent="0.4">
      <c r="A46" s="21">
        <f t="shared" si="1"/>
        <v>46</v>
      </c>
      <c r="B46" s="139"/>
      <c r="C46" s="140"/>
      <c r="D46" s="140"/>
      <c r="E46" s="140"/>
      <c r="F46" s="140"/>
      <c r="G46" s="141"/>
      <c r="AB46" s="41">
        <v>20270322</v>
      </c>
      <c r="AC46" s="42">
        <v>20270621</v>
      </c>
      <c r="AD46" s="42">
        <v>20270621</v>
      </c>
      <c r="AE46" s="44">
        <v>2.7923839980757956E-2</v>
      </c>
      <c r="AF46" s="48">
        <v>200000000</v>
      </c>
    </row>
    <row r="47" spans="1:32" x14ac:dyDescent="0.4">
      <c r="A47" s="21">
        <f t="shared" si="1"/>
        <v>47</v>
      </c>
      <c r="B47" s="37" t="s">
        <v>61</v>
      </c>
      <c r="C47" s="38" t="s">
        <v>62</v>
      </c>
      <c r="D47" s="38" t="s">
        <v>63</v>
      </c>
      <c r="E47" s="38" t="s">
        <v>64</v>
      </c>
      <c r="AB47" s="41">
        <v>20270621</v>
      </c>
      <c r="AC47" s="42">
        <v>20270920</v>
      </c>
      <c r="AD47" s="42">
        <v>20270920</v>
      </c>
      <c r="AE47" s="44">
        <v>2.7770926717882536E-2</v>
      </c>
      <c r="AF47" s="48">
        <v>200000000</v>
      </c>
    </row>
    <row r="48" spans="1:32" x14ac:dyDescent="0.4">
      <c r="A48" s="21">
        <f t="shared" si="1"/>
        <v>48</v>
      </c>
      <c r="B48" s="26">
        <v>44524</v>
      </c>
      <c r="C48" s="26">
        <v>44550</v>
      </c>
      <c r="D48" s="31" t="s">
        <v>101</v>
      </c>
      <c r="E48" s="31">
        <f>COUNT(B48:B1048576)</f>
        <v>13</v>
      </c>
      <c r="AB48" s="41">
        <v>20270920</v>
      </c>
      <c r="AC48" s="42">
        <v>20271220</v>
      </c>
      <c r="AD48" s="42">
        <v>20271220</v>
      </c>
      <c r="AE48" s="44">
        <v>2.8317908527779812E-2</v>
      </c>
      <c r="AF48" s="48">
        <v>200000000</v>
      </c>
    </row>
    <row r="49" spans="1:32" x14ac:dyDescent="0.4">
      <c r="A49" s="21">
        <f t="shared" si="1"/>
        <v>49</v>
      </c>
      <c r="B49" s="26">
        <v>44889</v>
      </c>
      <c r="C49" s="26">
        <v>44915</v>
      </c>
      <c r="AB49" s="41">
        <v>20271220</v>
      </c>
      <c r="AC49" s="42">
        <v>20280320</v>
      </c>
      <c r="AD49" s="42">
        <v>20280320</v>
      </c>
      <c r="AE49" s="44">
        <v>2.8167281447116763E-2</v>
      </c>
      <c r="AF49" s="48">
        <v>200000000</v>
      </c>
    </row>
    <row r="50" spans="1:32" x14ac:dyDescent="0.4">
      <c r="A50" s="21">
        <f t="shared" si="1"/>
        <v>50</v>
      </c>
      <c r="B50" s="26">
        <v>45254</v>
      </c>
      <c r="C50" s="26">
        <v>45280</v>
      </c>
      <c r="AB50" s="41">
        <v>20280320</v>
      </c>
      <c r="AC50" s="42">
        <v>20280620</v>
      </c>
      <c r="AD50" s="42">
        <v>20280620</v>
      </c>
      <c r="AE50" s="44">
        <v>2.832477934650764E-2</v>
      </c>
      <c r="AF50" s="48">
        <v>200000000</v>
      </c>
    </row>
    <row r="51" spans="1:32" x14ac:dyDescent="0.4">
      <c r="A51" s="21">
        <f t="shared" si="1"/>
        <v>51</v>
      </c>
      <c r="B51" s="26">
        <v>45622</v>
      </c>
      <c r="C51" s="26">
        <v>45646</v>
      </c>
      <c r="AB51" s="41">
        <v>20280620</v>
      </c>
      <c r="AC51" s="42">
        <v>20280920</v>
      </c>
      <c r="AD51" s="42">
        <v>20280920</v>
      </c>
      <c r="AE51" s="44">
        <v>2.8335869337788512E-2</v>
      </c>
      <c r="AF51" s="48">
        <v>200000000</v>
      </c>
    </row>
    <row r="52" spans="1:32" x14ac:dyDescent="0.4">
      <c r="A52" s="21">
        <f t="shared" si="1"/>
        <v>52</v>
      </c>
      <c r="B52" s="26">
        <v>45987</v>
      </c>
      <c r="C52" s="26">
        <v>46013</v>
      </c>
      <c r="AB52" s="41">
        <v>20280920</v>
      </c>
      <c r="AC52" s="42">
        <v>20281220</v>
      </c>
      <c r="AD52" s="42">
        <v>20281220</v>
      </c>
      <c r="AE52" s="44">
        <v>2.8718763590517334E-2</v>
      </c>
      <c r="AF52" s="48">
        <v>200000000</v>
      </c>
    </row>
    <row r="53" spans="1:32" x14ac:dyDescent="0.4">
      <c r="A53" s="21">
        <f t="shared" si="1"/>
        <v>53</v>
      </c>
      <c r="B53" s="26">
        <v>46351</v>
      </c>
      <c r="C53" s="26">
        <v>46377</v>
      </c>
      <c r="AB53" s="41">
        <v>20281220</v>
      </c>
      <c r="AC53" s="42">
        <v>20290320</v>
      </c>
      <c r="AD53" s="42">
        <v>20290320</v>
      </c>
      <c r="AE53" s="44">
        <v>2.8367577864035806E-2</v>
      </c>
      <c r="AF53" s="48">
        <v>200000000</v>
      </c>
    </row>
    <row r="54" spans="1:32" x14ac:dyDescent="0.4">
      <c r="A54" s="21">
        <f t="shared" si="1"/>
        <v>54</v>
      </c>
      <c r="B54" s="26">
        <v>46715</v>
      </c>
      <c r="C54" s="26">
        <v>46741</v>
      </c>
      <c r="AB54" s="41">
        <v>20290320</v>
      </c>
      <c r="AC54" s="42">
        <v>20290620</v>
      </c>
      <c r="AD54" s="42">
        <v>20290620</v>
      </c>
      <c r="AE54" s="44">
        <v>2.8964787756526233E-2</v>
      </c>
      <c r="AF54" s="48">
        <v>200000000</v>
      </c>
    </row>
    <row r="55" spans="1:32" x14ac:dyDescent="0.4">
      <c r="A55" s="21">
        <f t="shared" si="1"/>
        <v>55</v>
      </c>
      <c r="B55" s="26">
        <v>47081</v>
      </c>
      <c r="C55" s="26">
        <v>47107</v>
      </c>
      <c r="AB55" s="41">
        <v>20290620</v>
      </c>
      <c r="AC55" s="42">
        <v>20290920</v>
      </c>
      <c r="AD55" s="42">
        <v>20290920</v>
      </c>
      <c r="AE55" s="44">
        <v>2.8949460030739334E-2</v>
      </c>
      <c r="AF55" s="48">
        <v>200000000</v>
      </c>
    </row>
    <row r="56" spans="1:32" x14ac:dyDescent="0.4">
      <c r="A56" s="21">
        <f t="shared" si="1"/>
        <v>56</v>
      </c>
      <c r="B56" s="26">
        <v>47448</v>
      </c>
      <c r="C56" s="26">
        <v>47472</v>
      </c>
      <c r="AB56" s="41">
        <v>20290920</v>
      </c>
      <c r="AC56" s="42">
        <v>20291220</v>
      </c>
      <c r="AD56" s="42">
        <v>20291220</v>
      </c>
      <c r="AE56" s="44">
        <v>2.8701553315565616E-2</v>
      </c>
      <c r="AF56" s="48">
        <v>200000000</v>
      </c>
    </row>
    <row r="57" spans="1:32" x14ac:dyDescent="0.4">
      <c r="A57" s="21">
        <f t="shared" si="1"/>
        <v>57</v>
      </c>
      <c r="B57" s="26">
        <v>47813</v>
      </c>
      <c r="C57" s="26">
        <v>47837</v>
      </c>
      <c r="AB57" s="41">
        <v>20291220</v>
      </c>
      <c r="AC57" s="42">
        <v>20300320</v>
      </c>
      <c r="AD57" s="42">
        <v>20300320</v>
      </c>
      <c r="AE57" s="44">
        <v>2.8361888868686843E-2</v>
      </c>
      <c r="AF57" s="48">
        <v>200000000</v>
      </c>
    </row>
    <row r="58" spans="1:32" x14ac:dyDescent="0.4">
      <c r="A58" s="21">
        <f t="shared" si="1"/>
        <v>58</v>
      </c>
      <c r="B58" s="26">
        <v>48178</v>
      </c>
      <c r="C58" s="26">
        <v>48204</v>
      </c>
      <c r="AB58" s="41">
        <v>20300320</v>
      </c>
      <c r="AC58" s="42">
        <v>20300620</v>
      </c>
      <c r="AD58" s="42">
        <v>20300620</v>
      </c>
      <c r="AE58" s="44">
        <v>2.8970619071550244E-2</v>
      </c>
      <c r="AF58" s="48">
        <v>200000000</v>
      </c>
    </row>
    <row r="59" spans="1:32" x14ac:dyDescent="0.4">
      <c r="A59" s="21">
        <f t="shared" si="1"/>
        <v>59</v>
      </c>
      <c r="B59" s="26">
        <v>48542</v>
      </c>
      <c r="C59" s="26">
        <v>48568</v>
      </c>
      <c r="AB59" s="41">
        <v>20300620</v>
      </c>
      <c r="AC59" s="42">
        <v>20300920</v>
      </c>
      <c r="AD59" s="42">
        <v>20300920</v>
      </c>
      <c r="AE59" s="44">
        <v>2.9089721848116749E-2</v>
      </c>
      <c r="AF59" s="48">
        <v>200000000</v>
      </c>
    </row>
    <row r="60" spans="1:32" x14ac:dyDescent="0.4">
      <c r="A60" s="21">
        <f t="shared" si="1"/>
        <v>60</v>
      </c>
      <c r="B60" s="26">
        <v>48907</v>
      </c>
      <c r="C60" s="26">
        <v>48933</v>
      </c>
      <c r="AB60" s="41">
        <v>20300920</v>
      </c>
      <c r="AC60" s="42">
        <v>20301220</v>
      </c>
      <c r="AD60" s="42">
        <v>20301220</v>
      </c>
      <c r="AE60" s="44">
        <v>2.9460847323360705E-2</v>
      </c>
      <c r="AF60" s="48">
        <v>200000000</v>
      </c>
    </row>
    <row r="61" spans="1:32" x14ac:dyDescent="0.4">
      <c r="A61" s="21">
        <f t="shared" si="1"/>
        <v>61</v>
      </c>
      <c r="AB61" s="41">
        <v>20301220</v>
      </c>
      <c r="AC61" s="42">
        <v>20310320</v>
      </c>
      <c r="AD61" s="42">
        <v>20310320</v>
      </c>
      <c r="AE61" s="44">
        <v>2.9178791605383943E-2</v>
      </c>
      <c r="AF61" s="48">
        <v>200000000</v>
      </c>
    </row>
    <row r="62" spans="1:32" x14ac:dyDescent="0.4">
      <c r="AB62" s="41">
        <v>20310320</v>
      </c>
      <c r="AC62" s="42">
        <v>20310620</v>
      </c>
      <c r="AD62" s="42">
        <v>20310620</v>
      </c>
      <c r="AE62" s="44">
        <v>2.9873671145457102E-2</v>
      </c>
      <c r="AF62" s="48">
        <v>200000000</v>
      </c>
    </row>
    <row r="63" spans="1:32" x14ac:dyDescent="0.4">
      <c r="AB63" s="41">
        <v>20310620</v>
      </c>
      <c r="AC63" s="42">
        <v>20310922</v>
      </c>
      <c r="AD63" s="42">
        <v>20310922</v>
      </c>
      <c r="AE63" s="44">
        <v>3.0606742632058349E-2</v>
      </c>
      <c r="AF63" s="48">
        <v>200000000</v>
      </c>
    </row>
    <row r="64" spans="1:32" x14ac:dyDescent="0.4">
      <c r="AB64" s="41">
        <v>20310922</v>
      </c>
      <c r="AC64" s="42">
        <v>20311222</v>
      </c>
      <c r="AD64" s="42">
        <v>20311222</v>
      </c>
      <c r="AE64" s="44">
        <v>2.9821882335667523E-2</v>
      </c>
      <c r="AF64" s="48">
        <v>200000000</v>
      </c>
    </row>
    <row r="65" spans="28:32" x14ac:dyDescent="0.4">
      <c r="AB65" s="41">
        <v>20311222</v>
      </c>
      <c r="AC65" s="42">
        <v>20320322</v>
      </c>
      <c r="AD65" s="42">
        <v>20320322</v>
      </c>
      <c r="AE65" s="44">
        <v>2.9878032401988382E-2</v>
      </c>
      <c r="AF65" s="48">
        <v>200000000</v>
      </c>
    </row>
    <row r="66" spans="28:32" x14ac:dyDescent="0.4">
      <c r="AB66" s="41">
        <v>20320322</v>
      </c>
      <c r="AC66" s="42">
        <v>20320621</v>
      </c>
      <c r="AD66" s="42">
        <v>20320621</v>
      </c>
      <c r="AE66" s="44">
        <v>3.0264677457502873E-2</v>
      </c>
      <c r="AF66" s="48">
        <v>200000000</v>
      </c>
    </row>
    <row r="67" spans="28:32" x14ac:dyDescent="0.4">
      <c r="AB67" s="41">
        <v>20320621</v>
      </c>
      <c r="AC67" s="42">
        <v>20320922</v>
      </c>
      <c r="AD67" s="42">
        <v>20320922</v>
      </c>
      <c r="AE67" s="44">
        <v>3.0534440194244731E-2</v>
      </c>
      <c r="AF67" s="48">
        <v>200000000</v>
      </c>
    </row>
    <row r="68" spans="28:32" x14ac:dyDescent="0.4">
      <c r="AB68" s="41">
        <v>20320922</v>
      </c>
      <c r="AC68" s="42">
        <v>20321220</v>
      </c>
      <c r="AD68" s="42">
        <v>20321220</v>
      </c>
      <c r="AE68" s="44">
        <v>2.9351388599890359E-2</v>
      </c>
      <c r="AF68" s="48">
        <v>200000000</v>
      </c>
    </row>
    <row r="69" spans="28:32" x14ac:dyDescent="0.4">
      <c r="AB69" s="41">
        <v>20321220</v>
      </c>
      <c r="AC69" s="42">
        <v>20330321</v>
      </c>
      <c r="AD69" s="42">
        <v>20330321</v>
      </c>
      <c r="AE69" s="44">
        <v>2.9365636224663576E-2</v>
      </c>
      <c r="AF69" s="48">
        <v>200000000</v>
      </c>
    </row>
    <row r="70" spans="28:32" x14ac:dyDescent="0.4">
      <c r="AB70" s="41">
        <v>20330321</v>
      </c>
      <c r="AC70" s="42">
        <v>20330620</v>
      </c>
      <c r="AD70" s="42">
        <v>20330620</v>
      </c>
      <c r="AE70" s="44">
        <v>2.970433424630918E-2</v>
      </c>
      <c r="AF70" s="48">
        <v>200000000</v>
      </c>
    </row>
    <row r="71" spans="28:32" x14ac:dyDescent="0.4">
      <c r="AB71" s="41">
        <v>20330620</v>
      </c>
      <c r="AC71" s="42">
        <v>20330920</v>
      </c>
      <c r="AD71" s="42">
        <v>20330920</v>
      </c>
      <c r="AE71" s="44">
        <v>2.9890429934098413E-2</v>
      </c>
      <c r="AF71" s="48">
        <v>200000000</v>
      </c>
    </row>
    <row r="72" spans="28:32" x14ac:dyDescent="0.4">
      <c r="AB72" s="41">
        <v>20330920</v>
      </c>
      <c r="AC72" s="42">
        <v>20331220</v>
      </c>
      <c r="AD72" s="42">
        <v>20331220</v>
      </c>
      <c r="AE72" s="44">
        <v>3.0482514512333431E-2</v>
      </c>
      <c r="AF72" s="48">
        <v>200000000</v>
      </c>
    </row>
    <row r="73" spans="28:32" x14ac:dyDescent="0.4">
      <c r="AB73" s="41">
        <v>20331220</v>
      </c>
      <c r="AC73" s="42">
        <v>20340320</v>
      </c>
      <c r="AD73" s="42">
        <v>20340320</v>
      </c>
      <c r="AE73" s="44">
        <v>3.021695131580969E-2</v>
      </c>
      <c r="AF73" s="48">
        <v>200000000</v>
      </c>
    </row>
    <row r="74" spans="28:32" x14ac:dyDescent="0.4">
      <c r="AB74" s="41">
        <v>20340320</v>
      </c>
      <c r="AC74" s="42">
        <v>20340620</v>
      </c>
      <c r="AD74" s="42">
        <v>20340620</v>
      </c>
      <c r="AE74" s="44">
        <v>3.0963658706212111E-2</v>
      </c>
      <c r="AF74" s="48">
        <v>200000000</v>
      </c>
    </row>
    <row r="75" spans="28:32" x14ac:dyDescent="0.4">
      <c r="AB75" s="41">
        <v>20340620</v>
      </c>
      <c r="AC75" s="42">
        <v>20340920</v>
      </c>
      <c r="AD75" s="42">
        <v>20340920</v>
      </c>
      <c r="AE75" s="44">
        <v>3.0960672396486252E-2</v>
      </c>
      <c r="AF75" s="48">
        <v>200000000</v>
      </c>
    </row>
    <row r="76" spans="28:32" x14ac:dyDescent="0.4">
      <c r="AB76" s="41">
        <v>20340920</v>
      </c>
      <c r="AC76" s="42">
        <v>20341220</v>
      </c>
      <c r="AD76" s="42">
        <v>20341220</v>
      </c>
      <c r="AE76" s="44">
        <v>3.0323376591087029E-2</v>
      </c>
      <c r="AF76" s="48">
        <v>40200000000</v>
      </c>
    </row>
  </sheetData>
  <mergeCells count="158">
    <mergeCell ref="O14:R14"/>
    <mergeCell ref="O15:P15"/>
    <mergeCell ref="Q15:R15"/>
    <mergeCell ref="O34:R34"/>
    <mergeCell ref="O35:P35"/>
    <mergeCell ref="Q35:R35"/>
    <mergeCell ref="J7:K7"/>
    <mergeCell ref="J27:K27"/>
    <mergeCell ref="L7:M7"/>
    <mergeCell ref="L27:M27"/>
    <mergeCell ref="O11:P11"/>
    <mergeCell ref="Q11:R11"/>
    <mergeCell ref="O12:P12"/>
    <mergeCell ref="Q12:R12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L31:M31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F31:G31"/>
    <mergeCell ref="J31:K31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15:AF15"/>
    <mergeCell ref="AG15:AK15"/>
    <mergeCell ref="AB10:AC10"/>
    <mergeCell ref="AD10:AE10"/>
    <mergeCell ref="W3:X3"/>
    <mergeCell ref="Y3:Z3"/>
    <mergeCell ref="AB7:AC7"/>
    <mergeCell ref="AD7:AE7"/>
    <mergeCell ref="AB11:AC11"/>
    <mergeCell ref="AD11:AE11"/>
    <mergeCell ref="AB12:AC12"/>
    <mergeCell ref="AD12:AE12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H16:I16"/>
    <mergeCell ref="F11:G11"/>
    <mergeCell ref="F12:G12"/>
    <mergeCell ref="F13:G13"/>
    <mergeCell ref="F14:G14"/>
    <mergeCell ref="J13:K13"/>
    <mergeCell ref="L13:M13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AY3:AZ3"/>
    <mergeCell ref="AY5:AZ5"/>
    <mergeCell ref="B3:C3"/>
    <mergeCell ref="D3:E3"/>
    <mergeCell ref="F3:G3"/>
    <mergeCell ref="H3:I3"/>
    <mergeCell ref="J3:K3"/>
    <mergeCell ref="L3:M3"/>
    <mergeCell ref="H7:I7"/>
    <mergeCell ref="T3:U3"/>
    <mergeCell ref="AB6:AC6"/>
    <mergeCell ref="AD6:AE6"/>
    <mergeCell ref="AB3:AM4"/>
  </mergeCells>
  <phoneticPr fontId="2" type="noConversion"/>
  <dataValidations count="3">
    <dataValidation type="list" allowBlank="1" showInputMessage="1" showErrorMessage="1" sqref="H3:I3" xr:uid="{9754C4B3-C8E7-45E8-9CB0-22EFD2D1CC54}">
      <formula1>$BA$4:$BC$4</formula1>
    </dataValidation>
    <dataValidation type="list" allowBlank="1" showInputMessage="1" showErrorMessage="1" sqref="F9:G9 F29:G29" xr:uid="{161BB22C-B59B-4BDB-94F4-AD7AE9D86FAD}">
      <formula1>$BA$6:$BE$6</formula1>
    </dataValidation>
    <dataValidation type="list" allowBlank="1" showInputMessage="1" showErrorMessage="1" sqref="D48" xr:uid="{076D927C-4047-433D-AE5C-9BFF8F02012C}">
      <formula1>$BA$8:$BB$8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2026-05-25T12:40:03Z</dcterms:modified>
</cp:coreProperties>
</file>