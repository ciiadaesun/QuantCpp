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<sst xmlns="http://schemas.openxmlformats.org/spreadsheetml/2006/main" count="122" uniqueCount="87">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</sst>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</row>
    <row r="3" spans="1:41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41" x14ac:dyDescent="0.4">
      <c r="A4" s="1">
        <f>4</f>
        <v>4</v>
      </c>
      <c r="B4" s="57" t="s">
        <v>1</v>
      </c>
      <c r="C4" s="57"/>
      <c r="D4" s="59">
        <v>1</v>
      </c>
      <c r="E4" s="59"/>
    </row>
    <row r="5" spans="1:41" x14ac:dyDescent="0.4">
      <c r="A5" s="1">
        <f>A4+1</f>
        <v>5</v>
      </c>
      <c r="B5" s="57" t="s">
        <v>29</v>
      </c>
      <c r="C5" s="57"/>
      <c r="D5" s="58">
        <v>45538</v>
      </c>
      <c r="E5" s="59"/>
      <c r="G5" s="65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6"/>
      <c r="H6" s="67" t="s">
        <v>4</v>
      </c>
      <c r="I6" s="61"/>
      <c r="L6" s="52" t="s">
        <v>75</v>
      </c>
      <c r="M6" s="52"/>
      <c r="N6" s="52"/>
      <c r="O6" s="60" t="s">
        <v>76</v>
      </c>
      <c r="P6" s="61"/>
      <c r="R6" s="52" t="s">
        <v>5</v>
      </c>
      <c r="S6" s="52"/>
      <c r="T6" s="52"/>
    </row>
    <row r="7" spans="1:41" x14ac:dyDescent="0.4">
      <c r="A7" s="1">
        <f t="shared" si="1"/>
        <v>7</v>
      </c>
      <c r="B7" s="57" t="s">
        <v>6</v>
      </c>
      <c r="C7" s="57"/>
      <c r="D7" s="59">
        <v>0</v>
      </c>
      <c r="E7" s="59"/>
      <c r="G7" s="66"/>
      <c r="H7" s="62"/>
      <c r="I7" s="63"/>
      <c r="L7" s="52"/>
      <c r="M7" s="52"/>
      <c r="N7" s="52"/>
      <c r="O7" s="62"/>
      <c r="P7" s="63"/>
      <c r="R7" s="52"/>
      <c r="S7" s="52"/>
      <c r="T7" s="52"/>
    </row>
    <row r="8" spans="1:41" x14ac:dyDescent="0.4">
      <c r="A8" s="1">
        <f t="shared" si="1"/>
        <v>8</v>
      </c>
      <c r="B8" s="57" t="s">
        <v>7</v>
      </c>
      <c r="C8" s="57"/>
      <c r="D8" s="59">
        <v>0.01</v>
      </c>
      <c r="E8" s="59"/>
      <c r="G8" s="66"/>
      <c r="I8" s="3" t="s">
        <v>8</v>
      </c>
      <c r="J8" s="3" t="s">
        <v>9</v>
      </c>
      <c r="K8" s="3" t="s">
        <v>10</v>
      </c>
      <c r="R8" s="52" t="s">
        <v>11</v>
      </c>
      <c r="S8" s="52"/>
      <c r="T8" s="4">
        <v>3</v>
      </c>
    </row>
    <row r="9" spans="1:41" x14ac:dyDescent="0.4">
      <c r="A9" s="1">
        <f t="shared" si="1"/>
        <v>9</v>
      </c>
      <c r="G9" s="66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6"/>
      <c r="H10" s="8" t="s">
        <v>13</v>
      </c>
      <c r="I10" s="53" t="s">
        <v>14</v>
      </c>
      <c r="J10" s="54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5" t="s">
        <v>17</v>
      </c>
      <c r="S10" s="55" t="s">
        <v>18</v>
      </c>
      <c r="T10" s="55" t="s">
        <v>19</v>
      </c>
      <c r="U10" s="55" t="s">
        <v>20</v>
      </c>
      <c r="V10" s="55" t="s">
        <v>21</v>
      </c>
      <c r="W10" s="55" t="s">
        <v>22</v>
      </c>
    </row>
    <row r="11" spans="1:41" x14ac:dyDescent="0.4">
      <c r="A11" s="1">
        <f t="shared" si="1"/>
        <v>11</v>
      </c>
      <c r="G11" s="66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6"/>
      <c r="S11" s="56"/>
      <c r="T11" s="56"/>
      <c r="U11" s="56"/>
      <c r="V11" s="56"/>
      <c r="W11" s="56"/>
    </row>
    <row r="12" spans="1:41" x14ac:dyDescent="0.4">
      <c r="A12" s="1">
        <f t="shared" si="1"/>
        <v>12</v>
      </c>
      <c r="G12" s="66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8" t="s">
        <v>23</v>
      </c>
      <c r="E13" s="68"/>
      <c r="G13" s="66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8"/>
      <c r="E14" s="68"/>
      <c r="G14" s="66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8"/>
      <c r="E15" s="68"/>
      <c r="G15" s="66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6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9">
        <v>45202.835729166669</v>
      </c>
      <c r="E17" s="69"/>
      <c r="G17" s="66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9">
        <v>45202.835729166669</v>
      </c>
      <c r="E18" s="69"/>
      <c r="G18" s="66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6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6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6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6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7" t="s">
        <v>24</v>
      </c>
      <c r="C23" s="57"/>
      <c r="D23" s="59">
        <v>1</v>
      </c>
      <c r="E23" s="59"/>
      <c r="G23" s="66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7" t="s">
        <v>25</v>
      </c>
      <c r="C24" s="57"/>
      <c r="D24" s="59">
        <v>0</v>
      </c>
      <c r="E24" s="59"/>
      <c r="G24" s="66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7" t="s">
        <v>26</v>
      </c>
      <c r="C25" s="57"/>
      <c r="D25" s="59">
        <v>-0.1</v>
      </c>
      <c r="E25" s="59"/>
      <c r="G25" s="66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7" t="s">
        <v>27</v>
      </c>
      <c r="C26" s="57"/>
      <c r="D26" s="59">
        <v>0.15</v>
      </c>
      <c r="E26" s="59"/>
      <c r="G26" s="66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6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6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6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6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6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6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6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6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6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6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6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6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6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6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Y1" workbookViewId="0">
      <selection activeCell="AD9" sqref="AD9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0" t="s">
        <v>30</v>
      </c>
      <c r="C3" s="70"/>
      <c r="D3" s="71">
        <v>45538</v>
      </c>
      <c r="E3" s="72"/>
      <c r="F3" s="73" t="s">
        <v>31</v>
      </c>
      <c r="G3" s="73"/>
      <c r="H3" s="72">
        <v>0</v>
      </c>
      <c r="I3" s="72"/>
      <c r="J3" s="73" t="s">
        <v>32</v>
      </c>
      <c r="K3" s="73"/>
      <c r="L3" s="74">
        <v>40000000000</v>
      </c>
      <c r="M3" s="74"/>
      <c r="O3" s="124" t="s">
        <v>50</v>
      </c>
      <c r="P3" s="125"/>
      <c r="Q3" s="125"/>
      <c r="R3" s="126"/>
      <c r="T3" s="122" t="s">
        <v>56</v>
      </c>
      <c r="U3" s="123"/>
      <c r="W3" s="150" t="s">
        <v>77</v>
      </c>
      <c r="X3" s="151"/>
      <c r="Y3" s="150" t="s">
        <v>78</v>
      </c>
      <c r="Z3" s="151"/>
      <c r="AB3" s="86" t="s">
        <v>66</v>
      </c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8"/>
    </row>
    <row r="4" spans="1:57" x14ac:dyDescent="0.4">
      <c r="A4" s="21">
        <f t="shared" si="1"/>
        <v>4</v>
      </c>
      <c r="B4" s="20"/>
      <c r="C4" s="20"/>
      <c r="O4" s="127" t="s">
        <v>49</v>
      </c>
      <c r="P4" s="128"/>
      <c r="Q4" s="129">
        <v>43819</v>
      </c>
      <c r="R4" s="130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9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1"/>
    </row>
    <row r="5" spans="1:57" x14ac:dyDescent="0.4">
      <c r="A5" s="21">
        <f t="shared" si="1"/>
        <v>5</v>
      </c>
      <c r="B5" s="86" t="s">
        <v>48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8"/>
      <c r="O5" s="135" t="s">
        <v>51</v>
      </c>
      <c r="P5" s="136"/>
      <c r="Q5" s="137">
        <v>49298</v>
      </c>
      <c r="R5" s="138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  <c r="O6" s="133" t="s">
        <v>43</v>
      </c>
      <c r="P6" s="134"/>
      <c r="Q6" s="121">
        <v>0</v>
      </c>
      <c r="R6" s="104"/>
      <c r="W6" s="28">
        <v>44769</v>
      </c>
      <c r="X6" s="35">
        <v>3.6999999999999998E-2</v>
      </c>
      <c r="Y6" s="28">
        <v>44769</v>
      </c>
      <c r="Z6" s="37">
        <v>0.03</v>
      </c>
      <c r="AB6" s="73" t="s">
        <v>67</v>
      </c>
      <c r="AC6" s="73"/>
      <c r="AD6" s="72">
        <v>0</v>
      </c>
      <c r="AE6" s="72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33</v>
      </c>
      <c r="C7" s="73"/>
      <c r="D7" s="75">
        <v>1</v>
      </c>
      <c r="E7" s="76"/>
      <c r="F7" s="73" t="s">
        <v>34</v>
      </c>
      <c r="G7" s="73"/>
      <c r="H7" s="75">
        <v>1</v>
      </c>
      <c r="I7" s="76"/>
      <c r="J7" s="73" t="s">
        <v>86</v>
      </c>
      <c r="K7" s="73"/>
      <c r="L7" s="103">
        <v>0</v>
      </c>
      <c r="M7" s="104"/>
      <c r="O7" s="122" t="str">
        <f>IF(Q6&gt;0,"Phase2날짜","")</f>
        <v/>
      </c>
      <c r="P7" s="123"/>
      <c r="Q7" s="131">
        <v>45865</v>
      </c>
      <c r="R7" s="132"/>
      <c r="W7" s="28">
        <v>44815</v>
      </c>
      <c r="X7" s="35">
        <v>3.6999999999999998E-2</v>
      </c>
      <c r="Y7" s="28">
        <v>44815</v>
      </c>
      <c r="Z7" s="35">
        <v>0.03</v>
      </c>
      <c r="AB7" s="73" t="s">
        <v>80</v>
      </c>
      <c r="AC7" s="73"/>
      <c r="AD7" s="72">
        <v>0</v>
      </c>
      <c r="AE7" s="72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7" t="str">
        <f>"기초금리정보"</f>
        <v>기초금리정보</v>
      </c>
      <c r="C9" s="78"/>
      <c r="D9" s="83" t="s">
        <v>35</v>
      </c>
      <c r="E9" s="83"/>
      <c r="F9" s="103">
        <v>0</v>
      </c>
      <c r="G9" s="104"/>
      <c r="H9" s="24"/>
      <c r="I9" s="23"/>
      <c r="J9" s="92" t="str">
        <f>IF(OR(F10 = 0, F10 = 2, F10 = 4), "RefType = "&amp;F10&amp;" 이므로 Ref Swap 금리정보 사용안함", "사용")</f>
        <v>사용</v>
      </c>
      <c r="K9" s="93"/>
      <c r="L9" s="93"/>
      <c r="M9" s="94"/>
      <c r="O9" s="85" t="s">
        <v>53</v>
      </c>
      <c r="P9" s="85"/>
      <c r="Q9" s="85"/>
      <c r="R9" s="85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9"/>
      <c r="C10" s="80"/>
      <c r="D10" s="83" t="s">
        <v>36</v>
      </c>
      <c r="E10" s="84"/>
      <c r="F10" s="105">
        <v>1</v>
      </c>
      <c r="G10" s="106"/>
      <c r="H10" s="92" t="str">
        <f xml:space="preserve"> "Swap 레퍼런스금리정보"</f>
        <v>Swap 레퍼런스금리정보</v>
      </c>
      <c r="I10" s="93"/>
      <c r="J10" s="96" t="str">
        <f>IF(OR(F10 = 0, F10 = 2, F10 = 4), "", "연 지급횟수")</f>
        <v>연 지급횟수</v>
      </c>
      <c r="K10" s="97"/>
      <c r="L10" s="98">
        <v>4</v>
      </c>
      <c r="M10" s="99"/>
      <c r="O10" s="85" t="s">
        <v>52</v>
      </c>
      <c r="P10" s="85"/>
      <c r="Q10" s="121">
        <v>4</v>
      </c>
      <c r="R10" s="104"/>
      <c r="AB10" s="135" t="s">
        <v>79</v>
      </c>
      <c r="AC10" s="148"/>
      <c r="AD10" s="149">
        <v>3715163083.3764396</v>
      </c>
      <c r="AE10" s="14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9"/>
      <c r="C11" s="80"/>
      <c r="D11" s="85" t="s">
        <v>37</v>
      </c>
      <c r="E11" s="85"/>
      <c r="F11" s="103">
        <v>0</v>
      </c>
      <c r="G11" s="104"/>
      <c r="H11" s="95"/>
      <c r="I11" s="96"/>
      <c r="J11" s="96" t="str">
        <f>IF(F11=0, "만기", "입력X, 아래만기2개입력")</f>
        <v>만기</v>
      </c>
      <c r="K11" s="97"/>
      <c r="L11" s="118">
        <v>0.25</v>
      </c>
      <c r="M11" s="119"/>
      <c r="O11" s="85" t="s">
        <v>54</v>
      </c>
      <c r="P11" s="85"/>
      <c r="Q11" s="121">
        <v>0</v>
      </c>
      <c r="R11" s="104"/>
      <c r="AB11" s="20"/>
      <c r="AC11" s="20"/>
      <c r="AD11" s="20"/>
      <c r="AE11" s="5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9"/>
      <c r="C12" s="80"/>
      <c r="D12" s="85" t="s">
        <v>38</v>
      </c>
      <c r="E12" s="85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55</v>
      </c>
      <c r="P12" s="123"/>
      <c r="Q12" s="121">
        <v>4</v>
      </c>
      <c r="R12" s="104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9"/>
      <c r="C13" s="80"/>
      <c r="D13" s="85" t="s">
        <v>39</v>
      </c>
      <c r="E13" s="83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1"/>
      <c r="C14" s="82"/>
      <c r="D14" s="107" t="s">
        <v>40</v>
      </c>
      <c r="E14" s="107"/>
      <c r="F14" s="116">
        <v>1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6" t="s">
        <v>73</v>
      </c>
      <c r="AC15" s="147"/>
      <c r="AD15" s="147"/>
      <c r="AE15" s="147"/>
      <c r="AF15" s="147"/>
      <c r="AG15" s="146" t="s">
        <v>74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41</v>
      </c>
      <c r="C16" s="145"/>
      <c r="D16" s="85" t="s">
        <v>81</v>
      </c>
      <c r="E16" s="85"/>
      <c r="F16" s="112">
        <v>-1E-4</v>
      </c>
      <c r="G16" s="113"/>
      <c r="H16" s="110" t="s">
        <v>84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1 x Rate(0.25Y) &lt; 1</v>
      </c>
      <c r="K16" s="120"/>
      <c r="L16" s="120"/>
      <c r="M16" s="120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45"/>
      <c r="C17" s="145"/>
      <c r="D17" s="85" t="s">
        <v>44</v>
      </c>
      <c r="E17" s="85"/>
      <c r="F17" s="112">
        <v>0</v>
      </c>
      <c r="G17" s="113"/>
      <c r="H17" s="110" t="s">
        <v>82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20"/>
      <c r="L17" s="120"/>
      <c r="M17" s="120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20200320</v>
      </c>
      <c r="AI17" s="41">
        <v>20200320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45"/>
      <c r="C18" s="145"/>
      <c r="D18" s="85" t="s">
        <v>45</v>
      </c>
      <c r="E18" s="85"/>
      <c r="F18" s="103">
        <v>1</v>
      </c>
      <c r="G18" s="104"/>
      <c r="H18" s="110"/>
      <c r="I18" s="111"/>
      <c r="J18" s="120"/>
      <c r="K18" s="120"/>
      <c r="L18" s="120"/>
      <c r="M18" s="120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  <c r="AG18" s="43">
        <v>20200320</v>
      </c>
      <c r="AH18" s="43">
        <v>20200622</v>
      </c>
      <c r="AI18" s="43">
        <v>20200622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  <c r="AG19" s="43">
        <v>20200622</v>
      </c>
      <c r="AH19" s="43">
        <v>20200921</v>
      </c>
      <c r="AI19" s="43">
        <v>20200921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  <c r="AG20" s="43">
        <v>20200921</v>
      </c>
      <c r="AH20" s="43">
        <v>20201221</v>
      </c>
      <c r="AI20" s="43">
        <v>20201221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45" t="s">
        <v>46</v>
      </c>
      <c r="C21" s="145"/>
      <c r="D21" s="85" t="s">
        <v>42</v>
      </c>
      <c r="E21" s="85"/>
      <c r="F21" s="112">
        <v>-1E-4</v>
      </c>
      <c r="G21" s="113"/>
      <c r="H21" s="110" t="s">
        <v>83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20"/>
      <c r="L21" s="120"/>
      <c r="M21" s="120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  <c r="AG21" s="43">
        <v>20201221</v>
      </c>
      <c r="AH21" s="43">
        <v>20210322</v>
      </c>
      <c r="AI21" s="43">
        <v>20210322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45"/>
      <c r="C22" s="145"/>
      <c r="D22" s="85" t="s">
        <v>44</v>
      </c>
      <c r="E22" s="85"/>
      <c r="F22" s="112">
        <v>0</v>
      </c>
      <c r="G22" s="113"/>
      <c r="H22" s="110"/>
      <c r="I22" s="111"/>
      <c r="J22" s="120"/>
      <c r="K22" s="120"/>
      <c r="L22" s="120"/>
      <c r="M22" s="120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  <c r="AG22" s="43">
        <v>20210322</v>
      </c>
      <c r="AH22" s="43">
        <v>20210621</v>
      </c>
      <c r="AI22" s="43">
        <v>20210621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45"/>
      <c r="C23" s="145"/>
      <c r="D23" s="85" t="s">
        <v>45</v>
      </c>
      <c r="E23" s="85"/>
      <c r="F23" s="103">
        <v>1</v>
      </c>
      <c r="G23" s="104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  <c r="AG23" s="43">
        <v>20210621</v>
      </c>
      <c r="AH23" s="43">
        <v>20210923</v>
      </c>
      <c r="AI23" s="43">
        <v>20210923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  <c r="AG24" s="43">
        <v>20210923</v>
      </c>
      <c r="AH24" s="43">
        <v>20211220</v>
      </c>
      <c r="AI24" s="43">
        <v>20211220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6" t="s">
        <v>47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8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  <c r="AG25" s="43">
        <v>20211220</v>
      </c>
      <c r="AH25" s="43">
        <v>20220321</v>
      </c>
      <c r="AI25" s="43">
        <v>20220321</v>
      </c>
      <c r="AJ25" s="45">
        <v>0</v>
      </c>
      <c r="AK25" s="49">
        <v>0</v>
      </c>
    </row>
    <row r="26" spans="1:37" x14ac:dyDescent="0.4">
      <c r="A26" s="21">
        <f t="shared" si="1"/>
        <v>26</v>
      </c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1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  <c r="AG26" s="43">
        <v>20220321</v>
      </c>
      <c r="AH26" s="43">
        <v>20220620</v>
      </c>
      <c r="AI26" s="43">
        <v>20220620</v>
      </c>
      <c r="AJ26" s="45">
        <v>0</v>
      </c>
      <c r="AK26" s="49">
        <v>0</v>
      </c>
    </row>
    <row r="27" spans="1:37" x14ac:dyDescent="0.4">
      <c r="A27" s="21">
        <f t="shared" si="1"/>
        <v>27</v>
      </c>
      <c r="B27" s="73" t="s">
        <v>33</v>
      </c>
      <c r="C27" s="73"/>
      <c r="D27" s="75">
        <v>1</v>
      </c>
      <c r="E27" s="76"/>
      <c r="F27" s="73" t="s">
        <v>34</v>
      </c>
      <c r="G27" s="73"/>
      <c r="H27" s="75">
        <v>1</v>
      </c>
      <c r="I27" s="76"/>
      <c r="J27" s="73" t="s">
        <v>86</v>
      </c>
      <c r="K27" s="73"/>
      <c r="L27" s="103">
        <v>4</v>
      </c>
      <c r="M27" s="104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  <c r="AG27" s="43">
        <v>20220620</v>
      </c>
      <c r="AH27" s="43">
        <v>20220920</v>
      </c>
      <c r="AI27" s="43">
        <v>20220920</v>
      </c>
      <c r="AJ27" s="45">
        <v>0</v>
      </c>
      <c r="AK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  <c r="AG28" s="43">
        <v>20220920</v>
      </c>
      <c r="AH28" s="43">
        <v>20221220</v>
      </c>
      <c r="AI28" s="43">
        <v>20221220</v>
      </c>
      <c r="AJ28" s="45">
        <v>0</v>
      </c>
      <c r="AK28" s="49">
        <v>0</v>
      </c>
    </row>
    <row r="29" spans="1:37" x14ac:dyDescent="0.4">
      <c r="A29" s="21">
        <f t="shared" si="1"/>
        <v>29</v>
      </c>
      <c r="B29" s="77" t="str">
        <f>"기초금리정보"</f>
        <v>기초금리정보</v>
      </c>
      <c r="C29" s="78"/>
      <c r="D29" s="83" t="s">
        <v>35</v>
      </c>
      <c r="E29" s="83"/>
      <c r="F29" s="103">
        <v>3</v>
      </c>
      <c r="G29" s="104"/>
      <c r="H29" s="24"/>
      <c r="I29" s="23"/>
      <c r="J29" s="92" t="str">
        <f>IF(OR(F30 = 0, F30 = 2, F30 = 4), "RefType = "&amp;F30&amp;" 이므로 Ref Swap 금리정보 사용안함", "사용")</f>
        <v>RefType = 0 이므로 Ref Swap 금리정보 사용안함</v>
      </c>
      <c r="K29" s="93"/>
      <c r="L29" s="93"/>
      <c r="M29" s="94"/>
      <c r="O29" s="85" t="s">
        <v>59</v>
      </c>
      <c r="P29" s="85"/>
      <c r="Q29" s="85"/>
      <c r="R29" s="85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  <c r="AG29" s="43">
        <v>20221220</v>
      </c>
      <c r="AH29" s="43">
        <v>20230320</v>
      </c>
      <c r="AI29" s="43">
        <v>20230320</v>
      </c>
      <c r="AJ29" s="45">
        <v>0</v>
      </c>
      <c r="AK29" s="49">
        <v>0</v>
      </c>
    </row>
    <row r="30" spans="1:37" x14ac:dyDescent="0.4">
      <c r="A30" s="21">
        <f t="shared" si="1"/>
        <v>30</v>
      </c>
      <c r="B30" s="79"/>
      <c r="C30" s="80"/>
      <c r="D30" s="83" t="s">
        <v>36</v>
      </c>
      <c r="E30" s="84"/>
      <c r="F30" s="105">
        <v>0</v>
      </c>
      <c r="G30" s="106"/>
      <c r="H30" s="92" t="str">
        <f xml:space="preserve"> "Swap 레퍼런스금리정보"</f>
        <v>Swap 레퍼런스금리정보</v>
      </c>
      <c r="I30" s="93"/>
      <c r="J30" s="96" t="str">
        <f>IF(OR(F30 = 0, F30 = 2, F30 = 4), "", "연 지급횟수")</f>
        <v/>
      </c>
      <c r="K30" s="97"/>
      <c r="L30" s="98">
        <v>4</v>
      </c>
      <c r="M30" s="99"/>
      <c r="O30" s="85" t="s">
        <v>52</v>
      </c>
      <c r="P30" s="85"/>
      <c r="Q30" s="121">
        <v>4</v>
      </c>
      <c r="R30" s="104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  <c r="AG30" s="43">
        <v>20230320</v>
      </c>
      <c r="AH30" s="43">
        <v>20230620</v>
      </c>
      <c r="AI30" s="43">
        <v>20230620</v>
      </c>
      <c r="AJ30" s="45">
        <v>0</v>
      </c>
      <c r="AK30" s="49">
        <v>0</v>
      </c>
    </row>
    <row r="31" spans="1:37" x14ac:dyDescent="0.4">
      <c r="A31" s="21">
        <f t="shared" si="1"/>
        <v>31</v>
      </c>
      <c r="B31" s="79"/>
      <c r="C31" s="80"/>
      <c r="D31" s="85" t="s">
        <v>37</v>
      </c>
      <c r="E31" s="85"/>
      <c r="F31" s="103">
        <v>0</v>
      </c>
      <c r="G31" s="104"/>
      <c r="H31" s="95"/>
      <c r="I31" s="96"/>
      <c r="J31" s="96" t="str">
        <f>IF(F31=0, "만기", "입력X, 아래만기2개입력")</f>
        <v>만기</v>
      </c>
      <c r="K31" s="97"/>
      <c r="L31" s="118">
        <v>10</v>
      </c>
      <c r="M31" s="119"/>
      <c r="O31" s="85" t="s">
        <v>54</v>
      </c>
      <c r="P31" s="85"/>
      <c r="Q31" s="121">
        <v>0</v>
      </c>
      <c r="R31" s="104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  <c r="AG31" s="43">
        <v>20230620</v>
      </c>
      <c r="AH31" s="43">
        <v>20230920</v>
      </c>
      <c r="AI31" s="43">
        <v>20230920</v>
      </c>
      <c r="AJ31" s="45">
        <v>0</v>
      </c>
      <c r="AK31" s="49">
        <v>0</v>
      </c>
    </row>
    <row r="32" spans="1:37" x14ac:dyDescent="0.4">
      <c r="A32" s="21">
        <f t="shared" si="1"/>
        <v>32</v>
      </c>
      <c r="B32" s="79"/>
      <c r="C32" s="80"/>
      <c r="D32" s="85" t="s">
        <v>38</v>
      </c>
      <c r="E32" s="85"/>
      <c r="F32" s="112">
        <v>0.8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55</v>
      </c>
      <c r="P32" s="123"/>
      <c r="Q32" s="121">
        <v>4</v>
      </c>
      <c r="R32" s="104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  <c r="AG32" s="43">
        <v>20230920</v>
      </c>
      <c r="AH32" s="43">
        <v>20231220</v>
      </c>
      <c r="AI32" s="43">
        <v>20231220</v>
      </c>
      <c r="AJ32" s="45">
        <v>0</v>
      </c>
      <c r="AK32" s="49">
        <v>0</v>
      </c>
    </row>
    <row r="33" spans="1:37" x14ac:dyDescent="0.4">
      <c r="A33" s="21">
        <f t="shared" si="1"/>
        <v>33</v>
      </c>
      <c r="B33" s="79"/>
      <c r="C33" s="80"/>
      <c r="D33" s="85" t="s">
        <v>39</v>
      </c>
      <c r="E33" s="83"/>
      <c r="F33" s="114">
        <v>-0.8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  <c r="AG33" s="43">
        <v>20231220</v>
      </c>
      <c r="AH33" s="43">
        <v>20240320</v>
      </c>
      <c r="AI33" s="43">
        <v>20240320</v>
      </c>
      <c r="AJ33" s="45">
        <v>0</v>
      </c>
      <c r="AK33" s="49">
        <v>0</v>
      </c>
    </row>
    <row r="34" spans="1:37" x14ac:dyDescent="0.4">
      <c r="A34" s="21">
        <f t="shared" si="1"/>
        <v>34</v>
      </c>
      <c r="B34" s="81"/>
      <c r="C34" s="82"/>
      <c r="D34" s="107" t="s">
        <v>40</v>
      </c>
      <c r="E34" s="107"/>
      <c r="F34" s="116">
        <v>0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  <c r="AG34" s="43">
        <v>20240320</v>
      </c>
      <c r="AH34" s="43">
        <v>20240620</v>
      </c>
      <c r="AI34" s="43">
        <v>20240620</v>
      </c>
      <c r="AJ34" s="45">
        <v>0</v>
      </c>
      <c r="AK34" s="49">
        <v>0</v>
      </c>
    </row>
    <row r="35" spans="1:37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  <c r="AG35" s="43">
        <v>20240620</v>
      </c>
      <c r="AH35" s="43">
        <v>20240920</v>
      </c>
      <c r="AI35" s="43">
        <v>20240920</v>
      </c>
      <c r="AJ35" s="45">
        <v>3.5999999999999997E-2</v>
      </c>
      <c r="AK35" s="49">
        <v>204000000</v>
      </c>
    </row>
    <row r="36" spans="1:37" x14ac:dyDescent="0.4">
      <c r="A36" s="21">
        <f t="shared" si="1"/>
        <v>36</v>
      </c>
      <c r="B36" s="145" t="s">
        <v>41</v>
      </c>
      <c r="C36" s="145"/>
      <c r="D36" s="85" t="s">
        <v>42</v>
      </c>
      <c r="E36" s="85"/>
      <c r="F36" s="112">
        <v>2.0199999999999999E-2</v>
      </c>
      <c r="G36" s="113"/>
      <c r="H36" s="110" t="s">
        <v>85</v>
      </c>
      <c r="I36" s="111"/>
      <c r="J36" s="120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0"/>
      <c r="L36" s="120"/>
      <c r="M36" s="120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  <c r="AG36" s="43">
        <v>20240920</v>
      </c>
      <c r="AH36" s="43">
        <v>20241220</v>
      </c>
      <c r="AI36" s="43">
        <v>20241220</v>
      </c>
      <c r="AJ36" s="45">
        <v>2.9601474842601738E-2</v>
      </c>
      <c r="AK36" s="49">
        <v>204000000</v>
      </c>
    </row>
    <row r="37" spans="1:37" x14ac:dyDescent="0.4">
      <c r="A37" s="21">
        <f t="shared" si="1"/>
        <v>37</v>
      </c>
      <c r="B37" s="145"/>
      <c r="C37" s="145"/>
      <c r="D37" s="85" t="s">
        <v>44</v>
      </c>
      <c r="E37" s="85"/>
      <c r="F37" s="112">
        <v>0</v>
      </c>
      <c r="G37" s="113"/>
      <c r="H37" s="110" t="s">
        <v>82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0"/>
      <c r="L37" s="120"/>
      <c r="M37" s="120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  <c r="AG37" s="43">
        <v>20241220</v>
      </c>
      <c r="AH37" s="43">
        <v>20250320</v>
      </c>
      <c r="AI37" s="43">
        <v>20250320</v>
      </c>
      <c r="AJ37" s="45">
        <v>2.9424433991542289E-2</v>
      </c>
      <c r="AK37" s="49">
        <v>204000000</v>
      </c>
    </row>
    <row r="38" spans="1:37" x14ac:dyDescent="0.4">
      <c r="A38" s="21">
        <f t="shared" si="1"/>
        <v>38</v>
      </c>
      <c r="B38" s="145"/>
      <c r="C38" s="145"/>
      <c r="D38" s="85" t="s">
        <v>45</v>
      </c>
      <c r="E38" s="85"/>
      <c r="F38" s="103">
        <v>0</v>
      </c>
      <c r="G38" s="104"/>
      <c r="H38" s="110"/>
      <c r="I38" s="111"/>
      <c r="J38" s="120"/>
      <c r="K38" s="120"/>
      <c r="L38" s="120"/>
      <c r="M38" s="120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  <c r="AG38" s="43">
        <v>20250320</v>
      </c>
      <c r="AH38" s="43">
        <v>20250620</v>
      </c>
      <c r="AI38" s="43">
        <v>20250620</v>
      </c>
      <c r="AJ38" s="45">
        <v>2.9340626548130848E-2</v>
      </c>
      <c r="AK38" s="49">
        <v>204000000</v>
      </c>
    </row>
    <row r="39" spans="1:37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  <c r="AG39" s="43">
        <v>20250620</v>
      </c>
      <c r="AH39" s="43">
        <v>20250922</v>
      </c>
      <c r="AI39" s="43">
        <v>20250922</v>
      </c>
      <c r="AJ39" s="45">
        <v>2.9305272232469211E-2</v>
      </c>
      <c r="AK39" s="49">
        <v>204000000</v>
      </c>
    </row>
    <row r="40" spans="1:37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  <c r="AG40" s="43">
        <v>20250922</v>
      </c>
      <c r="AH40" s="43">
        <v>20251222</v>
      </c>
      <c r="AI40" s="43">
        <v>20251222</v>
      </c>
      <c r="AJ40" s="45">
        <v>2.9337526995258798E-2</v>
      </c>
      <c r="AK40" s="49">
        <v>204000000</v>
      </c>
    </row>
    <row r="41" spans="1:37" x14ac:dyDescent="0.4">
      <c r="A41" s="21">
        <f t="shared" si="1"/>
        <v>41</v>
      </c>
      <c r="B41" s="145" t="s">
        <v>46</v>
      </c>
      <c r="C41" s="145"/>
      <c r="D41" s="85" t="s">
        <v>42</v>
      </c>
      <c r="E41" s="85"/>
      <c r="F41" s="112">
        <v>2.0199999999999999E-2</v>
      </c>
      <c r="G41" s="113"/>
      <c r="H41" s="110" t="s">
        <v>83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0"/>
      <c r="L41" s="120"/>
      <c r="M41" s="120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  <c r="AG41" s="43">
        <v>20251222</v>
      </c>
      <c r="AH41" s="43">
        <v>20260320</v>
      </c>
      <c r="AI41" s="43">
        <v>20260320</v>
      </c>
      <c r="AJ41" s="45">
        <v>2.9364678106068416E-2</v>
      </c>
      <c r="AK41" s="49">
        <v>204000000</v>
      </c>
    </row>
    <row r="42" spans="1:37" x14ac:dyDescent="0.4">
      <c r="A42" s="21">
        <f t="shared" si="1"/>
        <v>42</v>
      </c>
      <c r="B42" s="145"/>
      <c r="C42" s="145"/>
      <c r="D42" s="85" t="s">
        <v>44</v>
      </c>
      <c r="E42" s="85"/>
      <c r="F42" s="112">
        <v>0</v>
      </c>
      <c r="G42" s="113"/>
      <c r="H42" s="110"/>
      <c r="I42" s="111"/>
      <c r="J42" s="120"/>
      <c r="K42" s="120"/>
      <c r="L42" s="120"/>
      <c r="M42" s="120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  <c r="AG42" s="43">
        <v>20260320</v>
      </c>
      <c r="AH42" s="43">
        <v>20260622</v>
      </c>
      <c r="AI42" s="43">
        <v>20260622</v>
      </c>
      <c r="AJ42" s="45">
        <v>2.9412579800869643E-2</v>
      </c>
      <c r="AK42" s="49">
        <v>204000000</v>
      </c>
    </row>
    <row r="43" spans="1:37" x14ac:dyDescent="0.4">
      <c r="A43" s="21">
        <f t="shared" si="1"/>
        <v>43</v>
      </c>
      <c r="B43" s="145"/>
      <c r="C43" s="145"/>
      <c r="D43" s="85" t="s">
        <v>45</v>
      </c>
      <c r="E43" s="85"/>
      <c r="F43" s="103">
        <v>0</v>
      </c>
      <c r="G43" s="104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  <c r="AG43" s="43">
        <v>20260622</v>
      </c>
      <c r="AH43" s="43">
        <v>20260921</v>
      </c>
      <c r="AI43" s="43">
        <v>20260921</v>
      </c>
      <c r="AJ43" s="45">
        <v>2.9469552482100966E-2</v>
      </c>
      <c r="AK43" s="49">
        <v>204000000</v>
      </c>
    </row>
    <row r="44" spans="1:37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  <c r="AG44" s="43">
        <v>20260921</v>
      </c>
      <c r="AH44" s="43">
        <v>20261221</v>
      </c>
      <c r="AI44" s="43">
        <v>20261221</v>
      </c>
      <c r="AJ44" s="45">
        <v>2.9526850044237746E-2</v>
      </c>
      <c r="AK44" s="49">
        <v>204000000</v>
      </c>
    </row>
    <row r="45" spans="1:37" ht="17.399999999999999" customHeight="1" x14ac:dyDescent="0.4">
      <c r="A45" s="21">
        <f t="shared" si="1"/>
        <v>45</v>
      </c>
      <c r="B45" s="139" t="s">
        <v>61</v>
      </c>
      <c r="C45" s="140"/>
      <c r="D45" s="140"/>
      <c r="E45" s="140"/>
      <c r="F45" s="140"/>
      <c r="G45" s="141"/>
      <c r="AB45" s="42">
        <v>20261221</v>
      </c>
      <c r="AC45" s="43">
        <v>20270322</v>
      </c>
      <c r="AD45" s="43">
        <v>20270322</v>
      </c>
      <c r="AE45" s="45">
        <v>2.8062122571600494E-2</v>
      </c>
      <c r="AF45" s="49">
        <v>278855140.16609806</v>
      </c>
      <c r="AG45" s="43">
        <v>20261221</v>
      </c>
      <c r="AH45" s="43">
        <v>20270322</v>
      </c>
      <c r="AI45" s="43">
        <v>20270322</v>
      </c>
      <c r="AJ45" s="45">
        <v>2.9544536543173908E-2</v>
      </c>
      <c r="AK45" s="49">
        <v>204000000</v>
      </c>
    </row>
    <row r="46" spans="1:37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AB46" s="42">
        <v>20270322</v>
      </c>
      <c r="AC46" s="43">
        <v>20270621</v>
      </c>
      <c r="AD46" s="43">
        <v>20270621</v>
      </c>
      <c r="AE46" s="45">
        <v>2.7696636918449608E-2</v>
      </c>
      <c r="AF46" s="49">
        <v>275210296.94015503</v>
      </c>
      <c r="AG46" s="43">
        <v>20270322</v>
      </c>
      <c r="AH46" s="43">
        <v>20270621</v>
      </c>
      <c r="AI46" s="43">
        <v>20270621</v>
      </c>
      <c r="AJ46" s="45">
        <v>2.9574943559642762E-2</v>
      </c>
      <c r="AK46" s="49">
        <v>204000000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2.7544967542104514E-2</v>
      </c>
      <c r="AF47" s="49">
        <v>273697758.50208336</v>
      </c>
      <c r="AG47" s="43">
        <v>20270621</v>
      </c>
      <c r="AH47" s="43">
        <v>20270920</v>
      </c>
      <c r="AI47" s="43">
        <v>20270920</v>
      </c>
      <c r="AJ47" s="45">
        <v>2.9611216546203457E-2</v>
      </c>
      <c r="AK47" s="49">
        <v>204000000</v>
      </c>
    </row>
    <row r="48" spans="1:37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20270920</v>
      </c>
      <c r="AC48" s="43">
        <v>20271220</v>
      </c>
      <c r="AD48" s="43">
        <v>20271220</v>
      </c>
      <c r="AE48" s="45">
        <v>2.8396124316168492E-2</v>
      </c>
      <c r="AF48" s="49">
        <v>282186006.8790502</v>
      </c>
      <c r="AG48" s="43">
        <v>20270920</v>
      </c>
      <c r="AH48" s="43">
        <v>20271220</v>
      </c>
      <c r="AI48" s="43">
        <v>20271220</v>
      </c>
      <c r="AJ48" s="45">
        <v>2.9651669827897631E-2</v>
      </c>
      <c r="AK48" s="49">
        <v>204000000</v>
      </c>
    </row>
    <row r="49" spans="1:37" x14ac:dyDescent="0.4">
      <c r="A49" s="21">
        <f t="shared" si="1"/>
        <v>49</v>
      </c>
      <c r="B49" s="27">
        <v>44889</v>
      </c>
      <c r="C49" s="27">
        <v>44915</v>
      </c>
      <c r="AB49" s="42">
        <v>20271220</v>
      </c>
      <c r="AC49" s="43">
        <v>20280320</v>
      </c>
      <c r="AD49" s="43">
        <v>20280320</v>
      </c>
      <c r="AE49" s="45">
        <v>2.8245059534082947E-2</v>
      </c>
      <c r="AF49" s="49">
        <v>280679497.81934774</v>
      </c>
      <c r="AG49" s="43">
        <v>20271220</v>
      </c>
      <c r="AH49" s="43">
        <v>20280320</v>
      </c>
      <c r="AI49" s="43">
        <v>20280320</v>
      </c>
      <c r="AJ49" s="45">
        <v>2.9669462967101864E-2</v>
      </c>
      <c r="AK49" s="49">
        <v>204000000</v>
      </c>
    </row>
    <row r="50" spans="1:37" x14ac:dyDescent="0.4">
      <c r="A50" s="21">
        <f t="shared" si="1"/>
        <v>50</v>
      </c>
      <c r="B50" s="27">
        <v>45254</v>
      </c>
      <c r="C50" s="27">
        <v>45280</v>
      </c>
      <c r="AB50" s="42">
        <v>20280320</v>
      </c>
      <c r="AC50" s="43">
        <v>20280620</v>
      </c>
      <c r="AD50" s="43">
        <v>20280620</v>
      </c>
      <c r="AE50" s="45">
        <v>2.809425133857749E-2</v>
      </c>
      <c r="AF50" s="49">
        <v>282243410.75606894</v>
      </c>
      <c r="AG50" s="43">
        <v>20280320</v>
      </c>
      <c r="AH50" s="43">
        <v>20280620</v>
      </c>
      <c r="AI50" s="43">
        <v>20280620</v>
      </c>
      <c r="AJ50" s="45">
        <v>2.969178595041997E-2</v>
      </c>
      <c r="AK50" s="49">
        <v>204000000</v>
      </c>
    </row>
    <row r="51" spans="1:37" x14ac:dyDescent="0.4">
      <c r="A51" s="21">
        <f t="shared" si="1"/>
        <v>51</v>
      </c>
      <c r="B51" s="27">
        <v>45622</v>
      </c>
      <c r="C51" s="27">
        <v>45646</v>
      </c>
      <c r="AB51" s="42">
        <v>20280620</v>
      </c>
      <c r="AC51" s="43">
        <v>20280920</v>
      </c>
      <c r="AD51" s="43">
        <v>20280920</v>
      </c>
      <c r="AE51" s="45">
        <v>2.8105227398747365E-2</v>
      </c>
      <c r="AF51" s="49">
        <v>282354073.49969947</v>
      </c>
      <c r="AG51" s="43">
        <v>20280620</v>
      </c>
      <c r="AH51" s="43">
        <v>20280920</v>
      </c>
      <c r="AI51" s="43">
        <v>20280920</v>
      </c>
      <c r="AJ51" s="45">
        <v>2.9709581193139354E-2</v>
      </c>
      <c r="AK51" s="49">
        <v>204000000</v>
      </c>
    </row>
    <row r="52" spans="1:37" x14ac:dyDescent="0.4">
      <c r="A52" s="21">
        <f t="shared" si="1"/>
        <v>52</v>
      </c>
      <c r="B52" s="27">
        <v>45987</v>
      </c>
      <c r="C52" s="27">
        <v>46013</v>
      </c>
      <c r="AB52" s="42">
        <v>20280920</v>
      </c>
      <c r="AC52" s="43">
        <v>20281220</v>
      </c>
      <c r="AD52" s="43">
        <v>20281220</v>
      </c>
      <c r="AE52" s="45">
        <v>2.8797990972236402E-2</v>
      </c>
      <c r="AF52" s="49">
        <v>286193663.39435756</v>
      </c>
      <c r="AG52" s="43">
        <v>20280920</v>
      </c>
      <c r="AH52" s="43">
        <v>20281220</v>
      </c>
      <c r="AI52" s="43">
        <v>20281220</v>
      </c>
      <c r="AJ52" s="45">
        <v>2.9728288315003348E-2</v>
      </c>
      <c r="AK52" s="49">
        <v>204000000</v>
      </c>
    </row>
    <row r="53" spans="1:37" x14ac:dyDescent="0.4">
      <c r="A53" s="21">
        <f t="shared" si="1"/>
        <v>53</v>
      </c>
      <c r="B53" s="27">
        <v>46351</v>
      </c>
      <c r="C53" s="27">
        <v>46377</v>
      </c>
      <c r="AB53" s="42">
        <v>20281220</v>
      </c>
      <c r="AC53" s="43">
        <v>20290320</v>
      </c>
      <c r="AD53" s="43">
        <v>20290320</v>
      </c>
      <c r="AE53" s="45">
        <v>2.8761898241136088E-2</v>
      </c>
      <c r="AF53" s="49">
        <v>282692694.98106825</v>
      </c>
      <c r="AG53" s="43">
        <v>20281220</v>
      </c>
      <c r="AH53" s="43">
        <v>20290320</v>
      </c>
      <c r="AI53" s="43">
        <v>20290320</v>
      </c>
      <c r="AJ53" s="45">
        <v>2.9741977249985556E-2</v>
      </c>
      <c r="AK53" s="49">
        <v>204000000</v>
      </c>
    </row>
    <row r="54" spans="1:37" x14ac:dyDescent="0.4">
      <c r="A54" s="21">
        <f t="shared" si="1"/>
        <v>54</v>
      </c>
      <c r="B54" s="27">
        <v>46715</v>
      </c>
      <c r="C54" s="27">
        <v>46741</v>
      </c>
      <c r="AB54" s="42">
        <v>20290320</v>
      </c>
      <c r="AC54" s="43">
        <v>20290620</v>
      </c>
      <c r="AD54" s="43">
        <v>20290620</v>
      </c>
      <c r="AE54" s="45">
        <v>2.8729006619230047E-2</v>
      </c>
      <c r="AF54" s="49">
        <v>288643135.22949749</v>
      </c>
      <c r="AG54" s="43">
        <v>20290320</v>
      </c>
      <c r="AH54" s="43">
        <v>20290620</v>
      </c>
      <c r="AI54" s="43">
        <v>20290620</v>
      </c>
      <c r="AJ54" s="45">
        <v>2.9765601235674753E-2</v>
      </c>
      <c r="AK54" s="49">
        <v>204000000</v>
      </c>
    </row>
    <row r="55" spans="1:37" x14ac:dyDescent="0.4">
      <c r="A55" s="21">
        <f t="shared" si="1"/>
        <v>55</v>
      </c>
      <c r="B55" s="27">
        <v>47081</v>
      </c>
      <c r="C55" s="27">
        <v>47107</v>
      </c>
      <c r="AB55" s="42">
        <v>20290620</v>
      </c>
      <c r="AC55" s="43">
        <v>20290920</v>
      </c>
      <c r="AD55" s="43">
        <v>20290920</v>
      </c>
      <c r="AE55" s="45">
        <v>2.8713807922766954E-2</v>
      </c>
      <c r="AF55" s="49">
        <v>288489899.05693811</v>
      </c>
      <c r="AG55" s="43">
        <v>20290620</v>
      </c>
      <c r="AH55" s="43">
        <v>20290920</v>
      </c>
      <c r="AI55" s="43">
        <v>20290920</v>
      </c>
      <c r="AJ55" s="45">
        <v>2.9771646994504398E-2</v>
      </c>
      <c r="AK55" s="49">
        <v>204000000</v>
      </c>
    </row>
    <row r="56" spans="1:37" x14ac:dyDescent="0.4">
      <c r="A56" s="21">
        <f t="shared" si="1"/>
        <v>56</v>
      </c>
      <c r="B56" s="27">
        <v>47448</v>
      </c>
      <c r="C56" s="27">
        <v>47472</v>
      </c>
      <c r="AB56" s="42">
        <v>20290920</v>
      </c>
      <c r="AC56" s="43">
        <v>20291220</v>
      </c>
      <c r="AD56" s="43">
        <v>20291220</v>
      </c>
      <c r="AE56" s="45">
        <v>2.8780748825927318E-2</v>
      </c>
      <c r="AF56" s="49">
        <v>286021714.31883681</v>
      </c>
      <c r="AG56" s="43">
        <v>20290920</v>
      </c>
      <c r="AH56" s="43">
        <v>20291220</v>
      </c>
      <c r="AI56" s="43">
        <v>20291220</v>
      </c>
      <c r="AJ56" s="45">
        <v>2.9777431524540585E-2</v>
      </c>
      <c r="AK56" s="49">
        <v>204000000</v>
      </c>
    </row>
    <row r="57" spans="1:37" x14ac:dyDescent="0.4">
      <c r="A57" s="21">
        <f t="shared" si="1"/>
        <v>57</v>
      </c>
      <c r="B57" s="27">
        <v>47813</v>
      </c>
      <c r="C57" s="27">
        <v>47837</v>
      </c>
      <c r="AB57" s="42">
        <v>20291220</v>
      </c>
      <c r="AC57" s="43">
        <v>20300320</v>
      </c>
      <c r="AD57" s="43">
        <v>20300320</v>
      </c>
      <c r="AE57" s="45">
        <v>2.8756143406290843E-2</v>
      </c>
      <c r="AF57" s="49">
        <v>282635934.96615624</v>
      </c>
      <c r="AG57" s="43">
        <v>20291220</v>
      </c>
      <c r="AH57" s="43">
        <v>20300320</v>
      </c>
      <c r="AI57" s="43">
        <v>20300320</v>
      </c>
      <c r="AJ57" s="45">
        <v>2.9745642933702278E-2</v>
      </c>
      <c r="AK57" s="49">
        <v>204000000</v>
      </c>
    </row>
    <row r="58" spans="1:37" x14ac:dyDescent="0.4">
      <c r="A58" s="21">
        <f t="shared" si="1"/>
        <v>58</v>
      </c>
      <c r="B58" s="27">
        <v>48178</v>
      </c>
      <c r="C58" s="27">
        <v>48204</v>
      </c>
      <c r="AB58" s="42">
        <v>20300320</v>
      </c>
      <c r="AC58" s="43">
        <v>20300620</v>
      </c>
      <c r="AD58" s="43">
        <v>20300620</v>
      </c>
      <c r="AE58" s="45">
        <v>2.8734802191058388E-2</v>
      </c>
      <c r="AF58" s="49">
        <v>288701567.29615039</v>
      </c>
      <c r="AG58" s="43">
        <v>20300320</v>
      </c>
      <c r="AH58" s="43">
        <v>20300620</v>
      </c>
      <c r="AI58" s="43">
        <v>20300620</v>
      </c>
      <c r="AJ58" s="45">
        <v>2.9721779603839406E-2</v>
      </c>
      <c r="AK58" s="49">
        <v>204000000</v>
      </c>
    </row>
    <row r="59" spans="1:37" x14ac:dyDescent="0.4">
      <c r="A59" s="21">
        <f t="shared" si="1"/>
        <v>59</v>
      </c>
      <c r="B59" s="27">
        <v>48542</v>
      </c>
      <c r="C59" s="27">
        <v>48568</v>
      </c>
      <c r="AB59" s="42">
        <v>20300620</v>
      </c>
      <c r="AC59" s="43">
        <v>20300920</v>
      </c>
      <c r="AD59" s="43">
        <v>20300920</v>
      </c>
      <c r="AE59" s="45">
        <v>2.8852936032284095E-2</v>
      </c>
      <c r="AF59" s="49">
        <v>289892615.33919311</v>
      </c>
      <c r="AG59" s="43">
        <v>20300620</v>
      </c>
      <c r="AH59" s="43">
        <v>20300920</v>
      </c>
      <c r="AI59" s="43">
        <v>20300920</v>
      </c>
      <c r="AJ59" s="45">
        <v>2.9684553473976305E-2</v>
      </c>
      <c r="AK59" s="49">
        <v>204000000</v>
      </c>
    </row>
    <row r="60" spans="1:37" x14ac:dyDescent="0.4">
      <c r="A60" s="21">
        <f t="shared" si="1"/>
        <v>60</v>
      </c>
      <c r="B60" s="27">
        <v>48907</v>
      </c>
      <c r="C60" s="27">
        <v>48933</v>
      </c>
      <c r="AB60" s="42">
        <v>20300920</v>
      </c>
      <c r="AC60" s="43">
        <v>20301220</v>
      </c>
      <c r="AD60" s="43">
        <v>20301220</v>
      </c>
      <c r="AE60" s="45">
        <v>2.9542136627606599E-2</v>
      </c>
      <c r="AF60" s="49">
        <v>293614732.39585757</v>
      </c>
      <c r="AG60" s="43">
        <v>20300920</v>
      </c>
      <c r="AH60" s="43">
        <v>20301220</v>
      </c>
      <c r="AI60" s="43">
        <v>20301220</v>
      </c>
      <c r="AJ60" s="45">
        <v>2.9641558242817705E-2</v>
      </c>
      <c r="AK60" s="49">
        <v>204000000</v>
      </c>
    </row>
    <row r="61" spans="1:37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2.9584399690687716E-2</v>
      </c>
      <c r="AF61" s="49">
        <v>290805038.04513913</v>
      </c>
      <c r="AG61" s="43">
        <v>20301220</v>
      </c>
      <c r="AH61" s="43">
        <v>20310320</v>
      </c>
      <c r="AI61" s="43">
        <v>20310320</v>
      </c>
      <c r="AJ61" s="45">
        <v>2.9578599378818744E-2</v>
      </c>
      <c r="AK61" s="49">
        <v>204000000</v>
      </c>
    </row>
    <row r="62" spans="1:37" x14ac:dyDescent="0.4">
      <c r="AB62" s="42">
        <v>20310320</v>
      </c>
      <c r="AC62" s="43">
        <v>20310620</v>
      </c>
      <c r="AD62" s="43">
        <v>20310620</v>
      </c>
      <c r="AE62" s="45">
        <v>2.9630500479252732E-2</v>
      </c>
      <c r="AF62" s="49">
        <v>297732169.21547961</v>
      </c>
      <c r="AG62" s="43">
        <v>20310320</v>
      </c>
      <c r="AH62" s="43">
        <v>20310620</v>
      </c>
      <c r="AI62" s="43">
        <v>20310620</v>
      </c>
      <c r="AJ62" s="45">
        <v>2.9515376473047916E-2</v>
      </c>
      <c r="AK62" s="49">
        <v>204000000</v>
      </c>
    </row>
    <row r="63" spans="1:37" x14ac:dyDescent="0.4">
      <c r="AB63" s="42">
        <v>20310620</v>
      </c>
      <c r="AC63" s="43">
        <v>20310922</v>
      </c>
      <c r="AD63" s="43">
        <v>20310922</v>
      </c>
      <c r="AE63" s="45">
        <v>2.9711715578584548E-2</v>
      </c>
      <c r="AF63" s="49">
        <v>305041234.45336413</v>
      </c>
      <c r="AG63" s="43">
        <v>20310620</v>
      </c>
      <c r="AH63" s="43">
        <v>20310922</v>
      </c>
      <c r="AI63" s="43">
        <v>20310922</v>
      </c>
      <c r="AJ63" s="45">
        <v>2.944229402823104E-2</v>
      </c>
      <c r="AK63" s="49">
        <v>204000000</v>
      </c>
    </row>
    <row r="64" spans="1:37" x14ac:dyDescent="0.4">
      <c r="AB64" s="42">
        <v>20310922</v>
      </c>
      <c r="AC64" s="43">
        <v>20311222</v>
      </c>
      <c r="AD64" s="43">
        <v>20311222</v>
      </c>
      <c r="AE64" s="45">
        <v>2.9904170901011686E-2</v>
      </c>
      <c r="AF64" s="49">
        <v>297225156.38269186</v>
      </c>
      <c r="AG64" s="43">
        <v>20310922</v>
      </c>
      <c r="AH64" s="43">
        <v>20311222</v>
      </c>
      <c r="AI64" s="43">
        <v>20311222</v>
      </c>
      <c r="AJ64" s="45">
        <v>2.9368312102074055E-2</v>
      </c>
      <c r="AK64" s="49">
        <v>204000000</v>
      </c>
    </row>
    <row r="65" spans="28:37" x14ac:dyDescent="0.4">
      <c r="AB65" s="42">
        <v>20311222</v>
      </c>
      <c r="AC65" s="43">
        <v>20320322</v>
      </c>
      <c r="AD65" s="43">
        <v>20320322</v>
      </c>
      <c r="AE65" s="45">
        <v>2.9960473401647588E-2</v>
      </c>
      <c r="AF65" s="49">
        <v>297786638.85478693</v>
      </c>
      <c r="AG65" s="43">
        <v>20311222</v>
      </c>
      <c r="AH65" s="43">
        <v>20320322</v>
      </c>
      <c r="AI65" s="43">
        <v>20320322</v>
      </c>
      <c r="AJ65" s="45">
        <v>2.928452863626502E-2</v>
      </c>
      <c r="AK65" s="49">
        <v>204000000</v>
      </c>
    </row>
    <row r="66" spans="28:37" x14ac:dyDescent="0.4">
      <c r="AB66" s="42">
        <v>20320322</v>
      </c>
      <c r="AC66" s="43">
        <v>20320621</v>
      </c>
      <c r="AD66" s="43">
        <v>20320621</v>
      </c>
      <c r="AE66" s="45">
        <v>3.0018319118321094E-2</v>
      </c>
      <c r="AF66" s="49">
        <v>298363511.20736653</v>
      </c>
      <c r="AG66" s="43">
        <v>20320322</v>
      </c>
      <c r="AH66" s="43">
        <v>20320621</v>
      </c>
      <c r="AI66" s="43">
        <v>20320621</v>
      </c>
      <c r="AJ66" s="45">
        <v>2.9196924624567293E-2</v>
      </c>
      <c r="AK66" s="49">
        <v>204000000</v>
      </c>
    </row>
    <row r="67" spans="28:37" x14ac:dyDescent="0.4">
      <c r="AB67" s="42">
        <v>20320621</v>
      </c>
      <c r="AC67" s="43">
        <v>20320922</v>
      </c>
      <c r="AD67" s="43">
        <v>20320922</v>
      </c>
      <c r="AE67" s="45">
        <v>2.9960238051572358E-2</v>
      </c>
      <c r="AF67" s="49">
        <v>304329001.51191556</v>
      </c>
      <c r="AG67" s="43">
        <v>20320621</v>
      </c>
      <c r="AH67" s="43">
        <v>20320922</v>
      </c>
      <c r="AI67" s="43">
        <v>20320922</v>
      </c>
      <c r="AJ67" s="45">
        <v>2.910267437927366E-2</v>
      </c>
      <c r="AK67" s="49">
        <v>204000000</v>
      </c>
    </row>
    <row r="68" spans="28:37" x14ac:dyDescent="0.4">
      <c r="AB68" s="42">
        <v>20320922</v>
      </c>
      <c r="AC68" s="43">
        <v>20321220</v>
      </c>
      <c r="AD68" s="43">
        <v>20321220</v>
      </c>
      <c r="AE68" s="45">
        <v>2.9432377230484957E-2</v>
      </c>
      <c r="AF68" s="49">
        <v>286091131.34390807</v>
      </c>
      <c r="AG68" s="43">
        <v>20320922</v>
      </c>
      <c r="AH68" s="43">
        <v>20321220</v>
      </c>
      <c r="AI68" s="43">
        <v>20321220</v>
      </c>
      <c r="AJ68" s="45">
        <v>2.8993498614367782E-2</v>
      </c>
      <c r="AK68" s="49">
        <v>204000000</v>
      </c>
    </row>
    <row r="69" spans="28:37" x14ac:dyDescent="0.4">
      <c r="AB69" s="42">
        <v>20321220</v>
      </c>
      <c r="AC69" s="43">
        <v>20330321</v>
      </c>
      <c r="AD69" s="43">
        <v>20330321</v>
      </c>
      <c r="AE69" s="45">
        <v>2.9446662227887777E-2</v>
      </c>
      <c r="AF69" s="49">
        <v>292662604.13564795</v>
      </c>
      <c r="AG69" s="43">
        <v>20321220</v>
      </c>
      <c r="AH69" s="43">
        <v>20330321</v>
      </c>
      <c r="AI69" s="43">
        <v>20330321</v>
      </c>
      <c r="AJ69" s="45">
        <v>2.8927884633495694E-2</v>
      </c>
      <c r="AK69" s="49">
        <v>204000000</v>
      </c>
    </row>
    <row r="70" spans="28:37" x14ac:dyDescent="0.4">
      <c r="AB70" s="42">
        <v>20330321</v>
      </c>
      <c r="AC70" s="43">
        <v>20330620</v>
      </c>
      <c r="AD70" s="43">
        <v>20330620</v>
      </c>
      <c r="AE70" s="45">
        <v>2.9462536460701207E-2</v>
      </c>
      <c r="AF70" s="49">
        <v>292820911.55329424</v>
      </c>
      <c r="AG70" s="43">
        <v>20330321</v>
      </c>
      <c r="AH70" s="43">
        <v>20330620</v>
      </c>
      <c r="AI70" s="43">
        <v>20330620</v>
      </c>
      <c r="AJ70" s="45">
        <v>2.8847958244409753E-2</v>
      </c>
      <c r="AK70" s="49">
        <v>204000000</v>
      </c>
    </row>
    <row r="71" spans="28:37" x14ac:dyDescent="0.4">
      <c r="AB71" s="42">
        <v>20330620</v>
      </c>
      <c r="AC71" s="43">
        <v>20330920</v>
      </c>
      <c r="AD71" s="43">
        <v>20330920</v>
      </c>
      <c r="AE71" s="45">
        <v>2.9647113239616291E-2</v>
      </c>
      <c r="AF71" s="49">
        <v>297899662.2514739</v>
      </c>
      <c r="AG71" s="43">
        <v>20330620</v>
      </c>
      <c r="AH71" s="43">
        <v>20330920</v>
      </c>
      <c r="AI71" s="43">
        <v>20330920</v>
      </c>
      <c r="AJ71" s="45">
        <v>2.8760689877116028E-2</v>
      </c>
      <c r="AK71" s="49">
        <v>204000000</v>
      </c>
    </row>
    <row r="72" spans="28:37" x14ac:dyDescent="0.4">
      <c r="AB72" s="42">
        <v>20330920</v>
      </c>
      <c r="AC72" s="43">
        <v>20331220</v>
      </c>
      <c r="AD72" s="43">
        <v>20331220</v>
      </c>
      <c r="AE72" s="45">
        <v>3.0566603448965786E-2</v>
      </c>
      <c r="AF72" s="49">
        <v>303831333.02530265</v>
      </c>
      <c r="AG72" s="43">
        <v>20330920</v>
      </c>
      <c r="AH72" s="43">
        <v>20331220</v>
      </c>
      <c r="AI72" s="43">
        <v>20331220</v>
      </c>
      <c r="AJ72" s="45">
        <v>2.8658479236316276E-2</v>
      </c>
      <c r="AK72" s="49">
        <v>204000000</v>
      </c>
    </row>
    <row r="73" spans="28:37" x14ac:dyDescent="0.4">
      <c r="AB73" s="42">
        <v>20331220</v>
      </c>
      <c r="AC73" s="43">
        <v>20340320</v>
      </c>
      <c r="AD73" s="43">
        <v>20340320</v>
      </c>
      <c r="AE73" s="45">
        <v>3.0636968094769856E-2</v>
      </c>
      <c r="AF73" s="49">
        <v>301186534.6333465</v>
      </c>
      <c r="AG73" s="43">
        <v>20331220</v>
      </c>
      <c r="AH73" s="43">
        <v>20340320</v>
      </c>
      <c r="AI73" s="43">
        <v>20340320</v>
      </c>
      <c r="AJ73" s="45">
        <v>2.8536823618596718E-2</v>
      </c>
      <c r="AK73" s="49">
        <v>204000000</v>
      </c>
    </row>
    <row r="74" spans="28:37" x14ac:dyDescent="0.4">
      <c r="AB74" s="42">
        <v>20340320</v>
      </c>
      <c r="AC74" s="43">
        <v>20340620</v>
      </c>
      <c r="AD74" s="43">
        <v>20340620</v>
      </c>
      <c r="AE74" s="45">
        <v>3.0711589656012814E-2</v>
      </c>
      <c r="AF74" s="49">
        <v>308631917.62774569</v>
      </c>
      <c r="AG74" s="43">
        <v>20340320</v>
      </c>
      <c r="AH74" s="43">
        <v>20340620</v>
      </c>
      <c r="AI74" s="43">
        <v>20340620</v>
      </c>
      <c r="AJ74" s="45">
        <v>2.8420646481040573E-2</v>
      </c>
      <c r="AK74" s="49">
        <v>204000000</v>
      </c>
    </row>
    <row r="75" spans="28:37" x14ac:dyDescent="0.4">
      <c r="AB75" s="42">
        <v>20340620</v>
      </c>
      <c r="AC75" s="43">
        <v>20340920</v>
      </c>
      <c r="AD75" s="43">
        <v>20340920</v>
      </c>
      <c r="AE75" s="45">
        <v>3.0708627690942309E-2</v>
      </c>
      <c r="AF75" s="49">
        <v>308602054.52785677</v>
      </c>
      <c r="AG75" s="43">
        <v>20340620</v>
      </c>
      <c r="AH75" s="43">
        <v>20340920</v>
      </c>
      <c r="AI75" s="43">
        <v>20340920</v>
      </c>
      <c r="AJ75" s="45">
        <v>2.8280147331041363E-2</v>
      </c>
      <c r="AK75" s="49">
        <v>204000000</v>
      </c>
    </row>
    <row r="76" spans="28:37" x14ac:dyDescent="0.4">
      <c r="AB76" s="42">
        <v>20340920</v>
      </c>
      <c r="AC76" s="43">
        <v>20341220</v>
      </c>
      <c r="AD76" s="43">
        <v>20341220</v>
      </c>
      <c r="AE76" s="45">
        <v>3.0407026995949826E-2</v>
      </c>
      <c r="AF76" s="49">
        <v>302239940.45275992</v>
      </c>
      <c r="AG76" s="43">
        <v>20340920</v>
      </c>
      <c r="AH76" s="43">
        <v>20341220</v>
      </c>
      <c r="AI76" s="43">
        <v>20341220</v>
      </c>
      <c r="AJ76" s="45">
        <v>2.8141888092851498E-2</v>
      </c>
      <c r="AK76" s="49">
        <v>204000000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2025-02-01T06:48:10Z</dcterms:modified>
</cp:coreProperties>
</file>