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tructuredSwapOneCurve\"/>
    </mc:Choice>
  </mc:AlternateContent>
  <xr:revisionPtr revIDLastSave="0" documentId="13_ncr:1_{E1EA53C0-73AA-4537-8380-DB5BE5DEFF19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Calibration" sheetId="1" r:id="rId1"/>
    <sheet name="Pricing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1" i="2" l="1"/>
  <c r="J30" i="2"/>
  <c r="J29" i="2"/>
  <c r="J9" i="2"/>
  <c r="J11" i="2"/>
  <c r="J10" i="2"/>
  <c r="E48" i="2"/>
  <c r="AG13" i="2"/>
  <c r="Y6" i="2" l="1"/>
  <c r="Y7" i="2" s="1"/>
  <c r="Y8" i="2" s="1"/>
  <c r="Y9" i="2" s="1"/>
  <c r="Y10" i="2" s="1"/>
  <c r="Y11" i="2" s="1"/>
  <c r="Y12" i="2" s="1"/>
  <c r="Y13" i="2" s="1"/>
  <c r="Y14" i="2" s="1"/>
  <c r="Y15" i="2" s="1"/>
  <c r="Y16" i="2" s="1"/>
  <c r="Y17" i="2" s="1"/>
  <c r="Y18" i="2" s="1"/>
  <c r="Y19" i="2" s="1"/>
  <c r="Y20" i="2" s="1"/>
  <c r="Y21" i="2" s="1"/>
  <c r="Y22" i="2" s="1"/>
  <c r="Y23" i="2" s="1"/>
  <c r="Y24" i="2" s="1"/>
  <c r="Y25" i="2" s="1"/>
  <c r="Y26" i="2" s="1"/>
  <c r="Y27" i="2" s="1"/>
  <c r="Y28" i="2" s="1"/>
  <c r="Y29" i="2" s="1"/>
  <c r="Y30" i="2" s="1"/>
  <c r="Y31" i="2" s="1"/>
  <c r="Y32" i="2" s="1"/>
  <c r="Y33" i="2" s="1"/>
  <c r="Y34" i="2" s="1"/>
  <c r="Y35" i="2" s="1"/>
  <c r="Y36" i="2" s="1"/>
  <c r="Y37" i="2" s="1"/>
  <c r="Y38" i="2" s="1"/>
  <c r="Y39" i="2" s="1"/>
  <c r="Y40" i="2" s="1"/>
  <c r="Y41" i="2" s="1"/>
  <c r="Y42" i="2" s="1"/>
  <c r="Y43" i="2" s="1"/>
  <c r="Y44" i="2" s="1"/>
  <c r="Y45" i="2" s="1"/>
  <c r="Y46" i="2" s="1"/>
  <c r="Y47" i="2" s="1"/>
  <c r="Y48" i="2" s="1"/>
  <c r="Y49" i="2" s="1"/>
  <c r="Y50" i="2" s="1"/>
  <c r="Y51" i="2" s="1"/>
  <c r="Y52" i="2" s="1"/>
  <c r="Y53" i="2" s="1"/>
  <c r="Y54" i="2" s="1"/>
  <c r="Y55" i="2" s="1"/>
  <c r="Y56" i="2" s="1"/>
  <c r="Y57" i="2" s="1"/>
  <c r="Y58" i="2" s="1"/>
  <c r="Y59" i="2" s="1"/>
  <c r="Y60" i="2" s="1"/>
  <c r="Y61" i="2" s="1"/>
  <c r="Y62" i="2" s="1"/>
  <c r="Y63" i="2" s="1"/>
  <c r="Y64" i="2" s="1"/>
  <c r="Y65" i="2" s="1"/>
  <c r="Y66" i="2" s="1"/>
  <c r="Y67" i="2" s="1"/>
  <c r="Y68" i="2" s="1"/>
  <c r="Y69" i="2" s="1"/>
  <c r="Y70" i="2" s="1"/>
  <c r="Y71" i="2" s="1"/>
  <c r="Y72" i="2" s="1"/>
  <c r="Y73" i="2" s="1"/>
  <c r="Y74" i="2" s="1"/>
  <c r="Y75" i="2" s="1"/>
  <c r="Y76" i="2" s="1"/>
  <c r="Y77" i="2" s="1"/>
  <c r="Y78" i="2" s="1"/>
  <c r="Y79" i="2" s="1"/>
  <c r="Y80" i="2" s="1"/>
  <c r="Y81" i="2" s="1"/>
  <c r="Y82" i="2" s="1"/>
  <c r="Y83" i="2" s="1"/>
  <c r="Y84" i="2" s="1"/>
  <c r="Y85" i="2" s="1"/>
  <c r="Y86" i="2" s="1"/>
  <c r="Y87" i="2" s="1"/>
  <c r="Y88" i="2" s="1"/>
  <c r="Y89" i="2" s="1"/>
  <c r="Y90" i="2" s="1"/>
  <c r="Y91" i="2" s="1"/>
  <c r="Y92" i="2" s="1"/>
  <c r="Y93" i="2" s="1"/>
  <c r="Y94" i="2" s="1"/>
  <c r="Y95" i="2" s="1"/>
  <c r="Y96" i="2" s="1"/>
  <c r="Y97" i="2" s="1"/>
  <c r="Y98" i="2" s="1"/>
  <c r="Y99" i="2" s="1"/>
  <c r="Y100" i="2" s="1"/>
  <c r="Y101" i="2" s="1"/>
  <c r="Y102" i="2" s="1"/>
  <c r="Y103" i="2" s="1"/>
  <c r="Y104" i="2" s="1"/>
  <c r="Y105" i="2" s="1"/>
  <c r="Y106" i="2" s="1"/>
  <c r="Y107" i="2" s="1"/>
  <c r="Y108" i="2" s="1"/>
  <c r="Y109" i="2" s="1"/>
  <c r="Y110" i="2" s="1"/>
  <c r="Y111" i="2" s="1"/>
  <c r="Y112" i="2" s="1"/>
  <c r="Y113" i="2" s="1"/>
  <c r="Y114" i="2" s="1"/>
  <c r="Y115" i="2" s="1"/>
  <c r="Y116" i="2" s="1"/>
  <c r="Y117" i="2" s="1"/>
  <c r="Y118" i="2" s="1"/>
  <c r="Y119" i="2" s="1"/>
  <c r="Y120" i="2" s="1"/>
  <c r="Y121" i="2" s="1"/>
  <c r="Y122" i="2" s="1"/>
  <c r="Y123" i="2" s="1"/>
  <c r="Y124" i="2" s="1"/>
  <c r="Y125" i="2" s="1"/>
  <c r="Y126" i="2" s="1"/>
  <c r="Y127" i="2" s="1"/>
  <c r="Y128" i="2" s="1"/>
  <c r="Y129" i="2" s="1"/>
  <c r="Y130" i="2" s="1"/>
  <c r="Y131" i="2" s="1"/>
  <c r="Y132" i="2" s="1"/>
  <c r="W6" i="2"/>
  <c r="W7" i="2" s="1"/>
  <c r="W8" i="2" s="1"/>
  <c r="W9" i="2" s="1"/>
  <c r="W10" i="2" s="1"/>
  <c r="W11" i="2" s="1"/>
  <c r="W12" i="2" s="1"/>
  <c r="W13" i="2" s="1"/>
  <c r="W14" i="2" s="1"/>
  <c r="W15" i="2" s="1"/>
  <c r="W16" i="2" s="1"/>
  <c r="W17" i="2" s="1"/>
  <c r="W18" i="2" s="1"/>
  <c r="W19" i="2" s="1"/>
  <c r="W20" i="2" s="1"/>
  <c r="W21" i="2" s="1"/>
  <c r="W22" i="2" s="1"/>
  <c r="W23" i="2" s="1"/>
  <c r="W24" i="2" s="1"/>
  <c r="W25" i="2" s="1"/>
  <c r="W26" i="2" s="1"/>
  <c r="W27" i="2" s="1"/>
  <c r="W28" i="2" s="1"/>
  <c r="W29" i="2" s="1"/>
  <c r="W30" i="2" s="1"/>
  <c r="W31" i="2" s="1"/>
  <c r="W32" i="2" s="1"/>
  <c r="W33" i="2" s="1"/>
  <c r="W34" i="2" s="1"/>
  <c r="W35" i="2" s="1"/>
  <c r="W36" i="2" s="1"/>
  <c r="W37" i="2" s="1"/>
  <c r="W38" i="2" s="1"/>
  <c r="W39" i="2" s="1"/>
  <c r="W40" i="2" s="1"/>
  <c r="W41" i="2" s="1"/>
  <c r="W42" i="2" s="1"/>
  <c r="W43" i="2" s="1"/>
  <c r="W44" i="2" s="1"/>
  <c r="W45" i="2" s="1"/>
  <c r="W46" i="2" s="1"/>
  <c r="W47" i="2" s="1"/>
  <c r="W48" i="2" s="1"/>
  <c r="W49" i="2" s="1"/>
  <c r="W50" i="2" s="1"/>
  <c r="W51" i="2" s="1"/>
  <c r="W52" i="2" s="1"/>
  <c r="W53" i="2" s="1"/>
  <c r="W54" i="2" s="1"/>
  <c r="W55" i="2" s="1"/>
  <c r="W56" i="2" s="1"/>
  <c r="W57" i="2" s="1"/>
  <c r="W58" i="2" s="1"/>
  <c r="W59" i="2" s="1"/>
  <c r="W60" i="2" s="1"/>
  <c r="W61" i="2" s="1"/>
  <c r="W62" i="2" s="1"/>
  <c r="W63" i="2" s="1"/>
  <c r="W64" i="2" s="1"/>
  <c r="W65" i="2" s="1"/>
  <c r="W66" i="2" s="1"/>
  <c r="W67" i="2" s="1"/>
  <c r="W68" i="2" s="1"/>
  <c r="W69" i="2" s="1"/>
  <c r="W70" i="2" s="1"/>
  <c r="W71" i="2" s="1"/>
  <c r="W72" i="2" s="1"/>
  <c r="W73" i="2" s="1"/>
  <c r="W74" i="2" s="1"/>
  <c r="W75" i="2" s="1"/>
  <c r="W76" i="2" s="1"/>
  <c r="W77" i="2" s="1"/>
  <c r="W78" i="2" s="1"/>
  <c r="W79" i="2" s="1"/>
  <c r="W80" i="2" s="1"/>
  <c r="W81" i="2" s="1"/>
  <c r="W82" i="2" s="1"/>
  <c r="W83" i="2" s="1"/>
  <c r="W84" i="2" s="1"/>
  <c r="W85" i="2" s="1"/>
  <c r="W86" i="2" s="1"/>
  <c r="W87" i="2" s="1"/>
  <c r="W88" i="2" s="1"/>
  <c r="W89" i="2" s="1"/>
  <c r="W90" i="2" s="1"/>
  <c r="W91" i="2" s="1"/>
  <c r="W92" i="2" s="1"/>
  <c r="W93" i="2" s="1"/>
  <c r="W94" i="2" s="1"/>
  <c r="W95" i="2" s="1"/>
  <c r="W96" i="2" s="1"/>
  <c r="W97" i="2" s="1"/>
  <c r="W98" i="2" s="1"/>
  <c r="W99" i="2" s="1"/>
  <c r="W100" i="2" s="1"/>
  <c r="W101" i="2" s="1"/>
  <c r="W102" i="2" s="1"/>
  <c r="W103" i="2" s="1"/>
  <c r="W104" i="2" s="1"/>
  <c r="W105" i="2" s="1"/>
  <c r="W106" i="2" s="1"/>
  <c r="W107" i="2" s="1"/>
  <c r="W108" i="2" s="1"/>
  <c r="W109" i="2" s="1"/>
  <c r="W110" i="2" s="1"/>
  <c r="W111" i="2" s="1"/>
  <c r="W112" i="2" s="1"/>
  <c r="W113" i="2" s="1"/>
  <c r="W114" i="2" s="1"/>
  <c r="W115" i="2" s="1"/>
  <c r="W116" i="2" s="1"/>
  <c r="W117" i="2" s="1"/>
  <c r="W118" i="2" s="1"/>
  <c r="W119" i="2" s="1"/>
  <c r="W120" i="2" s="1"/>
  <c r="W121" i="2" s="1"/>
  <c r="W122" i="2" s="1"/>
  <c r="W123" i="2" s="1"/>
  <c r="W124" i="2" s="1"/>
  <c r="W125" i="2" s="1"/>
  <c r="W126" i="2" s="1"/>
  <c r="W127" i="2" s="1"/>
  <c r="W128" i="2" s="1"/>
  <c r="W129" i="2" s="1"/>
  <c r="W130" i="2" s="1"/>
  <c r="W131" i="2" s="1"/>
  <c r="W132" i="2" s="1"/>
  <c r="Q7" i="2" l="1"/>
  <c r="AG12" i="2" l="1"/>
  <c r="J41" i="2" l="1"/>
  <c r="J37" i="2"/>
  <c r="J21" i="2"/>
  <c r="J17" i="2"/>
  <c r="J36" i="2"/>
  <c r="J16" i="2"/>
  <c r="O7" i="2" l="1"/>
  <c r="J34" i="2"/>
  <c r="J33" i="2"/>
  <c r="H33" i="2"/>
  <c r="H32" i="2"/>
  <c r="H30" i="2"/>
  <c r="B29" i="2"/>
  <c r="J14" i="2"/>
  <c r="J13" i="2"/>
  <c r="H13" i="2"/>
  <c r="H12" i="2"/>
  <c r="H10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L12" i="1" l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B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  <author>임 대선</author>
  </authors>
  <commentList>
    <comment ref="F3" authorId="0" shapeId="0" xr:uid="{6C8ED846-B456-4D58-BC18-F6C7B2DA4556}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교환여부
</t>
        </r>
        <r>
          <rPr>
            <b/>
            <sz val="9"/>
            <color indexed="81"/>
            <rFont val="Tahoma"/>
            <family val="2"/>
          </rPr>
          <t xml:space="preserve">0: Nominal </t>
        </r>
        <r>
          <rPr>
            <b/>
            <sz val="9"/>
            <color indexed="81"/>
            <rFont val="돋움"/>
            <family val="3"/>
            <charset val="129"/>
          </rPr>
          <t>교환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안함
</t>
        </r>
        <r>
          <rPr>
            <b/>
            <sz val="9"/>
            <color indexed="81"/>
            <rFont val="Tahoma"/>
            <family val="2"/>
          </rPr>
          <t xml:space="preserve">1: Nominal </t>
        </r>
        <r>
          <rPr>
            <b/>
            <sz val="9"/>
            <color indexed="81"/>
            <rFont val="돋움"/>
            <family val="3"/>
            <charset val="129"/>
          </rPr>
          <t>교환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함
</t>
        </r>
        <r>
          <rPr>
            <b/>
            <sz val="9"/>
            <color indexed="81"/>
            <rFont val="Tahoma"/>
            <family val="2"/>
          </rPr>
          <t xml:space="preserve">-1: </t>
        </r>
        <r>
          <rPr>
            <b/>
            <sz val="9"/>
            <color indexed="81"/>
            <rFont val="돋움"/>
            <family val="3"/>
            <charset val="129"/>
          </rPr>
          <t>단순</t>
        </r>
        <r>
          <rPr>
            <b/>
            <sz val="9"/>
            <color indexed="81"/>
            <rFont val="Tahoma"/>
            <family val="2"/>
          </rPr>
          <t xml:space="preserve"> Callable </t>
        </r>
        <r>
          <rPr>
            <b/>
            <sz val="9"/>
            <color indexed="81"/>
            <rFont val="돋움"/>
            <family val="3"/>
            <charset val="129"/>
          </rPr>
          <t>채권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평가</t>
        </r>
      </text>
    </comment>
    <comment ref="AY5" authorId="0" shapeId="0" xr:uid="{23A1BD26-62DE-465D-8D67-EEFD8E1AC9E2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J7" authorId="0" shapeId="0" xr:uid="{00000000-0006-0000-0100-000002000000}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AZ7" authorId="0" shapeId="0" xr:uid="{7DD8AC0C-395E-44AC-9563-E102054BB7C5}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  <comment ref="D9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10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0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11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O15" authorId="0" shapeId="0" xr:uid="{8272389A-FDBA-4B9D-B573-1DF54FF532D3}">
      <text>
        <r>
          <rPr>
            <b/>
            <sz val="9"/>
            <color indexed="81"/>
            <rFont val="Tahoma"/>
            <family val="2"/>
          </rPr>
          <t xml:space="preserve">0 : Range Accraul </t>
        </r>
        <r>
          <rPr>
            <b/>
            <sz val="9"/>
            <color indexed="81"/>
            <rFont val="돋움"/>
            <family val="3"/>
            <charset val="129"/>
          </rPr>
          <t>사용하지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않음
</t>
        </r>
        <r>
          <rPr>
            <b/>
            <sz val="9"/>
            <color indexed="81"/>
            <rFont val="Tahoma"/>
            <family val="2"/>
          </rPr>
          <t xml:space="preserve">1 : Range Accrual </t>
        </r>
        <r>
          <rPr>
            <b/>
            <sz val="9"/>
            <color indexed="81"/>
            <rFont val="돋움"/>
            <family val="3"/>
            <charset val="129"/>
          </rPr>
          <t>사용함</t>
        </r>
      </text>
    </comment>
    <comment ref="J27" authorId="0" shapeId="0" xr:uid="{00000000-0006-0000-0100-000008000000}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29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30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 xr:uid="{00000000-0006-0000-0100-00000B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0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31" authorId="0" shapeId="0" xr:uid="{00000000-0006-0000-0100-00000D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O35" authorId="0" shapeId="0" xr:uid="{8CCEBFAE-A48C-486E-82F9-CD6507E7E793}">
      <text>
        <r>
          <rPr>
            <b/>
            <sz val="9"/>
            <color indexed="81"/>
            <rFont val="Tahoma"/>
            <family val="2"/>
          </rPr>
          <t xml:space="preserve">0 : Range Accraul </t>
        </r>
        <r>
          <rPr>
            <b/>
            <sz val="9"/>
            <color indexed="81"/>
            <rFont val="돋움"/>
            <family val="3"/>
            <charset val="129"/>
          </rPr>
          <t>사용하지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않음
</t>
        </r>
        <r>
          <rPr>
            <b/>
            <sz val="9"/>
            <color indexed="81"/>
            <rFont val="Tahoma"/>
            <family val="2"/>
          </rPr>
          <t xml:space="preserve">1 : Range Accrual </t>
        </r>
        <r>
          <rPr>
            <b/>
            <sz val="9"/>
            <color indexed="81"/>
            <rFont val="돋움"/>
            <family val="3"/>
            <charset val="129"/>
          </rPr>
          <t>사용함</t>
        </r>
      </text>
    </comment>
    <comment ref="D47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<sst xmlns="http://schemas.openxmlformats.org/spreadsheetml/2006/main" count="147" uniqueCount="103">
  <si>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</si>
  <si>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</si>
  <si>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</si>
  <si>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</si>
  <si>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</si>
  <si>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</si>
  <si>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</si>
  <si>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</si>
  <si>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</si>
  <si>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</si>
  <si>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</si>
  <si>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</si>
  <si>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</si>
  <si>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</si>
  <si>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</si>
  <si>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</si>
  <si>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</si>
  <si>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</si>
  <si>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</si>
  <si>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</si>
  <si>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</si>
  <si>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</si>
  <si>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</si>
  <si>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</si>
  <si>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</si>
  <si>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</si>
  <si>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</si>
  <si>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</si>
  <si>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</si>
  <si>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</si>
  <si>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</si>
  <si>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</si>
  <si>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</si>
  <si>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</si>
  <si>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</si>
  <si>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</si>
  <si>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</si>
  <si>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</si>
  <si>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</si>
  <si>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</si>
  <si>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</si>
  <si>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</si>
  <si>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</si>
  <si>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</si>
  <si>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</si>
  <si>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</si>
  <si>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</si>
  <si>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</si>
  <si>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</si>
  <si>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</si>
  <si>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</si>
  <si>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연 쿠폰횟수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</si>
  <si>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</si>
  <si>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</si>
  <si>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</si>
  <si>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</si>
  <si>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</si>
  <si>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</si>
  <si>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</si>
  <si>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</si>
  <si>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</si>
  <si>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</si>
  <si>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</si>
  <si>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</si>
  <si>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</si>
  <si>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</si>
  <si>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</si>
  <si>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</si>
  <si>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</si>
  <si>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</si>
  <si>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</si>
  <si>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</si>
  <si>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</si>
  <si>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</si>
  <si>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</si>
  <si>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</si>
  <si>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</si>
  <si>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</si>
  <si>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</si>
  <si>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</si>
  <si>
    <t>고정금리</t>
    <phoneticPr fontId="2" type="noConversion"/>
  </si>
  <si>
    <t>페이오프(Phase1)</t>
    <phoneticPr fontId="2" type="noConversion"/>
  </si>
  <si>
    <t>페이오프(Phase2)</t>
    <phoneticPr fontId="2" type="noConversion"/>
  </si>
  <si>
    <t>금리결정조건 :</t>
    <phoneticPr fontId="2" type="noConversion"/>
  </si>
  <si>
    <t>금리결정조건 :</t>
    <phoneticPr fontId="2" type="noConversion"/>
  </si>
  <si>
    <t>InterestRateRounding</t>
    <phoneticPr fontId="2" type="noConversion"/>
  </si>
  <si>
    <t>Debug</t>
    <phoneticPr fontId="2" type="noConversion"/>
  </si>
  <si>
    <t>NAFlag/BondFlag</t>
    <phoneticPr fontId="2" type="noConversion"/>
  </si>
  <si>
    <t>Receive Leg Range Accrual 정보</t>
    <phoneticPr fontId="2" type="noConversion"/>
  </si>
  <si>
    <t>Range Accrual Payoff Flag</t>
    <phoneticPr fontId="2" type="noConversion"/>
  </si>
  <si>
    <t>Pay Leg Range Accrual 정보</t>
    <phoneticPr fontId="2" type="noConversion"/>
  </si>
  <si>
    <t>Leg1Value NonOption</t>
    <phoneticPr fontId="2" type="noConversion"/>
  </si>
  <si>
    <t>Leg2Value NonOption</t>
    <phoneticPr fontId="2" type="noConversion"/>
  </si>
  <si>
    <t>0: Nominal 교환 안함</t>
  </si>
  <si>
    <t>0: ACT/365</t>
  </si>
  <si>
    <t>0: Receiver가 옵션보유</t>
  </si>
  <si>
    <t>1: Nominal 교환 함</t>
    <phoneticPr fontId="2" type="noConversion"/>
  </si>
  <si>
    <t>-1: 단순 Callable 채권 평가</t>
  </si>
  <si>
    <t>1: ACT/360</t>
  </si>
  <si>
    <t>2: ACT/ACT</t>
  </si>
  <si>
    <t>3: 30/360</t>
  </si>
  <si>
    <t>1: Payer가 옵션보유</t>
  </si>
  <si>
    <t>4: ACT(주말제외)/ACT(주말제외)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</si>
</sst>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1" formatCode="_-* #,##0_-;\-* #,##0_-;_-* &quot;-&quot;_-;_-@_-"/>
    <numFmt numFmtId="43" formatCode="_-* #,##0.00_-;\-* #,##0.00_-;_-* &quot;-&quot;??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_-;\-* #,##0.00_-;_-* &quot;-&quot;_-;_-@_-"/>
    <numFmt numFmtId="188" formatCode="_-* #,##0.000_-;\-* #,##0.000_-;_-* &quot;-&quot;_-;_-@_-"/>
  </numFmts>
  <fonts count="22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2" tint="-0.249977111117893"/>
      <name val="맑은 고딕"/>
      <family val="2"/>
      <charset val="129"/>
      <scheme val="minor"/>
    </font>
    <font>
      <sz val="11"/>
      <color theme="2" tint="-0.249977111117893"/>
      <name val="맑은 고딕"/>
      <family val="3"/>
      <charset val="129"/>
      <scheme val="minor"/>
    </font>
    <font>
      <sz val="10"/>
      <color theme="2" tint="-0.249977111117893"/>
      <name val="맑은 고딕"/>
      <family val="2"/>
      <charset val="129"/>
      <scheme val="minor"/>
    </font>
    <font>
      <sz val="10"/>
      <color theme="2" tint="-0.249977111117893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54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>
      <alignment vertical="center"/>
    </xf>
    <xf numFmtId="180" fontId="9" fillId="14" borderId="10" xfId="0" applyNumberFormat="1" applyFont="1" applyFill="1" applyBorder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Protection="1">
      <alignment vertical="center"/>
      <protection locked="0"/>
    </xf>
    <xf numFmtId="14" fontId="5" fillId="5" borderId="19" xfId="0" applyNumberFormat="1" applyFont="1" applyFill="1" applyBorder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4" fontId="6" fillId="12" borderId="10" xfId="0" applyNumberFormat="1" applyFont="1" applyFill="1" applyBorder="1">
      <alignment vertical="center"/>
    </xf>
    <xf numFmtId="14" fontId="4" fillId="12" borderId="10" xfId="0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186" fontId="0" fillId="2" borderId="0" xfId="1" applyNumberFormat="1" applyFont="1" applyFill="1">
      <alignment vertical="center"/>
    </xf>
    <xf numFmtId="14" fontId="8" fillId="11" borderId="10" xfId="0" applyNumberFormat="1" applyFont="1" applyFill="1" applyBorder="1">
      <alignment vertical="center"/>
    </xf>
    <xf numFmtId="43" fontId="0" fillId="2" borderId="0" xfId="0" applyNumberFormat="1" applyFill="1">
      <alignment vertical="center"/>
    </xf>
    <xf numFmtId="0" fontId="18" fillId="2" borderId="0" xfId="0" applyFont="1" applyFill="1">
      <alignment vertical="center"/>
    </xf>
    <xf numFmtId="0" fontId="19" fillId="2" borderId="0" xfId="0" applyFont="1" applyFill="1">
      <alignment vertical="center"/>
    </xf>
    <xf numFmtId="0" fontId="20" fillId="2" borderId="0" xfId="0" applyFont="1" applyFill="1">
      <alignment vertical="center"/>
    </xf>
    <xf numFmtId="0" fontId="21" fillId="2" borderId="0" xfId="0" applyFont="1" applyFill="1">
      <alignment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0" fontId="6" fillId="10" borderId="9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49" fontId="9" fillId="8" borderId="0" xfId="0" applyNumberFormat="1" applyFont="1" applyFill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14" fillId="4" borderId="0" xfId="0" applyFont="1" applyFill="1" applyAlignment="1" applyProtection="1">
      <alignment horizontal="center" vertical="center"/>
      <protection locked="0"/>
    </xf>
    <xf numFmtId="0" fontId="14" fillId="4" borderId="0" xfId="0" applyFont="1" applyFill="1" applyAlignment="1">
      <alignment horizontal="center" vertical="center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Alignment="1" applyProtection="1">
      <alignment horizontal="center" vertical="center"/>
      <protection locked="0"/>
    </xf>
    <xf numFmtId="14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41" fontId="5" fillId="15" borderId="0" xfId="2" applyFont="1" applyFill="1" applyAlignment="1" applyProtection="1">
      <alignment horizontal="center" vertical="center"/>
      <protection locked="0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6" fillId="4" borderId="12" xfId="0" applyFont="1" applyFill="1" applyBorder="1" applyAlignment="1">
      <alignment horizontal="center" vertical="center" wrapText="1"/>
    </xf>
    <xf numFmtId="0" fontId="6" fillId="4" borderId="19" xfId="0" applyFont="1" applyFill="1" applyBorder="1" applyAlignment="1">
      <alignment horizontal="center" vertical="center" wrapText="1"/>
    </xf>
    <xf numFmtId="0" fontId="6" fillId="4" borderId="13" xfId="0" applyFont="1" applyFill="1" applyBorder="1" applyAlignment="1">
      <alignment horizontal="center" vertical="center" wrapText="1"/>
    </xf>
    <xf numFmtId="0" fontId="6" fillId="4" borderId="14" xfId="0" applyFont="1" applyFill="1" applyBorder="1" applyAlignment="1">
      <alignment horizontal="center" vertical="center" wrapText="1"/>
    </xf>
    <xf numFmtId="0" fontId="6" fillId="4" borderId="18" xfId="0" applyFont="1" applyFill="1" applyBorder="1" applyAlignment="1">
      <alignment horizontal="center" vertical="center" wrapText="1"/>
    </xf>
    <xf numFmtId="0" fontId="6" fillId="4" borderId="16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0" fontId="4" fillId="10" borderId="12" xfId="0" applyFont="1" applyFill="1" applyBorder="1" applyAlignment="1">
      <alignment horizontal="center" vertical="center"/>
    </xf>
    <xf numFmtId="0" fontId="4" fillId="10" borderId="17" xfId="0" applyFont="1" applyFill="1" applyBorder="1" applyAlignment="1">
      <alignment horizontal="center" vertical="center"/>
    </xf>
    <xf numFmtId="0" fontId="4" fillId="10" borderId="19" xfId="0" applyFont="1" applyFill="1" applyBorder="1" applyAlignment="1">
      <alignment horizontal="center" vertical="center"/>
    </xf>
    <xf numFmtId="0" fontId="4" fillId="10" borderId="13" xfId="0" applyFont="1" applyFill="1" applyBorder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0" fontId="5" fillId="5" borderId="0" xfId="0" applyFont="1" applyFill="1" applyAlignment="1" applyProtection="1">
      <alignment horizontal="center" vertical="center"/>
      <protection locked="0"/>
    </xf>
    <xf numFmtId="183" fontId="5" fillId="5" borderId="0" xfId="0" applyNumberFormat="1" applyFont="1" applyFill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0" fontId="6" fillId="10" borderId="0" xfId="0" applyFont="1" applyFill="1" applyAlignment="1">
      <alignment horizontal="center" vertical="center"/>
    </xf>
    <xf numFmtId="2" fontId="5" fillId="15" borderId="0" xfId="0" applyNumberFormat="1" applyFont="1" applyFill="1" applyAlignment="1" applyProtection="1">
      <alignment horizontal="center" vertical="center"/>
      <protection locked="0"/>
    </xf>
    <xf numFmtId="2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4" fillId="4" borderId="18" xfId="0" applyFont="1" applyFill="1" applyBorder="1" applyAlignment="1">
      <alignment horizontal="center" vertical="center"/>
    </xf>
    <xf numFmtId="0" fontId="14" fillId="4" borderId="16" xfId="0" applyFont="1" applyFill="1" applyBorder="1" applyAlignment="1">
      <alignment horizontal="center" vertical="center"/>
    </xf>
    <xf numFmtId="0" fontId="5" fillId="10" borderId="0" xfId="0" applyFont="1" applyFill="1" applyAlignment="1">
      <alignment horizontal="center" vertical="center"/>
    </xf>
    <xf numFmtId="178" fontId="5" fillId="15" borderId="0" xfId="0" applyNumberFormat="1" applyFont="1" applyFill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0" fontId="17" fillId="16" borderId="0" xfId="0" applyFont="1" applyFill="1" applyAlignment="1" applyProtection="1">
      <alignment horizontal="center" vertical="center"/>
      <protection locked="0"/>
    </xf>
    <xf numFmtId="0" fontId="17" fillId="16" borderId="13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0" fontId="14" fillId="4" borderId="15" xfId="0" applyFont="1" applyFill="1" applyBorder="1" applyAlignment="1">
      <alignment horizontal="center" vertical="center"/>
    </xf>
    <xf numFmtId="0" fontId="6" fillId="4" borderId="21" xfId="0" applyFont="1" applyFill="1" applyBorder="1" applyAlignment="1">
      <alignment horizontal="center" vertical="center" wrapText="1"/>
    </xf>
    <xf numFmtId="0" fontId="6" fillId="4" borderId="22" xfId="0" applyFont="1" applyFill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>
      <alignment horizontal="center" vertical="center"/>
    </xf>
    <xf numFmtId="0" fontId="14" fillId="4" borderId="14" xfId="0" applyFont="1" applyFill="1" applyBorder="1" applyAlignment="1">
      <alignment horizontal="center" vertical="center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Alignment="1">
      <alignment horizontal="center" vertical="center" wrapText="1"/>
    </xf>
    <xf numFmtId="183" fontId="5" fillId="15" borderId="0" xfId="0" applyNumberFormat="1" applyFont="1" applyFill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188" fontId="8" fillId="11" borderId="0" xfId="2" applyNumberFormat="1" applyFont="1" applyFill="1" applyAlignment="1" applyProtection="1">
      <alignment horizontal="center" vertical="center"/>
      <protection locked="0"/>
    </xf>
    <xf numFmtId="0" fontId="14" fillId="4" borderId="21" xfId="0" applyFont="1" applyFill="1" applyBorder="1" applyAlignment="1">
      <alignment horizontal="center" vertical="center"/>
    </xf>
    <xf numFmtId="0" fontId="14" fillId="4" borderId="23" xfId="0" applyFont="1" applyFill="1" applyBorder="1" applyAlignment="1">
      <alignment horizontal="center" vertical="center"/>
    </xf>
    <xf numFmtId="187" fontId="8" fillId="11" borderId="0" xfId="2" applyNumberFormat="1" applyFont="1" applyFill="1" applyAlignment="1" applyProtection="1">
      <alignment horizontal="center" vertical="center"/>
      <protection locked="0"/>
    </xf>
    <xf numFmtId="0" fontId="5" fillId="15" borderId="14" xfId="0" applyFont="1" applyFill="1" applyBorder="1" applyAlignment="1" applyProtection="1">
      <alignment horizontal="center" vertical="center"/>
      <protection locked="0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202"/>
  <sheetViews>
    <sheetView workbookViewId="0">
      <selection activeCell="H4" sqref="H4"/>
    </sheetView>
  </sheetViews>
  <sheetFormatPr defaultColWidth="10.09765625" defaultRowHeight="15.6" x14ac:dyDescent="0.4"/>
  <cols>
    <col min="1" max="7" width="10.09765625" style="1"/>
    <col min="8" max="8" width="10.8984375" style="1" bestFit="1" customWidth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67" t="s">
        <v>0</v>
      </c>
      <c r="B2" s="67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</row>
    <row r="3" spans="1:41" x14ac:dyDescent="0.4">
      <c r="A3" s="67"/>
      <c r="B3" s="67"/>
      <c r="C3" s="67"/>
      <c r="D3" s="67"/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7"/>
      <c r="V3" s="67"/>
    </row>
    <row r="4" spans="1:41" x14ac:dyDescent="0.4">
      <c r="A4" s="1">
        <f>4</f>
        <v>4</v>
      </c>
      <c r="B4" s="60" t="s">
        <v>1</v>
      </c>
      <c r="C4" s="60"/>
      <c r="D4" s="62">
        <v>1</v>
      </c>
      <c r="E4" s="62"/>
      <c r="G4" s="53" t="s">
        <v>86</v>
      </c>
      <c r="H4" s="54">
        <v>0</v>
      </c>
    </row>
    <row r="5" spans="1:41" x14ac:dyDescent="0.4">
      <c r="A5" s="1">
        <f>A4+1</f>
        <v>5</v>
      </c>
      <c r="B5" s="60" t="s">
        <v>29</v>
      </c>
      <c r="C5" s="60"/>
      <c r="D5" s="61">
        <v>45720</v>
      </c>
      <c r="E5" s="62"/>
      <c r="G5" s="68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69"/>
      <c r="H6" s="70" t="s">
        <v>4</v>
      </c>
      <c r="I6" s="64"/>
      <c r="L6" s="55" t="s">
        <v>74</v>
      </c>
      <c r="M6" s="55"/>
      <c r="N6" s="55"/>
      <c r="O6" s="63" t="s">
        <v>75</v>
      </c>
      <c r="P6" s="64"/>
      <c r="R6" s="55" t="s">
        <v>5</v>
      </c>
      <c r="S6" s="55"/>
      <c r="T6" s="55"/>
    </row>
    <row r="7" spans="1:41" x14ac:dyDescent="0.4">
      <c r="A7" s="1">
        <f t="shared" si="1"/>
        <v>7</v>
      </c>
      <c r="B7" s="60" t="s">
        <v>6</v>
      </c>
      <c r="C7" s="60"/>
      <c r="D7" s="62">
        <v>0</v>
      </c>
      <c r="E7" s="62"/>
      <c r="G7" s="69"/>
      <c r="H7" s="65"/>
      <c r="I7" s="66"/>
      <c r="L7" s="55"/>
      <c r="M7" s="55"/>
      <c r="N7" s="55"/>
      <c r="O7" s="65"/>
      <c r="P7" s="66"/>
      <c r="R7" s="55"/>
      <c r="S7" s="55"/>
      <c r="T7" s="55"/>
    </row>
    <row r="8" spans="1:41" x14ac:dyDescent="0.4">
      <c r="A8" s="1">
        <f t="shared" si="1"/>
        <v>8</v>
      </c>
      <c r="B8" s="60" t="s">
        <v>7</v>
      </c>
      <c r="C8" s="60"/>
      <c r="D8" s="62">
        <v>0.01</v>
      </c>
      <c r="E8" s="62"/>
      <c r="G8" s="69"/>
      <c r="I8" s="3" t="s">
        <v>8</v>
      </c>
      <c r="J8" s="3" t="s">
        <v>9</v>
      </c>
      <c r="K8" s="3" t="s">
        <v>10</v>
      </c>
      <c r="R8" s="55" t="s">
        <v>11</v>
      </c>
      <c r="S8" s="55"/>
      <c r="T8" s="4">
        <v>3</v>
      </c>
    </row>
    <row r="9" spans="1:41" x14ac:dyDescent="0.4">
      <c r="A9" s="1">
        <f t="shared" si="1"/>
        <v>9</v>
      </c>
      <c r="G9" s="69"/>
      <c r="H9" s="3" t="s">
        <v>12</v>
      </c>
      <c r="I9" s="5">
        <v>-1.3299999999999999E-2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69"/>
      <c r="H10" s="8" t="s">
        <v>13</v>
      </c>
      <c r="I10" s="56" t="s">
        <v>14</v>
      </c>
      <c r="J10" s="57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58" t="s">
        <v>17</v>
      </c>
      <c r="S10" s="58" t="s">
        <v>18</v>
      </c>
      <c r="T10" s="58" t="s">
        <v>19</v>
      </c>
      <c r="U10" s="58" t="s">
        <v>20</v>
      </c>
      <c r="V10" s="58" t="s">
        <v>21</v>
      </c>
      <c r="W10" s="58" t="s">
        <v>22</v>
      </c>
    </row>
    <row r="11" spans="1:41" x14ac:dyDescent="0.4">
      <c r="A11" s="1">
        <f t="shared" si="1"/>
        <v>11</v>
      </c>
      <c r="G11" s="69"/>
      <c r="H11" s="49">
        <v>45721</v>
      </c>
      <c r="I11" s="10">
        <v>6.3229999999999996E-3</v>
      </c>
      <c r="J11" s="11"/>
      <c r="K11" s="7">
        <v>45539</v>
      </c>
      <c r="L11" s="12">
        <v>1</v>
      </c>
      <c r="M11" s="44">
        <v>45721.000099999997</v>
      </c>
      <c r="N11" s="13">
        <v>2.7989E-2</v>
      </c>
      <c r="O11" s="44">
        <v>45721.000099999997</v>
      </c>
      <c r="P11" s="13">
        <v>2.7989E-2</v>
      </c>
      <c r="R11" s="59"/>
      <c r="S11" s="59"/>
      <c r="T11" s="59"/>
      <c r="U11" s="59"/>
      <c r="V11" s="59"/>
      <c r="W11" s="59"/>
    </row>
    <row r="12" spans="1:41" x14ac:dyDescent="0.4">
      <c r="A12" s="1">
        <f t="shared" si="1"/>
        <v>12</v>
      </c>
      <c r="G12" s="69"/>
      <c r="H12" s="49">
        <v>45750.999997500003</v>
      </c>
      <c r="I12" s="10">
        <v>6.3229999999999996E-3</v>
      </c>
      <c r="J12" s="11"/>
      <c r="K12" s="7">
        <v>45569</v>
      </c>
      <c r="L12" s="12">
        <f>L11+1</f>
        <v>2</v>
      </c>
      <c r="M12" s="44">
        <v>45722.000200000002</v>
      </c>
      <c r="N12" s="13">
        <v>2.7992E-2</v>
      </c>
      <c r="O12" s="44">
        <v>45722.000200000002</v>
      </c>
      <c r="P12" s="13">
        <v>2.7992E-2</v>
      </c>
      <c r="R12" s="14">
        <v>0.25</v>
      </c>
      <c r="S12" s="14">
        <v>1</v>
      </c>
      <c r="T12" s="15">
        <v>9.1889999999999993E-3</v>
      </c>
      <c r="U12" s="10">
        <v>1.7820460811036351E-3</v>
      </c>
      <c r="V12" s="10">
        <v>1.7820460810577456E-3</v>
      </c>
      <c r="W12" s="16">
        <v>4.5889507471752466E-14</v>
      </c>
    </row>
    <row r="13" spans="1:41" x14ac:dyDescent="0.4">
      <c r="A13" s="1">
        <f t="shared" si="1"/>
        <v>13</v>
      </c>
      <c r="C13" s="17" t="s">
        <v>22</v>
      </c>
      <c r="D13" s="71" t="s">
        <v>23</v>
      </c>
      <c r="E13" s="71"/>
      <c r="G13" s="69"/>
      <c r="H13" s="49">
        <v>45812.000002000001</v>
      </c>
      <c r="I13" s="10">
        <v>5.9312000000000002E-3</v>
      </c>
      <c r="J13" s="11"/>
      <c r="K13" s="7">
        <v>45629</v>
      </c>
      <c r="L13" s="12">
        <f t="shared" ref="L13:L53" si="2">L12+1</f>
        <v>3</v>
      </c>
      <c r="M13" s="44">
        <v>45812.998350000002</v>
      </c>
      <c r="N13" s="13">
        <v>2.8393999999999999E-2</v>
      </c>
      <c r="O13" s="44">
        <v>45812.998350000002</v>
      </c>
      <c r="P13" s="13">
        <v>2.8393999999999999E-2</v>
      </c>
      <c r="R13" s="14">
        <v>0.5</v>
      </c>
      <c r="S13" s="14">
        <v>2</v>
      </c>
      <c r="T13" s="15">
        <v>9.3720000000000001E-3</v>
      </c>
      <c r="U13" s="10">
        <v>5.0325525341518461E-3</v>
      </c>
      <c r="V13" s="10">
        <v>5.0325525342047673E-3</v>
      </c>
      <c r="W13" s="16">
        <v>-5.2921209081624454E-14</v>
      </c>
    </row>
    <row r="14" spans="1:41" x14ac:dyDescent="0.4">
      <c r="A14" s="1">
        <f t="shared" si="1"/>
        <v>14</v>
      </c>
      <c r="D14" s="71"/>
      <c r="E14" s="71"/>
      <c r="G14" s="69"/>
      <c r="H14" s="49">
        <v>45903.999785</v>
      </c>
      <c r="I14" s="10">
        <v>5.6103730000000001E-3</v>
      </c>
      <c r="J14" s="11"/>
      <c r="K14" s="7">
        <v>45720</v>
      </c>
      <c r="L14" s="12">
        <f t="shared" si="2"/>
        <v>4</v>
      </c>
      <c r="M14" s="44">
        <v>45904.999884999997</v>
      </c>
      <c r="N14" s="13">
        <v>2.7553999999999999E-2</v>
      </c>
      <c r="O14" s="44">
        <v>45904.999884999997</v>
      </c>
      <c r="P14" s="13">
        <v>2.7553999999999999E-2</v>
      </c>
      <c r="R14" s="14">
        <v>0.75</v>
      </c>
      <c r="S14" s="14">
        <v>3</v>
      </c>
      <c r="T14" s="15">
        <v>9.4859999999999996E-3</v>
      </c>
      <c r="U14" s="10">
        <v>9.1647895412069226E-3</v>
      </c>
      <c r="V14" s="10">
        <v>9.1647895411654905E-3</v>
      </c>
      <c r="W14" s="16">
        <v>4.1432135500230061E-14</v>
      </c>
    </row>
    <row r="15" spans="1:41" x14ac:dyDescent="0.4">
      <c r="A15" s="1">
        <f t="shared" si="1"/>
        <v>15</v>
      </c>
      <c r="D15" s="71"/>
      <c r="E15" s="71"/>
      <c r="G15" s="69"/>
      <c r="H15" s="49">
        <v>46085</v>
      </c>
      <c r="I15" s="10">
        <v>5.2599999999999999E-3</v>
      </c>
      <c r="J15" s="11"/>
      <c r="K15" s="7">
        <v>45903</v>
      </c>
      <c r="L15" s="12">
        <f t="shared" si="2"/>
        <v>5</v>
      </c>
      <c r="M15" s="44">
        <v>45995.999860000004</v>
      </c>
      <c r="N15" s="13">
        <v>2.6807000000000001E-2</v>
      </c>
      <c r="O15" s="44">
        <v>45995.999860000004</v>
      </c>
      <c r="P15" s="13">
        <v>2.6807000000000001E-2</v>
      </c>
      <c r="R15" s="14">
        <v>1</v>
      </c>
      <c r="S15" s="14">
        <v>4</v>
      </c>
      <c r="T15" s="15">
        <v>9.6360000000000005E-3</v>
      </c>
      <c r="U15" s="10">
        <v>1.4037362284912668E-2</v>
      </c>
      <c r="V15" s="10">
        <v>1.4037362284931562E-2</v>
      </c>
      <c r="W15" s="16">
        <v>-1.8894608100339383E-14</v>
      </c>
    </row>
    <row r="16" spans="1:41" x14ac:dyDescent="0.4">
      <c r="A16" s="1">
        <f t="shared" si="1"/>
        <v>16</v>
      </c>
      <c r="G16" s="69"/>
      <c r="H16" s="49">
        <v>46450</v>
      </c>
      <c r="I16" s="10">
        <v>5.1613800000000001E-3</v>
      </c>
      <c r="J16" s="11"/>
      <c r="K16" s="7">
        <v>46268</v>
      </c>
      <c r="L16" s="12">
        <f t="shared" si="2"/>
        <v>6</v>
      </c>
      <c r="M16" s="44">
        <v>46086.000099999997</v>
      </c>
      <c r="N16" s="13">
        <v>2.6329999999999999E-2</v>
      </c>
      <c r="O16" s="44">
        <v>46086.000099999997</v>
      </c>
      <c r="P16" s="13">
        <v>2.6329999999999999E-2</v>
      </c>
      <c r="R16" s="14">
        <v>2</v>
      </c>
      <c r="S16" s="14">
        <v>5</v>
      </c>
      <c r="T16" s="15">
        <v>8.6180000000000007E-3</v>
      </c>
      <c r="U16" s="10">
        <v>2.1274647699104803E-2</v>
      </c>
      <c r="V16" s="10">
        <v>2.1274647699098086E-2</v>
      </c>
      <c r="W16" s="16">
        <v>6.7168492989821971E-15</v>
      </c>
    </row>
    <row r="17" spans="1:23" x14ac:dyDescent="0.4">
      <c r="A17" s="1">
        <f t="shared" si="1"/>
        <v>17</v>
      </c>
      <c r="D17" s="72">
        <v>45202.835729166669</v>
      </c>
      <c r="E17" s="72"/>
      <c r="G17" s="69"/>
      <c r="H17" s="49">
        <v>46817.999935</v>
      </c>
      <c r="I17" s="10">
        <v>4.4970000000000001E-3</v>
      </c>
      <c r="J17" s="11"/>
      <c r="K17" s="7">
        <v>46633</v>
      </c>
      <c r="L17" s="12">
        <f t="shared" si="2"/>
        <v>7</v>
      </c>
      <c r="M17" s="44">
        <v>46272.000085</v>
      </c>
      <c r="N17" s="13">
        <v>2.5805999999999999E-2</v>
      </c>
      <c r="O17" s="44">
        <v>46272.000085</v>
      </c>
      <c r="P17" s="13">
        <v>2.5805999999999999E-2</v>
      </c>
      <c r="R17" s="14">
        <v>3</v>
      </c>
      <c r="S17" s="14">
        <v>7</v>
      </c>
      <c r="T17" s="15">
        <v>7.5290000000000001E-3</v>
      </c>
      <c r="U17" s="10">
        <v>3.0094260391970648E-2</v>
      </c>
      <c r="V17" s="10">
        <v>3.009426039197385E-2</v>
      </c>
      <c r="W17" s="16">
        <v>-3.2022995366531859E-15</v>
      </c>
    </row>
    <row r="18" spans="1:23" x14ac:dyDescent="0.4">
      <c r="A18" s="1">
        <f t="shared" si="1"/>
        <v>18</v>
      </c>
      <c r="D18" s="72">
        <v>45202.835729166669</v>
      </c>
      <c r="E18" s="72"/>
      <c r="G18" s="69"/>
      <c r="H18" s="49">
        <v>47181.999835000002</v>
      </c>
      <c r="I18" s="10">
        <v>4.5618999999999998E-3</v>
      </c>
      <c r="J18" s="11"/>
      <c r="K18" s="7">
        <v>47001</v>
      </c>
      <c r="L18" s="12">
        <f t="shared" si="2"/>
        <v>8</v>
      </c>
      <c r="M18" s="44">
        <v>46451.000099999997</v>
      </c>
      <c r="N18" s="13">
        <v>2.5454999999999998E-2</v>
      </c>
      <c r="O18" s="44">
        <v>46451.000099999997</v>
      </c>
      <c r="P18" s="13">
        <v>2.5454999999999998E-2</v>
      </c>
      <c r="R18" s="14">
        <v>5</v>
      </c>
      <c r="S18" s="14">
        <v>10</v>
      </c>
      <c r="T18" s="15">
        <v>6.8240000000000002E-3</v>
      </c>
      <c r="U18" s="10">
        <v>4.5431966973548017E-2</v>
      </c>
      <c r="V18" s="10">
        <v>4.5431966973547483E-2</v>
      </c>
      <c r="W18" s="16">
        <v>5.3429483060085659E-16</v>
      </c>
    </row>
    <row r="19" spans="1:23" x14ac:dyDescent="0.4">
      <c r="A19" s="1">
        <f t="shared" si="1"/>
        <v>19</v>
      </c>
      <c r="G19" s="69"/>
      <c r="H19" s="49">
        <v>47545.985500000003</v>
      </c>
      <c r="I19" s="10">
        <v>4.3251299999999999E-3</v>
      </c>
      <c r="J19" s="11"/>
      <c r="K19" s="7">
        <v>47363</v>
      </c>
      <c r="L19" s="12">
        <f t="shared" si="2"/>
        <v>9</v>
      </c>
      <c r="M19" s="44">
        <v>46818.0003</v>
      </c>
      <c r="N19" s="13">
        <v>2.5153999999999999E-2</v>
      </c>
      <c r="O19" s="44">
        <v>46818.0003</v>
      </c>
      <c r="P19" s="13">
        <v>2.5153999999999999E-2</v>
      </c>
      <c r="R19" s="14"/>
      <c r="S19" s="14"/>
      <c r="T19" s="15"/>
      <c r="U19" s="10"/>
      <c r="V19" s="10"/>
      <c r="W19" s="16"/>
    </row>
    <row r="20" spans="1:23" x14ac:dyDescent="0.4">
      <c r="A20" s="1">
        <f t="shared" si="1"/>
        <v>20</v>
      </c>
      <c r="G20" s="69"/>
      <c r="H20" s="49">
        <v>48277.0075</v>
      </c>
      <c r="I20" s="10">
        <v>4.0889999999999998E-3</v>
      </c>
      <c r="J20" s="11"/>
      <c r="K20" s="7">
        <v>48093</v>
      </c>
      <c r="L20" s="12">
        <f t="shared" si="2"/>
        <v>10</v>
      </c>
      <c r="M20" s="44">
        <v>47182.000200000002</v>
      </c>
      <c r="N20" s="13">
        <v>2.5235E-2</v>
      </c>
      <c r="O20" s="44">
        <v>47182.000200000002</v>
      </c>
      <c r="P20" s="13">
        <v>2.5235E-2</v>
      </c>
      <c r="R20" s="14"/>
      <c r="S20" s="14"/>
      <c r="T20" s="15"/>
      <c r="U20" s="10"/>
      <c r="V20" s="10"/>
      <c r="W20" s="16"/>
    </row>
    <row r="21" spans="1:23" x14ac:dyDescent="0.4">
      <c r="A21" s="1">
        <f t="shared" si="1"/>
        <v>21</v>
      </c>
      <c r="G21" s="69"/>
      <c r="H21" s="49">
        <v>49372.993000000002</v>
      </c>
      <c r="I21" s="10">
        <v>3.7569999999999999E-3</v>
      </c>
      <c r="J21" s="11"/>
      <c r="K21" s="7">
        <v>48906</v>
      </c>
      <c r="L21" s="12">
        <f t="shared" si="2"/>
        <v>11</v>
      </c>
      <c r="M21" s="44">
        <v>47547.000200000002</v>
      </c>
      <c r="N21" s="13">
        <v>2.5264000000000002E-2</v>
      </c>
      <c r="O21" s="44">
        <v>47547.000200000002</v>
      </c>
      <c r="P21" s="13">
        <v>2.5264000000000002E-2</v>
      </c>
      <c r="R21" s="14"/>
      <c r="S21" s="14"/>
      <c r="T21" s="15"/>
      <c r="U21" s="10"/>
      <c r="V21" s="10"/>
      <c r="W21" s="16"/>
    </row>
    <row r="22" spans="1:23" x14ac:dyDescent="0.4">
      <c r="A22" s="1">
        <f t="shared" si="1"/>
        <v>22</v>
      </c>
      <c r="G22" s="69"/>
      <c r="H22" s="49">
        <v>53209.982499999998</v>
      </c>
      <c r="I22" s="10">
        <v>3.6800000000000001E-3</v>
      </c>
      <c r="J22" s="11"/>
      <c r="K22" s="7">
        <v>59856</v>
      </c>
      <c r="L22" s="12">
        <f t="shared" si="2"/>
        <v>12</v>
      </c>
      <c r="M22" s="44">
        <v>47912.000200000002</v>
      </c>
      <c r="N22" s="13">
        <v>2.5396999999999999E-2</v>
      </c>
      <c r="O22" s="44">
        <v>47912.000200000002</v>
      </c>
      <c r="P22" s="13">
        <v>2.5396999999999999E-2</v>
      </c>
      <c r="R22" s="14"/>
      <c r="S22" s="14"/>
      <c r="T22" s="15"/>
      <c r="U22" s="10"/>
      <c r="V22" s="10"/>
      <c r="W22" s="16"/>
    </row>
    <row r="23" spans="1:23" x14ac:dyDescent="0.4">
      <c r="A23" s="1">
        <f t="shared" si="1"/>
        <v>23</v>
      </c>
      <c r="B23" s="60" t="s">
        <v>24</v>
      </c>
      <c r="C23" s="60"/>
      <c r="D23" s="62">
        <v>1</v>
      </c>
      <c r="E23" s="62"/>
      <c r="G23" s="69"/>
      <c r="H23" s="49">
        <v>64159.8</v>
      </c>
      <c r="I23" s="10">
        <v>3.6800000000000001E-3</v>
      </c>
      <c r="J23" s="11"/>
      <c r="L23" s="12">
        <f t="shared" si="2"/>
        <v>13</v>
      </c>
      <c r="M23" s="44">
        <v>48277.999935</v>
      </c>
      <c r="N23" s="13">
        <v>2.5531000000000002E-2</v>
      </c>
      <c r="O23" s="44">
        <v>48277.999935</v>
      </c>
      <c r="P23" s="13">
        <v>2.5531000000000002E-2</v>
      </c>
      <c r="R23" s="14"/>
      <c r="S23" s="14"/>
      <c r="T23" s="15"/>
      <c r="U23" s="10"/>
      <c r="V23" s="10"/>
      <c r="W23" s="16"/>
    </row>
    <row r="24" spans="1:23" x14ac:dyDescent="0.4">
      <c r="A24" s="1">
        <f t="shared" si="1"/>
        <v>24</v>
      </c>
      <c r="B24" s="60" t="s">
        <v>25</v>
      </c>
      <c r="C24" s="60"/>
      <c r="D24" s="62">
        <v>0</v>
      </c>
      <c r="E24" s="62"/>
      <c r="G24" s="69"/>
      <c r="H24" s="49"/>
      <c r="I24" s="10"/>
      <c r="J24" s="11"/>
      <c r="L24" s="12">
        <f t="shared" si="2"/>
        <v>14</v>
      </c>
      <c r="M24" s="44">
        <v>48645.000135000002</v>
      </c>
      <c r="N24" s="13">
        <v>2.5638000000000001E-2</v>
      </c>
      <c r="O24" s="44">
        <v>48645.000135000002</v>
      </c>
      <c r="P24" s="13">
        <v>2.5638000000000001E-2</v>
      </c>
      <c r="R24" s="14"/>
      <c r="S24" s="14"/>
      <c r="T24" s="15"/>
      <c r="U24" s="10"/>
      <c r="V24" s="10"/>
      <c r="W24" s="16"/>
    </row>
    <row r="25" spans="1:23" x14ac:dyDescent="0.4">
      <c r="A25" s="1">
        <f t="shared" si="1"/>
        <v>25</v>
      </c>
      <c r="B25" s="60" t="s">
        <v>26</v>
      </c>
      <c r="C25" s="60"/>
      <c r="D25" s="62">
        <v>-0.1</v>
      </c>
      <c r="E25" s="62"/>
      <c r="G25" s="69"/>
      <c r="H25" s="49"/>
      <c r="I25" s="10"/>
      <c r="J25" s="11"/>
      <c r="L25" s="12">
        <f t="shared" si="2"/>
        <v>15</v>
      </c>
      <c r="M25" s="44">
        <v>49009.000034999997</v>
      </c>
      <c r="N25" s="13">
        <v>2.5718999999999999E-2</v>
      </c>
      <c r="O25" s="44">
        <v>49009.000034999997</v>
      </c>
      <c r="P25" s="13">
        <v>2.5718999999999999E-2</v>
      </c>
      <c r="R25" s="14"/>
      <c r="S25" s="14"/>
      <c r="T25" s="15"/>
      <c r="U25" s="10"/>
      <c r="V25" s="10"/>
      <c r="W25" s="16"/>
    </row>
    <row r="26" spans="1:23" x14ac:dyDescent="0.4">
      <c r="A26" s="1">
        <f t="shared" si="1"/>
        <v>26</v>
      </c>
      <c r="B26" s="60" t="s">
        <v>27</v>
      </c>
      <c r="C26" s="60"/>
      <c r="D26" s="62">
        <v>0.15</v>
      </c>
      <c r="E26" s="62"/>
      <c r="G26" s="69"/>
      <c r="H26" s="49"/>
      <c r="I26" s="10"/>
      <c r="J26" s="11"/>
      <c r="L26" s="12">
        <f t="shared" si="2"/>
        <v>16</v>
      </c>
      <c r="M26" s="44">
        <v>49373.0003</v>
      </c>
      <c r="N26" s="13">
        <v>2.5856000000000001E-2</v>
      </c>
      <c r="O26" s="44">
        <v>49373.0003</v>
      </c>
      <c r="P26" s="13">
        <v>2.5856000000000001E-2</v>
      </c>
      <c r="R26" s="14"/>
      <c r="S26" s="14"/>
      <c r="T26" s="15"/>
      <c r="U26" s="10"/>
      <c r="V26" s="10"/>
      <c r="W26" s="16"/>
    </row>
    <row r="27" spans="1:23" x14ac:dyDescent="0.4">
      <c r="A27" s="1">
        <f t="shared" si="1"/>
        <v>27</v>
      </c>
      <c r="G27" s="69"/>
      <c r="H27" s="49"/>
      <c r="I27" s="10"/>
      <c r="J27" s="11"/>
      <c r="L27" s="12">
        <f t="shared" si="2"/>
        <v>17</v>
      </c>
      <c r="M27" s="44">
        <v>50104.000399999997</v>
      </c>
      <c r="N27" s="13">
        <v>2.6048999999999999E-2</v>
      </c>
      <c r="O27" s="44">
        <v>50104.000399999997</v>
      </c>
      <c r="P27" s="13">
        <v>2.6048999999999999E-2</v>
      </c>
      <c r="R27" s="14"/>
      <c r="S27" s="14"/>
      <c r="T27" s="15"/>
      <c r="U27" s="10"/>
      <c r="V27" s="10"/>
      <c r="W27" s="16"/>
    </row>
    <row r="28" spans="1:23" x14ac:dyDescent="0.4">
      <c r="A28" s="1">
        <f t="shared" si="1"/>
        <v>28</v>
      </c>
      <c r="G28" s="69"/>
      <c r="H28" s="49"/>
      <c r="I28" s="10"/>
      <c r="J28" s="11"/>
      <c r="L28" s="12">
        <f t="shared" si="2"/>
        <v>18</v>
      </c>
      <c r="M28" s="44">
        <v>51200.000500000002</v>
      </c>
      <c r="N28" s="13">
        <v>2.5597999999999999E-2</v>
      </c>
      <c r="O28" s="44">
        <v>51200.000500000002</v>
      </c>
      <c r="P28" s="13">
        <v>2.5597999999999999E-2</v>
      </c>
      <c r="R28" s="14"/>
      <c r="S28" s="14"/>
      <c r="T28" s="15"/>
      <c r="U28" s="10"/>
      <c r="V28" s="10"/>
      <c r="W28" s="16"/>
    </row>
    <row r="29" spans="1:23" x14ac:dyDescent="0.4">
      <c r="A29" s="1">
        <f t="shared" si="1"/>
        <v>29</v>
      </c>
      <c r="G29" s="69"/>
      <c r="H29" s="49"/>
      <c r="I29" s="10"/>
      <c r="J29" s="11"/>
      <c r="L29" s="12">
        <f t="shared" si="2"/>
        <v>19</v>
      </c>
      <c r="M29" s="44">
        <v>53027.000699999997</v>
      </c>
      <c r="N29" s="13">
        <v>2.4243000000000001E-2</v>
      </c>
      <c r="O29" s="44">
        <v>53027.000699999997</v>
      </c>
      <c r="P29" s="13">
        <v>2.4243000000000001E-2</v>
      </c>
      <c r="R29" s="14"/>
      <c r="S29" s="14"/>
      <c r="T29" s="15"/>
      <c r="U29" s="10"/>
      <c r="V29" s="10"/>
      <c r="W29" s="16"/>
    </row>
    <row r="30" spans="1:23" x14ac:dyDescent="0.4">
      <c r="A30" s="1">
        <f t="shared" si="1"/>
        <v>30</v>
      </c>
      <c r="G30" s="69"/>
      <c r="H30" s="49"/>
      <c r="I30" s="10"/>
      <c r="J30" s="11"/>
      <c r="L30" s="12">
        <f t="shared" si="2"/>
        <v>20</v>
      </c>
      <c r="M30" s="44">
        <v>54854.000899999999</v>
      </c>
      <c r="N30" s="13">
        <v>2.2474000000000001E-2</v>
      </c>
      <c r="O30" s="44">
        <v>54854.000899999999</v>
      </c>
      <c r="P30" s="13">
        <v>2.2474000000000001E-2</v>
      </c>
      <c r="R30" s="14"/>
      <c r="S30" s="14"/>
      <c r="T30" s="15"/>
      <c r="U30" s="10"/>
      <c r="V30" s="10"/>
      <c r="W30" s="16"/>
    </row>
    <row r="31" spans="1:23" x14ac:dyDescent="0.4">
      <c r="A31" s="1">
        <f t="shared" si="1"/>
        <v>31</v>
      </c>
      <c r="G31" s="69"/>
      <c r="H31" s="49"/>
      <c r="I31" s="10"/>
      <c r="J31" s="11"/>
      <c r="L31" s="12">
        <f t="shared" si="2"/>
        <v>21</v>
      </c>
      <c r="M31" s="44">
        <v>56678.000800000002</v>
      </c>
      <c r="N31" s="13">
        <v>2.1085E-2</v>
      </c>
      <c r="O31" s="44">
        <v>56678.000800000002</v>
      </c>
      <c r="P31" s="13">
        <v>2.1085E-2</v>
      </c>
      <c r="R31" s="14"/>
      <c r="S31" s="14"/>
      <c r="T31" s="15"/>
      <c r="U31" s="10"/>
      <c r="V31" s="10"/>
      <c r="W31" s="16"/>
    </row>
    <row r="32" spans="1:23" x14ac:dyDescent="0.4">
      <c r="A32" s="1">
        <f t="shared" si="1"/>
        <v>32</v>
      </c>
      <c r="G32" s="69"/>
      <c r="H32" s="49"/>
      <c r="I32" s="10"/>
      <c r="J32" s="11"/>
      <c r="L32" s="12">
        <f t="shared" si="2"/>
        <v>22</v>
      </c>
      <c r="M32" s="45"/>
      <c r="N32" s="18"/>
      <c r="O32" s="45"/>
      <c r="P32" s="18"/>
      <c r="R32" s="14"/>
      <c r="S32" s="14"/>
      <c r="T32" s="15"/>
      <c r="U32" s="10"/>
      <c r="V32" s="10"/>
      <c r="W32" s="16"/>
    </row>
    <row r="33" spans="1:23" x14ac:dyDescent="0.4">
      <c r="A33" s="1">
        <f t="shared" si="1"/>
        <v>33</v>
      </c>
      <c r="G33" s="69"/>
      <c r="H33" s="49"/>
      <c r="I33" s="10"/>
      <c r="J33" s="11"/>
      <c r="L33" s="12">
        <f t="shared" si="2"/>
        <v>23</v>
      </c>
      <c r="M33" s="45"/>
      <c r="N33" s="18"/>
      <c r="O33" s="45"/>
      <c r="P33" s="18"/>
      <c r="R33" s="14"/>
      <c r="S33" s="14"/>
      <c r="T33" s="15"/>
      <c r="U33" s="10"/>
      <c r="V33" s="10"/>
      <c r="W33" s="16"/>
    </row>
    <row r="34" spans="1:23" x14ac:dyDescent="0.4">
      <c r="A34" s="1">
        <f t="shared" si="1"/>
        <v>34</v>
      </c>
      <c r="G34" s="69"/>
      <c r="H34" s="49"/>
      <c r="I34" s="10"/>
      <c r="J34" s="11"/>
      <c r="L34" s="12">
        <f t="shared" si="2"/>
        <v>24</v>
      </c>
      <c r="M34" s="45"/>
      <c r="N34" s="18"/>
      <c r="O34" s="45"/>
      <c r="P34" s="18"/>
      <c r="R34" s="14"/>
      <c r="S34" s="14"/>
      <c r="T34" s="15"/>
      <c r="U34" s="10"/>
      <c r="V34" s="10"/>
      <c r="W34" s="16"/>
    </row>
    <row r="35" spans="1:23" x14ac:dyDescent="0.4">
      <c r="A35" s="1">
        <f t="shared" si="1"/>
        <v>35</v>
      </c>
      <c r="G35" s="69"/>
      <c r="H35" s="49"/>
      <c r="I35" s="10"/>
      <c r="J35" s="11"/>
      <c r="L35" s="12">
        <f t="shared" si="2"/>
        <v>25</v>
      </c>
      <c r="M35" s="45"/>
      <c r="N35" s="18"/>
      <c r="O35" s="45"/>
      <c r="P35" s="18"/>
      <c r="R35" s="14"/>
      <c r="S35" s="14"/>
      <c r="T35" s="15"/>
      <c r="U35" s="10"/>
      <c r="V35" s="10"/>
      <c r="W35" s="16"/>
    </row>
    <row r="36" spans="1:23" x14ac:dyDescent="0.4">
      <c r="A36" s="1">
        <f t="shared" si="1"/>
        <v>36</v>
      </c>
      <c r="G36" s="69"/>
      <c r="H36" s="49"/>
      <c r="I36" s="10"/>
      <c r="J36" s="11"/>
      <c r="L36" s="12">
        <f t="shared" si="2"/>
        <v>26</v>
      </c>
      <c r="M36" s="45"/>
      <c r="N36" s="18"/>
      <c r="O36" s="45"/>
      <c r="P36" s="18"/>
      <c r="R36" s="14"/>
      <c r="S36" s="14"/>
      <c r="T36" s="15"/>
      <c r="U36" s="10"/>
      <c r="V36" s="10"/>
      <c r="W36" s="16"/>
    </row>
    <row r="37" spans="1:23" x14ac:dyDescent="0.4">
      <c r="A37" s="1">
        <f t="shared" si="1"/>
        <v>37</v>
      </c>
      <c r="G37" s="69"/>
      <c r="H37" s="49"/>
      <c r="I37" s="10"/>
      <c r="J37" s="11"/>
      <c r="L37" s="12">
        <f t="shared" si="2"/>
        <v>27</v>
      </c>
      <c r="M37" s="45"/>
      <c r="N37" s="18"/>
      <c r="O37" s="45"/>
      <c r="P37" s="18"/>
      <c r="R37" s="14"/>
      <c r="S37" s="14"/>
      <c r="T37" s="15"/>
      <c r="U37" s="10"/>
      <c r="V37" s="10"/>
      <c r="W37" s="16"/>
    </row>
    <row r="38" spans="1:23" x14ac:dyDescent="0.4">
      <c r="A38" s="1">
        <f t="shared" si="1"/>
        <v>38</v>
      </c>
      <c r="G38" s="69"/>
      <c r="H38" s="49"/>
      <c r="I38" s="10"/>
      <c r="J38" s="11"/>
      <c r="L38" s="12">
        <f t="shared" si="2"/>
        <v>28</v>
      </c>
      <c r="M38" s="45"/>
      <c r="N38" s="18"/>
      <c r="O38" s="45"/>
      <c r="P38" s="18"/>
      <c r="R38" s="14"/>
      <c r="S38" s="14"/>
      <c r="T38" s="15"/>
      <c r="U38" s="10"/>
      <c r="V38" s="10"/>
      <c r="W38" s="16"/>
    </row>
    <row r="39" spans="1:23" x14ac:dyDescent="0.4">
      <c r="A39" s="1">
        <f t="shared" si="1"/>
        <v>39</v>
      </c>
      <c r="G39" s="69"/>
      <c r="H39" s="49"/>
      <c r="I39" s="10"/>
      <c r="J39" s="11"/>
      <c r="L39" s="12">
        <f t="shared" si="2"/>
        <v>29</v>
      </c>
      <c r="M39" s="45"/>
      <c r="N39" s="18"/>
      <c r="O39" s="45"/>
      <c r="P39" s="18"/>
      <c r="R39" s="14"/>
      <c r="S39" s="14"/>
      <c r="T39" s="15"/>
      <c r="U39" s="10"/>
      <c r="V39" s="10"/>
      <c r="W39" s="16"/>
    </row>
    <row r="40" spans="1:23" x14ac:dyDescent="0.4">
      <c r="A40" s="1">
        <f t="shared" si="1"/>
        <v>40</v>
      </c>
      <c r="G40" s="69"/>
      <c r="H40" s="49"/>
      <c r="I40" s="10"/>
      <c r="J40" s="11"/>
      <c r="L40" s="12">
        <f t="shared" si="2"/>
        <v>30</v>
      </c>
      <c r="M40" s="45"/>
      <c r="N40" s="18"/>
      <c r="O40" s="45"/>
      <c r="P40" s="18"/>
      <c r="R40" s="14"/>
      <c r="S40" s="14"/>
      <c r="T40" s="15"/>
      <c r="U40" s="10"/>
      <c r="V40" s="10"/>
      <c r="W40" s="16"/>
    </row>
    <row r="41" spans="1:23" x14ac:dyDescent="0.4">
      <c r="A41" s="1">
        <f t="shared" si="1"/>
        <v>41</v>
      </c>
      <c r="G41" s="19"/>
      <c r="H41" s="49"/>
      <c r="I41" s="10"/>
      <c r="J41" s="11"/>
      <c r="L41" s="12">
        <f t="shared" si="2"/>
        <v>31</v>
      </c>
      <c r="M41" s="45"/>
      <c r="N41" s="18"/>
      <c r="O41" s="45"/>
      <c r="P41" s="18"/>
      <c r="R41" s="14"/>
      <c r="S41" s="14"/>
      <c r="T41" s="15"/>
      <c r="U41" s="10"/>
      <c r="V41" s="10"/>
      <c r="W41" s="16"/>
    </row>
    <row r="42" spans="1:23" x14ac:dyDescent="0.4">
      <c r="A42" s="1">
        <f t="shared" si="1"/>
        <v>42</v>
      </c>
      <c r="G42" s="19"/>
      <c r="H42" s="49"/>
      <c r="I42" s="10"/>
      <c r="J42" s="11"/>
      <c r="L42" s="12">
        <f t="shared" si="2"/>
        <v>32</v>
      </c>
      <c r="M42" s="45"/>
      <c r="N42" s="18"/>
      <c r="O42" s="45"/>
      <c r="P42" s="18"/>
      <c r="R42" s="14"/>
      <c r="S42" s="14"/>
      <c r="T42" s="15"/>
      <c r="U42" s="10"/>
      <c r="V42" s="10"/>
      <c r="W42" s="16"/>
    </row>
    <row r="43" spans="1:23" x14ac:dyDescent="0.4">
      <c r="A43" s="1">
        <f t="shared" si="1"/>
        <v>43</v>
      </c>
      <c r="G43" s="19"/>
      <c r="H43" s="49"/>
      <c r="I43" s="10"/>
      <c r="J43" s="11"/>
      <c r="L43" s="12">
        <f t="shared" si="2"/>
        <v>33</v>
      </c>
      <c r="M43" s="45"/>
      <c r="N43" s="18"/>
      <c r="O43" s="45"/>
      <c r="P43" s="18"/>
      <c r="R43" s="14"/>
      <c r="S43" s="14"/>
      <c r="T43" s="15"/>
      <c r="U43" s="10"/>
      <c r="V43" s="10"/>
      <c r="W43" s="16"/>
    </row>
    <row r="44" spans="1:23" x14ac:dyDescent="0.4">
      <c r="A44" s="1">
        <f t="shared" si="1"/>
        <v>44</v>
      </c>
      <c r="G44" s="19"/>
      <c r="H44" s="49"/>
      <c r="I44" s="10"/>
      <c r="J44" s="11"/>
      <c r="L44" s="12">
        <f t="shared" si="2"/>
        <v>34</v>
      </c>
      <c r="M44" s="45"/>
      <c r="N44" s="18"/>
      <c r="O44" s="45"/>
      <c r="P44" s="18"/>
      <c r="R44" s="14"/>
      <c r="S44" s="14"/>
      <c r="T44" s="15"/>
      <c r="U44" s="10"/>
      <c r="V44" s="10"/>
      <c r="W44" s="16"/>
    </row>
    <row r="45" spans="1:23" x14ac:dyDescent="0.4">
      <c r="A45" s="1">
        <f t="shared" si="1"/>
        <v>45</v>
      </c>
      <c r="G45" s="19"/>
      <c r="H45" s="49"/>
      <c r="I45" s="10"/>
      <c r="J45" s="11"/>
      <c r="L45" s="12">
        <f t="shared" si="2"/>
        <v>35</v>
      </c>
      <c r="M45" s="45"/>
      <c r="N45" s="18"/>
      <c r="O45" s="45"/>
      <c r="P45" s="18"/>
      <c r="R45" s="14"/>
      <c r="S45" s="14"/>
      <c r="T45" s="15"/>
      <c r="U45" s="10"/>
      <c r="V45" s="10"/>
      <c r="W45" s="16"/>
    </row>
    <row r="46" spans="1:23" x14ac:dyDescent="0.4">
      <c r="A46" s="1">
        <f t="shared" si="1"/>
        <v>46</v>
      </c>
      <c r="G46" s="19"/>
      <c r="H46" s="49"/>
      <c r="I46" s="10"/>
      <c r="J46" s="11"/>
      <c r="L46" s="12">
        <f t="shared" si="2"/>
        <v>36</v>
      </c>
      <c r="M46" s="45"/>
      <c r="N46" s="18"/>
      <c r="O46" s="45"/>
      <c r="P46" s="18"/>
      <c r="R46" s="14"/>
      <c r="S46" s="14"/>
      <c r="T46" s="15"/>
      <c r="U46" s="10"/>
      <c r="V46" s="10"/>
      <c r="W46" s="16"/>
    </row>
    <row r="47" spans="1:23" x14ac:dyDescent="0.4">
      <c r="A47" s="1">
        <f t="shared" si="1"/>
        <v>47</v>
      </c>
      <c r="G47" s="19"/>
      <c r="H47" s="49"/>
      <c r="I47" s="10"/>
      <c r="J47" s="11"/>
      <c r="L47" s="12">
        <f t="shared" si="2"/>
        <v>37</v>
      </c>
      <c r="M47" s="45"/>
      <c r="N47" s="18"/>
      <c r="O47" s="45"/>
      <c r="P47" s="18"/>
      <c r="R47" s="14"/>
      <c r="S47" s="14"/>
      <c r="T47" s="15"/>
      <c r="U47" s="10"/>
      <c r="V47" s="10"/>
      <c r="W47" s="16"/>
    </row>
    <row r="48" spans="1:23" x14ac:dyDescent="0.4">
      <c r="A48" s="1">
        <f t="shared" si="1"/>
        <v>48</v>
      </c>
      <c r="G48" s="19"/>
      <c r="H48" s="49"/>
      <c r="I48" s="10"/>
      <c r="J48" s="11"/>
      <c r="L48" s="12">
        <f t="shared" si="2"/>
        <v>38</v>
      </c>
      <c r="M48" s="45"/>
      <c r="N48" s="18"/>
      <c r="O48" s="45"/>
      <c r="P48" s="18"/>
      <c r="R48" s="14"/>
      <c r="S48" s="14"/>
      <c r="T48" s="15"/>
      <c r="U48" s="10"/>
      <c r="V48" s="10"/>
      <c r="W48" s="16"/>
    </row>
    <row r="49" spans="1:23" x14ac:dyDescent="0.4">
      <c r="A49" s="1">
        <f t="shared" si="1"/>
        <v>49</v>
      </c>
      <c r="G49" s="19"/>
      <c r="H49" s="49"/>
      <c r="I49" s="10"/>
      <c r="J49" s="11"/>
      <c r="L49" s="12">
        <f t="shared" si="2"/>
        <v>39</v>
      </c>
      <c r="M49" s="45"/>
      <c r="N49" s="18"/>
      <c r="O49" s="45"/>
      <c r="P49" s="18"/>
      <c r="R49" s="14"/>
      <c r="S49" s="14"/>
      <c r="T49" s="15"/>
      <c r="U49" s="10"/>
      <c r="V49" s="10"/>
      <c r="W49" s="16"/>
    </row>
    <row r="50" spans="1:23" x14ac:dyDescent="0.4">
      <c r="A50" s="1">
        <f t="shared" si="1"/>
        <v>50</v>
      </c>
      <c r="G50" s="19"/>
      <c r="H50" s="49"/>
      <c r="I50" s="10"/>
      <c r="J50" s="11"/>
      <c r="L50" s="12">
        <f t="shared" si="2"/>
        <v>40</v>
      </c>
      <c r="M50" s="45"/>
      <c r="N50" s="18"/>
      <c r="O50" s="45"/>
      <c r="P50" s="18"/>
      <c r="R50" s="14"/>
      <c r="S50" s="14"/>
      <c r="T50" s="15"/>
      <c r="U50" s="10"/>
      <c r="V50" s="10"/>
      <c r="W50" s="16"/>
    </row>
    <row r="51" spans="1:23" x14ac:dyDescent="0.4">
      <c r="A51" s="1">
        <f t="shared" si="1"/>
        <v>51</v>
      </c>
      <c r="G51" s="19"/>
      <c r="H51" s="49"/>
      <c r="I51" s="10"/>
      <c r="J51" s="11"/>
      <c r="L51" s="12">
        <f t="shared" si="2"/>
        <v>41</v>
      </c>
      <c r="M51" s="45"/>
      <c r="N51" s="18"/>
      <c r="O51" s="45"/>
      <c r="P51" s="18"/>
      <c r="R51" s="14"/>
      <c r="S51" s="14"/>
      <c r="T51" s="15"/>
      <c r="U51" s="10"/>
      <c r="V51" s="10"/>
      <c r="W51" s="16"/>
    </row>
    <row r="52" spans="1:23" x14ac:dyDescent="0.4">
      <c r="A52" s="1">
        <f t="shared" si="1"/>
        <v>52</v>
      </c>
      <c r="G52" s="19"/>
      <c r="H52" s="49"/>
      <c r="I52" s="10"/>
      <c r="J52" s="11"/>
      <c r="L52" s="12">
        <f t="shared" si="2"/>
        <v>42</v>
      </c>
      <c r="M52" s="45"/>
      <c r="N52" s="18"/>
      <c r="O52" s="45"/>
      <c r="P52" s="18"/>
      <c r="R52" s="14"/>
      <c r="S52" s="14"/>
      <c r="T52" s="15"/>
      <c r="U52" s="10"/>
      <c r="V52" s="10"/>
      <c r="W52" s="16"/>
    </row>
    <row r="53" spans="1:23" x14ac:dyDescent="0.4">
      <c r="A53" s="1">
        <f t="shared" si="1"/>
        <v>53</v>
      </c>
      <c r="G53" s="19"/>
      <c r="H53" s="49"/>
      <c r="I53" s="10"/>
      <c r="J53" s="11"/>
      <c r="L53" s="12">
        <f t="shared" si="2"/>
        <v>43</v>
      </c>
      <c r="M53" s="45"/>
      <c r="N53" s="18"/>
      <c r="O53" s="45"/>
      <c r="P53" s="18"/>
      <c r="R53" s="14"/>
      <c r="S53" s="14"/>
      <c r="T53" s="15"/>
      <c r="U53" s="10"/>
      <c r="V53" s="10"/>
      <c r="W53" s="16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3">A69+1</f>
        <v>70</v>
      </c>
    </row>
    <row r="71" spans="1:1" x14ac:dyDescent="0.4">
      <c r="A71" s="1">
        <f t="shared" si="3"/>
        <v>71</v>
      </c>
    </row>
    <row r="72" spans="1:1" x14ac:dyDescent="0.4">
      <c r="A72" s="1">
        <f t="shared" si="3"/>
        <v>72</v>
      </c>
    </row>
    <row r="73" spans="1:1" x14ac:dyDescent="0.4">
      <c r="A73" s="1">
        <f t="shared" si="3"/>
        <v>73</v>
      </c>
    </row>
    <row r="74" spans="1:1" x14ac:dyDescent="0.4">
      <c r="A74" s="1">
        <f t="shared" si="3"/>
        <v>74</v>
      </c>
    </row>
    <row r="75" spans="1:1" x14ac:dyDescent="0.4">
      <c r="A75" s="1">
        <f t="shared" si="3"/>
        <v>75</v>
      </c>
    </row>
    <row r="76" spans="1:1" x14ac:dyDescent="0.4">
      <c r="A76" s="1">
        <f t="shared" si="3"/>
        <v>76</v>
      </c>
    </row>
    <row r="77" spans="1:1" x14ac:dyDescent="0.4">
      <c r="A77" s="1">
        <f t="shared" si="3"/>
        <v>77</v>
      </c>
    </row>
    <row r="78" spans="1:1" x14ac:dyDescent="0.4">
      <c r="A78" s="1">
        <f t="shared" si="3"/>
        <v>78</v>
      </c>
    </row>
    <row r="79" spans="1:1" x14ac:dyDescent="0.4">
      <c r="A79" s="1">
        <f t="shared" si="3"/>
        <v>79</v>
      </c>
    </row>
    <row r="80" spans="1:1" x14ac:dyDescent="0.4">
      <c r="A80" s="1">
        <f t="shared" si="3"/>
        <v>80</v>
      </c>
    </row>
    <row r="81" spans="1:1" x14ac:dyDescent="0.4">
      <c r="A81" s="1">
        <f t="shared" si="3"/>
        <v>81</v>
      </c>
    </row>
    <row r="82" spans="1:1" x14ac:dyDescent="0.4">
      <c r="A82" s="1">
        <f t="shared" si="3"/>
        <v>82</v>
      </c>
    </row>
    <row r="83" spans="1:1" x14ac:dyDescent="0.4">
      <c r="A83" s="1">
        <f t="shared" si="3"/>
        <v>83</v>
      </c>
    </row>
    <row r="84" spans="1:1" x14ac:dyDescent="0.4">
      <c r="A84" s="1">
        <f t="shared" si="3"/>
        <v>84</v>
      </c>
    </row>
    <row r="85" spans="1:1" x14ac:dyDescent="0.4">
      <c r="A85" s="1">
        <f t="shared" si="3"/>
        <v>85</v>
      </c>
    </row>
    <row r="86" spans="1:1" x14ac:dyDescent="0.4">
      <c r="A86" s="1">
        <f t="shared" si="3"/>
        <v>86</v>
      </c>
    </row>
    <row r="87" spans="1:1" x14ac:dyDescent="0.4">
      <c r="A87" s="1">
        <f t="shared" si="3"/>
        <v>87</v>
      </c>
    </row>
    <row r="88" spans="1:1" x14ac:dyDescent="0.4">
      <c r="A88" s="1">
        <f t="shared" si="3"/>
        <v>88</v>
      </c>
    </row>
    <row r="89" spans="1:1" x14ac:dyDescent="0.4">
      <c r="A89" s="1">
        <f t="shared" si="3"/>
        <v>89</v>
      </c>
    </row>
    <row r="90" spans="1:1" x14ac:dyDescent="0.4">
      <c r="A90" s="1">
        <f t="shared" si="3"/>
        <v>90</v>
      </c>
    </row>
    <row r="91" spans="1:1" x14ac:dyDescent="0.4">
      <c r="A91" s="1">
        <f t="shared" si="3"/>
        <v>91</v>
      </c>
    </row>
    <row r="92" spans="1:1" x14ac:dyDescent="0.4">
      <c r="A92" s="1">
        <f t="shared" si="3"/>
        <v>92</v>
      </c>
    </row>
    <row r="93" spans="1:1" x14ac:dyDescent="0.4">
      <c r="A93" s="1">
        <f t="shared" si="3"/>
        <v>93</v>
      </c>
    </row>
    <row r="94" spans="1:1" x14ac:dyDescent="0.4">
      <c r="A94" s="1">
        <f t="shared" si="3"/>
        <v>94</v>
      </c>
    </row>
    <row r="95" spans="1:1" x14ac:dyDescent="0.4">
      <c r="A95" s="1">
        <f t="shared" si="3"/>
        <v>95</v>
      </c>
    </row>
    <row r="96" spans="1:1" x14ac:dyDescent="0.4">
      <c r="A96" s="1">
        <f t="shared" si="3"/>
        <v>96</v>
      </c>
    </row>
    <row r="97" spans="1:1" x14ac:dyDescent="0.4">
      <c r="A97" s="1">
        <f t="shared" si="3"/>
        <v>97</v>
      </c>
    </row>
    <row r="98" spans="1:1" x14ac:dyDescent="0.4">
      <c r="A98" s="1">
        <f t="shared" si="3"/>
        <v>98</v>
      </c>
    </row>
    <row r="99" spans="1:1" x14ac:dyDescent="0.4">
      <c r="A99" s="1">
        <f t="shared" si="3"/>
        <v>99</v>
      </c>
    </row>
    <row r="100" spans="1:1" x14ac:dyDescent="0.4">
      <c r="A100" s="1">
        <f t="shared" si="3"/>
        <v>100</v>
      </c>
    </row>
    <row r="101" spans="1:1" x14ac:dyDescent="0.4">
      <c r="A101" s="1">
        <f t="shared" si="3"/>
        <v>101</v>
      </c>
    </row>
    <row r="102" spans="1:1" x14ac:dyDescent="0.4">
      <c r="A102" s="1">
        <f t="shared" si="3"/>
        <v>102</v>
      </c>
    </row>
    <row r="103" spans="1:1" x14ac:dyDescent="0.4">
      <c r="A103" s="1">
        <f t="shared" si="3"/>
        <v>103</v>
      </c>
    </row>
    <row r="104" spans="1:1" x14ac:dyDescent="0.4">
      <c r="A104" s="1">
        <f t="shared" si="3"/>
        <v>104</v>
      </c>
    </row>
    <row r="105" spans="1:1" x14ac:dyDescent="0.4">
      <c r="A105" s="1">
        <f t="shared" si="3"/>
        <v>105</v>
      </c>
    </row>
    <row r="106" spans="1:1" x14ac:dyDescent="0.4">
      <c r="A106" s="1">
        <f t="shared" si="3"/>
        <v>106</v>
      </c>
    </row>
    <row r="107" spans="1:1" x14ac:dyDescent="0.4">
      <c r="A107" s="1">
        <f t="shared" si="3"/>
        <v>107</v>
      </c>
    </row>
    <row r="108" spans="1:1" x14ac:dyDescent="0.4">
      <c r="A108" s="1">
        <f t="shared" si="3"/>
        <v>108</v>
      </c>
    </row>
    <row r="109" spans="1:1" x14ac:dyDescent="0.4">
      <c r="A109" s="1">
        <f t="shared" si="3"/>
        <v>109</v>
      </c>
    </row>
    <row r="110" spans="1:1" x14ac:dyDescent="0.4">
      <c r="A110" s="1">
        <f t="shared" si="3"/>
        <v>110</v>
      </c>
    </row>
    <row r="111" spans="1:1" x14ac:dyDescent="0.4">
      <c r="A111" s="1">
        <f t="shared" si="3"/>
        <v>111</v>
      </c>
    </row>
    <row r="112" spans="1:1" x14ac:dyDescent="0.4">
      <c r="A112" s="1">
        <f t="shared" si="3"/>
        <v>112</v>
      </c>
    </row>
    <row r="113" spans="1:1" x14ac:dyDescent="0.4">
      <c r="A113" s="1">
        <f t="shared" si="3"/>
        <v>113</v>
      </c>
    </row>
    <row r="114" spans="1:1" x14ac:dyDescent="0.4">
      <c r="A114" s="1">
        <f t="shared" si="3"/>
        <v>114</v>
      </c>
    </row>
    <row r="115" spans="1:1" x14ac:dyDescent="0.4">
      <c r="A115" s="1">
        <f t="shared" si="3"/>
        <v>115</v>
      </c>
    </row>
    <row r="116" spans="1:1" x14ac:dyDescent="0.4">
      <c r="A116" s="1">
        <f t="shared" si="3"/>
        <v>116</v>
      </c>
    </row>
    <row r="117" spans="1:1" x14ac:dyDescent="0.4">
      <c r="A117" s="1">
        <f t="shared" si="3"/>
        <v>117</v>
      </c>
    </row>
    <row r="118" spans="1:1" x14ac:dyDescent="0.4">
      <c r="A118" s="1">
        <f t="shared" si="3"/>
        <v>118</v>
      </c>
    </row>
    <row r="119" spans="1:1" x14ac:dyDescent="0.4">
      <c r="A119" s="1">
        <f t="shared" si="3"/>
        <v>119</v>
      </c>
    </row>
    <row r="120" spans="1:1" x14ac:dyDescent="0.4">
      <c r="A120" s="1">
        <f t="shared" si="3"/>
        <v>120</v>
      </c>
    </row>
    <row r="121" spans="1:1" x14ac:dyDescent="0.4">
      <c r="A121" s="1">
        <f t="shared" si="3"/>
        <v>121</v>
      </c>
    </row>
    <row r="122" spans="1:1" x14ac:dyDescent="0.4">
      <c r="A122" s="1">
        <f t="shared" si="3"/>
        <v>122</v>
      </c>
    </row>
    <row r="123" spans="1:1" x14ac:dyDescent="0.4">
      <c r="A123" s="1">
        <f t="shared" si="3"/>
        <v>123</v>
      </c>
    </row>
    <row r="124" spans="1:1" x14ac:dyDescent="0.4">
      <c r="A124" s="1">
        <f t="shared" si="3"/>
        <v>124</v>
      </c>
    </row>
    <row r="125" spans="1:1" x14ac:dyDescent="0.4">
      <c r="A125" s="1">
        <f t="shared" si="3"/>
        <v>125</v>
      </c>
    </row>
    <row r="126" spans="1:1" x14ac:dyDescent="0.4">
      <c r="A126" s="1">
        <f t="shared" si="3"/>
        <v>126</v>
      </c>
    </row>
    <row r="127" spans="1:1" x14ac:dyDescent="0.4">
      <c r="A127" s="1">
        <f t="shared" si="3"/>
        <v>127</v>
      </c>
    </row>
    <row r="128" spans="1:1" x14ac:dyDescent="0.4">
      <c r="A128" s="1">
        <f t="shared" si="3"/>
        <v>128</v>
      </c>
    </row>
    <row r="129" spans="1:1" x14ac:dyDescent="0.4">
      <c r="A129" s="1">
        <f t="shared" si="3"/>
        <v>129</v>
      </c>
    </row>
    <row r="130" spans="1:1" x14ac:dyDescent="0.4">
      <c r="A130" s="1">
        <f t="shared" si="3"/>
        <v>130</v>
      </c>
    </row>
    <row r="131" spans="1:1" x14ac:dyDescent="0.4">
      <c r="A131" s="1">
        <f t="shared" si="3"/>
        <v>131</v>
      </c>
    </row>
    <row r="132" spans="1:1" x14ac:dyDescent="0.4">
      <c r="A132" s="1">
        <f t="shared" si="3"/>
        <v>132</v>
      </c>
    </row>
    <row r="133" spans="1:1" x14ac:dyDescent="0.4">
      <c r="A133" s="1">
        <f t="shared" si="3"/>
        <v>133</v>
      </c>
    </row>
    <row r="134" spans="1:1" x14ac:dyDescent="0.4">
      <c r="A134" s="1">
        <f t="shared" ref="A134:A197" si="4">A133+1</f>
        <v>134</v>
      </c>
    </row>
    <row r="135" spans="1:1" x14ac:dyDescent="0.4">
      <c r="A135" s="1">
        <f t="shared" si="4"/>
        <v>135</v>
      </c>
    </row>
    <row r="136" spans="1:1" x14ac:dyDescent="0.4">
      <c r="A136" s="1">
        <f t="shared" si="4"/>
        <v>136</v>
      </c>
    </row>
    <row r="137" spans="1:1" x14ac:dyDescent="0.4">
      <c r="A137" s="1">
        <f t="shared" si="4"/>
        <v>137</v>
      </c>
    </row>
    <row r="138" spans="1:1" x14ac:dyDescent="0.4">
      <c r="A138" s="1">
        <f t="shared" si="4"/>
        <v>138</v>
      </c>
    </row>
    <row r="139" spans="1:1" x14ac:dyDescent="0.4">
      <c r="A139" s="1">
        <f t="shared" si="4"/>
        <v>139</v>
      </c>
    </row>
    <row r="140" spans="1:1" x14ac:dyDescent="0.4">
      <c r="A140" s="1">
        <f t="shared" si="4"/>
        <v>140</v>
      </c>
    </row>
    <row r="141" spans="1:1" x14ac:dyDescent="0.4">
      <c r="A141" s="1">
        <f t="shared" si="4"/>
        <v>141</v>
      </c>
    </row>
    <row r="142" spans="1:1" x14ac:dyDescent="0.4">
      <c r="A142" s="1">
        <f t="shared" si="4"/>
        <v>142</v>
      </c>
    </row>
    <row r="143" spans="1:1" x14ac:dyDescent="0.4">
      <c r="A143" s="1">
        <f t="shared" si="4"/>
        <v>143</v>
      </c>
    </row>
    <row r="144" spans="1:1" x14ac:dyDescent="0.4">
      <c r="A144" s="1">
        <f t="shared" si="4"/>
        <v>144</v>
      </c>
    </row>
    <row r="145" spans="1:1" x14ac:dyDescent="0.4">
      <c r="A145" s="1">
        <f t="shared" si="4"/>
        <v>145</v>
      </c>
    </row>
    <row r="146" spans="1:1" x14ac:dyDescent="0.4">
      <c r="A146" s="1">
        <f t="shared" si="4"/>
        <v>146</v>
      </c>
    </row>
    <row r="147" spans="1:1" x14ac:dyDescent="0.4">
      <c r="A147" s="1">
        <f t="shared" si="4"/>
        <v>147</v>
      </c>
    </row>
    <row r="148" spans="1:1" x14ac:dyDescent="0.4">
      <c r="A148" s="1">
        <f t="shared" si="4"/>
        <v>148</v>
      </c>
    </row>
    <row r="149" spans="1:1" x14ac:dyDescent="0.4">
      <c r="A149" s="1">
        <f t="shared" si="4"/>
        <v>149</v>
      </c>
    </row>
    <row r="150" spans="1:1" x14ac:dyDescent="0.4">
      <c r="A150" s="1">
        <f t="shared" si="4"/>
        <v>150</v>
      </c>
    </row>
    <row r="151" spans="1:1" x14ac:dyDescent="0.4">
      <c r="A151" s="1">
        <f t="shared" si="4"/>
        <v>151</v>
      </c>
    </row>
    <row r="152" spans="1:1" x14ac:dyDescent="0.4">
      <c r="A152" s="1">
        <f t="shared" si="4"/>
        <v>152</v>
      </c>
    </row>
    <row r="153" spans="1:1" x14ac:dyDescent="0.4">
      <c r="A153" s="1">
        <f t="shared" si="4"/>
        <v>153</v>
      </c>
    </row>
    <row r="154" spans="1:1" x14ac:dyDescent="0.4">
      <c r="A154" s="1">
        <f t="shared" si="4"/>
        <v>154</v>
      </c>
    </row>
    <row r="155" spans="1:1" x14ac:dyDescent="0.4">
      <c r="A155" s="1">
        <f t="shared" si="4"/>
        <v>155</v>
      </c>
    </row>
    <row r="156" spans="1:1" x14ac:dyDescent="0.4">
      <c r="A156" s="1">
        <f t="shared" si="4"/>
        <v>156</v>
      </c>
    </row>
    <row r="157" spans="1:1" x14ac:dyDescent="0.4">
      <c r="A157" s="1">
        <f t="shared" si="4"/>
        <v>157</v>
      </c>
    </row>
    <row r="158" spans="1:1" x14ac:dyDescent="0.4">
      <c r="A158" s="1">
        <f t="shared" si="4"/>
        <v>158</v>
      </c>
    </row>
    <row r="159" spans="1:1" x14ac:dyDescent="0.4">
      <c r="A159" s="1">
        <f t="shared" si="4"/>
        <v>159</v>
      </c>
    </row>
    <row r="160" spans="1:1" x14ac:dyDescent="0.4">
      <c r="A160" s="1">
        <f t="shared" si="4"/>
        <v>160</v>
      </c>
    </row>
    <row r="161" spans="1:1" x14ac:dyDescent="0.4">
      <c r="A161" s="1">
        <f t="shared" si="4"/>
        <v>161</v>
      </c>
    </row>
    <row r="162" spans="1:1" x14ac:dyDescent="0.4">
      <c r="A162" s="1">
        <f t="shared" si="4"/>
        <v>162</v>
      </c>
    </row>
    <row r="163" spans="1:1" x14ac:dyDescent="0.4">
      <c r="A163" s="1">
        <f t="shared" si="4"/>
        <v>163</v>
      </c>
    </row>
    <row r="164" spans="1:1" x14ac:dyDescent="0.4">
      <c r="A164" s="1">
        <f t="shared" si="4"/>
        <v>164</v>
      </c>
    </row>
    <row r="165" spans="1:1" x14ac:dyDescent="0.4">
      <c r="A165" s="1">
        <f t="shared" si="4"/>
        <v>165</v>
      </c>
    </row>
    <row r="166" spans="1:1" x14ac:dyDescent="0.4">
      <c r="A166" s="1">
        <f t="shared" si="4"/>
        <v>166</v>
      </c>
    </row>
    <row r="167" spans="1:1" x14ac:dyDescent="0.4">
      <c r="A167" s="1">
        <f t="shared" si="4"/>
        <v>167</v>
      </c>
    </row>
    <row r="168" spans="1:1" x14ac:dyDescent="0.4">
      <c r="A168" s="1">
        <f t="shared" si="4"/>
        <v>168</v>
      </c>
    </row>
    <row r="169" spans="1:1" x14ac:dyDescent="0.4">
      <c r="A169" s="1">
        <f t="shared" si="4"/>
        <v>169</v>
      </c>
    </row>
    <row r="170" spans="1:1" x14ac:dyDescent="0.4">
      <c r="A170" s="1">
        <f t="shared" si="4"/>
        <v>170</v>
      </c>
    </row>
    <row r="171" spans="1:1" x14ac:dyDescent="0.4">
      <c r="A171" s="1">
        <f t="shared" si="4"/>
        <v>171</v>
      </c>
    </row>
    <row r="172" spans="1:1" x14ac:dyDescent="0.4">
      <c r="A172" s="1">
        <f t="shared" si="4"/>
        <v>172</v>
      </c>
    </row>
    <row r="173" spans="1:1" x14ac:dyDescent="0.4">
      <c r="A173" s="1">
        <f t="shared" si="4"/>
        <v>173</v>
      </c>
    </row>
    <row r="174" spans="1:1" x14ac:dyDescent="0.4">
      <c r="A174" s="1">
        <f t="shared" si="4"/>
        <v>174</v>
      </c>
    </row>
    <row r="175" spans="1:1" x14ac:dyDescent="0.4">
      <c r="A175" s="1">
        <f t="shared" si="4"/>
        <v>175</v>
      </c>
    </row>
    <row r="176" spans="1:1" x14ac:dyDescent="0.4">
      <c r="A176" s="1">
        <f t="shared" si="4"/>
        <v>176</v>
      </c>
    </row>
    <row r="177" spans="1:1" x14ac:dyDescent="0.4">
      <c r="A177" s="1">
        <f t="shared" si="4"/>
        <v>177</v>
      </c>
    </row>
    <row r="178" spans="1:1" x14ac:dyDescent="0.4">
      <c r="A178" s="1">
        <f t="shared" si="4"/>
        <v>178</v>
      </c>
    </row>
    <row r="179" spans="1:1" x14ac:dyDescent="0.4">
      <c r="A179" s="1">
        <f t="shared" si="4"/>
        <v>179</v>
      </c>
    </row>
    <row r="180" spans="1:1" x14ac:dyDescent="0.4">
      <c r="A180" s="1">
        <f t="shared" si="4"/>
        <v>180</v>
      </c>
    </row>
    <row r="181" spans="1:1" x14ac:dyDescent="0.4">
      <c r="A181" s="1">
        <f t="shared" si="4"/>
        <v>181</v>
      </c>
    </row>
    <row r="182" spans="1:1" x14ac:dyDescent="0.4">
      <c r="A182" s="1">
        <f t="shared" si="4"/>
        <v>182</v>
      </c>
    </row>
    <row r="183" spans="1:1" x14ac:dyDescent="0.4">
      <c r="A183" s="1">
        <f t="shared" si="4"/>
        <v>183</v>
      </c>
    </row>
    <row r="184" spans="1:1" x14ac:dyDescent="0.4">
      <c r="A184" s="1">
        <f t="shared" si="4"/>
        <v>184</v>
      </c>
    </row>
    <row r="185" spans="1:1" x14ac:dyDescent="0.4">
      <c r="A185" s="1">
        <f t="shared" si="4"/>
        <v>185</v>
      </c>
    </row>
    <row r="186" spans="1:1" x14ac:dyDescent="0.4">
      <c r="A186" s="1">
        <f t="shared" si="4"/>
        <v>186</v>
      </c>
    </row>
    <row r="187" spans="1:1" x14ac:dyDescent="0.4">
      <c r="A187" s="1">
        <f t="shared" si="4"/>
        <v>187</v>
      </c>
    </row>
    <row r="188" spans="1:1" x14ac:dyDescent="0.4">
      <c r="A188" s="1">
        <f t="shared" si="4"/>
        <v>188</v>
      </c>
    </row>
    <row r="189" spans="1:1" x14ac:dyDescent="0.4">
      <c r="A189" s="1">
        <f t="shared" si="4"/>
        <v>189</v>
      </c>
    </row>
    <row r="190" spans="1:1" x14ac:dyDescent="0.4">
      <c r="A190" s="1">
        <f t="shared" si="4"/>
        <v>190</v>
      </c>
    </row>
    <row r="191" spans="1:1" x14ac:dyDescent="0.4">
      <c r="A191" s="1">
        <f t="shared" si="4"/>
        <v>191</v>
      </c>
    </row>
    <row r="192" spans="1:1" x14ac:dyDescent="0.4">
      <c r="A192" s="1">
        <f t="shared" si="4"/>
        <v>192</v>
      </c>
    </row>
    <row r="193" spans="1:1" x14ac:dyDescent="0.4">
      <c r="A193" s="1">
        <f t="shared" si="4"/>
        <v>193</v>
      </c>
    </row>
    <row r="194" spans="1:1" x14ac:dyDescent="0.4">
      <c r="A194" s="1">
        <f t="shared" si="4"/>
        <v>194</v>
      </c>
    </row>
    <row r="195" spans="1:1" x14ac:dyDescent="0.4">
      <c r="A195" s="1">
        <f t="shared" si="4"/>
        <v>195</v>
      </c>
    </row>
    <row r="196" spans="1:1" x14ac:dyDescent="0.4">
      <c r="A196" s="1">
        <f t="shared" si="4"/>
        <v>196</v>
      </c>
    </row>
    <row r="197" spans="1:1" x14ac:dyDescent="0.4">
      <c r="A197" s="1">
        <f t="shared" si="4"/>
        <v>197</v>
      </c>
    </row>
    <row r="198" spans="1:1" x14ac:dyDescent="0.4">
      <c r="A198" s="1">
        <f t="shared" ref="A198:A202" si="5">A197+1</f>
        <v>198</v>
      </c>
    </row>
    <row r="199" spans="1:1" x14ac:dyDescent="0.4">
      <c r="A199" s="1">
        <f t="shared" si="5"/>
        <v>199</v>
      </c>
    </row>
    <row r="200" spans="1:1" x14ac:dyDescent="0.4">
      <c r="A200" s="1">
        <f t="shared" si="5"/>
        <v>200</v>
      </c>
    </row>
    <row r="201" spans="1:1" x14ac:dyDescent="0.4">
      <c r="A201" s="1">
        <f t="shared" si="5"/>
        <v>201</v>
      </c>
    </row>
    <row r="202" spans="1:1" x14ac:dyDescent="0.4">
      <c r="A202" s="1">
        <f t="shared" si="5"/>
        <v>202</v>
      </c>
    </row>
  </sheetData>
  <mergeCells count="33">
    <mergeCell ref="B26:C26"/>
    <mergeCell ref="D26:E26"/>
    <mergeCell ref="D25:E25"/>
    <mergeCell ref="U10:U11"/>
    <mergeCell ref="V10:V11"/>
    <mergeCell ref="W10:W11"/>
    <mergeCell ref="D13:E15"/>
    <mergeCell ref="D17:E17"/>
    <mergeCell ref="D18:E18"/>
    <mergeCell ref="T10:T11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R8:S8"/>
    <mergeCell ref="I10:J10"/>
    <mergeCell ref="R10:R11"/>
    <mergeCell ref="S10:S11"/>
    <mergeCell ref="B5:C5"/>
    <mergeCell ref="D5:E5"/>
    <mergeCell ref="O6:P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E136"/>
  <sheetViews>
    <sheetView tabSelected="1" topLeftCell="T1" workbookViewId="0">
      <selection activeCell="J30" sqref="J30:K31"/>
    </sheetView>
  </sheetViews>
  <sheetFormatPr defaultColWidth="12.5" defaultRowHeight="17.399999999999999" x14ac:dyDescent="0.4"/>
  <cols>
    <col min="1" max="1" width="12.5" style="20"/>
    <col min="2" max="3" width="12.5" style="26"/>
    <col min="4" max="19" width="12.5" style="20"/>
    <col min="20" max="20" width="12.5" style="27"/>
    <col min="21" max="21" width="12.5" style="28"/>
    <col min="22" max="22" width="12.5" style="20"/>
    <col min="23" max="23" width="12.5" style="27"/>
    <col min="24" max="24" width="12.5" style="34"/>
    <col min="25" max="25" width="12.5" style="27"/>
    <col min="26" max="26" width="12.5" style="35"/>
    <col min="27" max="27" width="12.5" style="20"/>
    <col min="28" max="28" width="12.5" style="40"/>
    <col min="29" max="30" width="12.5" style="41"/>
    <col min="31" max="31" width="12.5" style="43"/>
    <col min="32" max="32" width="17.59765625" style="47" bestFit="1" customWidth="1"/>
    <col min="33" max="35" width="12.5" style="41"/>
    <col min="36" max="36" width="12.5" style="43"/>
    <col min="37" max="37" width="18.09765625" style="47" bestFit="1" customWidth="1"/>
    <col min="38" max="39" width="12.5" style="20"/>
    <col min="40" max="40" width="15.3984375" style="20" bestFit="1" customWidth="1"/>
    <col min="41" max="16384" width="12.5" style="20"/>
  </cols>
  <sheetData>
    <row r="1" spans="1:57" x14ac:dyDescent="0.4">
      <c r="A1" s="21">
        <v>1</v>
      </c>
      <c r="B1" s="21">
        <f>A1+1</f>
        <v>2</v>
      </c>
      <c r="C1" s="21">
        <f t="shared" ref="C1:BE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si="0"/>
        <v>17</v>
      </c>
      <c r="R1" s="21">
        <f t="shared" si="0"/>
        <v>18</v>
      </c>
      <c r="S1" s="21">
        <f t="shared" si="0"/>
        <v>19</v>
      </c>
      <c r="T1" s="21">
        <f t="shared" si="0"/>
        <v>20</v>
      </c>
      <c r="U1" s="21">
        <f t="shared" si="0"/>
        <v>21</v>
      </c>
      <c r="V1" s="21">
        <f t="shared" si="0"/>
        <v>22</v>
      </c>
      <c r="W1" s="21">
        <f t="shared" si="0"/>
        <v>23</v>
      </c>
      <c r="X1" s="21">
        <f t="shared" si="0"/>
        <v>24</v>
      </c>
      <c r="Y1" s="21">
        <f t="shared" si="0"/>
        <v>25</v>
      </c>
      <c r="Z1" s="21">
        <f t="shared" si="0"/>
        <v>26</v>
      </c>
      <c r="AA1" s="21">
        <f t="shared" si="0"/>
        <v>27</v>
      </c>
      <c r="AB1" s="21">
        <f t="shared" si="0"/>
        <v>28</v>
      </c>
      <c r="AC1" s="21">
        <f t="shared" si="0"/>
        <v>29</v>
      </c>
      <c r="AD1" s="21">
        <f t="shared" si="0"/>
        <v>30</v>
      </c>
      <c r="AE1" s="21">
        <f t="shared" si="0"/>
        <v>31</v>
      </c>
      <c r="AF1" s="21">
        <f t="shared" si="0"/>
        <v>32</v>
      </c>
      <c r="AG1" s="21">
        <f t="shared" si="0"/>
        <v>33</v>
      </c>
      <c r="AH1" s="21">
        <f t="shared" si="0"/>
        <v>34</v>
      </c>
      <c r="AI1" s="21">
        <f t="shared" si="0"/>
        <v>35</v>
      </c>
      <c r="AJ1" s="21">
        <f t="shared" si="0"/>
        <v>36</v>
      </c>
      <c r="AK1" s="21">
        <f t="shared" si="0"/>
        <v>37</v>
      </c>
      <c r="AL1" s="21">
        <f t="shared" si="0"/>
        <v>38</v>
      </c>
      <c r="AM1" s="21">
        <f t="shared" si="0"/>
        <v>39</v>
      </c>
      <c r="AN1" s="21">
        <f t="shared" si="0"/>
        <v>40</v>
      </c>
      <c r="AO1" s="21">
        <f t="shared" si="0"/>
        <v>41</v>
      </c>
      <c r="AP1" s="21">
        <f t="shared" si="0"/>
        <v>42</v>
      </c>
      <c r="AQ1" s="21">
        <f t="shared" si="0"/>
        <v>43</v>
      </c>
      <c r="AR1" s="21">
        <f t="shared" si="0"/>
        <v>44</v>
      </c>
      <c r="AS1" s="21">
        <f t="shared" si="0"/>
        <v>45</v>
      </c>
      <c r="AT1" s="21">
        <f t="shared" si="0"/>
        <v>46</v>
      </c>
      <c r="AU1" s="21">
        <f t="shared" si="0"/>
        <v>47</v>
      </c>
      <c r="AV1" s="21">
        <f t="shared" si="0"/>
        <v>48</v>
      </c>
      <c r="AW1" s="21">
        <f t="shared" si="0"/>
        <v>49</v>
      </c>
      <c r="AX1" s="21">
        <f t="shared" si="0"/>
        <v>50</v>
      </c>
      <c r="AY1" s="21">
        <f t="shared" si="0"/>
        <v>51</v>
      </c>
      <c r="AZ1" s="21">
        <f t="shared" si="0"/>
        <v>52</v>
      </c>
      <c r="BA1" s="21">
        <f t="shared" si="0"/>
        <v>53</v>
      </c>
      <c r="BB1" s="21">
        <f t="shared" si="0"/>
        <v>54</v>
      </c>
      <c r="BC1" s="21">
        <f t="shared" si="0"/>
        <v>55</v>
      </c>
      <c r="BD1" s="21">
        <f t="shared" si="0"/>
        <v>56</v>
      </c>
      <c r="BE1" s="21">
        <f t="shared" si="0"/>
        <v>57</v>
      </c>
    </row>
    <row r="2" spans="1:57" x14ac:dyDescent="0.4">
      <c r="A2" s="21">
        <f>A1+1</f>
        <v>2</v>
      </c>
      <c r="B2" s="51" t="s">
        <v>86</v>
      </c>
      <c r="C2" s="52">
        <v>0</v>
      </c>
      <c r="T2" s="20"/>
      <c r="U2" s="20"/>
      <c r="W2" s="20"/>
      <c r="X2" s="20"/>
      <c r="Y2" s="20"/>
      <c r="Z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57" x14ac:dyDescent="0.4">
      <c r="A3" s="21">
        <f t="shared" ref="A3:A61" si="1">A2+1</f>
        <v>3</v>
      </c>
      <c r="B3" s="77" t="s">
        <v>30</v>
      </c>
      <c r="C3" s="77"/>
      <c r="D3" s="78">
        <v>45720</v>
      </c>
      <c r="E3" s="79"/>
      <c r="F3" s="73" t="s">
        <v>87</v>
      </c>
      <c r="G3" s="73"/>
      <c r="H3" s="79" t="s">
        <v>93</v>
      </c>
      <c r="I3" s="79"/>
      <c r="J3" s="73" t="s">
        <v>31</v>
      </c>
      <c r="K3" s="73"/>
      <c r="L3" s="80">
        <v>20000</v>
      </c>
      <c r="M3" s="80"/>
      <c r="O3" s="123" t="s">
        <v>49</v>
      </c>
      <c r="P3" s="124"/>
      <c r="Q3" s="124"/>
      <c r="R3" s="125"/>
      <c r="T3" s="112" t="s">
        <v>55</v>
      </c>
      <c r="U3" s="113"/>
      <c r="W3" s="150" t="s">
        <v>76</v>
      </c>
      <c r="X3" s="151"/>
      <c r="Y3" s="150" t="s">
        <v>77</v>
      </c>
      <c r="Z3" s="151"/>
      <c r="AB3" s="89" t="s">
        <v>65</v>
      </c>
      <c r="AC3" s="90"/>
      <c r="AD3" s="90"/>
      <c r="AE3" s="90"/>
      <c r="AF3" s="90"/>
      <c r="AG3" s="90"/>
      <c r="AH3" s="90"/>
      <c r="AI3" s="90"/>
      <c r="AJ3" s="90"/>
      <c r="AK3" s="90"/>
      <c r="AL3" s="90"/>
      <c r="AM3" s="91"/>
      <c r="AY3" s="73" t="s">
        <v>87</v>
      </c>
      <c r="AZ3" s="73"/>
      <c r="BA3" s="31">
        <v>0</v>
      </c>
      <c r="BB3" s="31">
        <v>1</v>
      </c>
      <c r="BC3" s="31">
        <v>-1</v>
      </c>
    </row>
    <row r="4" spans="1:57" x14ac:dyDescent="0.4">
      <c r="A4" s="21">
        <f t="shared" si="1"/>
        <v>4</v>
      </c>
      <c r="B4" s="20"/>
      <c r="C4" s="20"/>
      <c r="O4" s="126" t="s">
        <v>48</v>
      </c>
      <c r="P4" s="127"/>
      <c r="Q4" s="128">
        <v>42642</v>
      </c>
      <c r="R4" s="129"/>
      <c r="T4" s="29" t="s">
        <v>56</v>
      </c>
      <c r="U4" s="30" t="s">
        <v>57</v>
      </c>
      <c r="W4" s="36" t="s">
        <v>59</v>
      </c>
      <c r="X4" s="37" t="s">
        <v>16</v>
      </c>
      <c r="Y4" s="36" t="s">
        <v>59</v>
      </c>
      <c r="Z4" s="37" t="s">
        <v>16</v>
      </c>
      <c r="AB4" s="92"/>
      <c r="AC4" s="93"/>
      <c r="AD4" s="93"/>
      <c r="AE4" s="93"/>
      <c r="AF4" s="93"/>
      <c r="AG4" s="93"/>
      <c r="AH4" s="93"/>
      <c r="AI4" s="93"/>
      <c r="AJ4" s="93"/>
      <c r="AK4" s="93"/>
      <c r="AL4" s="93"/>
      <c r="AM4" s="94"/>
      <c r="BA4" s="31" t="s">
        <v>93</v>
      </c>
      <c r="BB4" s="31" t="s">
        <v>96</v>
      </c>
      <c r="BC4" s="31" t="s">
        <v>97</v>
      </c>
    </row>
    <row r="5" spans="1:57" x14ac:dyDescent="0.4">
      <c r="A5" s="21">
        <f t="shared" si="1"/>
        <v>5</v>
      </c>
      <c r="B5" s="89" t="s">
        <v>47</v>
      </c>
      <c r="C5" s="90"/>
      <c r="D5" s="90"/>
      <c r="E5" s="90"/>
      <c r="F5" s="90"/>
      <c r="G5" s="90"/>
      <c r="H5" s="90"/>
      <c r="I5" s="90"/>
      <c r="J5" s="90"/>
      <c r="K5" s="90"/>
      <c r="L5" s="90"/>
      <c r="M5" s="91"/>
      <c r="O5" s="134" t="s">
        <v>50</v>
      </c>
      <c r="P5" s="135"/>
      <c r="Q5" s="136">
        <v>53599</v>
      </c>
      <c r="R5" s="137"/>
      <c r="T5" s="24">
        <v>45292</v>
      </c>
      <c r="U5" s="25">
        <v>45651</v>
      </c>
      <c r="W5" s="32">
        <v>45536</v>
      </c>
      <c r="X5" s="33">
        <v>3.44E-2</v>
      </c>
      <c r="Y5" s="32">
        <v>45536</v>
      </c>
      <c r="Z5" s="33">
        <v>3.44E-2</v>
      </c>
      <c r="AB5" s="20"/>
      <c r="AC5" s="20"/>
      <c r="AD5" s="20"/>
      <c r="AE5" s="20"/>
      <c r="AF5" s="20"/>
      <c r="AG5" s="20"/>
      <c r="AH5" s="20"/>
      <c r="AI5" s="20"/>
      <c r="AJ5" s="20"/>
      <c r="AK5" s="20"/>
      <c r="AY5" s="60" t="s">
        <v>34</v>
      </c>
      <c r="AZ5" s="60"/>
      <c r="BA5" s="31">
        <v>0</v>
      </c>
      <c r="BB5" s="31">
        <v>1</v>
      </c>
      <c r="BC5" s="31">
        <v>2</v>
      </c>
      <c r="BD5" s="31">
        <v>3</v>
      </c>
      <c r="BE5" s="31">
        <v>4</v>
      </c>
    </row>
    <row r="6" spans="1:57" x14ac:dyDescent="0.4">
      <c r="A6" s="21">
        <f t="shared" si="1"/>
        <v>6</v>
      </c>
      <c r="B6" s="92"/>
      <c r="C6" s="93"/>
      <c r="D6" s="93"/>
      <c r="E6" s="93"/>
      <c r="F6" s="93"/>
      <c r="G6" s="93"/>
      <c r="H6" s="93"/>
      <c r="I6" s="93"/>
      <c r="J6" s="93"/>
      <c r="K6" s="93"/>
      <c r="L6" s="93"/>
      <c r="M6" s="94"/>
      <c r="O6" s="132" t="s">
        <v>42</v>
      </c>
      <c r="P6" s="133"/>
      <c r="Q6" s="75">
        <v>0</v>
      </c>
      <c r="R6" s="76"/>
      <c r="W6" s="27">
        <f>W5+1</f>
        <v>45537</v>
      </c>
      <c r="X6" s="34">
        <v>3.44E-2</v>
      </c>
      <c r="Y6" s="27">
        <f>Y5+1</f>
        <v>45537</v>
      </c>
      <c r="Z6" s="34">
        <v>3.44E-2</v>
      </c>
      <c r="AB6" s="73" t="s">
        <v>66</v>
      </c>
      <c r="AC6" s="73"/>
      <c r="AD6" s="79">
        <v>0</v>
      </c>
      <c r="AE6" s="79"/>
      <c r="AF6" s="20"/>
      <c r="AG6" s="20"/>
      <c r="AH6" s="20"/>
      <c r="AI6" s="20"/>
      <c r="AJ6" s="20"/>
      <c r="AK6" s="20"/>
      <c r="BA6" s="31" t="s">
        <v>94</v>
      </c>
      <c r="BB6" s="31" t="s">
        <v>98</v>
      </c>
      <c r="BC6" s="31" t="s">
        <v>99</v>
      </c>
      <c r="BD6" s="31" t="s">
        <v>100</v>
      </c>
      <c r="BE6" s="31" t="s">
        <v>102</v>
      </c>
    </row>
    <row r="7" spans="1:57" x14ac:dyDescent="0.4">
      <c r="A7" s="21">
        <f t="shared" si="1"/>
        <v>7</v>
      </c>
      <c r="B7" s="73" t="s">
        <v>32</v>
      </c>
      <c r="C7" s="73"/>
      <c r="D7" s="81">
        <v>1</v>
      </c>
      <c r="E7" s="79"/>
      <c r="F7" s="73" t="s">
        <v>33</v>
      </c>
      <c r="G7" s="73"/>
      <c r="H7" s="81">
        <v>1</v>
      </c>
      <c r="I7" s="79"/>
      <c r="J7" s="73" t="s">
        <v>85</v>
      </c>
      <c r="K7" s="73"/>
      <c r="L7" s="100">
        <v>4</v>
      </c>
      <c r="M7" s="76"/>
      <c r="O7" s="112" t="str">
        <f>IF(Q6&gt;0,"Phase2날짜","")</f>
        <v/>
      </c>
      <c r="P7" s="113"/>
      <c r="Q7" s="130">
        <f>EDATE(Q4,12)</f>
        <v>43007</v>
      </c>
      <c r="R7" s="131"/>
      <c r="W7" s="27">
        <f t="shared" ref="W7:W8" si="2">W6+1</f>
        <v>45538</v>
      </c>
      <c r="X7" s="34">
        <v>3.44E-2</v>
      </c>
      <c r="Y7" s="27">
        <f t="shared" ref="Y7:Y8" si="3">Y6+1</f>
        <v>45538</v>
      </c>
      <c r="Z7" s="34">
        <v>3.44E-2</v>
      </c>
      <c r="AB7" s="73" t="s">
        <v>79</v>
      </c>
      <c r="AC7" s="73"/>
      <c r="AD7" s="79">
        <v>0</v>
      </c>
      <c r="AE7" s="79"/>
      <c r="AF7" s="20"/>
      <c r="AG7" s="20"/>
      <c r="AH7" s="20"/>
      <c r="AI7" s="20"/>
      <c r="AJ7" s="20"/>
      <c r="AK7" s="20"/>
      <c r="AZ7" s="37" t="s">
        <v>63</v>
      </c>
      <c r="BA7" s="31">
        <v>0</v>
      </c>
      <c r="BB7" s="31">
        <v>1</v>
      </c>
    </row>
    <row r="8" spans="1:57" x14ac:dyDescent="0.4">
      <c r="A8" s="21">
        <f t="shared" si="1"/>
        <v>8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W8" s="27">
        <f t="shared" si="2"/>
        <v>45539</v>
      </c>
      <c r="X8" s="34">
        <v>3.44E-2</v>
      </c>
      <c r="Y8" s="27">
        <f t="shared" si="3"/>
        <v>45539</v>
      </c>
      <c r="Z8" s="34">
        <v>3.44E-2</v>
      </c>
      <c r="AB8" s="20"/>
      <c r="AC8" s="20"/>
      <c r="AD8" s="20"/>
      <c r="AE8" s="20"/>
      <c r="AF8" s="20"/>
      <c r="AG8" s="20"/>
      <c r="AH8" s="20"/>
      <c r="AI8" s="20"/>
      <c r="AJ8" s="20"/>
      <c r="AK8" s="20"/>
      <c r="BA8" s="31" t="s">
        <v>95</v>
      </c>
      <c r="BB8" s="31" t="s">
        <v>101</v>
      </c>
    </row>
    <row r="9" spans="1:57" x14ac:dyDescent="0.4">
      <c r="A9" s="21">
        <f t="shared" si="1"/>
        <v>9</v>
      </c>
      <c r="B9" s="82" t="str">
        <f>"기초금리정보"</f>
        <v>기초금리정보</v>
      </c>
      <c r="C9" s="83"/>
      <c r="D9" s="60" t="s">
        <v>34</v>
      </c>
      <c r="E9" s="60"/>
      <c r="F9" s="100" t="s">
        <v>100</v>
      </c>
      <c r="G9" s="76"/>
      <c r="H9" s="23"/>
      <c r="I9" s="22"/>
      <c r="J9" s="95" t="str">
        <f>IF(F10=0,"금리결정조건이 = "&amp;F10&amp;" 이므로 Ref Swap 금리정보 사용안함", "사용")</f>
        <v>금리결정조건이 = 0 이므로 Ref Swap 금리정보 사용안함</v>
      </c>
      <c r="K9" s="96"/>
      <c r="L9" s="96"/>
      <c r="M9" s="97"/>
      <c r="O9" s="74" t="s">
        <v>52</v>
      </c>
      <c r="P9" s="74"/>
      <c r="Q9" s="74"/>
      <c r="R9" s="74"/>
      <c r="W9" s="27">
        <f>W8+1</f>
        <v>45540</v>
      </c>
      <c r="X9" s="34">
        <v>3.44E-2</v>
      </c>
      <c r="Y9" s="27">
        <f>Y8+1</f>
        <v>45540</v>
      </c>
      <c r="Z9" s="34">
        <v>3.44E-2</v>
      </c>
      <c r="AB9" s="20"/>
      <c r="AC9" s="20"/>
      <c r="AD9" s="20">
        <v>940293287.59126413</v>
      </c>
      <c r="AE9" s="20"/>
      <c r="AF9" s="20"/>
      <c r="AG9" s="20"/>
      <c r="AH9" s="20"/>
      <c r="AI9" s="20"/>
      <c r="AJ9" s="20"/>
      <c r="AK9" s="20"/>
    </row>
    <row r="10" spans="1:57" ht="17.399999999999999" customHeight="1" x14ac:dyDescent="0.4">
      <c r="A10" s="21">
        <f t="shared" si="1"/>
        <v>10</v>
      </c>
      <c r="B10" s="84"/>
      <c r="C10" s="85"/>
      <c r="D10" s="60" t="s">
        <v>35</v>
      </c>
      <c r="E10" s="88"/>
      <c r="F10" s="101">
        <v>0</v>
      </c>
      <c r="G10" s="102"/>
      <c r="H10" s="95" t="str">
        <f xml:space="preserve"> "Swap 레퍼런스금리정보"</f>
        <v>Swap 레퍼런스금리정보</v>
      </c>
      <c r="I10" s="96"/>
      <c r="J10" s="99" t="str">
        <f>IF(F10=0,"", "연 지급횟수")</f>
        <v/>
      </c>
      <c r="K10" s="114"/>
      <c r="L10" s="79">
        <v>4</v>
      </c>
      <c r="M10" s="153"/>
      <c r="O10" s="74" t="s">
        <v>51</v>
      </c>
      <c r="P10" s="74"/>
      <c r="Q10" s="75">
        <v>-1</v>
      </c>
      <c r="R10" s="76"/>
      <c r="W10" s="27">
        <f t="shared" ref="W10:W73" si="4">W9+1</f>
        <v>45541</v>
      </c>
      <c r="X10" s="34">
        <v>3.44E-2</v>
      </c>
      <c r="Y10" s="27">
        <f t="shared" ref="Y10:Y73" si="5">Y9+1</f>
        <v>45541</v>
      </c>
      <c r="Z10" s="34">
        <v>3.44E-2</v>
      </c>
      <c r="AB10" s="134" t="s">
        <v>78</v>
      </c>
      <c r="AC10" s="77"/>
      <c r="AD10" s="149">
        <v>-536.79548717894022</v>
      </c>
      <c r="AE10" s="149"/>
      <c r="AF10" s="20"/>
      <c r="AG10" s="20"/>
      <c r="AH10" s="20"/>
      <c r="AI10" s="20"/>
      <c r="AJ10" s="20"/>
      <c r="AK10" s="20"/>
    </row>
    <row r="11" spans="1:57" x14ac:dyDescent="0.4">
      <c r="A11" s="21">
        <f t="shared" si="1"/>
        <v>11</v>
      </c>
      <c r="B11" s="84"/>
      <c r="C11" s="85"/>
      <c r="D11" s="74" t="s">
        <v>36</v>
      </c>
      <c r="E11" s="74"/>
      <c r="F11" s="100">
        <v>0</v>
      </c>
      <c r="G11" s="76"/>
      <c r="H11" s="98"/>
      <c r="I11" s="99"/>
      <c r="J11" s="99" t="str">
        <f>IF(F10=0,"",IF(F11=0, "만기", "입력X, 아래만기2개입력"))</f>
        <v/>
      </c>
      <c r="K11" s="114"/>
      <c r="L11" s="115">
        <v>0.25</v>
      </c>
      <c r="M11" s="116"/>
      <c r="O11" s="74" t="s">
        <v>53</v>
      </c>
      <c r="P11" s="74"/>
      <c r="Q11" s="75">
        <v>0</v>
      </c>
      <c r="R11" s="76"/>
      <c r="W11" s="27">
        <f t="shared" si="4"/>
        <v>45542</v>
      </c>
      <c r="X11" s="34">
        <v>3.44E-2</v>
      </c>
      <c r="Y11" s="27">
        <f t="shared" si="5"/>
        <v>45542</v>
      </c>
      <c r="Z11" s="34">
        <v>3.44E-2</v>
      </c>
      <c r="AB11" s="134" t="s">
        <v>91</v>
      </c>
      <c r="AC11" s="77"/>
      <c r="AD11" s="152">
        <v>8527.8059120871167</v>
      </c>
      <c r="AE11" s="152"/>
      <c r="AF11" s="50"/>
      <c r="AG11" s="20"/>
      <c r="AH11" s="20"/>
      <c r="AI11" s="20"/>
      <c r="AJ11" s="20"/>
      <c r="AK11" s="20"/>
    </row>
    <row r="12" spans="1:57" x14ac:dyDescent="0.4">
      <c r="A12" s="21">
        <f t="shared" si="1"/>
        <v>12</v>
      </c>
      <c r="B12" s="84"/>
      <c r="C12" s="85"/>
      <c r="D12" s="74" t="s">
        <v>37</v>
      </c>
      <c r="E12" s="74"/>
      <c r="F12" s="103">
        <v>1</v>
      </c>
      <c r="G12" s="104"/>
      <c r="H12" s="117" t="str">
        <f>"ex) Deposit 3M -&gt; 연 지급횟수= 4, 만기= 0.25 ||  ex2) CMT 5Y 연 지급횟수=2, 만기 5"</f>
        <v>ex) Deposit 3M -&gt; 연 지급횟수= 4, 만기= 0.25 ||  ex2) CMT 5Y 연 지급횟수=2, 만기 5</v>
      </c>
      <c r="I12" s="117"/>
      <c r="J12" s="117"/>
      <c r="K12" s="117"/>
      <c r="L12" s="117"/>
      <c r="M12" s="118"/>
      <c r="O12" s="112" t="s">
        <v>54</v>
      </c>
      <c r="P12" s="113"/>
      <c r="Q12" s="75">
        <v>-1</v>
      </c>
      <c r="R12" s="76"/>
      <c r="W12" s="27">
        <f t="shared" si="4"/>
        <v>45543</v>
      </c>
      <c r="X12" s="34">
        <v>3.44E-2</v>
      </c>
      <c r="Y12" s="27">
        <f t="shared" si="5"/>
        <v>45543</v>
      </c>
      <c r="Z12" s="34">
        <v>3.44E-2</v>
      </c>
      <c r="AB12" s="134" t="s">
        <v>92</v>
      </c>
      <c r="AC12" s="77"/>
      <c r="AD12" s="152">
        <v>7732.9535296108561</v>
      </c>
      <c r="AE12" s="152"/>
      <c r="AF12" s="20">
        <v>-510</v>
      </c>
      <c r="AG12" s="48">
        <f>(AF12-AD10)/L3</f>
        <v>1.339774358947011E-3</v>
      </c>
      <c r="AH12" s="20"/>
      <c r="AI12" s="20"/>
      <c r="AJ12" s="20"/>
      <c r="AK12" s="20"/>
    </row>
    <row r="13" spans="1:57" x14ac:dyDescent="0.4">
      <c r="A13" s="21">
        <f t="shared" si="1"/>
        <v>13</v>
      </c>
      <c r="B13" s="84"/>
      <c r="C13" s="85"/>
      <c r="D13" s="74" t="s">
        <v>38</v>
      </c>
      <c r="E13" s="60"/>
      <c r="F13" s="105">
        <v>-1</v>
      </c>
      <c r="G13" s="106"/>
      <c r="H13" s="109" t="str">
        <f>IF(F11&gt;0,"PowerSpreadFlag 1일때 입력","입력필요X")</f>
        <v>입력필요X</v>
      </c>
      <c r="I13" s="109"/>
      <c r="J13" s="109" t="str">
        <f>IF(F11&gt;0,"만기1","")</f>
        <v/>
      </c>
      <c r="K13" s="109"/>
      <c r="L13" s="110">
        <v>10</v>
      </c>
      <c r="M13" s="111"/>
      <c r="W13" s="27">
        <f t="shared" si="4"/>
        <v>45544</v>
      </c>
      <c r="X13" s="34">
        <v>3.44E-2</v>
      </c>
      <c r="Y13" s="27">
        <f t="shared" si="5"/>
        <v>45544</v>
      </c>
      <c r="Z13" s="34">
        <v>3.44E-2</v>
      </c>
      <c r="AB13" s="20"/>
      <c r="AC13" s="20"/>
      <c r="AD13" s="20"/>
      <c r="AE13" s="20"/>
      <c r="AF13" s="20">
        <v>-500</v>
      </c>
      <c r="AG13" s="50">
        <f>(AF13-AD10)/L3</f>
        <v>1.839774358947011E-3</v>
      </c>
      <c r="AH13" s="20"/>
      <c r="AI13" s="20"/>
      <c r="AJ13" s="20"/>
      <c r="AK13" s="20"/>
    </row>
    <row r="14" spans="1:57" x14ac:dyDescent="0.4">
      <c r="A14" s="21">
        <f t="shared" si="1"/>
        <v>14</v>
      </c>
      <c r="B14" s="86"/>
      <c r="C14" s="87"/>
      <c r="D14" s="122" t="s">
        <v>39</v>
      </c>
      <c r="E14" s="122"/>
      <c r="F14" s="107">
        <v>0</v>
      </c>
      <c r="G14" s="108"/>
      <c r="H14" s="109"/>
      <c r="I14" s="109"/>
      <c r="J14" s="109" t="str">
        <f>IF(F11&gt;0,"만기2","")</f>
        <v/>
      </c>
      <c r="K14" s="109"/>
      <c r="L14" s="110">
        <v>5</v>
      </c>
      <c r="M14" s="111"/>
      <c r="O14" s="74" t="s">
        <v>88</v>
      </c>
      <c r="P14" s="74"/>
      <c r="Q14" s="74"/>
      <c r="R14" s="74"/>
      <c r="W14" s="27">
        <f t="shared" si="4"/>
        <v>45545</v>
      </c>
      <c r="X14" s="34">
        <v>3.44E-2</v>
      </c>
      <c r="Y14" s="27">
        <f t="shared" si="5"/>
        <v>45545</v>
      </c>
      <c r="Z14" s="34">
        <v>3.44E-2</v>
      </c>
      <c r="AB14" s="20"/>
      <c r="AC14" s="20"/>
      <c r="AD14" s="20"/>
      <c r="AE14" s="20"/>
      <c r="AF14" s="20"/>
      <c r="AG14" s="20"/>
      <c r="AH14" s="20"/>
      <c r="AI14" s="20"/>
      <c r="AJ14" s="20"/>
      <c r="AK14" s="20"/>
    </row>
    <row r="15" spans="1:57" x14ac:dyDescent="0.4">
      <c r="A15" s="21">
        <f t="shared" si="1"/>
        <v>15</v>
      </c>
      <c r="B15" s="20"/>
      <c r="C15" s="20"/>
      <c r="O15" s="74" t="s">
        <v>89</v>
      </c>
      <c r="P15" s="74"/>
      <c r="Q15" s="75">
        <v>0</v>
      </c>
      <c r="R15" s="76"/>
      <c r="W15" s="27">
        <f t="shared" si="4"/>
        <v>45546</v>
      </c>
      <c r="X15" s="34">
        <v>3.44E-2</v>
      </c>
      <c r="Y15" s="27">
        <f t="shared" si="5"/>
        <v>45546</v>
      </c>
      <c r="Z15" s="34">
        <v>3.44E-2</v>
      </c>
      <c r="AB15" s="147" t="s">
        <v>72</v>
      </c>
      <c r="AC15" s="148"/>
      <c r="AD15" s="148"/>
      <c r="AE15" s="148"/>
      <c r="AF15" s="148"/>
      <c r="AG15" s="147" t="s">
        <v>73</v>
      </c>
      <c r="AH15" s="148"/>
      <c r="AI15" s="148"/>
      <c r="AJ15" s="148"/>
      <c r="AK15" s="148"/>
    </row>
    <row r="16" spans="1:57" x14ac:dyDescent="0.4">
      <c r="A16" s="21">
        <f t="shared" si="1"/>
        <v>16</v>
      </c>
      <c r="B16" s="144" t="s">
        <v>40</v>
      </c>
      <c r="C16" s="144"/>
      <c r="D16" s="74" t="s">
        <v>80</v>
      </c>
      <c r="E16" s="74"/>
      <c r="F16" s="103">
        <v>2.3699999999999999E-2</v>
      </c>
      <c r="G16" s="104"/>
      <c r="H16" s="120" t="s">
        <v>83</v>
      </c>
      <c r="I16" s="121"/>
      <c r="J16" s="119" t="str">
        <f>IF(F11&gt;0, F13&amp;" &lt; "&amp;F10&amp;" x Rate("&amp;L13&amp;"Y-"&amp;L14&amp;"Y) &lt; "&amp;F12,F13&amp;" &lt; "&amp;F10&amp;" x Rate("&amp;L11&amp;"Y) &lt; "&amp;F12)</f>
        <v>-1 &lt; 0 x Rate(0.25Y) &lt; 1</v>
      </c>
      <c r="K16" s="119"/>
      <c r="L16" s="119"/>
      <c r="M16" s="119"/>
      <c r="W16" s="27">
        <f t="shared" si="4"/>
        <v>45547</v>
      </c>
      <c r="X16" s="34">
        <v>3.44E-2</v>
      </c>
      <c r="Y16" s="27">
        <f t="shared" si="5"/>
        <v>45547</v>
      </c>
      <c r="Z16" s="34">
        <v>3.44E-2</v>
      </c>
      <c r="AB16" s="36" t="s">
        <v>67</v>
      </c>
      <c r="AC16" s="36" t="s">
        <v>68</v>
      </c>
      <c r="AD16" s="36" t="s">
        <v>69</v>
      </c>
      <c r="AE16" s="36" t="s">
        <v>70</v>
      </c>
      <c r="AF16" s="36" t="s">
        <v>71</v>
      </c>
      <c r="AG16" s="36" t="s">
        <v>67</v>
      </c>
      <c r="AH16" s="36" t="s">
        <v>68</v>
      </c>
      <c r="AI16" s="36" t="s">
        <v>69</v>
      </c>
      <c r="AJ16" s="36" t="s">
        <v>70</v>
      </c>
      <c r="AK16" s="36" t="s">
        <v>71</v>
      </c>
    </row>
    <row r="17" spans="1:37" x14ac:dyDescent="0.4">
      <c r="A17" s="21">
        <f t="shared" si="1"/>
        <v>17</v>
      </c>
      <c r="B17" s="144"/>
      <c r="C17" s="144"/>
      <c r="D17" s="74" t="s">
        <v>43</v>
      </c>
      <c r="E17" s="74"/>
      <c r="F17" s="103">
        <v>0</v>
      </c>
      <c r="G17" s="104"/>
      <c r="H17" s="120" t="s">
        <v>81</v>
      </c>
      <c r="I17" s="121"/>
      <c r="J17" s="119" t="str">
        <f>IF(F11&gt;0, IF(F18&gt;0,F14,0)&amp;" x Rate("&amp;L13&amp;"Y-"&amp;L14&amp;"Y) + "&amp;F16&amp;"(고정) + "&amp;F17&amp;"(Range충족시)", IF(F18&gt;0,F14,0)&amp;" x Rate("&amp;L11&amp;"Y) + "&amp;F16&amp;"(고정) + "&amp;F17&amp;"(Range충족시)")</f>
        <v>0 x Rate(0.25Y) + 0.0237(고정) + 0(Range충족시)</v>
      </c>
      <c r="K17" s="119"/>
      <c r="L17" s="119"/>
      <c r="M17" s="119"/>
      <c r="W17" s="27">
        <f t="shared" si="4"/>
        <v>45548</v>
      </c>
      <c r="X17" s="34">
        <v>3.44E-2</v>
      </c>
      <c r="Y17" s="27">
        <f t="shared" si="5"/>
        <v>45548</v>
      </c>
      <c r="Z17" s="34">
        <v>3.44E-2</v>
      </c>
      <c r="AB17" s="38">
        <v>20160929</v>
      </c>
      <c r="AC17" s="39">
        <v>20460928</v>
      </c>
      <c r="AD17" s="39">
        <v>20460928</v>
      </c>
      <c r="AE17" s="42">
        <v>0</v>
      </c>
      <c r="AF17" s="46">
        <v>14220</v>
      </c>
      <c r="AG17" s="39">
        <v>20160929</v>
      </c>
      <c r="AH17" s="39">
        <v>20161229</v>
      </c>
      <c r="AI17" s="39">
        <v>20161229</v>
      </c>
      <c r="AJ17" s="42">
        <v>0</v>
      </c>
      <c r="AK17" s="46">
        <v>0</v>
      </c>
    </row>
    <row r="18" spans="1:37" x14ac:dyDescent="0.4">
      <c r="A18" s="21">
        <f t="shared" si="1"/>
        <v>18</v>
      </c>
      <c r="B18" s="144"/>
      <c r="C18" s="144"/>
      <c r="D18" s="74" t="s">
        <v>44</v>
      </c>
      <c r="E18" s="74"/>
      <c r="F18" s="100">
        <v>0</v>
      </c>
      <c r="G18" s="76"/>
      <c r="H18" s="120"/>
      <c r="I18" s="121"/>
      <c r="J18" s="119"/>
      <c r="K18" s="119"/>
      <c r="L18" s="119"/>
      <c r="M18" s="119"/>
      <c r="W18" s="27">
        <f t="shared" si="4"/>
        <v>45549</v>
      </c>
      <c r="X18" s="34">
        <v>3.44E-2</v>
      </c>
      <c r="Y18" s="27">
        <f t="shared" si="5"/>
        <v>45549</v>
      </c>
      <c r="Z18" s="34">
        <v>3.44E-2</v>
      </c>
      <c r="AG18" s="41">
        <v>20161229</v>
      </c>
      <c r="AH18" s="41">
        <v>20170329</v>
      </c>
      <c r="AI18" s="41">
        <v>20170329</v>
      </c>
      <c r="AJ18" s="43">
        <v>0</v>
      </c>
      <c r="AK18" s="47">
        <v>0</v>
      </c>
    </row>
    <row r="19" spans="1:37" x14ac:dyDescent="0.4">
      <c r="A19" s="21">
        <f t="shared" si="1"/>
        <v>19</v>
      </c>
      <c r="B19" s="20"/>
      <c r="C19" s="20"/>
      <c r="W19" s="27">
        <f t="shared" si="4"/>
        <v>45550</v>
      </c>
      <c r="X19" s="34">
        <v>3.44E-2</v>
      </c>
      <c r="Y19" s="27">
        <f t="shared" si="5"/>
        <v>45550</v>
      </c>
      <c r="Z19" s="34">
        <v>3.44E-2</v>
      </c>
      <c r="AG19" s="41">
        <v>20170329</v>
      </c>
      <c r="AH19" s="41">
        <v>20170629</v>
      </c>
      <c r="AI19" s="41">
        <v>20170629</v>
      </c>
      <c r="AJ19" s="43">
        <v>0</v>
      </c>
      <c r="AK19" s="47">
        <v>0</v>
      </c>
    </row>
    <row r="20" spans="1:37" x14ac:dyDescent="0.4">
      <c r="A20" s="21">
        <f t="shared" si="1"/>
        <v>20</v>
      </c>
      <c r="B20" s="20"/>
      <c r="C20" s="20"/>
      <c r="W20" s="27">
        <f t="shared" si="4"/>
        <v>45551</v>
      </c>
      <c r="X20" s="34">
        <v>3.44E-2</v>
      </c>
      <c r="Y20" s="27">
        <f t="shared" si="5"/>
        <v>45551</v>
      </c>
      <c r="Z20" s="34">
        <v>3.44E-2</v>
      </c>
      <c r="AG20" s="41">
        <v>20170629</v>
      </c>
      <c r="AH20" s="41">
        <v>20170929</v>
      </c>
      <c r="AI20" s="41">
        <v>20170929</v>
      </c>
      <c r="AJ20" s="43">
        <v>0</v>
      </c>
      <c r="AK20" s="47">
        <v>0</v>
      </c>
    </row>
    <row r="21" spans="1:37" x14ac:dyDescent="0.4">
      <c r="A21" s="21">
        <f t="shared" si="1"/>
        <v>21</v>
      </c>
      <c r="B21" s="144" t="s">
        <v>45</v>
      </c>
      <c r="C21" s="144"/>
      <c r="D21" s="74" t="s">
        <v>41</v>
      </c>
      <c r="E21" s="74"/>
      <c r="F21" s="103">
        <v>2.3699999999999999E-2</v>
      </c>
      <c r="G21" s="104"/>
      <c r="H21" s="120" t="s">
        <v>82</v>
      </c>
      <c r="I21" s="121"/>
      <c r="J21" s="119" t="str">
        <f>IF(F11&gt;0,  IF(F23&gt;0,F14,0)&amp;" x Rate("&amp;L13&amp;"Y-"&amp;L14&amp;"Y) + "&amp;F21&amp;"(고정) + "&amp;F22&amp;"(Range충족시)", IF(F23&gt;0,F14,0)&amp;" x Rate("&amp;L11&amp;"Y) + "&amp;F21&amp;"(고정) + "&amp;F22&amp;"(Range충족시)")</f>
        <v>0 x Rate(0.25Y) + 0.0237(고정) + 0(Range충족시)</v>
      </c>
      <c r="K21" s="119"/>
      <c r="L21" s="119"/>
      <c r="M21" s="119"/>
      <c r="W21" s="27">
        <f t="shared" si="4"/>
        <v>45552</v>
      </c>
      <c r="X21" s="34">
        <v>3.44E-2</v>
      </c>
      <c r="Y21" s="27">
        <f t="shared" si="5"/>
        <v>45552</v>
      </c>
      <c r="Z21" s="34">
        <v>3.44E-2</v>
      </c>
      <c r="AG21" s="41">
        <v>20170929</v>
      </c>
      <c r="AH21" s="41">
        <v>20171229</v>
      </c>
      <c r="AI21" s="41">
        <v>20171229</v>
      </c>
      <c r="AJ21" s="43">
        <v>0</v>
      </c>
      <c r="AK21" s="47">
        <v>0</v>
      </c>
    </row>
    <row r="22" spans="1:37" x14ac:dyDescent="0.4">
      <c r="A22" s="21">
        <f t="shared" si="1"/>
        <v>22</v>
      </c>
      <c r="B22" s="144"/>
      <c r="C22" s="144"/>
      <c r="D22" s="74" t="s">
        <v>43</v>
      </c>
      <c r="E22" s="74"/>
      <c r="F22" s="103">
        <v>0</v>
      </c>
      <c r="G22" s="104"/>
      <c r="H22" s="120"/>
      <c r="I22" s="121"/>
      <c r="J22" s="119"/>
      <c r="K22" s="119"/>
      <c r="L22" s="119"/>
      <c r="M22" s="119"/>
      <c r="W22" s="27">
        <f t="shared" si="4"/>
        <v>45553</v>
      </c>
      <c r="X22" s="34">
        <v>3.44E-2</v>
      </c>
      <c r="Y22" s="27">
        <f t="shared" si="5"/>
        <v>45553</v>
      </c>
      <c r="Z22" s="34">
        <v>3.44E-2</v>
      </c>
      <c r="AG22" s="41">
        <v>20171229</v>
      </c>
      <c r="AH22" s="41">
        <v>20180329</v>
      </c>
      <c r="AI22" s="41">
        <v>20180329</v>
      </c>
      <c r="AJ22" s="43">
        <v>0</v>
      </c>
      <c r="AK22" s="47">
        <v>0</v>
      </c>
    </row>
    <row r="23" spans="1:37" x14ac:dyDescent="0.4">
      <c r="A23" s="21">
        <f t="shared" si="1"/>
        <v>23</v>
      </c>
      <c r="B23" s="144"/>
      <c r="C23" s="144"/>
      <c r="D23" s="74" t="s">
        <v>44</v>
      </c>
      <c r="E23" s="74"/>
      <c r="F23" s="100">
        <v>0</v>
      </c>
      <c r="G23" s="76"/>
      <c r="W23" s="27">
        <f t="shared" si="4"/>
        <v>45554</v>
      </c>
      <c r="X23" s="34">
        <v>3.44E-2</v>
      </c>
      <c r="Y23" s="27">
        <f t="shared" si="5"/>
        <v>45554</v>
      </c>
      <c r="Z23" s="34">
        <v>3.44E-2</v>
      </c>
      <c r="AG23" s="41">
        <v>20180329</v>
      </c>
      <c r="AH23" s="41">
        <v>20180629</v>
      </c>
      <c r="AI23" s="41">
        <v>20180629</v>
      </c>
      <c r="AJ23" s="43">
        <v>0</v>
      </c>
      <c r="AK23" s="47">
        <v>0</v>
      </c>
    </row>
    <row r="24" spans="1:37" x14ac:dyDescent="0.4">
      <c r="A24" s="21">
        <f t="shared" si="1"/>
        <v>24</v>
      </c>
      <c r="B24" s="20"/>
      <c r="C24" s="20"/>
      <c r="W24" s="27">
        <f t="shared" si="4"/>
        <v>45555</v>
      </c>
      <c r="X24" s="34">
        <v>3.44E-2</v>
      </c>
      <c r="Y24" s="27">
        <f t="shared" si="5"/>
        <v>45555</v>
      </c>
      <c r="Z24" s="34">
        <v>3.44E-2</v>
      </c>
      <c r="AG24" s="41">
        <v>20180629</v>
      </c>
      <c r="AH24" s="41">
        <v>20180928</v>
      </c>
      <c r="AI24" s="41">
        <v>20180928</v>
      </c>
      <c r="AJ24" s="43">
        <v>0</v>
      </c>
      <c r="AK24" s="47">
        <v>0</v>
      </c>
    </row>
    <row r="25" spans="1:37" x14ac:dyDescent="0.4">
      <c r="A25" s="21">
        <f t="shared" si="1"/>
        <v>25</v>
      </c>
      <c r="B25" s="89" t="s">
        <v>46</v>
      </c>
      <c r="C25" s="90"/>
      <c r="D25" s="90"/>
      <c r="E25" s="90"/>
      <c r="F25" s="90"/>
      <c r="G25" s="90"/>
      <c r="H25" s="90"/>
      <c r="I25" s="90"/>
      <c r="J25" s="90"/>
      <c r="K25" s="90"/>
      <c r="L25" s="90"/>
      <c r="M25" s="91"/>
      <c r="W25" s="27">
        <f t="shared" si="4"/>
        <v>45556</v>
      </c>
      <c r="X25" s="34">
        <v>3.44E-2</v>
      </c>
      <c r="Y25" s="27">
        <f t="shared" si="5"/>
        <v>45556</v>
      </c>
      <c r="Z25" s="34">
        <v>3.44E-2</v>
      </c>
      <c r="AG25" s="41">
        <v>20180928</v>
      </c>
      <c r="AH25" s="41">
        <v>20181231</v>
      </c>
      <c r="AI25" s="41">
        <v>20181231</v>
      </c>
      <c r="AJ25" s="43">
        <v>0</v>
      </c>
      <c r="AK25" s="47">
        <v>0</v>
      </c>
    </row>
    <row r="26" spans="1:37" x14ac:dyDescent="0.4">
      <c r="A26" s="21">
        <f t="shared" si="1"/>
        <v>26</v>
      </c>
      <c r="B26" s="92"/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4"/>
      <c r="W26" s="27">
        <f t="shared" si="4"/>
        <v>45557</v>
      </c>
      <c r="X26" s="34">
        <v>3.44E-2</v>
      </c>
      <c r="Y26" s="27">
        <f t="shared" si="5"/>
        <v>45557</v>
      </c>
      <c r="Z26" s="34">
        <v>3.44E-2</v>
      </c>
      <c r="AG26" s="41">
        <v>20181231</v>
      </c>
      <c r="AH26" s="41">
        <v>20190329</v>
      </c>
      <c r="AI26" s="41">
        <v>20190329</v>
      </c>
      <c r="AJ26" s="43">
        <v>0</v>
      </c>
      <c r="AK26" s="47">
        <v>0</v>
      </c>
    </row>
    <row r="27" spans="1:37" x14ac:dyDescent="0.4">
      <c r="A27" s="21">
        <f t="shared" si="1"/>
        <v>27</v>
      </c>
      <c r="B27" s="73" t="s">
        <v>32</v>
      </c>
      <c r="C27" s="73"/>
      <c r="D27" s="81">
        <v>1</v>
      </c>
      <c r="E27" s="79"/>
      <c r="F27" s="73" t="s">
        <v>33</v>
      </c>
      <c r="G27" s="73"/>
      <c r="H27" s="81">
        <v>1</v>
      </c>
      <c r="I27" s="79"/>
      <c r="J27" s="73" t="s">
        <v>85</v>
      </c>
      <c r="K27" s="73"/>
      <c r="L27" s="100">
        <v>0</v>
      </c>
      <c r="M27" s="76"/>
      <c r="W27" s="27">
        <f t="shared" si="4"/>
        <v>45558</v>
      </c>
      <c r="X27" s="34">
        <v>3.44E-2</v>
      </c>
      <c r="Y27" s="27">
        <f t="shared" si="5"/>
        <v>45558</v>
      </c>
      <c r="Z27" s="34">
        <v>3.44E-2</v>
      </c>
      <c r="AG27" s="41">
        <v>20190329</v>
      </c>
      <c r="AH27" s="41">
        <v>20190628</v>
      </c>
      <c r="AI27" s="41">
        <v>20190628</v>
      </c>
      <c r="AJ27" s="43">
        <v>0</v>
      </c>
      <c r="AK27" s="47">
        <v>0</v>
      </c>
    </row>
    <row r="28" spans="1:37" x14ac:dyDescent="0.4">
      <c r="A28" s="21">
        <f t="shared" si="1"/>
        <v>28</v>
      </c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W28" s="27">
        <f t="shared" si="4"/>
        <v>45559</v>
      </c>
      <c r="X28" s="34">
        <v>3.44E-2</v>
      </c>
      <c r="Y28" s="27">
        <f t="shared" si="5"/>
        <v>45559</v>
      </c>
      <c r="Z28" s="34">
        <v>3.44E-2</v>
      </c>
      <c r="AG28" s="41">
        <v>20190628</v>
      </c>
      <c r="AH28" s="41">
        <v>20190930</v>
      </c>
      <c r="AI28" s="41">
        <v>20190930</v>
      </c>
      <c r="AJ28" s="43">
        <v>0</v>
      </c>
      <c r="AK28" s="47">
        <v>0</v>
      </c>
    </row>
    <row r="29" spans="1:37" x14ac:dyDescent="0.4">
      <c r="A29" s="21">
        <f t="shared" si="1"/>
        <v>29</v>
      </c>
      <c r="B29" s="82" t="str">
        <f>"기초금리정보"</f>
        <v>기초금리정보</v>
      </c>
      <c r="C29" s="83"/>
      <c r="D29" s="60" t="s">
        <v>34</v>
      </c>
      <c r="E29" s="60"/>
      <c r="F29" s="100" t="s">
        <v>94</v>
      </c>
      <c r="G29" s="76"/>
      <c r="H29" s="23"/>
      <c r="I29" s="22"/>
      <c r="J29" s="95" t="str">
        <f>IF(F30=0,"금리결정조건이 = "&amp;F30&amp;" 이므로 Ref Swap 금리정보 사용안함", "사용")</f>
        <v>사용</v>
      </c>
      <c r="K29" s="96"/>
      <c r="L29" s="96"/>
      <c r="M29" s="97"/>
      <c r="O29" s="74" t="s">
        <v>58</v>
      </c>
      <c r="P29" s="74"/>
      <c r="Q29" s="74"/>
      <c r="R29" s="74"/>
      <c r="W29" s="27">
        <f t="shared" si="4"/>
        <v>45560</v>
      </c>
      <c r="X29" s="34">
        <v>3.44E-2</v>
      </c>
      <c r="Y29" s="27">
        <f t="shared" si="5"/>
        <v>45560</v>
      </c>
      <c r="Z29" s="34">
        <v>3.44E-2</v>
      </c>
      <c r="AG29" s="41">
        <v>20190930</v>
      </c>
      <c r="AH29" s="41">
        <v>20191230</v>
      </c>
      <c r="AI29" s="41">
        <v>20191230</v>
      </c>
      <c r="AJ29" s="43">
        <v>0</v>
      </c>
      <c r="AK29" s="47">
        <v>0</v>
      </c>
    </row>
    <row r="30" spans="1:37" x14ac:dyDescent="0.4">
      <c r="A30" s="21">
        <f t="shared" si="1"/>
        <v>30</v>
      </c>
      <c r="B30" s="84"/>
      <c r="C30" s="85"/>
      <c r="D30" s="60" t="s">
        <v>35</v>
      </c>
      <c r="E30" s="88"/>
      <c r="F30" s="101">
        <v>1</v>
      </c>
      <c r="G30" s="102"/>
      <c r="H30" s="95" t="str">
        <f xml:space="preserve"> "Swap 레퍼런스금리정보"</f>
        <v>Swap 레퍼런스금리정보</v>
      </c>
      <c r="I30" s="96"/>
      <c r="J30" s="99" t="str">
        <f>IF(F30=0,"", "연 지급횟수")</f>
        <v>연 지급횟수</v>
      </c>
      <c r="K30" s="114"/>
      <c r="L30" s="79">
        <v>4</v>
      </c>
      <c r="M30" s="153"/>
      <c r="O30" s="74" t="s">
        <v>51</v>
      </c>
      <c r="P30" s="74"/>
      <c r="Q30" s="75">
        <v>4</v>
      </c>
      <c r="R30" s="76"/>
      <c r="W30" s="27">
        <f t="shared" si="4"/>
        <v>45561</v>
      </c>
      <c r="X30" s="34">
        <v>3.44E-2</v>
      </c>
      <c r="Y30" s="27">
        <f t="shared" si="5"/>
        <v>45561</v>
      </c>
      <c r="Z30" s="34">
        <v>3.44E-2</v>
      </c>
      <c r="AG30" s="41">
        <v>20191230</v>
      </c>
      <c r="AH30" s="41">
        <v>20200330</v>
      </c>
      <c r="AI30" s="41">
        <v>20200330</v>
      </c>
      <c r="AJ30" s="43">
        <v>0</v>
      </c>
      <c r="AK30" s="47">
        <v>0</v>
      </c>
    </row>
    <row r="31" spans="1:37" x14ac:dyDescent="0.4">
      <c r="A31" s="21">
        <f t="shared" si="1"/>
        <v>31</v>
      </c>
      <c r="B31" s="84"/>
      <c r="C31" s="85"/>
      <c r="D31" s="74" t="s">
        <v>36</v>
      </c>
      <c r="E31" s="74"/>
      <c r="F31" s="100">
        <v>0</v>
      </c>
      <c r="G31" s="76"/>
      <c r="H31" s="98"/>
      <c r="I31" s="99"/>
      <c r="J31" s="99" t="str">
        <f>IF(F30=0,"",IF(F31=0, "만기", "입력X, 아래만기2개입력"))</f>
        <v>만기</v>
      </c>
      <c r="K31" s="114"/>
      <c r="L31" s="115">
        <v>0.25</v>
      </c>
      <c r="M31" s="116"/>
      <c r="O31" s="74" t="s">
        <v>53</v>
      </c>
      <c r="P31" s="74"/>
      <c r="Q31" s="75">
        <v>0</v>
      </c>
      <c r="R31" s="76"/>
      <c r="W31" s="27">
        <f t="shared" si="4"/>
        <v>45562</v>
      </c>
      <c r="X31" s="34">
        <v>3.44E-2</v>
      </c>
      <c r="Y31" s="27">
        <f t="shared" si="5"/>
        <v>45562</v>
      </c>
      <c r="Z31" s="34">
        <v>3.44E-2</v>
      </c>
      <c r="AG31" s="41">
        <v>20200330</v>
      </c>
      <c r="AH31" s="41">
        <v>20200629</v>
      </c>
      <c r="AI31" s="41">
        <v>20200629</v>
      </c>
      <c r="AJ31" s="43">
        <v>0</v>
      </c>
      <c r="AK31" s="47">
        <v>0</v>
      </c>
    </row>
    <row r="32" spans="1:37" x14ac:dyDescent="0.4">
      <c r="A32" s="21">
        <f t="shared" si="1"/>
        <v>32</v>
      </c>
      <c r="B32" s="84"/>
      <c r="C32" s="85"/>
      <c r="D32" s="74" t="s">
        <v>37</v>
      </c>
      <c r="E32" s="74"/>
      <c r="F32" s="103">
        <v>1</v>
      </c>
      <c r="G32" s="104"/>
      <c r="H32" s="117" t="str">
        <f>"ex) Deposit 3M -&gt; 연 지급횟수= 4, 만기= 0.25 ||  ex2) CMT 5Y 연 지급횟수=2, 만기 5"</f>
        <v>ex) Deposit 3M -&gt; 연 지급횟수= 4, 만기= 0.25 ||  ex2) CMT 5Y 연 지급횟수=2, 만기 5</v>
      </c>
      <c r="I32" s="117"/>
      <c r="J32" s="117"/>
      <c r="K32" s="117"/>
      <c r="L32" s="117"/>
      <c r="M32" s="118"/>
      <c r="O32" s="112" t="s">
        <v>54</v>
      </c>
      <c r="P32" s="113"/>
      <c r="Q32" s="75">
        <v>4</v>
      </c>
      <c r="R32" s="76"/>
      <c r="W32" s="27">
        <f t="shared" si="4"/>
        <v>45563</v>
      </c>
      <c r="X32" s="34">
        <v>3.44E-2</v>
      </c>
      <c r="Y32" s="27">
        <f t="shared" si="5"/>
        <v>45563</v>
      </c>
      <c r="Z32" s="34">
        <v>3.44E-2</v>
      </c>
      <c r="AG32" s="41">
        <v>20200629</v>
      </c>
      <c r="AH32" s="41">
        <v>20200929</v>
      </c>
      <c r="AI32" s="41">
        <v>20200929</v>
      </c>
      <c r="AJ32" s="43">
        <v>0</v>
      </c>
      <c r="AK32" s="47">
        <v>0</v>
      </c>
    </row>
    <row r="33" spans="1:37" x14ac:dyDescent="0.4">
      <c r="A33" s="21">
        <f t="shared" si="1"/>
        <v>33</v>
      </c>
      <c r="B33" s="84"/>
      <c r="C33" s="85"/>
      <c r="D33" s="74" t="s">
        <v>38</v>
      </c>
      <c r="E33" s="60"/>
      <c r="F33" s="105">
        <v>-1</v>
      </c>
      <c r="G33" s="106"/>
      <c r="H33" s="109" t="str">
        <f>IF(F31&gt;0,"PowerSpreadFlag 1일때 입력","입력필요X")</f>
        <v>입력필요X</v>
      </c>
      <c r="I33" s="109"/>
      <c r="J33" s="109" t="str">
        <f>IF(F31&gt;0,"만기1","")</f>
        <v/>
      </c>
      <c r="K33" s="109"/>
      <c r="L33" s="145">
        <v>10</v>
      </c>
      <c r="M33" s="146"/>
      <c r="W33" s="27">
        <f t="shared" si="4"/>
        <v>45564</v>
      </c>
      <c r="X33" s="34">
        <v>3.44E-2</v>
      </c>
      <c r="Y33" s="27">
        <f t="shared" si="5"/>
        <v>45564</v>
      </c>
      <c r="Z33" s="34">
        <v>3.44E-2</v>
      </c>
      <c r="AG33" s="41">
        <v>20200929</v>
      </c>
      <c r="AH33" s="41">
        <v>20201229</v>
      </c>
      <c r="AI33" s="41">
        <v>20201229</v>
      </c>
      <c r="AJ33" s="43">
        <v>0</v>
      </c>
      <c r="AK33" s="47">
        <v>0</v>
      </c>
    </row>
    <row r="34" spans="1:37" x14ac:dyDescent="0.4">
      <c r="A34" s="21">
        <f t="shared" si="1"/>
        <v>34</v>
      </c>
      <c r="B34" s="86"/>
      <c r="C34" s="87"/>
      <c r="D34" s="122" t="s">
        <v>39</v>
      </c>
      <c r="E34" s="122"/>
      <c r="F34" s="107">
        <v>1</v>
      </c>
      <c r="G34" s="108"/>
      <c r="H34" s="109"/>
      <c r="I34" s="109"/>
      <c r="J34" s="109" t="str">
        <f>IF(F31&gt;0,"만기2","")</f>
        <v/>
      </c>
      <c r="K34" s="109"/>
      <c r="L34" s="145">
        <v>5</v>
      </c>
      <c r="M34" s="146"/>
      <c r="O34" s="74" t="s">
        <v>90</v>
      </c>
      <c r="P34" s="74"/>
      <c r="Q34" s="74"/>
      <c r="R34" s="74"/>
      <c r="W34" s="27">
        <f t="shared" si="4"/>
        <v>45565</v>
      </c>
      <c r="X34" s="34">
        <v>3.44E-2</v>
      </c>
      <c r="Y34" s="27">
        <f t="shared" si="5"/>
        <v>45565</v>
      </c>
      <c r="Z34" s="34">
        <v>3.44E-2</v>
      </c>
      <c r="AG34" s="41">
        <v>20201229</v>
      </c>
      <c r="AH34" s="41">
        <v>20210329</v>
      </c>
      <c r="AI34" s="41">
        <v>20210329</v>
      </c>
      <c r="AJ34" s="43">
        <v>0</v>
      </c>
      <c r="AK34" s="47">
        <v>0</v>
      </c>
    </row>
    <row r="35" spans="1:37" x14ac:dyDescent="0.4">
      <c r="A35" s="21">
        <f t="shared" si="1"/>
        <v>35</v>
      </c>
      <c r="B35" s="20"/>
      <c r="C35" s="20"/>
      <c r="O35" s="74" t="s">
        <v>89</v>
      </c>
      <c r="P35" s="74"/>
      <c r="Q35" s="75">
        <v>0</v>
      </c>
      <c r="R35" s="76"/>
      <c r="W35" s="27">
        <f t="shared" si="4"/>
        <v>45566</v>
      </c>
      <c r="X35" s="34">
        <v>3.44E-2</v>
      </c>
      <c r="Y35" s="27">
        <f t="shared" si="5"/>
        <v>45566</v>
      </c>
      <c r="Z35" s="34">
        <v>3.44E-2</v>
      </c>
      <c r="AG35" s="41">
        <v>20210329</v>
      </c>
      <c r="AH35" s="41">
        <v>20210629</v>
      </c>
      <c r="AI35" s="41">
        <v>20210629</v>
      </c>
      <c r="AJ35" s="43">
        <v>0</v>
      </c>
      <c r="AK35" s="47">
        <v>0</v>
      </c>
    </row>
    <row r="36" spans="1:37" x14ac:dyDescent="0.4">
      <c r="A36" s="21">
        <f t="shared" si="1"/>
        <v>36</v>
      </c>
      <c r="B36" s="144" t="s">
        <v>40</v>
      </c>
      <c r="C36" s="144"/>
      <c r="D36" s="74" t="s">
        <v>41</v>
      </c>
      <c r="E36" s="74"/>
      <c r="F36" s="103">
        <v>-1.1999999999999999E-3</v>
      </c>
      <c r="G36" s="104"/>
      <c r="H36" s="120" t="s">
        <v>84</v>
      </c>
      <c r="I36" s="121"/>
      <c r="J36" s="119" t="str">
        <f>IF(F31&gt;0, F33&amp;" &lt; "&amp;F30&amp;" x Rate("&amp;L33&amp;"Y-"&amp;L34&amp;"Y) &lt; "&amp;F32,F33&amp;" &lt; "&amp;F30&amp;" x Rate("&amp;L31&amp;"Y) &lt; "&amp;F32)</f>
        <v>-1 &lt; 1 x Rate(0.25Y) &lt; 1</v>
      </c>
      <c r="K36" s="119"/>
      <c r="L36" s="119"/>
      <c r="M36" s="119"/>
      <c r="W36" s="27">
        <f t="shared" si="4"/>
        <v>45567</v>
      </c>
      <c r="X36" s="34">
        <v>3.44E-2</v>
      </c>
      <c r="Y36" s="27">
        <f t="shared" si="5"/>
        <v>45567</v>
      </c>
      <c r="Z36" s="34">
        <v>3.44E-2</v>
      </c>
      <c r="AG36" s="41">
        <v>20210629</v>
      </c>
      <c r="AH36" s="41">
        <v>20210929</v>
      </c>
      <c r="AI36" s="41">
        <v>20210929</v>
      </c>
      <c r="AJ36" s="43">
        <v>0</v>
      </c>
      <c r="AK36" s="47">
        <v>0</v>
      </c>
    </row>
    <row r="37" spans="1:37" x14ac:dyDescent="0.4">
      <c r="A37" s="21">
        <f t="shared" si="1"/>
        <v>37</v>
      </c>
      <c r="B37" s="144"/>
      <c r="C37" s="144"/>
      <c r="D37" s="74" t="s">
        <v>43</v>
      </c>
      <c r="E37" s="74"/>
      <c r="F37" s="103">
        <v>0</v>
      </c>
      <c r="G37" s="104"/>
      <c r="H37" s="120" t="s">
        <v>81</v>
      </c>
      <c r="I37" s="121"/>
      <c r="J37" s="119" t="str">
        <f>IF(F31&gt;0, IF(F38&gt;0,F34,0)&amp;" x Rate("&amp;L33&amp;"Y-"&amp;L34&amp;"Y) + "&amp;F36&amp;"(고정) + "&amp;F37&amp;"(Range충족시)", IF(F38&gt;0,F34,0)&amp;" x Rate("&amp;L31&amp;"Y) + "&amp;F36&amp;"(고정) + "&amp;F37&amp;"(Range충족시)")</f>
        <v>1 x Rate(0.25Y) + -0.0012(고정) + 0(Range충족시)</v>
      </c>
      <c r="K37" s="119"/>
      <c r="L37" s="119"/>
      <c r="M37" s="119"/>
      <c r="W37" s="27">
        <f t="shared" si="4"/>
        <v>45568</v>
      </c>
      <c r="X37" s="34">
        <v>3.44E-2</v>
      </c>
      <c r="Y37" s="27">
        <f t="shared" si="5"/>
        <v>45568</v>
      </c>
      <c r="Z37" s="34">
        <v>3.44E-2</v>
      </c>
      <c r="AG37" s="41">
        <v>20210929</v>
      </c>
      <c r="AH37" s="41">
        <v>20211229</v>
      </c>
      <c r="AI37" s="41">
        <v>20211229</v>
      </c>
      <c r="AJ37" s="43">
        <v>0</v>
      </c>
      <c r="AK37" s="47">
        <v>0</v>
      </c>
    </row>
    <row r="38" spans="1:37" x14ac:dyDescent="0.4">
      <c r="A38" s="21">
        <f t="shared" si="1"/>
        <v>38</v>
      </c>
      <c r="B38" s="144"/>
      <c r="C38" s="144"/>
      <c r="D38" s="74" t="s">
        <v>44</v>
      </c>
      <c r="E38" s="74"/>
      <c r="F38" s="100">
        <v>1</v>
      </c>
      <c r="G38" s="76"/>
      <c r="H38" s="120"/>
      <c r="I38" s="121"/>
      <c r="J38" s="119"/>
      <c r="K38" s="119"/>
      <c r="L38" s="119"/>
      <c r="M38" s="119"/>
      <c r="W38" s="27">
        <f t="shared" si="4"/>
        <v>45569</v>
      </c>
      <c r="X38" s="34">
        <v>3.44E-2</v>
      </c>
      <c r="Y38" s="27">
        <f t="shared" si="5"/>
        <v>45569</v>
      </c>
      <c r="Z38" s="34">
        <v>3.44E-2</v>
      </c>
      <c r="AG38" s="41">
        <v>20211229</v>
      </c>
      <c r="AH38" s="41">
        <v>20220329</v>
      </c>
      <c r="AI38" s="41">
        <v>20220329</v>
      </c>
      <c r="AJ38" s="43">
        <v>0</v>
      </c>
      <c r="AK38" s="47">
        <v>0</v>
      </c>
    </row>
    <row r="39" spans="1:37" x14ac:dyDescent="0.4">
      <c r="A39" s="21">
        <f t="shared" si="1"/>
        <v>39</v>
      </c>
      <c r="B39" s="20"/>
      <c r="C39" s="20"/>
      <c r="W39" s="27">
        <f t="shared" si="4"/>
        <v>45570</v>
      </c>
      <c r="X39" s="34">
        <v>3.44E-2</v>
      </c>
      <c r="Y39" s="27">
        <f t="shared" si="5"/>
        <v>45570</v>
      </c>
      <c r="Z39" s="34">
        <v>3.44E-2</v>
      </c>
      <c r="AG39" s="41">
        <v>20220329</v>
      </c>
      <c r="AH39" s="41">
        <v>20220629</v>
      </c>
      <c r="AI39" s="41">
        <v>20220629</v>
      </c>
      <c r="AJ39" s="43">
        <v>0</v>
      </c>
      <c r="AK39" s="47">
        <v>0</v>
      </c>
    </row>
    <row r="40" spans="1:37" x14ac:dyDescent="0.4">
      <c r="A40" s="21">
        <f t="shared" si="1"/>
        <v>40</v>
      </c>
      <c r="B40" s="20"/>
      <c r="C40" s="20"/>
      <c r="W40" s="27">
        <f t="shared" si="4"/>
        <v>45571</v>
      </c>
      <c r="X40" s="34">
        <v>3.44E-2</v>
      </c>
      <c r="Y40" s="27">
        <f t="shared" si="5"/>
        <v>45571</v>
      </c>
      <c r="Z40" s="34">
        <v>3.44E-2</v>
      </c>
      <c r="AG40" s="41">
        <v>20220629</v>
      </c>
      <c r="AH40" s="41">
        <v>20220929</v>
      </c>
      <c r="AI40" s="41">
        <v>20220929</v>
      </c>
      <c r="AJ40" s="43">
        <v>0</v>
      </c>
      <c r="AK40" s="47">
        <v>0</v>
      </c>
    </row>
    <row r="41" spans="1:37" x14ac:dyDescent="0.4">
      <c r="A41" s="21">
        <f t="shared" si="1"/>
        <v>41</v>
      </c>
      <c r="B41" s="144" t="s">
        <v>45</v>
      </c>
      <c r="C41" s="144"/>
      <c r="D41" s="74" t="s">
        <v>41</v>
      </c>
      <c r="E41" s="74"/>
      <c r="F41" s="103">
        <v>-1.1999999999999999E-3</v>
      </c>
      <c r="G41" s="104"/>
      <c r="H41" s="120" t="s">
        <v>82</v>
      </c>
      <c r="I41" s="121"/>
      <c r="J41" s="119" t="str">
        <f>IF(F31&gt;0,  IF(F43&gt;0,F34,0)&amp;" x Rate("&amp;L33&amp;"Y-"&amp;L34&amp;"Y) + "&amp;F41&amp;"(고정) + "&amp;F42&amp;"(Range충족시)", IF(F43&gt;0,F34,0)&amp;" x Rate("&amp;L31&amp;"Y) + "&amp;F41&amp;"(고정) + "&amp;F42&amp;"(Range충족시)")</f>
        <v>1 x Rate(0.25Y) + -0.0012(고정) + 0(Range충족시)</v>
      </c>
      <c r="K41" s="119"/>
      <c r="L41" s="119"/>
      <c r="M41" s="119"/>
      <c r="W41" s="27">
        <f t="shared" si="4"/>
        <v>45572</v>
      </c>
      <c r="X41" s="34">
        <v>3.44E-2</v>
      </c>
      <c r="Y41" s="27">
        <f t="shared" si="5"/>
        <v>45572</v>
      </c>
      <c r="Z41" s="34">
        <v>3.44E-2</v>
      </c>
      <c r="AG41" s="41">
        <v>20220929</v>
      </c>
      <c r="AH41" s="41">
        <v>20221229</v>
      </c>
      <c r="AI41" s="41">
        <v>20221229</v>
      </c>
      <c r="AJ41" s="43">
        <v>0</v>
      </c>
      <c r="AK41" s="47">
        <v>0</v>
      </c>
    </row>
    <row r="42" spans="1:37" x14ac:dyDescent="0.4">
      <c r="A42" s="21">
        <f t="shared" si="1"/>
        <v>42</v>
      </c>
      <c r="B42" s="144"/>
      <c r="C42" s="144"/>
      <c r="D42" s="74" t="s">
        <v>43</v>
      </c>
      <c r="E42" s="74"/>
      <c r="F42" s="103">
        <v>0</v>
      </c>
      <c r="G42" s="104"/>
      <c r="H42" s="120"/>
      <c r="I42" s="121"/>
      <c r="J42" s="119"/>
      <c r="K42" s="119"/>
      <c r="L42" s="119"/>
      <c r="M42" s="119"/>
      <c r="W42" s="27">
        <f t="shared" si="4"/>
        <v>45573</v>
      </c>
      <c r="X42" s="34">
        <v>3.44E-2</v>
      </c>
      <c r="Y42" s="27">
        <f t="shared" si="5"/>
        <v>45573</v>
      </c>
      <c r="Z42" s="34">
        <v>3.44E-2</v>
      </c>
      <c r="AG42" s="41">
        <v>20221229</v>
      </c>
      <c r="AH42" s="41">
        <v>20230329</v>
      </c>
      <c r="AI42" s="41">
        <v>20230329</v>
      </c>
      <c r="AJ42" s="43">
        <v>0</v>
      </c>
      <c r="AK42" s="47">
        <v>0</v>
      </c>
    </row>
    <row r="43" spans="1:37" x14ac:dyDescent="0.4">
      <c r="A43" s="21">
        <f t="shared" si="1"/>
        <v>43</v>
      </c>
      <c r="B43" s="144"/>
      <c r="C43" s="144"/>
      <c r="D43" s="74" t="s">
        <v>44</v>
      </c>
      <c r="E43" s="74"/>
      <c r="F43" s="100">
        <v>1</v>
      </c>
      <c r="G43" s="76"/>
      <c r="W43" s="27">
        <f t="shared" si="4"/>
        <v>45574</v>
      </c>
      <c r="X43" s="34">
        <v>3.44E-2</v>
      </c>
      <c r="Y43" s="27">
        <f t="shared" si="5"/>
        <v>45574</v>
      </c>
      <c r="Z43" s="34">
        <v>3.44E-2</v>
      </c>
      <c r="AG43" s="41">
        <v>20230329</v>
      </c>
      <c r="AH43" s="41">
        <v>20230629</v>
      </c>
      <c r="AI43" s="41">
        <v>20230629</v>
      </c>
      <c r="AJ43" s="43">
        <v>0</v>
      </c>
      <c r="AK43" s="47">
        <v>0</v>
      </c>
    </row>
    <row r="44" spans="1:37" x14ac:dyDescent="0.4">
      <c r="A44" s="21">
        <f t="shared" si="1"/>
        <v>44</v>
      </c>
      <c r="B44" s="20"/>
      <c r="C44" s="20"/>
      <c r="W44" s="27">
        <f t="shared" si="4"/>
        <v>45575</v>
      </c>
      <c r="X44" s="34">
        <v>3.44E-2</v>
      </c>
      <c r="Y44" s="27">
        <f t="shared" si="5"/>
        <v>45575</v>
      </c>
      <c r="Z44" s="34">
        <v>3.44E-2</v>
      </c>
      <c r="AG44" s="41">
        <v>20230629</v>
      </c>
      <c r="AH44" s="41">
        <v>20230927</v>
      </c>
      <c r="AI44" s="41">
        <v>20230927</v>
      </c>
      <c r="AJ44" s="43">
        <v>0</v>
      </c>
      <c r="AK44" s="47">
        <v>0</v>
      </c>
    </row>
    <row r="45" spans="1:37" ht="17.399999999999999" customHeight="1" x14ac:dyDescent="0.4">
      <c r="A45" s="21">
        <f t="shared" si="1"/>
        <v>45</v>
      </c>
      <c r="B45" s="138" t="s">
        <v>60</v>
      </c>
      <c r="C45" s="139"/>
      <c r="D45" s="139"/>
      <c r="E45" s="139"/>
      <c r="F45" s="139"/>
      <c r="G45" s="140"/>
      <c r="W45" s="27">
        <f t="shared" si="4"/>
        <v>45576</v>
      </c>
      <c r="X45" s="34">
        <v>3.44E-2</v>
      </c>
      <c r="Y45" s="27">
        <f t="shared" si="5"/>
        <v>45576</v>
      </c>
      <c r="Z45" s="34">
        <v>3.44E-2</v>
      </c>
      <c r="AG45" s="41">
        <v>20230927</v>
      </c>
      <c r="AH45" s="41">
        <v>20231229</v>
      </c>
      <c r="AI45" s="41">
        <v>20231229</v>
      </c>
      <c r="AJ45" s="43">
        <v>0</v>
      </c>
      <c r="AK45" s="47">
        <v>0</v>
      </c>
    </row>
    <row r="46" spans="1:37" ht="17.399999999999999" customHeight="1" x14ac:dyDescent="0.4">
      <c r="A46" s="21">
        <f t="shared" si="1"/>
        <v>46</v>
      </c>
      <c r="B46" s="141"/>
      <c r="C46" s="142"/>
      <c r="D46" s="142"/>
      <c r="E46" s="142"/>
      <c r="F46" s="142"/>
      <c r="G46" s="143"/>
      <c r="W46" s="27">
        <f t="shared" si="4"/>
        <v>45577</v>
      </c>
      <c r="X46" s="34">
        <v>3.44E-2</v>
      </c>
      <c r="Y46" s="27">
        <f t="shared" si="5"/>
        <v>45577</v>
      </c>
      <c r="Z46" s="34">
        <v>3.44E-2</v>
      </c>
      <c r="AG46" s="41">
        <v>20231229</v>
      </c>
      <c r="AH46" s="41">
        <v>20240329</v>
      </c>
      <c r="AI46" s="41">
        <v>20240329</v>
      </c>
      <c r="AJ46" s="43">
        <v>0</v>
      </c>
      <c r="AK46" s="47">
        <v>0</v>
      </c>
    </row>
    <row r="47" spans="1:37" x14ac:dyDescent="0.4">
      <c r="A47" s="21">
        <f t="shared" si="1"/>
        <v>47</v>
      </c>
      <c r="B47" s="36" t="s">
        <v>61</v>
      </c>
      <c r="C47" s="37" t="s">
        <v>62</v>
      </c>
      <c r="D47" s="37" t="s">
        <v>63</v>
      </c>
      <c r="E47" s="37" t="s">
        <v>64</v>
      </c>
      <c r="W47" s="27">
        <f t="shared" si="4"/>
        <v>45578</v>
      </c>
      <c r="X47" s="34">
        <v>3.44E-2</v>
      </c>
      <c r="Y47" s="27">
        <f t="shared" si="5"/>
        <v>45578</v>
      </c>
      <c r="Z47" s="34">
        <v>3.44E-2</v>
      </c>
      <c r="AG47" s="41">
        <v>20240329</v>
      </c>
      <c r="AH47" s="41">
        <v>20240628</v>
      </c>
      <c r="AI47" s="41">
        <v>20240628</v>
      </c>
      <c r="AJ47" s="43">
        <v>0</v>
      </c>
      <c r="AK47" s="47">
        <v>0</v>
      </c>
    </row>
    <row r="48" spans="1:37" x14ac:dyDescent="0.4">
      <c r="A48" s="21">
        <f t="shared" si="1"/>
        <v>48</v>
      </c>
      <c r="B48" s="26">
        <v>43710</v>
      </c>
      <c r="C48" s="26">
        <v>43738</v>
      </c>
      <c r="D48" s="31" t="s">
        <v>101</v>
      </c>
      <c r="E48" s="31">
        <f>COUNT(C48:C740)</f>
        <v>27</v>
      </c>
      <c r="W48" s="27">
        <f t="shared" si="4"/>
        <v>45579</v>
      </c>
      <c r="X48" s="34">
        <v>3.44E-2</v>
      </c>
      <c r="Y48" s="27">
        <f t="shared" si="5"/>
        <v>45579</v>
      </c>
      <c r="Z48" s="34">
        <v>3.44E-2</v>
      </c>
      <c r="AG48" s="41">
        <v>20240628</v>
      </c>
      <c r="AH48" s="41">
        <v>20240930</v>
      </c>
      <c r="AI48" s="41">
        <v>20240930</v>
      </c>
      <c r="AJ48" s="43">
        <v>0</v>
      </c>
      <c r="AK48" s="47">
        <v>0</v>
      </c>
    </row>
    <row r="49" spans="1:37" x14ac:dyDescent="0.4">
      <c r="A49" s="21">
        <f t="shared" si="1"/>
        <v>49</v>
      </c>
      <c r="B49" s="26">
        <v>44077</v>
      </c>
      <c r="C49" s="26">
        <v>44103</v>
      </c>
      <c r="W49" s="27">
        <f t="shared" si="4"/>
        <v>45580</v>
      </c>
      <c r="X49" s="34">
        <v>3.44E-2</v>
      </c>
      <c r="Y49" s="27">
        <f t="shared" si="5"/>
        <v>45580</v>
      </c>
      <c r="Z49" s="34">
        <v>3.44E-2</v>
      </c>
      <c r="AG49" s="41">
        <v>20240930</v>
      </c>
      <c r="AH49" s="41">
        <v>20241230</v>
      </c>
      <c r="AI49" s="41">
        <v>20241230</v>
      </c>
      <c r="AJ49" s="43">
        <v>0</v>
      </c>
      <c r="AK49" s="47">
        <v>0</v>
      </c>
    </row>
    <row r="50" spans="1:37" x14ac:dyDescent="0.4">
      <c r="A50" s="21">
        <f t="shared" si="1"/>
        <v>50</v>
      </c>
      <c r="B50" s="26">
        <v>44439</v>
      </c>
      <c r="C50" s="26">
        <v>44468</v>
      </c>
      <c r="W50" s="27">
        <f t="shared" si="4"/>
        <v>45581</v>
      </c>
      <c r="X50" s="34">
        <v>3.44E-2</v>
      </c>
      <c r="Y50" s="27">
        <f t="shared" si="5"/>
        <v>45581</v>
      </c>
      <c r="Z50" s="34">
        <v>3.44E-2</v>
      </c>
      <c r="AG50" s="41">
        <v>20241230</v>
      </c>
      <c r="AH50" s="41">
        <v>20250331</v>
      </c>
      <c r="AI50" s="41">
        <v>20250331</v>
      </c>
      <c r="AJ50" s="43">
        <v>3.44E-2</v>
      </c>
      <c r="AK50" s="47">
        <v>165.54520547945205</v>
      </c>
    </row>
    <row r="51" spans="1:37" x14ac:dyDescent="0.4">
      <c r="A51" s="21">
        <f t="shared" si="1"/>
        <v>51</v>
      </c>
      <c r="B51" s="26">
        <v>44805</v>
      </c>
      <c r="C51" s="26">
        <v>44833</v>
      </c>
      <c r="W51" s="27">
        <f t="shared" si="4"/>
        <v>45582</v>
      </c>
      <c r="X51" s="34">
        <v>3.44E-2</v>
      </c>
      <c r="Y51" s="27">
        <f t="shared" si="5"/>
        <v>45582</v>
      </c>
      <c r="Z51" s="34">
        <v>3.44E-2</v>
      </c>
      <c r="AG51" s="41">
        <v>20250331</v>
      </c>
      <c r="AH51" s="41">
        <v>20250630</v>
      </c>
      <c r="AI51" s="41">
        <v>20250630</v>
      </c>
      <c r="AJ51" s="43">
        <v>2.8271085526930397E-2</v>
      </c>
      <c r="AK51" s="47">
        <v>134.98459084661187</v>
      </c>
    </row>
    <row r="52" spans="1:37" x14ac:dyDescent="0.4">
      <c r="A52" s="21">
        <f t="shared" si="1"/>
        <v>52</v>
      </c>
      <c r="B52" s="26">
        <v>45173</v>
      </c>
      <c r="C52" s="26">
        <v>45203</v>
      </c>
      <c r="W52" s="27">
        <f t="shared" si="4"/>
        <v>45583</v>
      </c>
      <c r="X52" s="34">
        <v>3.44E-2</v>
      </c>
      <c r="Y52" s="27">
        <f t="shared" si="5"/>
        <v>45583</v>
      </c>
      <c r="Z52" s="34">
        <v>3.44E-2</v>
      </c>
      <c r="AG52" s="41">
        <v>20250630</v>
      </c>
      <c r="AH52" s="41">
        <v>20250929</v>
      </c>
      <c r="AI52" s="41">
        <v>20250929</v>
      </c>
      <c r="AJ52" s="43">
        <v>2.6380885840912294E-2</v>
      </c>
      <c r="AK52" s="47">
        <v>125.55948556290514</v>
      </c>
    </row>
    <row r="53" spans="1:37" x14ac:dyDescent="0.4">
      <c r="A53" s="21">
        <f t="shared" si="1"/>
        <v>53</v>
      </c>
      <c r="B53" s="26">
        <v>45534</v>
      </c>
      <c r="C53" s="26">
        <v>45565</v>
      </c>
      <c r="W53" s="27">
        <f t="shared" si="4"/>
        <v>45584</v>
      </c>
      <c r="X53" s="34">
        <v>3.44E-2</v>
      </c>
      <c r="Y53" s="27">
        <f t="shared" si="5"/>
        <v>45584</v>
      </c>
      <c r="Z53" s="34">
        <v>3.44E-2</v>
      </c>
      <c r="AG53" s="41">
        <v>20250929</v>
      </c>
      <c r="AH53" s="41">
        <v>20251229</v>
      </c>
      <c r="AI53" s="41">
        <v>20251229</v>
      </c>
      <c r="AJ53" s="43">
        <v>2.5209253594828791E-2</v>
      </c>
      <c r="AK53" s="47">
        <v>119.71737408928328</v>
      </c>
    </row>
    <row r="54" spans="1:37" x14ac:dyDescent="0.4">
      <c r="A54" s="21">
        <f t="shared" si="1"/>
        <v>54</v>
      </c>
      <c r="B54" s="26">
        <v>45903</v>
      </c>
      <c r="C54" s="26">
        <v>45929</v>
      </c>
      <c r="W54" s="27">
        <f t="shared" si="4"/>
        <v>45585</v>
      </c>
      <c r="X54" s="34">
        <v>3.44E-2</v>
      </c>
      <c r="Y54" s="27">
        <f t="shared" si="5"/>
        <v>45585</v>
      </c>
      <c r="Z54" s="34">
        <v>3.44E-2</v>
      </c>
      <c r="AG54" s="41">
        <v>20251229</v>
      </c>
      <c r="AH54" s="41">
        <v>20260330</v>
      </c>
      <c r="AI54" s="41">
        <v>20260330</v>
      </c>
      <c r="AJ54" s="43">
        <v>2.4963938243122926E-2</v>
      </c>
      <c r="AK54" s="47">
        <v>118.49415781502391</v>
      </c>
    </row>
    <row r="55" spans="1:37" x14ac:dyDescent="0.4">
      <c r="A55" s="21">
        <f t="shared" si="1"/>
        <v>55</v>
      </c>
      <c r="B55" s="26">
        <v>46266</v>
      </c>
      <c r="C55" s="26">
        <v>46294</v>
      </c>
      <c r="W55" s="27">
        <f t="shared" si="4"/>
        <v>45586</v>
      </c>
      <c r="X55" s="34">
        <v>3.44E-2</v>
      </c>
      <c r="Y55" s="27">
        <f t="shared" si="5"/>
        <v>45586</v>
      </c>
      <c r="Z55" s="34">
        <v>3.44E-2</v>
      </c>
      <c r="AG55" s="41">
        <v>20260330</v>
      </c>
      <c r="AH55" s="41">
        <v>20260629</v>
      </c>
      <c r="AI55" s="41">
        <v>20260629</v>
      </c>
      <c r="AJ55" s="43">
        <v>2.4976861691712059E-2</v>
      </c>
      <c r="AK55" s="47">
        <v>118.55859802442725</v>
      </c>
    </row>
    <row r="56" spans="1:37" x14ac:dyDescent="0.4">
      <c r="A56" s="21">
        <f t="shared" si="1"/>
        <v>56</v>
      </c>
      <c r="B56" s="26">
        <v>46630</v>
      </c>
      <c r="C56" s="26">
        <v>46659</v>
      </c>
      <c r="G56" s="20">
        <v>0</v>
      </c>
      <c r="W56" s="27">
        <f t="shared" si="4"/>
        <v>45587</v>
      </c>
      <c r="X56" s="34">
        <v>3.44E-2</v>
      </c>
      <c r="Y56" s="27">
        <f t="shared" si="5"/>
        <v>45587</v>
      </c>
      <c r="Z56" s="34">
        <v>3.44E-2</v>
      </c>
      <c r="AG56" s="41">
        <v>20260629</v>
      </c>
      <c r="AH56" s="41">
        <v>20260929</v>
      </c>
      <c r="AI56" s="41">
        <v>20260929</v>
      </c>
      <c r="AJ56" s="43">
        <v>2.4579203019631433E-2</v>
      </c>
      <c r="AK56" s="47">
        <v>117.8568042633475</v>
      </c>
    </row>
    <row r="57" spans="1:37" x14ac:dyDescent="0.4">
      <c r="A57" s="21">
        <f t="shared" si="1"/>
        <v>57</v>
      </c>
      <c r="B57" s="26">
        <v>47001</v>
      </c>
      <c r="C57" s="26">
        <v>47025</v>
      </c>
      <c r="G57" s="20">
        <v>1</v>
      </c>
      <c r="W57" s="27">
        <f t="shared" si="4"/>
        <v>45588</v>
      </c>
      <c r="X57" s="34">
        <v>3.44E-2</v>
      </c>
      <c r="Y57" s="27">
        <f t="shared" si="5"/>
        <v>45588</v>
      </c>
      <c r="Z57" s="34">
        <v>3.44E-2</v>
      </c>
      <c r="AG57" s="41">
        <v>20260929</v>
      </c>
      <c r="AH57" s="41">
        <v>20261229</v>
      </c>
      <c r="AI57" s="41">
        <v>20261229</v>
      </c>
      <c r="AJ57" s="43">
        <v>2.4533310832890561E-2</v>
      </c>
      <c r="AK57" s="47">
        <v>116.3469197694817</v>
      </c>
    </row>
    <row r="58" spans="1:37" x14ac:dyDescent="0.4">
      <c r="A58" s="21">
        <f t="shared" si="1"/>
        <v>58</v>
      </c>
      <c r="B58" s="26">
        <v>47364</v>
      </c>
      <c r="C58" s="26">
        <v>47392</v>
      </c>
      <c r="G58" s="20">
        <v>0</v>
      </c>
      <c r="W58" s="27">
        <f t="shared" si="4"/>
        <v>45589</v>
      </c>
      <c r="X58" s="34">
        <v>3.44E-2</v>
      </c>
      <c r="Y58" s="27">
        <f t="shared" si="5"/>
        <v>45589</v>
      </c>
      <c r="Z58" s="34">
        <v>3.44E-2</v>
      </c>
      <c r="AG58" s="41">
        <v>20261229</v>
      </c>
      <c r="AH58" s="41">
        <v>20270329</v>
      </c>
      <c r="AI58" s="41">
        <v>20270329</v>
      </c>
      <c r="AJ58" s="43">
        <v>2.4406486330903882E-2</v>
      </c>
      <c r="AK58" s="47">
        <v>114.442946289389</v>
      </c>
    </row>
    <row r="59" spans="1:37" x14ac:dyDescent="0.4">
      <c r="A59" s="21">
        <f t="shared" si="1"/>
        <v>59</v>
      </c>
      <c r="B59" s="26">
        <v>47725</v>
      </c>
      <c r="C59" s="26">
        <v>47756</v>
      </c>
      <c r="G59" s="20">
        <v>1</v>
      </c>
      <c r="W59" s="27">
        <f t="shared" si="4"/>
        <v>45590</v>
      </c>
      <c r="X59" s="34">
        <v>3.44E-2</v>
      </c>
      <c r="Y59" s="27">
        <f t="shared" si="5"/>
        <v>45590</v>
      </c>
      <c r="Z59" s="34">
        <v>3.44E-2</v>
      </c>
      <c r="AG59" s="41">
        <v>20270329</v>
      </c>
      <c r="AH59" s="41">
        <v>20270629</v>
      </c>
      <c r="AI59" s="41">
        <v>20270629</v>
      </c>
      <c r="AJ59" s="43">
        <v>2.4817665118758738E-2</v>
      </c>
      <c r="AK59" s="47">
        <v>119.05891457127693</v>
      </c>
    </row>
    <row r="60" spans="1:37" x14ac:dyDescent="0.4">
      <c r="A60" s="21">
        <f t="shared" si="1"/>
        <v>60</v>
      </c>
      <c r="B60" s="26">
        <v>48094</v>
      </c>
      <c r="C60" s="26">
        <v>48120</v>
      </c>
      <c r="G60" s="20">
        <v>-1</v>
      </c>
      <c r="W60" s="27">
        <f t="shared" si="4"/>
        <v>45591</v>
      </c>
      <c r="X60" s="34">
        <v>3.44E-2</v>
      </c>
      <c r="Y60" s="27">
        <f t="shared" si="5"/>
        <v>45591</v>
      </c>
      <c r="Z60" s="34">
        <v>3.44E-2</v>
      </c>
      <c r="AG60" s="41">
        <v>20270629</v>
      </c>
      <c r="AH60" s="41">
        <v>20270929</v>
      </c>
      <c r="AI60" s="41">
        <v>20270929</v>
      </c>
      <c r="AJ60" s="43">
        <v>2.4665831632978294E-2</v>
      </c>
      <c r="AK60" s="47">
        <v>118.29350741008237</v>
      </c>
    </row>
    <row r="61" spans="1:37" x14ac:dyDescent="0.4">
      <c r="A61" s="21">
        <f t="shared" si="1"/>
        <v>61</v>
      </c>
      <c r="B61" s="26">
        <v>48458</v>
      </c>
      <c r="C61" s="26">
        <v>48486</v>
      </c>
      <c r="G61" s="20">
        <v>1</v>
      </c>
      <c r="W61" s="27">
        <f t="shared" si="4"/>
        <v>45592</v>
      </c>
      <c r="X61" s="34">
        <v>3.44E-2</v>
      </c>
      <c r="Y61" s="27">
        <f t="shared" si="5"/>
        <v>45592</v>
      </c>
      <c r="Z61" s="34">
        <v>3.44E-2</v>
      </c>
      <c r="AG61" s="41">
        <v>20270929</v>
      </c>
      <c r="AH61" s="41">
        <v>20271229</v>
      </c>
      <c r="AI61" s="41">
        <v>20271229</v>
      </c>
      <c r="AJ61" s="43">
        <v>2.4514012154207877E-2</v>
      </c>
      <c r="AK61" s="47">
        <v>116.25069074152968</v>
      </c>
    </row>
    <row r="62" spans="1:37" x14ac:dyDescent="0.4">
      <c r="B62" s="26">
        <v>48822</v>
      </c>
      <c r="C62" s="26">
        <v>48851</v>
      </c>
      <c r="W62" s="27">
        <f t="shared" si="4"/>
        <v>45593</v>
      </c>
      <c r="X62" s="34">
        <v>3.44E-2</v>
      </c>
      <c r="Y62" s="27">
        <f t="shared" si="5"/>
        <v>45593</v>
      </c>
      <c r="Z62" s="34">
        <v>3.44E-2</v>
      </c>
      <c r="AG62" s="41">
        <v>20271229</v>
      </c>
      <c r="AH62" s="41">
        <v>20280329</v>
      </c>
      <c r="AI62" s="41">
        <v>20280329</v>
      </c>
      <c r="AJ62" s="43">
        <v>2.4661079605532578E-2</v>
      </c>
      <c r="AK62" s="47">
        <v>116.98401337553231</v>
      </c>
    </row>
    <row r="63" spans="1:37" x14ac:dyDescent="0.4">
      <c r="B63" s="26">
        <v>49187</v>
      </c>
      <c r="C63" s="26">
        <v>49216</v>
      </c>
      <c r="G63" s="20">
        <v>-1.2E-4</v>
      </c>
      <c r="W63" s="27">
        <f t="shared" si="4"/>
        <v>45594</v>
      </c>
      <c r="X63" s="34">
        <v>3.44E-2</v>
      </c>
      <c r="Y63" s="27">
        <f t="shared" si="5"/>
        <v>45594</v>
      </c>
      <c r="Z63" s="34">
        <v>3.44E-2</v>
      </c>
      <c r="AG63" s="41">
        <v>20280329</v>
      </c>
      <c r="AH63" s="41">
        <v>20280629</v>
      </c>
      <c r="AI63" s="41">
        <v>20280629</v>
      </c>
      <c r="AJ63" s="43">
        <v>2.5510495916001456E-2</v>
      </c>
      <c r="AK63" s="47">
        <v>122.55154105600735</v>
      </c>
    </row>
    <row r="64" spans="1:37" x14ac:dyDescent="0.4">
      <c r="B64" s="26">
        <v>49555</v>
      </c>
      <c r="C64" s="26">
        <v>49583</v>
      </c>
      <c r="G64" s="20">
        <v>0</v>
      </c>
      <c r="W64" s="27">
        <f t="shared" si="4"/>
        <v>45595</v>
      </c>
      <c r="X64" s="34">
        <v>3.44E-2</v>
      </c>
      <c r="Y64" s="27">
        <f t="shared" si="5"/>
        <v>45595</v>
      </c>
      <c r="Z64" s="34">
        <v>3.44E-2</v>
      </c>
      <c r="AG64" s="41">
        <v>20280629</v>
      </c>
      <c r="AH64" s="41">
        <v>20280929</v>
      </c>
      <c r="AI64" s="41">
        <v>20280929</v>
      </c>
      <c r="AJ64" s="43">
        <v>2.5551702884019627E-2</v>
      </c>
      <c r="AK64" s="47">
        <v>122.75926933314005</v>
      </c>
    </row>
    <row r="65" spans="2:37" x14ac:dyDescent="0.4">
      <c r="B65" s="26">
        <v>49921</v>
      </c>
      <c r="C65" s="26">
        <v>49947</v>
      </c>
      <c r="G65" s="20">
        <v>1</v>
      </c>
      <c r="W65" s="27">
        <f t="shared" si="4"/>
        <v>45596</v>
      </c>
      <c r="X65" s="34">
        <v>3.44E-2</v>
      </c>
      <c r="Y65" s="27">
        <f t="shared" si="5"/>
        <v>45596</v>
      </c>
      <c r="Z65" s="34">
        <v>3.44E-2</v>
      </c>
      <c r="AG65" s="41">
        <v>20280929</v>
      </c>
      <c r="AH65" s="41">
        <v>20281229</v>
      </c>
      <c r="AI65" s="41">
        <v>20281229</v>
      </c>
      <c r="AJ65" s="43">
        <v>2.559179576728347E-2</v>
      </c>
      <c r="AK65" s="47">
        <v>121.62484464782443</v>
      </c>
    </row>
    <row r="66" spans="2:37" x14ac:dyDescent="0.4">
      <c r="B66" s="26">
        <v>50286</v>
      </c>
      <c r="C66" s="26">
        <v>50312</v>
      </c>
      <c r="W66" s="27">
        <f t="shared" si="4"/>
        <v>45597</v>
      </c>
      <c r="X66" s="34">
        <v>3.44E-2</v>
      </c>
      <c r="Y66" s="27">
        <f t="shared" si="5"/>
        <v>45597</v>
      </c>
      <c r="Z66" s="34">
        <v>3.44E-2</v>
      </c>
      <c r="AG66" s="41">
        <v>20281229</v>
      </c>
      <c r="AH66" s="41">
        <v>20290329</v>
      </c>
      <c r="AI66" s="41">
        <v>20290329</v>
      </c>
      <c r="AJ66" s="43">
        <v>2.5574381605915183E-2</v>
      </c>
      <c r="AK66" s="47">
        <v>120.20242983738993</v>
      </c>
    </row>
    <row r="67" spans="2:37" x14ac:dyDescent="0.4">
      <c r="B67" s="26">
        <v>50651</v>
      </c>
      <c r="C67" s="26">
        <v>50677</v>
      </c>
      <c r="W67" s="27">
        <f t="shared" si="4"/>
        <v>45598</v>
      </c>
      <c r="X67" s="34">
        <v>3.44E-2</v>
      </c>
      <c r="Y67" s="27">
        <f t="shared" si="5"/>
        <v>45598</v>
      </c>
      <c r="Z67" s="34">
        <v>3.44E-2</v>
      </c>
      <c r="AG67" s="41">
        <v>20290329</v>
      </c>
      <c r="AH67" s="41">
        <v>20290629</v>
      </c>
      <c r="AI67" s="41">
        <v>20290629</v>
      </c>
      <c r="AJ67" s="43">
        <v>2.5443303011687499E-2</v>
      </c>
      <c r="AK67" s="47">
        <v>122.21281518220549</v>
      </c>
    </row>
    <row r="68" spans="2:37" x14ac:dyDescent="0.4">
      <c r="B68" s="26">
        <v>51018</v>
      </c>
      <c r="C68" s="26">
        <v>51042</v>
      </c>
      <c r="G68" s="20">
        <v>-1.2E-4</v>
      </c>
      <c r="W68" s="27">
        <f t="shared" si="4"/>
        <v>45599</v>
      </c>
      <c r="X68" s="34">
        <v>3.44E-2</v>
      </c>
      <c r="Y68" s="27">
        <f t="shared" si="5"/>
        <v>45599</v>
      </c>
      <c r="Z68" s="34">
        <v>3.44E-2</v>
      </c>
      <c r="AG68" s="41">
        <v>20290629</v>
      </c>
      <c r="AH68" s="41">
        <v>20290928</v>
      </c>
      <c r="AI68" s="41">
        <v>20290928</v>
      </c>
      <c r="AJ68" s="43">
        <v>2.5457060440995202E-2</v>
      </c>
      <c r="AK68" s="47">
        <v>120.9530137057843</v>
      </c>
    </row>
    <row r="69" spans="2:37" x14ac:dyDescent="0.4">
      <c r="B69" s="26">
        <v>51384</v>
      </c>
      <c r="C69" s="26">
        <v>51410</v>
      </c>
      <c r="G69" s="20">
        <v>0</v>
      </c>
      <c r="W69" s="27">
        <f t="shared" si="4"/>
        <v>45600</v>
      </c>
      <c r="X69" s="34">
        <v>3.44E-2</v>
      </c>
      <c r="Y69" s="27">
        <f t="shared" si="5"/>
        <v>45600</v>
      </c>
      <c r="Z69" s="34">
        <v>3.44E-2</v>
      </c>
      <c r="AG69" s="41">
        <v>20290928</v>
      </c>
      <c r="AH69" s="41">
        <v>20291231</v>
      </c>
      <c r="AI69" s="41">
        <v>20291231</v>
      </c>
      <c r="AJ69" s="43">
        <v>2.5471617999488015E-2</v>
      </c>
      <c r="AK69" s="47">
        <v>125.01545709325335</v>
      </c>
    </row>
    <row r="70" spans="2:37" x14ac:dyDescent="0.4">
      <c r="B70" s="26">
        <v>51748</v>
      </c>
      <c r="C70" s="26">
        <v>51774</v>
      </c>
      <c r="G70" s="20">
        <v>1</v>
      </c>
      <c r="W70" s="27">
        <f t="shared" si="4"/>
        <v>45601</v>
      </c>
      <c r="X70" s="34">
        <v>3.44E-2</v>
      </c>
      <c r="Y70" s="27">
        <f t="shared" si="5"/>
        <v>45601</v>
      </c>
      <c r="Z70" s="34">
        <v>3.44E-2</v>
      </c>
      <c r="AG70" s="41">
        <v>20291231</v>
      </c>
      <c r="AH70" s="41">
        <v>20300329</v>
      </c>
      <c r="AI70" s="41">
        <v>20300329</v>
      </c>
      <c r="AJ70" s="43">
        <v>2.5628489618235755E-2</v>
      </c>
      <c r="AK70" s="47">
        <v>117.7921691180683</v>
      </c>
    </row>
    <row r="71" spans="2:37" x14ac:dyDescent="0.4">
      <c r="B71" s="26">
        <v>52112</v>
      </c>
      <c r="C71" s="26">
        <v>52140</v>
      </c>
      <c r="W71" s="27">
        <f t="shared" si="4"/>
        <v>45602</v>
      </c>
      <c r="X71" s="34">
        <v>3.44E-2</v>
      </c>
      <c r="Y71" s="27">
        <f t="shared" si="5"/>
        <v>45602</v>
      </c>
      <c r="Z71" s="34">
        <v>3.44E-2</v>
      </c>
      <c r="AG71" s="41">
        <v>20300329</v>
      </c>
      <c r="AH71" s="41">
        <v>20300628</v>
      </c>
      <c r="AI71" s="41">
        <v>20300628</v>
      </c>
      <c r="AJ71" s="43">
        <v>2.606450776374521E-2</v>
      </c>
      <c r="AK71" s="47">
        <v>123.98192912333229</v>
      </c>
    </row>
    <row r="72" spans="2:37" x14ac:dyDescent="0.4">
      <c r="B72" s="26">
        <v>52478</v>
      </c>
      <c r="C72" s="26">
        <v>52503</v>
      </c>
      <c r="W72" s="27">
        <f t="shared" si="4"/>
        <v>45603</v>
      </c>
      <c r="X72" s="34">
        <v>3.44E-2</v>
      </c>
      <c r="Y72" s="27">
        <f t="shared" si="5"/>
        <v>45603</v>
      </c>
      <c r="Z72" s="34">
        <v>3.44E-2</v>
      </c>
      <c r="AG72" s="41">
        <v>20300628</v>
      </c>
      <c r="AH72" s="41">
        <v>20300930</v>
      </c>
      <c r="AI72" s="41">
        <v>20300930</v>
      </c>
      <c r="AJ72" s="43">
        <v>2.6135147743447704E-2</v>
      </c>
      <c r="AK72" s="47">
        <v>128.4330897470731</v>
      </c>
    </row>
    <row r="73" spans="2:37" x14ac:dyDescent="0.4">
      <c r="B73" s="26">
        <v>52845</v>
      </c>
      <c r="C73" s="26">
        <v>52869</v>
      </c>
      <c r="W73" s="27">
        <f t="shared" si="4"/>
        <v>45604</v>
      </c>
      <c r="X73" s="34">
        <v>3.44E-2</v>
      </c>
      <c r="Y73" s="27">
        <f t="shared" si="5"/>
        <v>45604</v>
      </c>
      <c r="Z73" s="34">
        <v>3.44E-2</v>
      </c>
      <c r="AG73" s="41">
        <v>20300930</v>
      </c>
      <c r="AH73" s="41">
        <v>20301230</v>
      </c>
      <c r="AI73" s="41">
        <v>20301230</v>
      </c>
      <c r="AJ73" s="43">
        <v>2.6200213398019954E-2</v>
      </c>
      <c r="AK73" s="47">
        <v>124.65859831341457</v>
      </c>
    </row>
    <row r="74" spans="2:37" x14ac:dyDescent="0.4">
      <c r="B74" s="26">
        <v>53210</v>
      </c>
      <c r="C74" s="26">
        <v>53234</v>
      </c>
      <c r="W74" s="27">
        <f t="shared" ref="W74:W100" si="6">W73+1</f>
        <v>45605</v>
      </c>
      <c r="X74" s="34">
        <v>3.44E-2</v>
      </c>
      <c r="Y74" s="27">
        <f t="shared" ref="Y74:Y100" si="7">Y73+1</f>
        <v>45605</v>
      </c>
      <c r="Z74" s="34">
        <v>3.44E-2</v>
      </c>
      <c r="AG74" s="41">
        <v>20301230</v>
      </c>
      <c r="AH74" s="41">
        <v>20310331</v>
      </c>
      <c r="AI74" s="41">
        <v>20310331</v>
      </c>
      <c r="AJ74" s="43">
        <v>2.6268715119627188E-2</v>
      </c>
      <c r="AK74" s="47">
        <v>125.00016854170271</v>
      </c>
    </row>
    <row r="75" spans="2:37" x14ac:dyDescent="0.4">
      <c r="W75" s="27">
        <f t="shared" si="6"/>
        <v>45606</v>
      </c>
      <c r="X75" s="34">
        <v>3.44E-2</v>
      </c>
      <c r="Y75" s="27">
        <f t="shared" si="7"/>
        <v>45606</v>
      </c>
      <c r="Z75" s="34">
        <v>3.44E-2</v>
      </c>
      <c r="AG75" s="41">
        <v>20310331</v>
      </c>
      <c r="AH75" s="41">
        <v>20310630</v>
      </c>
      <c r="AI75" s="41">
        <v>20310630</v>
      </c>
      <c r="AJ75" s="43">
        <v>2.6340162045241172E-2</v>
      </c>
      <c r="AK75" s="47">
        <v>125.3564244447642</v>
      </c>
    </row>
    <row r="76" spans="2:37" x14ac:dyDescent="0.4">
      <c r="W76" s="27">
        <f t="shared" si="6"/>
        <v>45607</v>
      </c>
      <c r="X76" s="34">
        <v>3.44E-2</v>
      </c>
      <c r="Y76" s="27">
        <f t="shared" si="7"/>
        <v>45607</v>
      </c>
      <c r="Z76" s="34">
        <v>3.44E-2</v>
      </c>
      <c r="AG76" s="41">
        <v>20310630</v>
      </c>
      <c r="AH76" s="41">
        <v>20310929</v>
      </c>
      <c r="AI76" s="41">
        <v>20310929</v>
      </c>
      <c r="AJ76" s="43">
        <v>2.6407420384034267E-2</v>
      </c>
      <c r="AK76" s="47">
        <v>125.69179479162293</v>
      </c>
    </row>
    <row r="77" spans="2:37" x14ac:dyDescent="0.4">
      <c r="W77" s="27">
        <f t="shared" si="6"/>
        <v>45608</v>
      </c>
      <c r="X77" s="34">
        <v>3.44E-2</v>
      </c>
      <c r="Y77" s="27">
        <f t="shared" si="7"/>
        <v>45608</v>
      </c>
      <c r="Z77" s="34">
        <v>3.44E-2</v>
      </c>
      <c r="AG77" s="41">
        <v>20310929</v>
      </c>
      <c r="AH77" s="41">
        <v>20311229</v>
      </c>
      <c r="AI77" s="41">
        <v>20311229</v>
      </c>
      <c r="AJ77" s="43">
        <v>2.6474679825319942E-2</v>
      </c>
      <c r="AK77" s="47">
        <v>126.02717063584191</v>
      </c>
    </row>
    <row r="78" spans="2:37" x14ac:dyDescent="0.4">
      <c r="W78" s="27">
        <f t="shared" si="6"/>
        <v>45609</v>
      </c>
      <c r="X78" s="34">
        <v>3.44E-2</v>
      </c>
      <c r="Y78" s="27">
        <f t="shared" si="7"/>
        <v>45609</v>
      </c>
      <c r="Z78" s="34">
        <v>3.44E-2</v>
      </c>
      <c r="AG78" s="41">
        <v>20311229</v>
      </c>
      <c r="AH78" s="41">
        <v>20320329</v>
      </c>
      <c r="AI78" s="41">
        <v>20320329</v>
      </c>
      <c r="AJ78" s="43">
        <v>2.6487415329674014E-2</v>
      </c>
      <c r="AK78" s="47">
        <v>126.0906736986485</v>
      </c>
    </row>
    <row r="79" spans="2:37" x14ac:dyDescent="0.4">
      <c r="W79" s="27">
        <f t="shared" si="6"/>
        <v>45610</v>
      </c>
      <c r="X79" s="34">
        <v>3.44E-2</v>
      </c>
      <c r="Y79" s="27">
        <f t="shared" si="7"/>
        <v>45610</v>
      </c>
      <c r="Z79" s="34">
        <v>3.44E-2</v>
      </c>
      <c r="AG79" s="41">
        <v>20320329</v>
      </c>
      <c r="AH79" s="41">
        <v>20320629</v>
      </c>
      <c r="AI79" s="41">
        <v>20320629</v>
      </c>
      <c r="AJ79" s="43">
        <v>2.6403056345651023E-2</v>
      </c>
      <c r="AK79" s="47">
        <v>127.05102376985721</v>
      </c>
    </row>
    <row r="80" spans="2:37" x14ac:dyDescent="0.4">
      <c r="W80" s="27">
        <f t="shared" si="6"/>
        <v>45611</v>
      </c>
      <c r="X80" s="34">
        <v>3.44E-2</v>
      </c>
      <c r="Y80" s="27">
        <f t="shared" si="7"/>
        <v>45611</v>
      </c>
      <c r="Z80" s="34">
        <v>3.44E-2</v>
      </c>
      <c r="AG80" s="41">
        <v>20320629</v>
      </c>
      <c r="AH80" s="41">
        <v>20320929</v>
      </c>
      <c r="AI80" s="41">
        <v>20320929</v>
      </c>
      <c r="AJ80" s="43">
        <v>2.6456915166771754E-2</v>
      </c>
      <c r="AK80" s="47">
        <v>127.32253125167132</v>
      </c>
    </row>
    <row r="81" spans="23:37" x14ac:dyDescent="0.4">
      <c r="W81" s="27">
        <f t="shared" si="6"/>
        <v>45612</v>
      </c>
      <c r="X81" s="34">
        <v>3.44E-2</v>
      </c>
      <c r="Y81" s="27">
        <f t="shared" si="7"/>
        <v>45612</v>
      </c>
      <c r="Z81" s="34">
        <v>3.44E-2</v>
      </c>
      <c r="AG81" s="41">
        <v>20320929</v>
      </c>
      <c r="AH81" s="41">
        <v>20321229</v>
      </c>
      <c r="AI81" s="41">
        <v>20321229</v>
      </c>
      <c r="AJ81" s="43">
        <v>2.6509525126633914E-2</v>
      </c>
      <c r="AK81" s="47">
        <v>126.20091980951705</v>
      </c>
    </row>
    <row r="82" spans="23:37" x14ac:dyDescent="0.4">
      <c r="W82" s="27">
        <f t="shared" si="6"/>
        <v>45613</v>
      </c>
      <c r="X82" s="34">
        <v>3.44E-2</v>
      </c>
      <c r="Y82" s="27">
        <f t="shared" si="7"/>
        <v>45613</v>
      </c>
      <c r="Z82" s="34">
        <v>3.44E-2</v>
      </c>
      <c r="AG82" s="41">
        <v>20321229</v>
      </c>
      <c r="AH82" s="41">
        <v>20330329</v>
      </c>
      <c r="AI82" s="41">
        <v>20330329</v>
      </c>
      <c r="AJ82" s="43">
        <v>2.6512067121231005E-2</v>
      </c>
      <c r="AK82" s="47">
        <v>124.82663237867344</v>
      </c>
    </row>
    <row r="83" spans="23:37" x14ac:dyDescent="0.4">
      <c r="W83" s="27">
        <f t="shared" si="6"/>
        <v>45614</v>
      </c>
      <c r="X83" s="34">
        <v>3.44E-2</v>
      </c>
      <c r="Y83" s="27">
        <f t="shared" si="7"/>
        <v>45614</v>
      </c>
      <c r="Z83" s="34">
        <v>3.44E-2</v>
      </c>
      <c r="AG83" s="41">
        <v>20330329</v>
      </c>
      <c r="AH83" s="41">
        <v>20330629</v>
      </c>
      <c r="AI83" s="41">
        <v>20330629</v>
      </c>
      <c r="AJ83" s="43">
        <v>2.6406481415944493E-2</v>
      </c>
      <c r="AK83" s="47">
        <v>127.06828987763801</v>
      </c>
    </row>
    <row r="84" spans="23:37" x14ac:dyDescent="0.4">
      <c r="W84" s="27">
        <f t="shared" si="6"/>
        <v>45615</v>
      </c>
      <c r="X84" s="34">
        <v>3.44E-2</v>
      </c>
      <c r="Y84" s="27">
        <f t="shared" si="7"/>
        <v>45615</v>
      </c>
      <c r="Z84" s="34">
        <v>3.44E-2</v>
      </c>
      <c r="AG84" s="41">
        <v>20330629</v>
      </c>
      <c r="AH84" s="41">
        <v>20330929</v>
      </c>
      <c r="AI84" s="41">
        <v>20330929</v>
      </c>
      <c r="AJ84" s="43">
        <v>2.6447701557739598E-2</v>
      </c>
      <c r="AK84" s="47">
        <v>127.27608456504346</v>
      </c>
    </row>
    <row r="85" spans="23:37" x14ac:dyDescent="0.4">
      <c r="W85" s="27">
        <f t="shared" si="6"/>
        <v>45616</v>
      </c>
      <c r="X85" s="34">
        <v>3.44E-2</v>
      </c>
      <c r="Y85" s="27">
        <f t="shared" si="7"/>
        <v>45616</v>
      </c>
      <c r="Z85" s="34">
        <v>3.44E-2</v>
      </c>
      <c r="AG85" s="41">
        <v>20330929</v>
      </c>
      <c r="AH85" s="41">
        <v>20331229</v>
      </c>
      <c r="AI85" s="41">
        <v>20331229</v>
      </c>
      <c r="AJ85" s="43">
        <v>2.6487742601941928E-2</v>
      </c>
      <c r="AK85" s="47">
        <v>126.09230557680634</v>
      </c>
    </row>
    <row r="86" spans="23:37" x14ac:dyDescent="0.4">
      <c r="W86" s="27">
        <f t="shared" si="6"/>
        <v>45617</v>
      </c>
      <c r="X86" s="34">
        <v>3.44E-2</v>
      </c>
      <c r="Y86" s="27">
        <f t="shared" si="7"/>
        <v>45617</v>
      </c>
      <c r="Z86" s="34">
        <v>3.44E-2</v>
      </c>
      <c r="AG86" s="41">
        <v>20331229</v>
      </c>
      <c r="AH86" s="41">
        <v>20340329</v>
      </c>
      <c r="AI86" s="41">
        <v>20340329</v>
      </c>
      <c r="AJ86" s="43">
        <v>2.6658399259075507E-2</v>
      </c>
      <c r="AK86" s="47">
        <v>125.54827031872853</v>
      </c>
    </row>
    <row r="87" spans="23:37" x14ac:dyDescent="0.4">
      <c r="W87" s="27">
        <f t="shared" si="6"/>
        <v>45618</v>
      </c>
      <c r="X87" s="34">
        <v>3.44E-2</v>
      </c>
      <c r="Y87" s="27">
        <f t="shared" si="7"/>
        <v>45618</v>
      </c>
      <c r="Z87" s="34">
        <v>3.44E-2</v>
      </c>
      <c r="AG87" s="41">
        <v>20340329</v>
      </c>
      <c r="AH87" s="41">
        <v>20340629</v>
      </c>
      <c r="AI87" s="41">
        <v>20340629</v>
      </c>
      <c r="AJ87" s="43">
        <v>2.7100817209961735E-2</v>
      </c>
      <c r="AK87" s="47">
        <v>130.56850319542355</v>
      </c>
    </row>
    <row r="88" spans="23:37" x14ac:dyDescent="0.4">
      <c r="W88" s="27">
        <f t="shared" si="6"/>
        <v>45619</v>
      </c>
      <c r="X88" s="34">
        <v>3.44E-2</v>
      </c>
      <c r="Y88" s="27">
        <f t="shared" si="7"/>
        <v>45619</v>
      </c>
      <c r="Z88" s="34">
        <v>3.44E-2</v>
      </c>
      <c r="AG88" s="41">
        <v>20340629</v>
      </c>
      <c r="AH88" s="41">
        <v>20340929</v>
      </c>
      <c r="AI88" s="41">
        <v>20340929</v>
      </c>
      <c r="AJ88" s="43">
        <v>2.7170545907110249E-2</v>
      </c>
      <c r="AK88" s="47">
        <v>130.92001224406263</v>
      </c>
    </row>
    <row r="89" spans="23:37" x14ac:dyDescent="0.4">
      <c r="W89" s="27">
        <f t="shared" si="6"/>
        <v>45620</v>
      </c>
      <c r="X89" s="34">
        <v>3.44E-2</v>
      </c>
      <c r="Y89" s="27">
        <f t="shared" si="7"/>
        <v>45620</v>
      </c>
      <c r="Z89" s="34">
        <v>3.44E-2</v>
      </c>
      <c r="AG89" s="41">
        <v>20340929</v>
      </c>
      <c r="AH89" s="41">
        <v>20341229</v>
      </c>
      <c r="AI89" s="41">
        <v>20341229</v>
      </c>
      <c r="AJ89" s="43">
        <v>2.723888605741084E-2</v>
      </c>
      <c r="AK89" s="47">
        <v>129.8377332177746</v>
      </c>
    </row>
    <row r="90" spans="23:37" x14ac:dyDescent="0.4">
      <c r="W90" s="27">
        <f t="shared" si="6"/>
        <v>45621</v>
      </c>
      <c r="X90" s="34">
        <v>3.44E-2</v>
      </c>
      <c r="Y90" s="27">
        <f t="shared" si="7"/>
        <v>45621</v>
      </c>
      <c r="Z90" s="34">
        <v>3.44E-2</v>
      </c>
      <c r="AG90" s="41">
        <v>20341229</v>
      </c>
      <c r="AH90" s="41">
        <v>20350329</v>
      </c>
      <c r="AI90" s="41">
        <v>20350329</v>
      </c>
      <c r="AJ90" s="43">
        <v>2.7195554273848423E-2</v>
      </c>
      <c r="AK90" s="47">
        <v>128.1972539532251</v>
      </c>
    </row>
    <row r="91" spans="23:37" x14ac:dyDescent="0.4">
      <c r="W91" s="27">
        <f t="shared" si="6"/>
        <v>45622</v>
      </c>
      <c r="X91" s="34">
        <v>3.44E-2</v>
      </c>
      <c r="Y91" s="27">
        <f t="shared" si="7"/>
        <v>45622</v>
      </c>
      <c r="Z91" s="34">
        <v>3.44E-2</v>
      </c>
      <c r="AG91" s="41">
        <v>20350329</v>
      </c>
      <c r="AH91" s="41">
        <v>20350629</v>
      </c>
      <c r="AI91" s="41">
        <v>20350629</v>
      </c>
      <c r="AJ91" s="43">
        <v>2.6948396413375476E-2</v>
      </c>
      <c r="AK91" s="47">
        <v>129.80013534413939</v>
      </c>
    </row>
    <row r="92" spans="23:37" x14ac:dyDescent="0.4">
      <c r="W92" s="27">
        <f t="shared" si="6"/>
        <v>45623</v>
      </c>
      <c r="X92" s="34">
        <v>3.44E-2</v>
      </c>
      <c r="Y92" s="27">
        <f t="shared" si="7"/>
        <v>45623</v>
      </c>
      <c r="Z92" s="34">
        <v>3.44E-2</v>
      </c>
      <c r="AG92" s="41">
        <v>20350629</v>
      </c>
      <c r="AH92" s="41">
        <v>20350928</v>
      </c>
      <c r="AI92" s="41">
        <v>20350928</v>
      </c>
      <c r="AJ92" s="43">
        <v>2.6996048170152071E-2</v>
      </c>
      <c r="AK92" s="47">
        <v>128.62687032788156</v>
      </c>
    </row>
    <row r="93" spans="23:37" x14ac:dyDescent="0.4">
      <c r="W93" s="27">
        <f t="shared" si="6"/>
        <v>45624</v>
      </c>
      <c r="X93" s="34">
        <v>3.44E-2</v>
      </c>
      <c r="Y93" s="27">
        <f t="shared" si="7"/>
        <v>45624</v>
      </c>
      <c r="Z93" s="34">
        <v>3.44E-2</v>
      </c>
      <c r="AG93" s="41">
        <v>20350928</v>
      </c>
      <c r="AH93" s="41">
        <v>20351231</v>
      </c>
      <c r="AI93" s="41">
        <v>20351231</v>
      </c>
      <c r="AJ93" s="43">
        <v>2.704442400138805E-2</v>
      </c>
      <c r="AK93" s="47">
        <v>133.11648526742337</v>
      </c>
    </row>
    <row r="94" spans="23:37" x14ac:dyDescent="0.4">
      <c r="W94" s="27">
        <f t="shared" si="6"/>
        <v>45625</v>
      </c>
      <c r="X94" s="34">
        <v>3.44E-2</v>
      </c>
      <c r="Y94" s="27">
        <f t="shared" si="7"/>
        <v>45625</v>
      </c>
      <c r="Z94" s="34">
        <v>3.44E-2</v>
      </c>
      <c r="AG94" s="41">
        <v>20351231</v>
      </c>
      <c r="AH94" s="41">
        <v>20360331</v>
      </c>
      <c r="AI94" s="41">
        <v>20360331</v>
      </c>
      <c r="AJ94" s="43">
        <v>2.7094395248700134E-2</v>
      </c>
      <c r="AK94" s="47">
        <v>129.1172585003678</v>
      </c>
    </row>
    <row r="95" spans="23:37" x14ac:dyDescent="0.4">
      <c r="W95" s="27">
        <f t="shared" si="6"/>
        <v>45626</v>
      </c>
      <c r="X95" s="34">
        <v>3.44E-2</v>
      </c>
      <c r="Y95" s="27">
        <f t="shared" si="7"/>
        <v>45626</v>
      </c>
      <c r="Z95" s="34">
        <v>3.44E-2</v>
      </c>
      <c r="AG95" s="41">
        <v>20360331</v>
      </c>
      <c r="AH95" s="41">
        <v>20360630</v>
      </c>
      <c r="AI95" s="41">
        <v>20360630</v>
      </c>
      <c r="AJ95" s="43">
        <v>2.7142772258013516E-2</v>
      </c>
      <c r="AK95" s="47">
        <v>129.35848084817698</v>
      </c>
    </row>
    <row r="96" spans="23:37" x14ac:dyDescent="0.4">
      <c r="W96" s="27">
        <f t="shared" si="6"/>
        <v>45627</v>
      </c>
      <c r="X96" s="34">
        <v>3.44E-2</v>
      </c>
      <c r="Y96" s="27">
        <f t="shared" si="7"/>
        <v>45627</v>
      </c>
      <c r="Z96" s="34">
        <v>3.44E-2</v>
      </c>
      <c r="AG96" s="41">
        <v>20360630</v>
      </c>
      <c r="AH96" s="41">
        <v>20360929</v>
      </c>
      <c r="AI96" s="41">
        <v>20360929</v>
      </c>
      <c r="AJ96" s="43">
        <v>2.7192423002796024E-2</v>
      </c>
      <c r="AK96" s="47">
        <v>129.60605442490072</v>
      </c>
    </row>
    <row r="97" spans="23:37" x14ac:dyDescent="0.4">
      <c r="W97" s="27">
        <f t="shared" si="6"/>
        <v>45628</v>
      </c>
      <c r="X97" s="34">
        <v>3.44E-2</v>
      </c>
      <c r="Y97" s="27">
        <f t="shared" si="7"/>
        <v>45628</v>
      </c>
      <c r="Z97" s="34">
        <v>3.44E-2</v>
      </c>
      <c r="AG97" s="41">
        <v>20360929</v>
      </c>
      <c r="AH97" s="41">
        <v>20361229</v>
      </c>
      <c r="AI97" s="41">
        <v>20361229</v>
      </c>
      <c r="AJ97" s="43">
        <v>2.7239528015132106E-2</v>
      </c>
      <c r="AK97" s="47">
        <v>129.84093421243955</v>
      </c>
    </row>
    <row r="98" spans="23:37" x14ac:dyDescent="0.4">
      <c r="W98" s="27">
        <f t="shared" si="6"/>
        <v>45629</v>
      </c>
      <c r="X98" s="34">
        <v>3.44E-2</v>
      </c>
      <c r="Y98" s="27">
        <f t="shared" si="7"/>
        <v>45629</v>
      </c>
      <c r="Z98" s="34">
        <v>3.44E-2</v>
      </c>
      <c r="AG98" s="41">
        <v>20361229</v>
      </c>
      <c r="AH98" s="41">
        <v>20370330</v>
      </c>
      <c r="AI98" s="41">
        <v>20370330</v>
      </c>
      <c r="AJ98" s="43">
        <v>2.6464193380285956E-2</v>
      </c>
      <c r="AK98" s="47">
        <v>125.97488206060395</v>
      </c>
    </row>
    <row r="99" spans="23:37" x14ac:dyDescent="0.4">
      <c r="W99" s="27">
        <f t="shared" si="6"/>
        <v>45630</v>
      </c>
      <c r="X99" s="34">
        <v>3.44E-2</v>
      </c>
      <c r="Y99" s="27">
        <f t="shared" si="7"/>
        <v>45630</v>
      </c>
      <c r="Z99" s="34">
        <v>3.44E-2</v>
      </c>
      <c r="AG99" s="41">
        <v>20370330</v>
      </c>
      <c r="AH99" s="41">
        <v>20370629</v>
      </c>
      <c r="AI99" s="41">
        <v>20370629</v>
      </c>
      <c r="AJ99" s="43">
        <v>2.426029321440545E-2</v>
      </c>
      <c r="AK99" s="47">
        <v>114.98557164443265</v>
      </c>
    </row>
    <row r="100" spans="23:37" x14ac:dyDescent="0.4">
      <c r="W100" s="27">
        <f t="shared" si="6"/>
        <v>45631</v>
      </c>
      <c r="X100" s="34">
        <v>3.44E-2</v>
      </c>
      <c r="Y100" s="27">
        <f t="shared" si="7"/>
        <v>45631</v>
      </c>
      <c r="Z100" s="34">
        <v>3.44E-2</v>
      </c>
      <c r="AG100" s="41">
        <v>20370629</v>
      </c>
      <c r="AH100" s="41">
        <v>20370929</v>
      </c>
      <c r="AI100" s="41">
        <v>20370929</v>
      </c>
      <c r="AJ100" s="43">
        <v>2.4184943774480494E-2</v>
      </c>
      <c r="AK100" s="47">
        <v>115.86930560286058</v>
      </c>
    </row>
    <row r="101" spans="23:37" x14ac:dyDescent="0.4">
      <c r="W101" s="27">
        <f t="shared" ref="W101:W132" si="8">W100+1</f>
        <v>45632</v>
      </c>
      <c r="X101" s="34">
        <v>3.44E-2</v>
      </c>
      <c r="Y101" s="27">
        <f t="shared" ref="Y101:Y132" si="9">Y100+1</f>
        <v>45632</v>
      </c>
      <c r="Z101" s="34">
        <v>3.44E-2</v>
      </c>
      <c r="AG101" s="41">
        <v>20370929</v>
      </c>
      <c r="AH101" s="41">
        <v>20371229</v>
      </c>
      <c r="AI101" s="41">
        <v>20371229</v>
      </c>
      <c r="AJ101" s="43">
        <v>2.4108390371501826E-2</v>
      </c>
      <c r="AK101" s="47">
        <v>114.22813829077623</v>
      </c>
    </row>
    <row r="102" spans="23:37" x14ac:dyDescent="0.4">
      <c r="W102" s="27">
        <f t="shared" si="8"/>
        <v>45633</v>
      </c>
      <c r="X102" s="34">
        <v>3.44E-2</v>
      </c>
      <c r="Y102" s="27">
        <f t="shared" si="9"/>
        <v>45633</v>
      </c>
      <c r="Z102" s="34">
        <v>3.44E-2</v>
      </c>
      <c r="AG102" s="41">
        <v>20371229</v>
      </c>
      <c r="AH102" s="41">
        <v>20380329</v>
      </c>
      <c r="AI102" s="41">
        <v>20380329</v>
      </c>
      <c r="AJ102" s="43">
        <v>2.4032676228980306E-2</v>
      </c>
      <c r="AK102" s="47">
        <v>112.59949921140972</v>
      </c>
    </row>
    <row r="103" spans="23:37" x14ac:dyDescent="0.4">
      <c r="W103" s="27">
        <f t="shared" si="8"/>
        <v>45634</v>
      </c>
      <c r="X103" s="34">
        <v>3.44E-2</v>
      </c>
      <c r="Y103" s="27">
        <f t="shared" si="9"/>
        <v>45634</v>
      </c>
      <c r="Z103" s="34">
        <v>3.44E-2</v>
      </c>
      <c r="AG103" s="41">
        <v>20380329</v>
      </c>
      <c r="AH103" s="41">
        <v>20380629</v>
      </c>
      <c r="AI103" s="41">
        <v>20380629</v>
      </c>
      <c r="AJ103" s="43">
        <v>2.3958903988292563E-2</v>
      </c>
      <c r="AK103" s="47">
        <v>114.72981736563924</v>
      </c>
    </row>
    <row r="104" spans="23:37" x14ac:dyDescent="0.4">
      <c r="W104" s="27">
        <f t="shared" si="8"/>
        <v>45635</v>
      </c>
      <c r="X104" s="34">
        <v>3.44E-2</v>
      </c>
      <c r="Y104" s="27">
        <f t="shared" si="9"/>
        <v>45635</v>
      </c>
      <c r="Z104" s="34">
        <v>3.44E-2</v>
      </c>
      <c r="AG104" s="41">
        <v>20380629</v>
      </c>
      <c r="AH104" s="41">
        <v>20380929</v>
      </c>
      <c r="AI104" s="41">
        <v>20380929</v>
      </c>
      <c r="AJ104" s="43">
        <v>2.3882732291927836E-2</v>
      </c>
      <c r="AK104" s="47">
        <v>114.34582854012938</v>
      </c>
    </row>
    <row r="105" spans="23:37" x14ac:dyDescent="0.4">
      <c r="W105" s="27">
        <f t="shared" si="8"/>
        <v>45636</v>
      </c>
      <c r="X105" s="34">
        <v>3.44E-2</v>
      </c>
      <c r="Y105" s="27">
        <f t="shared" si="9"/>
        <v>45636</v>
      </c>
      <c r="Z105" s="34">
        <v>3.44E-2</v>
      </c>
      <c r="AG105" s="41">
        <v>20380929</v>
      </c>
      <c r="AH105" s="41">
        <v>20381229</v>
      </c>
      <c r="AI105" s="41">
        <v>20381229</v>
      </c>
      <c r="AJ105" s="43">
        <v>2.3806204387976797E-2</v>
      </c>
      <c r="AK105" s="47">
        <v>112.72134790717197</v>
      </c>
    </row>
    <row r="106" spans="23:37" x14ac:dyDescent="0.4">
      <c r="W106" s="27">
        <f t="shared" si="8"/>
        <v>45637</v>
      </c>
      <c r="X106" s="34">
        <v>3.44E-2</v>
      </c>
      <c r="Y106" s="27">
        <f t="shared" si="9"/>
        <v>45637</v>
      </c>
      <c r="Z106" s="34">
        <v>3.44E-2</v>
      </c>
      <c r="AG106" s="41">
        <v>20381229</v>
      </c>
      <c r="AH106" s="41">
        <v>20390329</v>
      </c>
      <c r="AI106" s="41">
        <v>20390329</v>
      </c>
      <c r="AJ106" s="43">
        <v>2.3730515556499937E-2</v>
      </c>
      <c r="AK106" s="47">
        <v>111.10939178547915</v>
      </c>
    </row>
    <row r="107" spans="23:37" x14ac:dyDescent="0.4">
      <c r="W107" s="27">
        <f t="shared" si="8"/>
        <v>45638</v>
      </c>
      <c r="X107" s="34">
        <v>3.44E-2</v>
      </c>
      <c r="Y107" s="27">
        <f t="shared" si="9"/>
        <v>45638</v>
      </c>
      <c r="Z107" s="34">
        <v>3.44E-2</v>
      </c>
      <c r="AG107" s="41">
        <v>20390329</v>
      </c>
      <c r="AH107" s="41">
        <v>20390629</v>
      </c>
      <c r="AI107" s="41">
        <v>20390629</v>
      </c>
      <c r="AJ107" s="43">
        <v>2.3656709618879453E-2</v>
      </c>
      <c r="AK107" s="47">
        <v>113.20642657188547</v>
      </c>
    </row>
    <row r="108" spans="23:37" x14ac:dyDescent="0.4">
      <c r="W108" s="27">
        <f t="shared" si="8"/>
        <v>45639</v>
      </c>
      <c r="X108" s="34">
        <v>3.44E-2</v>
      </c>
      <c r="Y108" s="27">
        <f t="shared" si="9"/>
        <v>45639</v>
      </c>
      <c r="Z108" s="34">
        <v>3.44E-2</v>
      </c>
      <c r="AG108" s="41">
        <v>20390629</v>
      </c>
      <c r="AH108" s="41">
        <v>20390929</v>
      </c>
      <c r="AI108" s="41">
        <v>20390929</v>
      </c>
      <c r="AJ108" s="43">
        <v>2.358054368936275E-2</v>
      </c>
      <c r="AK108" s="47">
        <v>112.8224668176095</v>
      </c>
    </row>
    <row r="109" spans="23:37" x14ac:dyDescent="0.4">
      <c r="W109" s="27">
        <f t="shared" si="8"/>
        <v>45640</v>
      </c>
      <c r="X109" s="34">
        <v>3.44E-2</v>
      </c>
      <c r="Y109" s="27">
        <f t="shared" si="9"/>
        <v>45640</v>
      </c>
      <c r="Z109" s="34">
        <v>3.44E-2</v>
      </c>
      <c r="AG109" s="41">
        <v>20390929</v>
      </c>
      <c r="AH109" s="41">
        <v>20391229</v>
      </c>
      <c r="AI109" s="41">
        <v>20391229</v>
      </c>
      <c r="AJ109" s="43">
        <v>2.3504041033858225E-2</v>
      </c>
      <c r="AK109" s="47">
        <v>111.21467036060814</v>
      </c>
    </row>
    <row r="110" spans="23:37" x14ac:dyDescent="0.4">
      <c r="W110" s="27">
        <f t="shared" si="8"/>
        <v>45641</v>
      </c>
      <c r="X110" s="34">
        <v>3.44E-2</v>
      </c>
      <c r="Y110" s="27">
        <f t="shared" si="9"/>
        <v>45641</v>
      </c>
      <c r="Z110" s="34">
        <v>3.44E-2</v>
      </c>
      <c r="AG110" s="41">
        <v>20391229</v>
      </c>
      <c r="AH110" s="41">
        <v>20400329</v>
      </c>
      <c r="AI110" s="41">
        <v>20400329</v>
      </c>
      <c r="AJ110" s="43">
        <v>2.294668325798855E-2</v>
      </c>
      <c r="AK110" s="47">
        <v>108.43551651928537</v>
      </c>
    </row>
    <row r="111" spans="23:37" x14ac:dyDescent="0.4">
      <c r="W111" s="27">
        <f t="shared" si="8"/>
        <v>45642</v>
      </c>
      <c r="X111" s="34">
        <v>3.44E-2</v>
      </c>
      <c r="Y111" s="27">
        <f t="shared" si="9"/>
        <v>45642</v>
      </c>
      <c r="Z111" s="34">
        <v>3.44E-2</v>
      </c>
      <c r="AG111" s="41">
        <v>20400329</v>
      </c>
      <c r="AH111" s="41">
        <v>20400629</v>
      </c>
      <c r="AI111" s="41">
        <v>20400629</v>
      </c>
      <c r="AJ111" s="43">
        <v>2.1487744264648018E-2</v>
      </c>
      <c r="AK111" s="47">
        <v>102.27246423822564</v>
      </c>
    </row>
    <row r="112" spans="23:37" x14ac:dyDescent="0.4">
      <c r="W112" s="27">
        <f t="shared" si="8"/>
        <v>45643</v>
      </c>
      <c r="X112" s="34">
        <v>3.44E-2</v>
      </c>
      <c r="Y112" s="27">
        <f t="shared" si="9"/>
        <v>45643</v>
      </c>
      <c r="Z112" s="34">
        <v>3.44E-2</v>
      </c>
      <c r="AG112" s="41">
        <v>20400629</v>
      </c>
      <c r="AH112" s="41">
        <v>20400928</v>
      </c>
      <c r="AI112" s="41">
        <v>20400928</v>
      </c>
      <c r="AJ112" s="43">
        <v>2.1350668987741177E-2</v>
      </c>
      <c r="AK112" s="47">
        <v>100.47730837722997</v>
      </c>
    </row>
    <row r="113" spans="23:37" x14ac:dyDescent="0.4">
      <c r="W113" s="27">
        <f t="shared" si="8"/>
        <v>45644</v>
      </c>
      <c r="X113" s="34">
        <v>3.44E-2</v>
      </c>
      <c r="Y113" s="27">
        <f t="shared" si="9"/>
        <v>45644</v>
      </c>
      <c r="Z113" s="34">
        <v>3.44E-2</v>
      </c>
      <c r="AG113" s="41">
        <v>20400928</v>
      </c>
      <c r="AH113" s="41">
        <v>20401231</v>
      </c>
      <c r="AI113" s="41">
        <v>20401231</v>
      </c>
      <c r="AJ113" s="43">
        <v>2.1214972060598952E-2</v>
      </c>
      <c r="AK113" s="47">
        <v>103.09081499705761</v>
      </c>
    </row>
    <row r="114" spans="23:37" x14ac:dyDescent="0.4">
      <c r="W114" s="27">
        <f t="shared" si="8"/>
        <v>45645</v>
      </c>
      <c r="X114" s="34">
        <v>3.44E-2</v>
      </c>
      <c r="Y114" s="27">
        <f t="shared" si="9"/>
        <v>45645</v>
      </c>
      <c r="Z114" s="34">
        <v>3.44E-2</v>
      </c>
      <c r="AG114" s="41">
        <v>20401231</v>
      </c>
      <c r="AH114" s="41">
        <v>20410329</v>
      </c>
      <c r="AI114" s="41">
        <v>20410329</v>
      </c>
      <c r="AJ114" s="43">
        <v>2.1075230019122759E-2</v>
      </c>
      <c r="AK114" s="47">
        <v>95.836725571660438</v>
      </c>
    </row>
    <row r="115" spans="23:37" x14ac:dyDescent="0.4">
      <c r="W115" s="27">
        <f t="shared" si="8"/>
        <v>45646</v>
      </c>
      <c r="X115" s="34">
        <v>3.44E-2</v>
      </c>
      <c r="Y115" s="27">
        <f t="shared" si="9"/>
        <v>45646</v>
      </c>
      <c r="Z115" s="34">
        <v>3.44E-2</v>
      </c>
      <c r="AG115" s="41">
        <v>20410329</v>
      </c>
      <c r="AH115" s="41">
        <v>20410628</v>
      </c>
      <c r="AI115" s="41">
        <v>20410628</v>
      </c>
      <c r="AJ115" s="43">
        <v>2.0943591905437705E-2</v>
      </c>
      <c r="AK115" s="47">
        <v>98.447499364100338</v>
      </c>
    </row>
    <row r="116" spans="23:37" x14ac:dyDescent="0.4">
      <c r="W116" s="27">
        <f t="shared" si="8"/>
        <v>45647</v>
      </c>
      <c r="X116" s="34">
        <v>3.44E-2</v>
      </c>
      <c r="Y116" s="27">
        <f t="shared" si="9"/>
        <v>45647</v>
      </c>
      <c r="Z116" s="34">
        <v>3.44E-2</v>
      </c>
      <c r="AG116" s="41">
        <v>20410628</v>
      </c>
      <c r="AH116" s="41">
        <v>20410930</v>
      </c>
      <c r="AI116" s="41">
        <v>20410930</v>
      </c>
      <c r="AJ116" s="43">
        <v>2.0807438531785211E-2</v>
      </c>
      <c r="AK116" s="47">
        <v>100.99173819111287</v>
      </c>
    </row>
    <row r="117" spans="23:37" x14ac:dyDescent="0.4">
      <c r="W117" s="27">
        <f t="shared" si="8"/>
        <v>45648</v>
      </c>
      <c r="X117" s="34">
        <v>3.44E-2</v>
      </c>
      <c r="Y117" s="27">
        <f t="shared" si="9"/>
        <v>45648</v>
      </c>
      <c r="Z117" s="34">
        <v>3.44E-2</v>
      </c>
      <c r="AG117" s="41">
        <v>20410930</v>
      </c>
      <c r="AH117" s="41">
        <v>20411230</v>
      </c>
      <c r="AI117" s="41">
        <v>20411230</v>
      </c>
      <c r="AJ117" s="43">
        <v>2.0667757169553533E-2</v>
      </c>
      <c r="AK117" s="47">
        <v>97.072104242705294</v>
      </c>
    </row>
    <row r="118" spans="23:37" x14ac:dyDescent="0.4">
      <c r="W118" s="27">
        <f t="shared" si="8"/>
        <v>45649</v>
      </c>
      <c r="X118" s="34">
        <v>3.44E-2</v>
      </c>
      <c r="Y118" s="27">
        <f t="shared" si="9"/>
        <v>45649</v>
      </c>
      <c r="Z118" s="34">
        <v>3.44E-2</v>
      </c>
      <c r="AG118" s="41">
        <v>20411230</v>
      </c>
      <c r="AH118" s="41">
        <v>20420331</v>
      </c>
      <c r="AI118" s="41">
        <v>20420331</v>
      </c>
      <c r="AJ118" s="43">
        <v>2.053208322351819E-2</v>
      </c>
      <c r="AK118" s="47">
        <v>96.395593059734537</v>
      </c>
    </row>
    <row r="119" spans="23:37" x14ac:dyDescent="0.4">
      <c r="W119" s="27">
        <f t="shared" si="8"/>
        <v>45650</v>
      </c>
      <c r="X119" s="34">
        <v>3.44E-2</v>
      </c>
      <c r="Y119" s="27">
        <f t="shared" si="9"/>
        <v>45650</v>
      </c>
      <c r="Z119" s="34">
        <v>3.44E-2</v>
      </c>
      <c r="AG119" s="41">
        <v>20420331</v>
      </c>
      <c r="AH119" s="41">
        <v>20420630</v>
      </c>
      <c r="AI119" s="41">
        <v>20420630</v>
      </c>
      <c r="AJ119" s="43">
        <v>2.0396413843134537E-2</v>
      </c>
      <c r="AK119" s="47">
        <v>95.719104642479067</v>
      </c>
    </row>
    <row r="120" spans="23:37" x14ac:dyDescent="0.4">
      <c r="W120" s="27">
        <f t="shared" si="8"/>
        <v>45651</v>
      </c>
      <c r="X120" s="34">
        <v>3.44E-2</v>
      </c>
      <c r="Y120" s="27">
        <f t="shared" si="9"/>
        <v>45651</v>
      </c>
      <c r="Z120" s="34">
        <v>3.44E-2</v>
      </c>
      <c r="AG120" s="41">
        <v>20420630</v>
      </c>
      <c r="AH120" s="41">
        <v>20420926</v>
      </c>
      <c r="AI120" s="41">
        <v>20420926</v>
      </c>
      <c r="AJ120" s="43">
        <v>2.0261310069797967E-2</v>
      </c>
      <c r="AK120" s="47">
        <v>91.912070473546379</v>
      </c>
    </row>
    <row r="121" spans="23:37" x14ac:dyDescent="0.4">
      <c r="W121" s="27">
        <f t="shared" si="8"/>
        <v>45652</v>
      </c>
      <c r="X121" s="34">
        <v>3.44E-2</v>
      </c>
      <c r="Y121" s="27">
        <f t="shared" si="9"/>
        <v>45652</v>
      </c>
      <c r="Z121" s="34">
        <v>3.44E-2</v>
      </c>
      <c r="AG121" s="41">
        <v>20420926</v>
      </c>
      <c r="AH121" s="41">
        <v>20421229</v>
      </c>
      <c r="AI121" s="41">
        <v>20421229</v>
      </c>
      <c r="AJ121" s="43">
        <v>2.0129561021855671E-2</v>
      </c>
      <c r="AK121" s="47">
        <v>97.500204715311398</v>
      </c>
    </row>
    <row r="122" spans="23:37" x14ac:dyDescent="0.4">
      <c r="W122" s="27">
        <f t="shared" si="8"/>
        <v>45653</v>
      </c>
      <c r="X122" s="34">
        <v>3.44E-2</v>
      </c>
      <c r="Y122" s="27">
        <f t="shared" si="9"/>
        <v>45653</v>
      </c>
      <c r="Z122" s="34">
        <v>3.44E-2</v>
      </c>
      <c r="AG122" s="41">
        <v>20421229</v>
      </c>
      <c r="AH122" s="41">
        <v>20430330</v>
      </c>
      <c r="AI122" s="41">
        <v>20430330</v>
      </c>
      <c r="AJ122" s="43">
        <v>1.9989433094355837E-2</v>
      </c>
      <c r="AK122" s="47">
        <v>93.689775977335955</v>
      </c>
    </row>
    <row r="123" spans="23:37" x14ac:dyDescent="0.4">
      <c r="W123" s="27">
        <f t="shared" si="8"/>
        <v>45654</v>
      </c>
      <c r="X123" s="34">
        <v>3.44E-2</v>
      </c>
      <c r="Y123" s="27">
        <f t="shared" si="9"/>
        <v>45654</v>
      </c>
      <c r="Z123" s="34">
        <v>3.44E-2</v>
      </c>
      <c r="AG123" s="41">
        <v>20430330</v>
      </c>
      <c r="AH123" s="41">
        <v>20430629</v>
      </c>
      <c r="AI123" s="41">
        <v>20430629</v>
      </c>
      <c r="AJ123" s="43">
        <v>1.9853572545342937E-2</v>
      </c>
      <c r="AK123" s="47">
        <v>93.012334335682596</v>
      </c>
    </row>
    <row r="124" spans="23:37" x14ac:dyDescent="0.4">
      <c r="W124" s="27">
        <f t="shared" si="8"/>
        <v>45655</v>
      </c>
      <c r="X124" s="34">
        <v>3.44E-2</v>
      </c>
      <c r="Y124" s="27">
        <f t="shared" si="9"/>
        <v>45655</v>
      </c>
      <c r="Z124" s="34">
        <v>3.44E-2</v>
      </c>
      <c r="AG124" s="41">
        <v>20430629</v>
      </c>
      <c r="AH124" s="41">
        <v>20430929</v>
      </c>
      <c r="AI124" s="41">
        <v>20430929</v>
      </c>
      <c r="AJ124" s="43">
        <v>1.9717918684223592E-2</v>
      </c>
      <c r="AK124" s="47">
        <v>93.350603778003872</v>
      </c>
    </row>
    <row r="125" spans="23:37" x14ac:dyDescent="0.4">
      <c r="W125" s="27">
        <f t="shared" si="8"/>
        <v>45656</v>
      </c>
      <c r="X125" s="34">
        <v>3.44E-2</v>
      </c>
      <c r="Y125" s="27">
        <f t="shared" si="9"/>
        <v>45656</v>
      </c>
      <c r="Z125" s="34">
        <v>3.44E-2</v>
      </c>
      <c r="AG125" s="41">
        <v>20430929</v>
      </c>
      <c r="AH125" s="41">
        <v>20431229</v>
      </c>
      <c r="AI125" s="41">
        <v>20431229</v>
      </c>
      <c r="AJ125" s="43">
        <v>1.958100288494994E-2</v>
      </c>
      <c r="AK125" s="47">
        <v>91.653219864681887</v>
      </c>
    </row>
    <row r="126" spans="23:37" x14ac:dyDescent="0.4">
      <c r="W126" s="27">
        <f t="shared" si="8"/>
        <v>45657</v>
      </c>
      <c r="X126" s="34">
        <v>3.44E-2</v>
      </c>
      <c r="Y126" s="27">
        <f t="shared" si="9"/>
        <v>45657</v>
      </c>
      <c r="Z126" s="34">
        <v>3.44E-2</v>
      </c>
      <c r="AG126" s="41">
        <v>20431229</v>
      </c>
      <c r="AH126" s="41">
        <v>20440329</v>
      </c>
      <c r="AI126" s="41">
        <v>20440329</v>
      </c>
      <c r="AJ126" s="43">
        <v>1.9445365509984408E-2</v>
      </c>
      <c r="AK126" s="47">
        <v>90.976891036086641</v>
      </c>
    </row>
    <row r="127" spans="23:37" x14ac:dyDescent="0.4">
      <c r="W127" s="27">
        <f t="shared" si="8"/>
        <v>45658</v>
      </c>
      <c r="X127" s="34">
        <v>3.44E-2</v>
      </c>
      <c r="Y127" s="27">
        <f t="shared" si="9"/>
        <v>45658</v>
      </c>
      <c r="Z127" s="34">
        <v>3.44E-2</v>
      </c>
      <c r="AG127" s="41">
        <v>20440329</v>
      </c>
      <c r="AH127" s="41">
        <v>20440629</v>
      </c>
      <c r="AI127" s="41">
        <v>20440629</v>
      </c>
      <c r="AJ127" s="43">
        <v>1.9309494267073603E-2</v>
      </c>
      <c r="AK127" s="47">
        <v>91.291697127165577</v>
      </c>
    </row>
    <row r="128" spans="23:37" x14ac:dyDescent="0.4">
      <c r="W128" s="27">
        <f t="shared" si="8"/>
        <v>45659</v>
      </c>
      <c r="X128" s="34">
        <v>3.44E-2</v>
      </c>
      <c r="Y128" s="27">
        <f t="shared" si="9"/>
        <v>45659</v>
      </c>
      <c r="Z128" s="34">
        <v>3.44E-2</v>
      </c>
      <c r="AG128" s="41">
        <v>20440629</v>
      </c>
      <c r="AH128" s="41">
        <v>20440929</v>
      </c>
      <c r="AI128" s="41">
        <v>20440929</v>
      </c>
      <c r="AJ128" s="43">
        <v>1.9172368443549265E-2</v>
      </c>
      <c r="AK128" s="47">
        <v>90.600432701727826</v>
      </c>
    </row>
    <row r="129" spans="23:37" x14ac:dyDescent="0.4">
      <c r="W129" s="27">
        <f t="shared" si="8"/>
        <v>45660</v>
      </c>
      <c r="X129" s="34">
        <v>3.44E-2</v>
      </c>
      <c r="Y129" s="27">
        <f t="shared" si="9"/>
        <v>45660</v>
      </c>
      <c r="Z129" s="34">
        <v>3.44E-2</v>
      </c>
      <c r="AG129" s="41">
        <v>20440929</v>
      </c>
      <c r="AH129" s="41">
        <v>20441229</v>
      </c>
      <c r="AI129" s="41">
        <v>20441229</v>
      </c>
      <c r="AJ129" s="43">
        <v>1.9035500081986467E-2</v>
      </c>
      <c r="AK129" s="47">
        <v>88.933178491001001</v>
      </c>
    </row>
    <row r="130" spans="23:37" x14ac:dyDescent="0.4">
      <c r="W130" s="27">
        <f t="shared" si="8"/>
        <v>45661</v>
      </c>
      <c r="X130" s="34">
        <v>3.44E-2</v>
      </c>
      <c r="Y130" s="27">
        <f t="shared" si="9"/>
        <v>45661</v>
      </c>
      <c r="Z130" s="34">
        <v>3.44E-2</v>
      </c>
      <c r="AG130" s="41">
        <v>20441229</v>
      </c>
      <c r="AH130" s="41">
        <v>20450329</v>
      </c>
      <c r="AI130" s="41">
        <v>20450329</v>
      </c>
      <c r="AJ130" s="43">
        <v>1.8473710853107703E-2</v>
      </c>
      <c r="AK130" s="47">
        <v>85.185423385188685</v>
      </c>
    </row>
    <row r="131" spans="23:37" x14ac:dyDescent="0.4">
      <c r="W131" s="27">
        <f t="shared" si="8"/>
        <v>45662</v>
      </c>
      <c r="X131" s="34">
        <v>3.44E-2</v>
      </c>
      <c r="Y131" s="27">
        <f t="shared" si="9"/>
        <v>45662</v>
      </c>
      <c r="Z131" s="34">
        <v>3.44E-2</v>
      </c>
      <c r="AG131" s="41">
        <v>20450329</v>
      </c>
      <c r="AH131" s="41">
        <v>20450629</v>
      </c>
      <c r="AI131" s="41">
        <v>20450629</v>
      </c>
      <c r="AJ131" s="43">
        <v>1.7070826624517497E-2</v>
      </c>
      <c r="AK131" s="47">
        <v>80.006358874279996</v>
      </c>
    </row>
    <row r="132" spans="23:37" x14ac:dyDescent="0.4">
      <c r="W132" s="27">
        <f t="shared" si="8"/>
        <v>45663</v>
      </c>
      <c r="X132" s="34">
        <v>3.44E-2</v>
      </c>
      <c r="Y132" s="27">
        <f t="shared" si="9"/>
        <v>45663</v>
      </c>
      <c r="Z132" s="34">
        <v>3.44E-2</v>
      </c>
      <c r="AG132" s="41">
        <v>20450629</v>
      </c>
      <c r="AH132" s="41">
        <v>20450929</v>
      </c>
      <c r="AI132" s="41">
        <v>20450929</v>
      </c>
      <c r="AJ132" s="43">
        <v>1.6891905477571086E-2</v>
      </c>
      <c r="AK132" s="47">
        <v>79.104400215700821</v>
      </c>
    </row>
    <row r="133" spans="23:37" x14ac:dyDescent="0.4">
      <c r="AG133" s="41">
        <v>20450929</v>
      </c>
      <c r="AH133" s="41">
        <v>20451229</v>
      </c>
      <c r="AI133" s="41">
        <v>20451229</v>
      </c>
      <c r="AJ133" s="43">
        <v>1.671358560158985E-2</v>
      </c>
      <c r="AK133" s="47">
        <v>77.355413136694594</v>
      </c>
    </row>
    <row r="134" spans="23:37" x14ac:dyDescent="0.4">
      <c r="AG134" s="41">
        <v>20451229</v>
      </c>
      <c r="AH134" s="41">
        <v>20460329</v>
      </c>
      <c r="AI134" s="41">
        <v>20460329</v>
      </c>
      <c r="AJ134" s="43">
        <v>1.653723415868855E-2</v>
      </c>
      <c r="AK134" s="47">
        <v>75.635675303121616</v>
      </c>
    </row>
    <row r="135" spans="23:37" x14ac:dyDescent="0.4">
      <c r="AG135" s="41">
        <v>20460329</v>
      </c>
      <c r="AH135" s="41">
        <v>20460629</v>
      </c>
      <c r="AI135" s="41">
        <v>20460629</v>
      </c>
      <c r="AJ135" s="43">
        <v>1.636102335501765E-2</v>
      </c>
      <c r="AK135" s="47">
        <v>76.428172529404051</v>
      </c>
    </row>
    <row r="136" spans="23:37" x14ac:dyDescent="0.4">
      <c r="AG136" s="41">
        <v>20460629</v>
      </c>
      <c r="AH136" s="41">
        <v>20460928</v>
      </c>
      <c r="AI136" s="41">
        <v>20460928</v>
      </c>
      <c r="AJ136" s="43">
        <v>1.6182750992003322E-2</v>
      </c>
      <c r="AK136" s="47">
        <v>74.708511795742595</v>
      </c>
    </row>
  </sheetData>
  <mergeCells count="158">
    <mergeCell ref="J7:K7"/>
    <mergeCell ref="J27:K27"/>
    <mergeCell ref="L7:M7"/>
    <mergeCell ref="L27:M27"/>
    <mergeCell ref="H36:I36"/>
    <mergeCell ref="H17:I18"/>
    <mergeCell ref="J17:M18"/>
    <mergeCell ref="H21:I22"/>
    <mergeCell ref="J21:M22"/>
    <mergeCell ref="J34:K34"/>
    <mergeCell ref="J11:K11"/>
    <mergeCell ref="L11:M11"/>
    <mergeCell ref="J10:K10"/>
    <mergeCell ref="L10:M10"/>
    <mergeCell ref="H37:I38"/>
    <mergeCell ref="J37:M38"/>
    <mergeCell ref="H41:I42"/>
    <mergeCell ref="J41:M42"/>
    <mergeCell ref="J36:M36"/>
    <mergeCell ref="B25:M26"/>
    <mergeCell ref="B27:C27"/>
    <mergeCell ref="D27:E27"/>
    <mergeCell ref="F27:G27"/>
    <mergeCell ref="H27:I27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B21:C23"/>
    <mergeCell ref="D18:E18"/>
    <mergeCell ref="F18:G18"/>
    <mergeCell ref="B16:C18"/>
    <mergeCell ref="D21:E21"/>
    <mergeCell ref="F21:G21"/>
    <mergeCell ref="D23:E23"/>
    <mergeCell ref="F23:G23"/>
    <mergeCell ref="D29:E29"/>
    <mergeCell ref="F29:G29"/>
    <mergeCell ref="AB6:AC6"/>
    <mergeCell ref="AD6:AE6"/>
    <mergeCell ref="AB3:AM4"/>
    <mergeCell ref="AB15:AF15"/>
    <mergeCell ref="AG15:AK15"/>
    <mergeCell ref="AB10:AC10"/>
    <mergeCell ref="AD10:AE10"/>
    <mergeCell ref="W3:X3"/>
    <mergeCell ref="Y3:Z3"/>
    <mergeCell ref="AB7:AC7"/>
    <mergeCell ref="AD7:AE7"/>
    <mergeCell ref="AB11:AC11"/>
    <mergeCell ref="AD11:AE11"/>
    <mergeCell ref="AB12:AC12"/>
    <mergeCell ref="AD12:AE12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F36:G36"/>
    <mergeCell ref="D37:E37"/>
    <mergeCell ref="F37:G37"/>
    <mergeCell ref="D38:E38"/>
    <mergeCell ref="F38:G38"/>
    <mergeCell ref="L34:M34"/>
    <mergeCell ref="B29:C34"/>
    <mergeCell ref="T3:U3"/>
    <mergeCell ref="O10:P10"/>
    <mergeCell ref="O9:R9"/>
    <mergeCell ref="O3:R3"/>
    <mergeCell ref="O4:P4"/>
    <mergeCell ref="Q4:R4"/>
    <mergeCell ref="Q10:R10"/>
    <mergeCell ref="O7:P7"/>
    <mergeCell ref="Q7:R7"/>
    <mergeCell ref="O6:P6"/>
    <mergeCell ref="Q6:R6"/>
    <mergeCell ref="O5:P5"/>
    <mergeCell ref="Q5:R5"/>
    <mergeCell ref="F31:G31"/>
    <mergeCell ref="J31:K31"/>
    <mergeCell ref="L31:M31"/>
    <mergeCell ref="H12:M12"/>
    <mergeCell ref="H13:I14"/>
    <mergeCell ref="D32:E32"/>
    <mergeCell ref="F32:G32"/>
    <mergeCell ref="H32:M32"/>
    <mergeCell ref="F16:G16"/>
    <mergeCell ref="D17:E17"/>
    <mergeCell ref="F17:G17"/>
    <mergeCell ref="J16:M16"/>
    <mergeCell ref="D22:E22"/>
    <mergeCell ref="F22:G22"/>
    <mergeCell ref="D16:E16"/>
    <mergeCell ref="H16:I16"/>
    <mergeCell ref="D14:E14"/>
    <mergeCell ref="J14:K14"/>
    <mergeCell ref="L14:M14"/>
    <mergeCell ref="F10:G10"/>
    <mergeCell ref="D13:E13"/>
    <mergeCell ref="O14:R14"/>
    <mergeCell ref="O15:P15"/>
    <mergeCell ref="Q15:R15"/>
    <mergeCell ref="F11:G11"/>
    <mergeCell ref="F12:G12"/>
    <mergeCell ref="F13:G13"/>
    <mergeCell ref="F14:G14"/>
    <mergeCell ref="J13:K13"/>
    <mergeCell ref="L13:M13"/>
    <mergeCell ref="O11:P11"/>
    <mergeCell ref="Q11:R11"/>
    <mergeCell ref="O12:P12"/>
    <mergeCell ref="Q12:R12"/>
    <mergeCell ref="AY3:AZ3"/>
    <mergeCell ref="AY5:AZ5"/>
    <mergeCell ref="O34:R34"/>
    <mergeCell ref="O35:P35"/>
    <mergeCell ref="Q35:R35"/>
    <mergeCell ref="B3:C3"/>
    <mergeCell ref="D3:E3"/>
    <mergeCell ref="F3:G3"/>
    <mergeCell ref="H3:I3"/>
    <mergeCell ref="J3:K3"/>
    <mergeCell ref="L3:M3"/>
    <mergeCell ref="H7:I7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9:M9"/>
    <mergeCell ref="H10:I11"/>
    <mergeCell ref="F9:G9"/>
  </mergeCells>
  <phoneticPr fontId="2" type="noConversion"/>
  <dataValidations count="3">
    <dataValidation type="list" allowBlank="1" showInputMessage="1" showErrorMessage="1" sqref="H3:I3" xr:uid="{6421B323-D0B5-4914-B9E4-1F0A1B7E139C}">
      <formula1>$BA$4:$BC$4</formula1>
    </dataValidation>
    <dataValidation type="list" allowBlank="1" showInputMessage="1" showErrorMessage="1" sqref="D48" xr:uid="{8A329BAB-1CE7-4E4E-BAC1-F98A36382B2B}">
      <formula1>$BA$8:$BB$8</formula1>
    </dataValidation>
    <dataValidation type="list" allowBlank="1" showInputMessage="1" showErrorMessage="1" sqref="F9:G9 F29:G29" xr:uid="{AE20A2D8-7872-489C-BAF3-957D79927A1E}">
      <formula1>$BA$6:$BE$6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2024-08-09T07:40:17Z</dcterms:created>
  <dcterms:modified xsi:type="dcterms:W3CDTF">2026-05-25T12:40:27Z</dcterms:modified>
</cp:coreProperties>
</file>