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tructuredSwapOneCurve\"/>
    </mc:Choice>
  </mc:AlternateContent>
  <bookViews>
    <workbookView xWindow="0" yWindow="0" windowWidth="23016" windowHeight="9084" activeTab="1"/>
  </bookViews>
  <sheets>
    <sheet name="Calibration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8" i="2" l="1"/>
  <c r="AE12" i="2"/>
  <c r="Y123" i="2" l="1"/>
  <c r="Y124" i="2" s="1"/>
  <c r="Y125" i="2" s="1"/>
  <c r="Y126" i="2" s="1"/>
  <c r="Y127" i="2" s="1"/>
  <c r="Y128" i="2" s="1"/>
  <c r="Y129" i="2" s="1"/>
  <c r="Y130" i="2" s="1"/>
  <c r="Y131" i="2" s="1"/>
  <c r="Y132" i="2" s="1"/>
  <c r="W123" i="2"/>
  <c r="W124" i="2" s="1"/>
  <c r="W125" i="2" s="1"/>
  <c r="W126" i="2" s="1"/>
  <c r="W127" i="2" s="1"/>
  <c r="W128" i="2" s="1"/>
  <c r="W129" i="2" s="1"/>
  <c r="W130" i="2" s="1"/>
  <c r="W131" i="2" s="1"/>
  <c r="W132" i="2" s="1"/>
  <c r="Y111" i="2"/>
  <c r="Y112" i="2" s="1"/>
  <c r="Y113" i="2" s="1"/>
  <c r="Y114" i="2" s="1"/>
  <c r="Y115" i="2" s="1"/>
  <c r="Y116" i="2" s="1"/>
  <c r="Y117" i="2" s="1"/>
  <c r="Y118" i="2" s="1"/>
  <c r="Y119" i="2" s="1"/>
  <c r="Y120" i="2" s="1"/>
  <c r="Y121" i="2" s="1"/>
  <c r="Y122" i="2" s="1"/>
  <c r="W111" i="2"/>
  <c r="W112" i="2" s="1"/>
  <c r="W113" i="2" s="1"/>
  <c r="W114" i="2" s="1"/>
  <c r="W115" i="2" s="1"/>
  <c r="W116" i="2" s="1"/>
  <c r="W117" i="2" s="1"/>
  <c r="W118" i="2" s="1"/>
  <c r="W119" i="2" s="1"/>
  <c r="W120" i="2" s="1"/>
  <c r="W121" i="2" s="1"/>
  <c r="W122" i="2" s="1"/>
  <c r="Y101" i="2"/>
  <c r="Y102" i="2" s="1"/>
  <c r="Y103" i="2" s="1"/>
  <c r="Y104" i="2" s="1"/>
  <c r="Y105" i="2" s="1"/>
  <c r="Y106" i="2" s="1"/>
  <c r="Y107" i="2" s="1"/>
  <c r="Y108" i="2" s="1"/>
  <c r="Y109" i="2" s="1"/>
  <c r="Y110" i="2" s="1"/>
  <c r="W101" i="2"/>
  <c r="W102" i="2" s="1"/>
  <c r="W103" i="2" s="1"/>
  <c r="W104" i="2" s="1"/>
  <c r="W105" i="2" s="1"/>
  <c r="W106" i="2" s="1"/>
  <c r="W107" i="2" s="1"/>
  <c r="W108" i="2" s="1"/>
  <c r="W109" i="2" s="1"/>
  <c r="W110" i="2" s="1"/>
  <c r="Y6" i="2"/>
  <c r="Y7" i="2" s="1"/>
  <c r="Y8" i="2" s="1"/>
  <c r="Y9" i="2" s="1"/>
  <c r="Y10" i="2" s="1"/>
  <c r="Y11" i="2" s="1"/>
  <c r="Y12" i="2" s="1"/>
  <c r="Y13" i="2" s="1"/>
  <c r="Y14" i="2" s="1"/>
  <c r="Y15" i="2" s="1"/>
  <c r="Y16" i="2" s="1"/>
  <c r="Y17" i="2" s="1"/>
  <c r="Y18" i="2" s="1"/>
  <c r="Y19" i="2" s="1"/>
  <c r="Y20" i="2" s="1"/>
  <c r="Y21" i="2" s="1"/>
  <c r="Y22" i="2" s="1"/>
  <c r="Y23" i="2" s="1"/>
  <c r="Y24" i="2" s="1"/>
  <c r="Y25" i="2" s="1"/>
  <c r="Y26" i="2" s="1"/>
  <c r="Y27" i="2" s="1"/>
  <c r="Y28" i="2" s="1"/>
  <c r="Y29" i="2" s="1"/>
  <c r="Y30" i="2" s="1"/>
  <c r="Y31" i="2" s="1"/>
  <c r="Y32" i="2" s="1"/>
  <c r="Y33" i="2" s="1"/>
  <c r="Y34" i="2" s="1"/>
  <c r="Y35" i="2" s="1"/>
  <c r="Y36" i="2" s="1"/>
  <c r="Y37" i="2" s="1"/>
  <c r="Y38" i="2" s="1"/>
  <c r="Y39" i="2" s="1"/>
  <c r="Y40" i="2" s="1"/>
  <c r="Y41" i="2" s="1"/>
  <c r="Y42" i="2" s="1"/>
  <c r="Y43" i="2" s="1"/>
  <c r="Y44" i="2" s="1"/>
  <c r="Y45" i="2" s="1"/>
  <c r="Y46" i="2" s="1"/>
  <c r="Y47" i="2" s="1"/>
  <c r="Y48" i="2" s="1"/>
  <c r="Y49" i="2" s="1"/>
  <c r="Y50" i="2" s="1"/>
  <c r="Y51" i="2" s="1"/>
  <c r="Y52" i="2" s="1"/>
  <c r="Y53" i="2" s="1"/>
  <c r="Y54" i="2" s="1"/>
  <c r="Y55" i="2" s="1"/>
  <c r="Y56" i="2" s="1"/>
  <c r="Y57" i="2" s="1"/>
  <c r="Y58" i="2" s="1"/>
  <c r="Y59" i="2" s="1"/>
  <c r="Y60" i="2" s="1"/>
  <c r="Y61" i="2" s="1"/>
  <c r="Y62" i="2" s="1"/>
  <c r="Y63" i="2" s="1"/>
  <c r="Y64" i="2" s="1"/>
  <c r="Y65" i="2" s="1"/>
  <c r="Y66" i="2" s="1"/>
  <c r="Y67" i="2" s="1"/>
  <c r="Y68" i="2" s="1"/>
  <c r="Y69" i="2" s="1"/>
  <c r="Y70" i="2" s="1"/>
  <c r="Y71" i="2" s="1"/>
  <c r="Y72" i="2" s="1"/>
  <c r="Y73" i="2" s="1"/>
  <c r="Y74" i="2" s="1"/>
  <c r="Y75" i="2" s="1"/>
  <c r="Y76" i="2" s="1"/>
  <c r="Y77" i="2" s="1"/>
  <c r="Y78" i="2" s="1"/>
  <c r="Y79" i="2" s="1"/>
  <c r="Y80" i="2" s="1"/>
  <c r="Y81" i="2" s="1"/>
  <c r="Y82" i="2" s="1"/>
  <c r="Y83" i="2" s="1"/>
  <c r="Y84" i="2" s="1"/>
  <c r="Y85" i="2" s="1"/>
  <c r="Y86" i="2" s="1"/>
  <c r="Y87" i="2" s="1"/>
  <c r="Y88" i="2" s="1"/>
  <c r="Y89" i="2" s="1"/>
  <c r="Y90" i="2" s="1"/>
  <c r="Y91" i="2" s="1"/>
  <c r="Y92" i="2" s="1"/>
  <c r="Y93" i="2" s="1"/>
  <c r="Y94" i="2" s="1"/>
  <c r="Y95" i="2" s="1"/>
  <c r="Y96" i="2" s="1"/>
  <c r="Y97" i="2" s="1"/>
  <c r="Y98" i="2" s="1"/>
  <c r="Y99" i="2" s="1"/>
  <c r="Y100" i="2" s="1"/>
  <c r="W10" i="2"/>
  <c r="W11" i="2" s="1"/>
  <c r="W12" i="2" s="1"/>
  <c r="W13" i="2" s="1"/>
  <c r="W14" i="2" s="1"/>
  <c r="W15" i="2" s="1"/>
  <c r="W16" i="2" s="1"/>
  <c r="W17" i="2" s="1"/>
  <c r="W18" i="2" s="1"/>
  <c r="W19" i="2" s="1"/>
  <c r="W20" i="2" s="1"/>
  <c r="W21" i="2" s="1"/>
  <c r="W22" i="2" s="1"/>
  <c r="W23" i="2" s="1"/>
  <c r="W24" i="2" s="1"/>
  <c r="W25" i="2" s="1"/>
  <c r="W26" i="2" s="1"/>
  <c r="W27" i="2" s="1"/>
  <c r="W28" i="2" s="1"/>
  <c r="W29" i="2" s="1"/>
  <c r="W30" i="2" s="1"/>
  <c r="W31" i="2" s="1"/>
  <c r="W32" i="2" s="1"/>
  <c r="W33" i="2" s="1"/>
  <c r="W34" i="2" s="1"/>
  <c r="W35" i="2" s="1"/>
  <c r="W36" i="2" s="1"/>
  <c r="W37" i="2" s="1"/>
  <c r="W38" i="2" s="1"/>
  <c r="W39" i="2" s="1"/>
  <c r="W40" i="2" s="1"/>
  <c r="W41" i="2" s="1"/>
  <c r="W42" i="2" s="1"/>
  <c r="W43" i="2" s="1"/>
  <c r="W44" i="2" s="1"/>
  <c r="W45" i="2" s="1"/>
  <c r="W46" i="2" s="1"/>
  <c r="W47" i="2" s="1"/>
  <c r="W48" i="2" s="1"/>
  <c r="W49" i="2" s="1"/>
  <c r="W50" i="2" s="1"/>
  <c r="W51" i="2" s="1"/>
  <c r="W52" i="2" s="1"/>
  <c r="W53" i="2" s="1"/>
  <c r="W54" i="2" s="1"/>
  <c r="W55" i="2" s="1"/>
  <c r="W56" i="2" s="1"/>
  <c r="W57" i="2" s="1"/>
  <c r="W58" i="2" s="1"/>
  <c r="W59" i="2" s="1"/>
  <c r="W60" i="2" s="1"/>
  <c r="W61" i="2" s="1"/>
  <c r="W62" i="2" s="1"/>
  <c r="W63" i="2" s="1"/>
  <c r="W64" i="2" s="1"/>
  <c r="W65" i="2" s="1"/>
  <c r="W66" i="2" s="1"/>
  <c r="W67" i="2" s="1"/>
  <c r="W68" i="2" s="1"/>
  <c r="W69" i="2" s="1"/>
  <c r="W70" i="2" s="1"/>
  <c r="W71" i="2" s="1"/>
  <c r="W72" i="2" s="1"/>
  <c r="W73" i="2" s="1"/>
  <c r="W74" i="2" s="1"/>
  <c r="W75" i="2" s="1"/>
  <c r="W76" i="2" s="1"/>
  <c r="W77" i="2" s="1"/>
  <c r="W78" i="2" s="1"/>
  <c r="W79" i="2" s="1"/>
  <c r="W80" i="2" s="1"/>
  <c r="W81" i="2" s="1"/>
  <c r="W82" i="2" s="1"/>
  <c r="W83" i="2" s="1"/>
  <c r="W84" i="2" s="1"/>
  <c r="W85" i="2" s="1"/>
  <c r="W86" i="2" s="1"/>
  <c r="W87" i="2" s="1"/>
  <c r="W88" i="2" s="1"/>
  <c r="W89" i="2" s="1"/>
  <c r="W90" i="2" s="1"/>
  <c r="W91" i="2" s="1"/>
  <c r="W92" i="2" s="1"/>
  <c r="W93" i="2" s="1"/>
  <c r="W94" i="2" s="1"/>
  <c r="W95" i="2" s="1"/>
  <c r="W96" i="2" s="1"/>
  <c r="W97" i="2" s="1"/>
  <c r="W98" i="2" s="1"/>
  <c r="W99" i="2" s="1"/>
  <c r="W100" i="2" s="1"/>
  <c r="W9" i="2"/>
  <c r="W6" i="2"/>
  <c r="W7" i="2" s="1"/>
  <c r="W8" i="2" s="1"/>
  <c r="Q7" i="2" l="1"/>
  <c r="AE11" i="2" l="1"/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105" i="1" l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L13" i="1" l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1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KDBZeroCallable(</t>
        </r>
        <r>
          <rPr>
            <b/>
            <sz val="9"/>
            <color indexed="81"/>
            <rFont val="돋움"/>
            <family val="3"/>
            <charset val="129"/>
          </rPr>
          <t>콜행사시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만기때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고정금리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 : -1
KDBZeroCallable(</t>
        </r>
        <r>
          <rPr>
            <b/>
            <sz val="9"/>
            <color indexed="81"/>
            <rFont val="돋움"/>
            <family val="3"/>
            <charset val="129"/>
          </rPr>
          <t>콜행사시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만기때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고정금리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-2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-3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KDBZeroCallable(</t>
        </r>
        <r>
          <rPr>
            <b/>
            <sz val="9"/>
            <color indexed="81"/>
            <rFont val="돋움"/>
            <family val="3"/>
            <charset val="129"/>
          </rPr>
          <t>콜행사시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만기때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고정금리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 : -1
KDBZeroCallable(</t>
        </r>
        <r>
          <rPr>
            <b/>
            <sz val="9"/>
            <color indexed="81"/>
            <rFont val="돋움"/>
            <family val="3"/>
            <charset val="129"/>
          </rPr>
          <t>콜행사시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만기때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고정금리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-2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-3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<sst xmlns="http://schemas.openxmlformats.org/spreadsheetml/2006/main" count="122" uniqueCount="87">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</sst>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41" formatCode="_-* #,##0_-;\-* #,##0_-;_-* &quot;-&quot;_-;_-@_-"/>
    <numFmt numFmtId="43" formatCode="_-* #,##0.00_-;\-* #,##0.00_-;_-* &quot;-&quot;??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  <numFmt numFmtId="188" formatCode="_-* #,##0.000_-;\-* #,##0.0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Alignment="1" applyProtection="1">
      <alignment vertical="center"/>
      <protection locked="0"/>
    </xf>
    <xf numFmtId="14" fontId="5" fillId="5" borderId="19" xfId="0" applyNumberFormat="1" applyFont="1" applyFill="1" applyBorder="1" applyAlignment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 applyBorder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 applyAlignment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86" fontId="0" fillId="2" borderId="0" xfId="1" applyNumberFormat="1" applyFont="1" applyFill="1">
      <alignment vertical="center"/>
    </xf>
    <xf numFmtId="14" fontId="8" fillId="11" borderId="10" xfId="0" applyNumberFormat="1" applyFont="1" applyFill="1" applyBorder="1" applyAlignment="1">
      <alignment vertical="center"/>
    </xf>
    <xf numFmtId="43" fontId="0" fillId="2" borderId="0" xfId="0" applyNumberFormat="1" applyFill="1">
      <alignment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14" fillId="4" borderId="0" xfId="0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16" xfId="0" applyFont="1" applyFill="1" applyBorder="1" applyAlignment="1" applyProtection="1">
      <alignment horizontal="center" vertical="center" wrapText="1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0" fontId="14" fillId="4" borderId="0" xfId="0" applyFont="1" applyFill="1" applyBorder="1" applyAlignment="1" applyProtection="1">
      <alignment horizontal="center" vertical="center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4" fillId="10" borderId="12" xfId="0" applyFont="1" applyFill="1" applyBorder="1" applyAlignment="1" applyProtection="1">
      <alignment horizontal="center" vertical="center"/>
    </xf>
    <xf numFmtId="0" fontId="4" fillId="10" borderId="17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4" fillId="10" borderId="13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0" fontId="6" fillId="10" borderId="0" xfId="0" applyFont="1" applyFill="1" applyBorder="1" applyAlignment="1" applyProtection="1">
      <alignment horizontal="center" vertical="center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183" fontId="5" fillId="5" borderId="0" xfId="0" applyNumberFormat="1" applyFont="1" applyFill="1" applyBorder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 applyProtection="1">
      <alignment horizontal="center" vertical="center"/>
    </xf>
    <xf numFmtId="183" fontId="5" fillId="15" borderId="0" xfId="0" applyNumberFormat="1" applyFont="1" applyFill="1" applyBorder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178" fontId="5" fillId="15" borderId="0" xfId="0" applyNumberFormat="1" applyFont="1" applyFill="1" applyBorder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0" xfId="0" applyFont="1" applyFill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 wrapText="1"/>
    </xf>
    <xf numFmtId="0" fontId="6" fillId="4" borderId="2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 applyProtection="1">
      <alignment horizontal="center" vertical="center"/>
    </xf>
    <xf numFmtId="0" fontId="14" fillId="4" borderId="14" xfId="0" applyFont="1" applyFill="1" applyBorder="1" applyAlignment="1" applyProtection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188" fontId="8" fillId="11" borderId="0" xfId="2" applyNumberFormat="1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 applyProtection="1">
      <alignment horizontal="center" vertical="center"/>
    </xf>
    <xf numFmtId="0" fontId="14" fillId="4" borderId="23" xfId="0" applyFont="1" applyFill="1" applyBorder="1" applyAlignment="1" applyProtection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topLeftCell="A7" workbookViewId="0">
      <selection activeCell="I22" sqref="I22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4" t="s">
        <v>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</row>
    <row r="3" spans="1:41" x14ac:dyDescent="0.4">
      <c r="A3" s="64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</row>
    <row r="4" spans="1:41" x14ac:dyDescent="0.4">
      <c r="A4" s="1">
        <f>4</f>
        <v>4</v>
      </c>
      <c r="B4" s="57" t="s">
        <v>1</v>
      </c>
      <c r="C4" s="57"/>
      <c r="D4" s="59">
        <v>1</v>
      </c>
      <c r="E4" s="59"/>
    </row>
    <row r="5" spans="1:41" x14ac:dyDescent="0.4">
      <c r="A5" s="1">
        <f>A4+1</f>
        <v>5</v>
      </c>
      <c r="B5" s="57" t="s">
        <v>29</v>
      </c>
      <c r="C5" s="57"/>
      <c r="D5" s="58">
        <v>45720</v>
      </c>
      <c r="E5" s="59"/>
      <c r="G5" s="65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6"/>
      <c r="H6" s="67" t="s">
        <v>4</v>
      </c>
      <c r="I6" s="61"/>
      <c r="L6" s="52" t="s">
        <v>75</v>
      </c>
      <c r="M6" s="52"/>
      <c r="N6" s="52"/>
      <c r="O6" s="60" t="s">
        <v>76</v>
      </c>
      <c r="P6" s="61"/>
      <c r="R6" s="52" t="s">
        <v>5</v>
      </c>
      <c r="S6" s="52"/>
      <c r="T6" s="52"/>
    </row>
    <row r="7" spans="1:41" x14ac:dyDescent="0.4">
      <c r="A7" s="1">
        <f t="shared" si="1"/>
        <v>7</v>
      </c>
      <c r="B7" s="57" t="s">
        <v>6</v>
      </c>
      <c r="C7" s="57"/>
      <c r="D7" s="59">
        <v>0</v>
      </c>
      <c r="E7" s="59"/>
      <c r="G7" s="66"/>
      <c r="H7" s="62"/>
      <c r="I7" s="63"/>
      <c r="L7" s="52"/>
      <c r="M7" s="52"/>
      <c r="N7" s="52"/>
      <c r="O7" s="62"/>
      <c r="P7" s="63"/>
      <c r="R7" s="52"/>
      <c r="S7" s="52"/>
      <c r="T7" s="52"/>
    </row>
    <row r="8" spans="1:41" x14ac:dyDescent="0.4">
      <c r="A8" s="1">
        <f t="shared" si="1"/>
        <v>8</v>
      </c>
      <c r="B8" s="57" t="s">
        <v>7</v>
      </c>
      <c r="C8" s="57"/>
      <c r="D8" s="59">
        <v>0.01</v>
      </c>
      <c r="E8" s="59"/>
      <c r="G8" s="66"/>
      <c r="I8" s="3" t="s">
        <v>8</v>
      </c>
      <c r="J8" s="3" t="s">
        <v>9</v>
      </c>
      <c r="K8" s="3" t="s">
        <v>10</v>
      </c>
      <c r="R8" s="52" t="s">
        <v>11</v>
      </c>
      <c r="S8" s="52"/>
      <c r="T8" s="4">
        <v>3</v>
      </c>
    </row>
    <row r="9" spans="1:41" x14ac:dyDescent="0.4">
      <c r="A9" s="1">
        <f t="shared" si="1"/>
        <v>9</v>
      </c>
      <c r="G9" s="66"/>
      <c r="H9" s="3" t="s">
        <v>12</v>
      </c>
      <c r="I9" s="5">
        <v>-1.3299999999999999E-2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6"/>
      <c r="H10" s="8" t="s">
        <v>13</v>
      </c>
      <c r="I10" s="53" t="s">
        <v>14</v>
      </c>
      <c r="J10" s="54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5" t="s">
        <v>17</v>
      </c>
      <c r="S10" s="55" t="s">
        <v>18</v>
      </c>
      <c r="T10" s="55" t="s">
        <v>19</v>
      </c>
      <c r="U10" s="55" t="s">
        <v>20</v>
      </c>
      <c r="V10" s="55" t="s">
        <v>21</v>
      </c>
      <c r="W10" s="55" t="s">
        <v>22</v>
      </c>
    </row>
    <row r="11" spans="1:41" x14ac:dyDescent="0.4">
      <c r="A11" s="1">
        <f t="shared" si="1"/>
        <v>11</v>
      </c>
      <c r="G11" s="66"/>
      <c r="H11" s="50">
        <v>45721</v>
      </c>
      <c r="I11" s="10">
        <v>6.3229999999999996E-3</v>
      </c>
      <c r="J11" s="11"/>
      <c r="K11" s="7">
        <v>45539</v>
      </c>
      <c r="L11" s="12">
        <v>1</v>
      </c>
      <c r="M11" s="45">
        <v>45721.000099999997</v>
      </c>
      <c r="N11" s="13">
        <v>2.7989E-2</v>
      </c>
      <c r="O11" s="45">
        <v>45721.000099999997</v>
      </c>
      <c r="P11" s="13">
        <v>2.7989E-2</v>
      </c>
      <c r="R11" s="56"/>
      <c r="S11" s="56"/>
      <c r="T11" s="56"/>
      <c r="U11" s="56"/>
      <c r="V11" s="56"/>
      <c r="W11" s="56"/>
    </row>
    <row r="12" spans="1:41" x14ac:dyDescent="0.4">
      <c r="A12" s="1">
        <f t="shared" si="1"/>
        <v>12</v>
      </c>
      <c r="G12" s="66"/>
      <c r="H12" s="50">
        <v>45750.999997500003</v>
      </c>
      <c r="I12" s="10">
        <v>6.3229999999999996E-3</v>
      </c>
      <c r="J12" s="11"/>
      <c r="K12" s="7">
        <v>45569</v>
      </c>
      <c r="L12" s="12">
        <f>L11+1</f>
        <v>2</v>
      </c>
      <c r="M12" s="45">
        <v>45722.000200000002</v>
      </c>
      <c r="N12" s="13">
        <v>2.7992E-2</v>
      </c>
      <c r="O12" s="45">
        <v>45722.000200000002</v>
      </c>
      <c r="P12" s="13">
        <v>2.7992E-2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1.7820460810577456E-3</v>
      </c>
      <c r="W12" s="16">
        <v>4.5889507471752466E-14</v>
      </c>
    </row>
    <row r="13" spans="1:41" x14ac:dyDescent="0.4">
      <c r="A13" s="1">
        <f t="shared" si="1"/>
        <v>13</v>
      </c>
      <c r="C13" s="17" t="s">
        <v>22</v>
      </c>
      <c r="D13" s="68" t="s">
        <v>23</v>
      </c>
      <c r="E13" s="68"/>
      <c r="G13" s="66"/>
      <c r="H13" s="50">
        <v>45812.000002000001</v>
      </c>
      <c r="I13" s="10">
        <v>5.9312000000000002E-3</v>
      </c>
      <c r="J13" s="11"/>
      <c r="K13" s="7">
        <v>45629</v>
      </c>
      <c r="L13" s="12">
        <f t="shared" ref="L13:L53" si="2">L12+1</f>
        <v>3</v>
      </c>
      <c r="M13" s="45">
        <v>45812.998350000002</v>
      </c>
      <c r="N13" s="13">
        <v>2.8393999999999999E-2</v>
      </c>
      <c r="O13" s="45">
        <v>45812.998350000002</v>
      </c>
      <c r="P13" s="13">
        <v>2.8393999999999999E-2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5.0325525342047673E-3</v>
      </c>
      <c r="W13" s="16">
        <v>-5.2921209081624454E-14</v>
      </c>
    </row>
    <row r="14" spans="1:41" x14ac:dyDescent="0.4">
      <c r="A14" s="1">
        <f t="shared" si="1"/>
        <v>14</v>
      </c>
      <c r="D14" s="68"/>
      <c r="E14" s="68"/>
      <c r="G14" s="66"/>
      <c r="H14" s="50">
        <v>45903.999785</v>
      </c>
      <c r="I14" s="10">
        <v>5.6103730000000001E-3</v>
      </c>
      <c r="J14" s="11"/>
      <c r="K14" s="7">
        <v>45720</v>
      </c>
      <c r="L14" s="12">
        <f t="shared" si="2"/>
        <v>4</v>
      </c>
      <c r="M14" s="45">
        <v>45904.999884999997</v>
      </c>
      <c r="N14" s="13">
        <v>2.7553999999999999E-2</v>
      </c>
      <c r="O14" s="45">
        <v>45904.999884999997</v>
      </c>
      <c r="P14" s="13">
        <v>2.7553999999999999E-2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9.1647895411654905E-3</v>
      </c>
      <c r="W14" s="16">
        <v>4.1432135500230061E-14</v>
      </c>
    </row>
    <row r="15" spans="1:41" x14ac:dyDescent="0.4">
      <c r="A15" s="1">
        <f t="shared" si="1"/>
        <v>15</v>
      </c>
      <c r="D15" s="68"/>
      <c r="E15" s="68"/>
      <c r="G15" s="66"/>
      <c r="H15" s="50">
        <v>46085</v>
      </c>
      <c r="I15" s="10">
        <v>5.2599999999999999E-3</v>
      </c>
      <c r="J15" s="11"/>
      <c r="K15" s="7">
        <v>45903</v>
      </c>
      <c r="L15" s="12">
        <f t="shared" si="2"/>
        <v>5</v>
      </c>
      <c r="M15" s="45">
        <v>45995.999860000004</v>
      </c>
      <c r="N15" s="13">
        <v>2.6807000000000001E-2</v>
      </c>
      <c r="O15" s="45">
        <v>45995.999860000004</v>
      </c>
      <c r="P15" s="13">
        <v>2.6807000000000001E-2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1.4037362284931562E-2</v>
      </c>
      <c r="W15" s="16">
        <v>-1.8894608100339383E-14</v>
      </c>
    </row>
    <row r="16" spans="1:41" x14ac:dyDescent="0.4">
      <c r="A16" s="1">
        <f t="shared" si="1"/>
        <v>16</v>
      </c>
      <c r="G16" s="66"/>
      <c r="H16" s="50">
        <v>46450</v>
      </c>
      <c r="I16" s="10">
        <v>5.1613800000000001E-3</v>
      </c>
      <c r="J16" s="11"/>
      <c r="K16" s="7">
        <v>46268</v>
      </c>
      <c r="L16" s="12">
        <f t="shared" si="2"/>
        <v>6</v>
      </c>
      <c r="M16" s="45">
        <v>46086.000099999997</v>
      </c>
      <c r="N16" s="13">
        <v>2.6329999999999999E-2</v>
      </c>
      <c r="O16" s="45">
        <v>46086.000099999997</v>
      </c>
      <c r="P16" s="13">
        <v>2.6329999999999999E-2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2.1274647699098086E-2</v>
      </c>
      <c r="W16" s="16">
        <v>6.7168492989821971E-15</v>
      </c>
    </row>
    <row r="17" spans="1:23" x14ac:dyDescent="0.4">
      <c r="A17" s="1">
        <f t="shared" si="1"/>
        <v>17</v>
      </c>
      <c r="D17" s="69">
        <v>45202.835729166669</v>
      </c>
      <c r="E17" s="69"/>
      <c r="G17" s="66"/>
      <c r="H17" s="50">
        <v>46817.999935</v>
      </c>
      <c r="I17" s="10">
        <v>4.4970000000000001E-3</v>
      </c>
      <c r="J17" s="11"/>
      <c r="K17" s="7">
        <v>46633</v>
      </c>
      <c r="L17" s="12">
        <f t="shared" si="2"/>
        <v>7</v>
      </c>
      <c r="M17" s="45">
        <v>46272.000085</v>
      </c>
      <c r="N17" s="13">
        <v>2.5805999999999999E-2</v>
      </c>
      <c r="O17" s="45">
        <v>46272.000085</v>
      </c>
      <c r="P17" s="13">
        <v>2.5805999999999999E-2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3.009426039197385E-2</v>
      </c>
      <c r="W17" s="16">
        <v>-3.2022995366531859E-15</v>
      </c>
    </row>
    <row r="18" spans="1:23" x14ac:dyDescent="0.4">
      <c r="A18" s="1">
        <f t="shared" si="1"/>
        <v>18</v>
      </c>
      <c r="D18" s="69">
        <v>45202.835729166669</v>
      </c>
      <c r="E18" s="69"/>
      <c r="G18" s="66"/>
      <c r="H18" s="50">
        <v>47181.999835000002</v>
      </c>
      <c r="I18" s="10">
        <v>4.5618999999999998E-3</v>
      </c>
      <c r="J18" s="11"/>
      <c r="K18" s="7">
        <v>47001</v>
      </c>
      <c r="L18" s="12">
        <f t="shared" si="2"/>
        <v>8</v>
      </c>
      <c r="M18" s="45">
        <v>46451.000099999997</v>
      </c>
      <c r="N18" s="13">
        <v>2.5454999999999998E-2</v>
      </c>
      <c r="O18" s="45">
        <v>46451.000099999997</v>
      </c>
      <c r="P18" s="13">
        <v>2.5454999999999998E-2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4.5431966973547483E-2</v>
      </c>
      <c r="W18" s="16">
        <v>5.3429483060085659E-16</v>
      </c>
    </row>
    <row r="19" spans="1:23" x14ac:dyDescent="0.4">
      <c r="A19" s="1">
        <f t="shared" si="1"/>
        <v>19</v>
      </c>
      <c r="G19" s="66"/>
      <c r="H19" s="50">
        <v>47545.985500000003</v>
      </c>
      <c r="I19" s="10">
        <v>4.3251299999999999E-3</v>
      </c>
      <c r="J19" s="11"/>
      <c r="K19" s="7">
        <v>47363</v>
      </c>
      <c r="L19" s="12">
        <f t="shared" si="2"/>
        <v>9</v>
      </c>
      <c r="M19" s="45">
        <v>46818.0003</v>
      </c>
      <c r="N19" s="13">
        <v>2.5153999999999999E-2</v>
      </c>
      <c r="O19" s="45">
        <v>46818.0003</v>
      </c>
      <c r="P19" s="13">
        <v>2.5153999999999999E-2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6"/>
      <c r="H20" s="50">
        <v>48277.0075</v>
      </c>
      <c r="I20" s="10">
        <v>4.0889999999999998E-3</v>
      </c>
      <c r="J20" s="11"/>
      <c r="K20" s="7">
        <v>48093</v>
      </c>
      <c r="L20" s="12">
        <f t="shared" si="2"/>
        <v>10</v>
      </c>
      <c r="M20" s="45">
        <v>47182.000200000002</v>
      </c>
      <c r="N20" s="13">
        <v>2.5235E-2</v>
      </c>
      <c r="O20" s="45">
        <v>47182.000200000002</v>
      </c>
      <c r="P20" s="13">
        <v>2.5235E-2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6"/>
      <c r="H21" s="50">
        <v>49372.993000000002</v>
      </c>
      <c r="I21" s="10">
        <v>3.7569999999999999E-3</v>
      </c>
      <c r="J21" s="11"/>
      <c r="K21" s="7">
        <v>48906</v>
      </c>
      <c r="L21" s="12">
        <f t="shared" si="2"/>
        <v>11</v>
      </c>
      <c r="M21" s="45">
        <v>47547.000200000002</v>
      </c>
      <c r="N21" s="13">
        <v>2.5264000000000002E-2</v>
      </c>
      <c r="O21" s="45">
        <v>47547.000200000002</v>
      </c>
      <c r="P21" s="13">
        <v>2.5264000000000002E-2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6"/>
      <c r="H22" s="50">
        <v>53209.982499999998</v>
      </c>
      <c r="I22" s="10">
        <v>3.6800000000000001E-3</v>
      </c>
      <c r="J22" s="11"/>
      <c r="K22" s="7">
        <v>59856</v>
      </c>
      <c r="L22" s="12">
        <f t="shared" si="2"/>
        <v>12</v>
      </c>
      <c r="M22" s="45">
        <v>47912.000200000002</v>
      </c>
      <c r="N22" s="13">
        <v>2.5396999999999999E-2</v>
      </c>
      <c r="O22" s="45">
        <v>47912.000200000002</v>
      </c>
      <c r="P22" s="13">
        <v>2.5396999999999999E-2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7" t="s">
        <v>24</v>
      </c>
      <c r="C23" s="57"/>
      <c r="D23" s="59">
        <v>1</v>
      </c>
      <c r="E23" s="59"/>
      <c r="G23" s="66"/>
      <c r="H23" s="50">
        <v>64159.8</v>
      </c>
      <c r="I23" s="10">
        <v>3.6800000000000001E-3</v>
      </c>
      <c r="J23" s="11"/>
      <c r="L23" s="12">
        <f t="shared" si="2"/>
        <v>13</v>
      </c>
      <c r="M23" s="45">
        <v>48277.999935</v>
      </c>
      <c r="N23" s="13">
        <v>2.5531000000000002E-2</v>
      </c>
      <c r="O23" s="45">
        <v>48277.999935</v>
      </c>
      <c r="P23" s="13">
        <v>2.5531000000000002E-2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7" t="s">
        <v>25</v>
      </c>
      <c r="C24" s="57"/>
      <c r="D24" s="59">
        <v>0</v>
      </c>
      <c r="E24" s="59"/>
      <c r="G24" s="66"/>
      <c r="H24" s="50"/>
      <c r="I24" s="10"/>
      <c r="J24" s="11"/>
      <c r="L24" s="12">
        <f t="shared" si="2"/>
        <v>14</v>
      </c>
      <c r="M24" s="45">
        <v>48645.000135000002</v>
      </c>
      <c r="N24" s="13">
        <v>2.5638000000000001E-2</v>
      </c>
      <c r="O24" s="45">
        <v>48645.000135000002</v>
      </c>
      <c r="P24" s="13">
        <v>2.5638000000000001E-2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7" t="s">
        <v>26</v>
      </c>
      <c r="C25" s="57"/>
      <c r="D25" s="59">
        <v>-0.1</v>
      </c>
      <c r="E25" s="59"/>
      <c r="G25" s="66"/>
      <c r="H25" s="50"/>
      <c r="I25" s="10"/>
      <c r="J25" s="11"/>
      <c r="L25" s="12">
        <f t="shared" si="2"/>
        <v>15</v>
      </c>
      <c r="M25" s="45">
        <v>49009.000034999997</v>
      </c>
      <c r="N25" s="13">
        <v>2.5718999999999999E-2</v>
      </c>
      <c r="O25" s="45">
        <v>49009.000034999997</v>
      </c>
      <c r="P25" s="13">
        <v>2.5718999999999999E-2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7" t="s">
        <v>27</v>
      </c>
      <c r="C26" s="57"/>
      <c r="D26" s="59">
        <v>0.15</v>
      </c>
      <c r="E26" s="59"/>
      <c r="G26" s="66"/>
      <c r="H26" s="50"/>
      <c r="I26" s="10"/>
      <c r="J26" s="11"/>
      <c r="L26" s="12">
        <f t="shared" si="2"/>
        <v>16</v>
      </c>
      <c r="M26" s="45">
        <v>49373.0003</v>
      </c>
      <c r="N26" s="13">
        <v>2.5856000000000001E-2</v>
      </c>
      <c r="O26" s="45">
        <v>49373.0003</v>
      </c>
      <c r="P26" s="13">
        <v>2.5856000000000001E-2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6"/>
      <c r="H27" s="50"/>
      <c r="I27" s="10"/>
      <c r="J27" s="11"/>
      <c r="L27" s="12">
        <f t="shared" si="2"/>
        <v>17</v>
      </c>
      <c r="M27" s="45">
        <v>50104.000399999997</v>
      </c>
      <c r="N27" s="13">
        <v>2.6048999999999999E-2</v>
      </c>
      <c r="O27" s="45">
        <v>50104.000399999997</v>
      </c>
      <c r="P27" s="13">
        <v>2.6048999999999999E-2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6"/>
      <c r="H28" s="50"/>
      <c r="I28" s="10"/>
      <c r="J28" s="11"/>
      <c r="L28" s="12">
        <f t="shared" si="2"/>
        <v>18</v>
      </c>
      <c r="M28" s="45">
        <v>51200.000500000002</v>
      </c>
      <c r="N28" s="13">
        <v>2.5597999999999999E-2</v>
      </c>
      <c r="O28" s="45">
        <v>51200.000500000002</v>
      </c>
      <c r="P28" s="13">
        <v>2.5597999999999999E-2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6"/>
      <c r="H29" s="50"/>
      <c r="I29" s="10"/>
      <c r="J29" s="11"/>
      <c r="L29" s="12">
        <f t="shared" si="2"/>
        <v>19</v>
      </c>
      <c r="M29" s="45">
        <v>53027.000699999997</v>
      </c>
      <c r="N29" s="13">
        <v>2.4243000000000001E-2</v>
      </c>
      <c r="O29" s="45">
        <v>53027.000699999997</v>
      </c>
      <c r="P29" s="13">
        <v>2.4243000000000001E-2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6"/>
      <c r="H30" s="50"/>
      <c r="I30" s="10"/>
      <c r="J30" s="11"/>
      <c r="L30" s="12">
        <f t="shared" si="2"/>
        <v>20</v>
      </c>
      <c r="M30" s="45">
        <v>54854.000899999999</v>
      </c>
      <c r="N30" s="13">
        <v>2.2474000000000001E-2</v>
      </c>
      <c r="O30" s="45">
        <v>54854.000899999999</v>
      </c>
      <c r="P30" s="13">
        <v>2.2474000000000001E-2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6"/>
      <c r="H31" s="50"/>
      <c r="I31" s="10"/>
      <c r="J31" s="11"/>
      <c r="L31" s="12">
        <f t="shared" si="2"/>
        <v>21</v>
      </c>
      <c r="M31" s="45">
        <v>56678.000800000002</v>
      </c>
      <c r="N31" s="13">
        <v>2.1085E-2</v>
      </c>
      <c r="O31" s="45">
        <v>56678.000800000002</v>
      </c>
      <c r="P31" s="13">
        <v>2.1085E-2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6"/>
      <c r="H32" s="50"/>
      <c r="I32" s="10"/>
      <c r="J32" s="11"/>
      <c r="L32" s="12">
        <f t="shared" si="2"/>
        <v>22</v>
      </c>
      <c r="M32" s="46"/>
      <c r="N32" s="18"/>
      <c r="O32" s="46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6"/>
      <c r="H33" s="50"/>
      <c r="I33" s="10"/>
      <c r="J33" s="11"/>
      <c r="L33" s="12">
        <f t="shared" si="2"/>
        <v>23</v>
      </c>
      <c r="M33" s="46"/>
      <c r="N33" s="18"/>
      <c r="O33" s="46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6"/>
      <c r="H34" s="50"/>
      <c r="I34" s="10"/>
      <c r="J34" s="11"/>
      <c r="L34" s="12">
        <f t="shared" si="2"/>
        <v>24</v>
      </c>
      <c r="M34" s="46"/>
      <c r="N34" s="18"/>
      <c r="O34" s="46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6"/>
      <c r="H35" s="50"/>
      <c r="I35" s="10"/>
      <c r="J35" s="11"/>
      <c r="L35" s="12">
        <f t="shared" si="2"/>
        <v>25</v>
      </c>
      <c r="M35" s="46"/>
      <c r="N35" s="18"/>
      <c r="O35" s="46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6"/>
      <c r="H36" s="50"/>
      <c r="I36" s="10"/>
      <c r="J36" s="11"/>
      <c r="L36" s="12">
        <f t="shared" si="2"/>
        <v>26</v>
      </c>
      <c r="M36" s="46"/>
      <c r="N36" s="18"/>
      <c r="O36" s="46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6"/>
      <c r="H37" s="50"/>
      <c r="I37" s="10"/>
      <c r="J37" s="11"/>
      <c r="L37" s="12">
        <f t="shared" si="2"/>
        <v>27</v>
      </c>
      <c r="M37" s="46"/>
      <c r="N37" s="18"/>
      <c r="O37" s="46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6"/>
      <c r="H38" s="50"/>
      <c r="I38" s="10"/>
      <c r="J38" s="11"/>
      <c r="L38" s="12">
        <f t="shared" si="2"/>
        <v>28</v>
      </c>
      <c r="M38" s="46"/>
      <c r="N38" s="18"/>
      <c r="O38" s="46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6"/>
      <c r="H39" s="50"/>
      <c r="I39" s="10"/>
      <c r="J39" s="11"/>
      <c r="L39" s="12">
        <f t="shared" si="2"/>
        <v>29</v>
      </c>
      <c r="M39" s="46"/>
      <c r="N39" s="18"/>
      <c r="O39" s="46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6"/>
      <c r="H40" s="50"/>
      <c r="I40" s="10"/>
      <c r="J40" s="11"/>
      <c r="L40" s="12">
        <f t="shared" si="2"/>
        <v>30</v>
      </c>
      <c r="M40" s="46"/>
      <c r="N40" s="18"/>
      <c r="O40" s="46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50"/>
      <c r="I41" s="10"/>
      <c r="J41" s="11"/>
      <c r="L41" s="12">
        <f t="shared" si="2"/>
        <v>31</v>
      </c>
      <c r="M41" s="46"/>
      <c r="N41" s="18"/>
      <c r="O41" s="46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50"/>
      <c r="I42" s="10"/>
      <c r="J42" s="11"/>
      <c r="L42" s="12">
        <f t="shared" si="2"/>
        <v>32</v>
      </c>
      <c r="M42" s="46"/>
      <c r="N42" s="18"/>
      <c r="O42" s="46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50"/>
      <c r="I43" s="10"/>
      <c r="J43" s="11"/>
      <c r="L43" s="12">
        <f t="shared" si="2"/>
        <v>33</v>
      </c>
      <c r="M43" s="46"/>
      <c r="N43" s="18"/>
      <c r="O43" s="46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50"/>
      <c r="I44" s="10"/>
      <c r="J44" s="11"/>
      <c r="L44" s="12">
        <f t="shared" si="2"/>
        <v>34</v>
      </c>
      <c r="M44" s="46"/>
      <c r="N44" s="18"/>
      <c r="O44" s="46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50"/>
      <c r="I45" s="10"/>
      <c r="J45" s="11"/>
      <c r="L45" s="12">
        <f t="shared" si="2"/>
        <v>35</v>
      </c>
      <c r="M45" s="46"/>
      <c r="N45" s="18"/>
      <c r="O45" s="46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50"/>
      <c r="I46" s="10"/>
      <c r="J46" s="11"/>
      <c r="L46" s="12">
        <f t="shared" si="2"/>
        <v>36</v>
      </c>
      <c r="M46" s="46"/>
      <c r="N46" s="18"/>
      <c r="O46" s="46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50"/>
      <c r="I47" s="10"/>
      <c r="J47" s="11"/>
      <c r="L47" s="12">
        <f t="shared" si="2"/>
        <v>37</v>
      </c>
      <c r="M47" s="46"/>
      <c r="N47" s="18"/>
      <c r="O47" s="46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50"/>
      <c r="I48" s="10"/>
      <c r="J48" s="11"/>
      <c r="L48" s="12">
        <f t="shared" si="2"/>
        <v>38</v>
      </c>
      <c r="M48" s="46"/>
      <c r="N48" s="18"/>
      <c r="O48" s="46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50"/>
      <c r="I49" s="10"/>
      <c r="J49" s="11"/>
      <c r="L49" s="12">
        <f t="shared" si="2"/>
        <v>39</v>
      </c>
      <c r="M49" s="46"/>
      <c r="N49" s="18"/>
      <c r="O49" s="46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50"/>
      <c r="I50" s="10"/>
      <c r="J50" s="11"/>
      <c r="L50" s="12">
        <f t="shared" si="2"/>
        <v>40</v>
      </c>
      <c r="M50" s="46"/>
      <c r="N50" s="18"/>
      <c r="O50" s="46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50"/>
      <c r="I51" s="10"/>
      <c r="J51" s="11"/>
      <c r="L51" s="12">
        <f t="shared" si="2"/>
        <v>41</v>
      </c>
      <c r="M51" s="46"/>
      <c r="N51" s="18"/>
      <c r="O51" s="46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50"/>
      <c r="I52" s="10"/>
      <c r="J52" s="11"/>
      <c r="L52" s="12">
        <f t="shared" si="2"/>
        <v>42</v>
      </c>
      <c r="M52" s="46"/>
      <c r="N52" s="18"/>
      <c r="O52" s="46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50"/>
      <c r="I53" s="10"/>
      <c r="J53" s="11"/>
      <c r="L53" s="12">
        <f t="shared" si="2"/>
        <v>43</v>
      </c>
      <c r="M53" s="46"/>
      <c r="N53" s="18"/>
      <c r="O53" s="46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B26:C26"/>
    <mergeCell ref="D26:E26"/>
    <mergeCell ref="D25:E25"/>
    <mergeCell ref="U10:U11"/>
    <mergeCell ref="V10:V11"/>
    <mergeCell ref="W10:W11"/>
    <mergeCell ref="D13:E15"/>
    <mergeCell ref="D17:E17"/>
    <mergeCell ref="D18:E18"/>
    <mergeCell ref="T10:T11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R8:S8"/>
    <mergeCell ref="I10:J10"/>
    <mergeCell ref="R10:R11"/>
    <mergeCell ref="S10:S11"/>
    <mergeCell ref="B5:C5"/>
    <mergeCell ref="D5:E5"/>
    <mergeCell ref="O6:P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136"/>
  <sheetViews>
    <sheetView tabSelected="1" topLeftCell="Y1" workbookViewId="0">
      <selection activeCell="AD12" sqref="AD12"/>
    </sheetView>
  </sheetViews>
  <sheetFormatPr defaultColWidth="12.5" defaultRowHeight="17.399999999999999" x14ac:dyDescent="0.4"/>
  <cols>
    <col min="1" max="1" width="12.5" style="20"/>
    <col min="2" max="3" width="12.5" style="27"/>
    <col min="4" max="19" width="12.5" style="20"/>
    <col min="20" max="20" width="12.5" style="28"/>
    <col min="21" max="21" width="12.5" style="29"/>
    <col min="22" max="22" width="12.5" style="20"/>
    <col min="23" max="23" width="12.5" style="28"/>
    <col min="24" max="24" width="12.5" style="35"/>
    <col min="25" max="25" width="12.5" style="28"/>
    <col min="26" max="26" width="12.5" style="36"/>
    <col min="27" max="27" width="12.5" style="20"/>
    <col min="28" max="28" width="12.5" style="41"/>
    <col min="29" max="30" width="12.5" style="42"/>
    <col min="31" max="31" width="12.5" style="44"/>
    <col min="32" max="32" width="17.59765625" style="48" bestFit="1" customWidth="1"/>
    <col min="33" max="35" width="12.5" style="42"/>
    <col min="36" max="36" width="12.5" style="44"/>
    <col min="37" max="37" width="18.09765625" style="48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20"/>
      <c r="C2" s="20"/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70" t="s">
        <v>30</v>
      </c>
      <c r="C3" s="70"/>
      <c r="D3" s="71">
        <v>45720</v>
      </c>
      <c r="E3" s="72"/>
      <c r="F3" s="73" t="s">
        <v>31</v>
      </c>
      <c r="G3" s="73"/>
      <c r="H3" s="72">
        <v>0</v>
      </c>
      <c r="I3" s="72"/>
      <c r="J3" s="73" t="s">
        <v>32</v>
      </c>
      <c r="K3" s="73"/>
      <c r="L3" s="74">
        <v>20000</v>
      </c>
      <c r="M3" s="74"/>
      <c r="O3" s="124" t="s">
        <v>50</v>
      </c>
      <c r="P3" s="125"/>
      <c r="Q3" s="125"/>
      <c r="R3" s="126"/>
      <c r="T3" s="122" t="s">
        <v>56</v>
      </c>
      <c r="U3" s="123"/>
      <c r="W3" s="150" t="s">
        <v>77</v>
      </c>
      <c r="X3" s="151"/>
      <c r="Y3" s="150" t="s">
        <v>78</v>
      </c>
      <c r="Z3" s="151"/>
      <c r="AB3" s="86" t="s">
        <v>66</v>
      </c>
      <c r="AC3" s="87"/>
      <c r="AD3" s="87"/>
      <c r="AE3" s="87"/>
      <c r="AF3" s="87"/>
      <c r="AG3" s="87"/>
      <c r="AH3" s="87"/>
      <c r="AI3" s="87"/>
      <c r="AJ3" s="87"/>
      <c r="AK3" s="87"/>
      <c r="AL3" s="87"/>
      <c r="AM3" s="88"/>
    </row>
    <row r="4" spans="1:57" x14ac:dyDescent="0.4">
      <c r="A4" s="21">
        <f t="shared" si="1"/>
        <v>4</v>
      </c>
      <c r="B4" s="20"/>
      <c r="C4" s="20"/>
      <c r="O4" s="127" t="s">
        <v>49</v>
      </c>
      <c r="P4" s="128"/>
      <c r="Q4" s="129">
        <v>42642</v>
      </c>
      <c r="R4" s="130"/>
      <c r="T4" s="30" t="s">
        <v>57</v>
      </c>
      <c r="U4" s="31" t="s">
        <v>58</v>
      </c>
      <c r="W4" s="37" t="s">
        <v>60</v>
      </c>
      <c r="X4" s="38" t="s">
        <v>16</v>
      </c>
      <c r="Y4" s="37" t="s">
        <v>60</v>
      </c>
      <c r="Z4" s="38" t="s">
        <v>16</v>
      </c>
      <c r="AB4" s="89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1"/>
    </row>
    <row r="5" spans="1:57" x14ac:dyDescent="0.4">
      <c r="A5" s="21">
        <f t="shared" si="1"/>
        <v>5</v>
      </c>
      <c r="B5" s="86" t="s">
        <v>48</v>
      </c>
      <c r="C5" s="87"/>
      <c r="D5" s="87"/>
      <c r="E5" s="87"/>
      <c r="F5" s="87"/>
      <c r="G5" s="87"/>
      <c r="H5" s="87"/>
      <c r="I5" s="87"/>
      <c r="J5" s="87"/>
      <c r="K5" s="87"/>
      <c r="L5" s="87"/>
      <c r="M5" s="88"/>
      <c r="O5" s="135" t="s">
        <v>51</v>
      </c>
      <c r="P5" s="136"/>
      <c r="Q5" s="137">
        <v>53599</v>
      </c>
      <c r="R5" s="138"/>
      <c r="T5" s="25">
        <v>45292</v>
      </c>
      <c r="U5" s="26">
        <v>45651</v>
      </c>
      <c r="W5" s="33">
        <v>45536</v>
      </c>
      <c r="X5" s="34">
        <v>3.44E-2</v>
      </c>
      <c r="Y5" s="33">
        <v>45536</v>
      </c>
      <c r="Z5" s="34">
        <v>3.44E-2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9"/>
      <c r="C6" s="90"/>
      <c r="D6" s="90"/>
      <c r="E6" s="90"/>
      <c r="F6" s="90"/>
      <c r="G6" s="90"/>
      <c r="H6" s="90"/>
      <c r="I6" s="90"/>
      <c r="J6" s="90"/>
      <c r="K6" s="90"/>
      <c r="L6" s="90"/>
      <c r="M6" s="91"/>
      <c r="O6" s="133" t="s">
        <v>43</v>
      </c>
      <c r="P6" s="134"/>
      <c r="Q6" s="121">
        <v>0</v>
      </c>
      <c r="R6" s="104"/>
      <c r="W6" s="28">
        <f>W5+1</f>
        <v>45537</v>
      </c>
      <c r="X6" s="35">
        <v>3.44E-2</v>
      </c>
      <c r="Y6" s="28">
        <f>Y5+1</f>
        <v>45537</v>
      </c>
      <c r="Z6" s="35">
        <v>3.44E-2</v>
      </c>
      <c r="AB6" s="73" t="s">
        <v>67</v>
      </c>
      <c r="AC6" s="73"/>
      <c r="AD6" s="72">
        <v>0</v>
      </c>
      <c r="AE6" s="72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73" t="s">
        <v>33</v>
      </c>
      <c r="C7" s="73"/>
      <c r="D7" s="75">
        <v>1</v>
      </c>
      <c r="E7" s="76"/>
      <c r="F7" s="73" t="s">
        <v>34</v>
      </c>
      <c r="G7" s="73"/>
      <c r="H7" s="75">
        <v>1</v>
      </c>
      <c r="I7" s="76"/>
      <c r="J7" s="73" t="s">
        <v>86</v>
      </c>
      <c r="K7" s="73"/>
      <c r="L7" s="103">
        <v>4</v>
      </c>
      <c r="M7" s="104"/>
      <c r="O7" s="122" t="str">
        <f>IF(Q6&gt;0,"Phase2날짜","")</f>
        <v/>
      </c>
      <c r="P7" s="123"/>
      <c r="Q7" s="131">
        <f>EDATE(Q4,12)</f>
        <v>43007</v>
      </c>
      <c r="R7" s="132"/>
      <c r="W7" s="28">
        <f t="shared" ref="W7:W8" si="2">W6+1</f>
        <v>45538</v>
      </c>
      <c r="X7" s="35">
        <v>3.44E-2</v>
      </c>
      <c r="Y7" s="28">
        <f t="shared" ref="Y7:Y8" si="3">Y6+1</f>
        <v>45538</v>
      </c>
      <c r="Z7" s="35">
        <v>3.44E-2</v>
      </c>
      <c r="AB7" s="73" t="s">
        <v>80</v>
      </c>
      <c r="AC7" s="73"/>
      <c r="AD7" s="72">
        <v>0</v>
      </c>
      <c r="AE7" s="72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3"/>
      <c r="L8" s="23"/>
      <c r="M8" s="23"/>
      <c r="W8" s="28">
        <f t="shared" si="2"/>
        <v>45539</v>
      </c>
      <c r="X8" s="35">
        <v>3.44E-2</v>
      </c>
      <c r="Y8" s="28">
        <f t="shared" si="3"/>
        <v>45539</v>
      </c>
      <c r="Z8" s="35">
        <v>3.44E-2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77" t="str">
        <f>"기초금리정보"</f>
        <v>기초금리정보</v>
      </c>
      <c r="C9" s="78"/>
      <c r="D9" s="83" t="s">
        <v>35</v>
      </c>
      <c r="E9" s="83"/>
      <c r="F9" s="103">
        <v>3</v>
      </c>
      <c r="G9" s="104"/>
      <c r="H9" s="24"/>
      <c r="I9" s="23"/>
      <c r="J9" s="92" t="str">
        <f>IF(OR(F10 = 0, F10 = 2, F10 = 4), "RefType = "&amp;F10&amp;" 이므로 Ref Swap 금리정보 사용안함", "사용")</f>
        <v>RefType = 0 이므로 Ref Swap 금리정보 사용안함</v>
      </c>
      <c r="K9" s="93"/>
      <c r="L9" s="93"/>
      <c r="M9" s="94"/>
      <c r="O9" s="85" t="s">
        <v>53</v>
      </c>
      <c r="P9" s="85"/>
      <c r="Q9" s="85"/>
      <c r="R9" s="85"/>
      <c r="W9" s="28">
        <f>W8+1</f>
        <v>45540</v>
      </c>
      <c r="X9" s="35">
        <v>3.44E-2</v>
      </c>
      <c r="Y9" s="28">
        <f>Y8+1</f>
        <v>45540</v>
      </c>
      <c r="Z9" s="35">
        <v>3.44E-2</v>
      </c>
      <c r="AB9" s="20"/>
      <c r="AC9" s="20"/>
      <c r="AD9" s="20">
        <v>940293287.59126413</v>
      </c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79"/>
      <c r="C10" s="80"/>
      <c r="D10" s="83" t="s">
        <v>36</v>
      </c>
      <c r="E10" s="84"/>
      <c r="F10" s="105">
        <v>0</v>
      </c>
      <c r="G10" s="106"/>
      <c r="H10" s="92" t="str">
        <f xml:space="preserve"> "Swap 레퍼런스금리정보"</f>
        <v>Swap 레퍼런스금리정보</v>
      </c>
      <c r="I10" s="93"/>
      <c r="J10" s="96" t="str">
        <f>IF(OR(F10 = 0, F10 = 2, F10 = 4), "", "연 지급횟수")</f>
        <v/>
      </c>
      <c r="K10" s="97"/>
      <c r="L10" s="98">
        <v>4</v>
      </c>
      <c r="M10" s="99"/>
      <c r="O10" s="85" t="s">
        <v>52</v>
      </c>
      <c r="P10" s="85"/>
      <c r="Q10" s="121">
        <v>-2</v>
      </c>
      <c r="R10" s="104"/>
      <c r="W10" s="28">
        <f t="shared" ref="W10:W73" si="4">W9+1</f>
        <v>45541</v>
      </c>
      <c r="X10" s="35">
        <v>3.44E-2</v>
      </c>
      <c r="Y10" s="28">
        <f t="shared" ref="Y10:Y73" si="5">Y9+1</f>
        <v>45541</v>
      </c>
      <c r="Z10" s="35">
        <v>3.44E-2</v>
      </c>
      <c r="AB10" s="135" t="s">
        <v>79</v>
      </c>
      <c r="AC10" s="148"/>
      <c r="AD10" s="149">
        <v>-536.84064593928258</v>
      </c>
      <c r="AE10" s="149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79"/>
      <c r="C11" s="80"/>
      <c r="D11" s="85" t="s">
        <v>37</v>
      </c>
      <c r="E11" s="85"/>
      <c r="F11" s="103">
        <v>0</v>
      </c>
      <c r="G11" s="104"/>
      <c r="H11" s="95"/>
      <c r="I11" s="96"/>
      <c r="J11" s="96" t="str">
        <f>IF(F11=0, "만기", "입력X, 아래만기2개입력")</f>
        <v>만기</v>
      </c>
      <c r="K11" s="97"/>
      <c r="L11" s="118">
        <v>0.25</v>
      </c>
      <c r="M11" s="119"/>
      <c r="O11" s="85" t="s">
        <v>54</v>
      </c>
      <c r="P11" s="85"/>
      <c r="Q11" s="121">
        <v>0</v>
      </c>
      <c r="R11" s="104"/>
      <c r="W11" s="28">
        <f t="shared" si="4"/>
        <v>45542</v>
      </c>
      <c r="X11" s="35">
        <v>3.44E-2</v>
      </c>
      <c r="Y11" s="28">
        <f t="shared" si="5"/>
        <v>45542</v>
      </c>
      <c r="Z11" s="35">
        <v>3.44E-2</v>
      </c>
      <c r="AB11" s="20"/>
      <c r="AC11" s="20"/>
      <c r="AD11" s="20">
        <v>-510</v>
      </c>
      <c r="AE11" s="49">
        <f>(AD11-AD10)/L3</f>
        <v>1.342032296964129E-3</v>
      </c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79"/>
      <c r="C12" s="80"/>
      <c r="D12" s="85" t="s">
        <v>38</v>
      </c>
      <c r="E12" s="85"/>
      <c r="F12" s="112">
        <v>1</v>
      </c>
      <c r="G12" s="113"/>
      <c r="H12" s="100" t="str">
        <f>"ex) Deposit 3M -&gt; 연 지급횟수= 4, 만기= 0.25 ||  ex2) CMT 5Y 연 지급횟수=2, 만기 5"</f>
        <v>ex) Deposit 3M -&gt; 연 지급횟수= 4, 만기= 0.25 ||  ex2) CMT 5Y 연 지급횟수=2, 만기 5</v>
      </c>
      <c r="I12" s="100"/>
      <c r="J12" s="100"/>
      <c r="K12" s="100"/>
      <c r="L12" s="100"/>
      <c r="M12" s="101"/>
      <c r="O12" s="122" t="s">
        <v>55</v>
      </c>
      <c r="P12" s="123"/>
      <c r="Q12" s="121">
        <v>-2</v>
      </c>
      <c r="R12" s="104"/>
      <c r="W12" s="28">
        <f t="shared" si="4"/>
        <v>45543</v>
      </c>
      <c r="X12" s="35">
        <v>3.44E-2</v>
      </c>
      <c r="Y12" s="28">
        <f t="shared" si="5"/>
        <v>45543</v>
      </c>
      <c r="Z12" s="35">
        <v>3.44E-2</v>
      </c>
      <c r="AB12" s="20"/>
      <c r="AC12" s="20"/>
      <c r="AD12" s="20">
        <v>-500</v>
      </c>
      <c r="AE12" s="51">
        <f>(AD12-AD10)/L3</f>
        <v>1.842032296964129E-3</v>
      </c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79"/>
      <c r="C13" s="80"/>
      <c r="D13" s="85" t="s">
        <v>39</v>
      </c>
      <c r="E13" s="83"/>
      <c r="F13" s="114">
        <v>-1</v>
      </c>
      <c r="G13" s="115"/>
      <c r="H13" s="102" t="str">
        <f>IF(F11&gt;0,"PowerSpreadFlag 1일때 입력","입력필요X")</f>
        <v>입력필요X</v>
      </c>
      <c r="I13" s="102"/>
      <c r="J13" s="102" t="str">
        <f>IF(F11&gt;0,"만기1","")</f>
        <v/>
      </c>
      <c r="K13" s="102"/>
      <c r="L13" s="108">
        <v>10</v>
      </c>
      <c r="M13" s="109"/>
      <c r="W13" s="28">
        <f t="shared" si="4"/>
        <v>45544</v>
      </c>
      <c r="X13" s="35">
        <v>3.44E-2</v>
      </c>
      <c r="Y13" s="28">
        <f t="shared" si="5"/>
        <v>45544</v>
      </c>
      <c r="Z13" s="35">
        <v>3.44E-2</v>
      </c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81"/>
      <c r="C14" s="82"/>
      <c r="D14" s="107" t="s">
        <v>40</v>
      </c>
      <c r="E14" s="107"/>
      <c r="F14" s="116">
        <v>0</v>
      </c>
      <c r="G14" s="117"/>
      <c r="H14" s="102"/>
      <c r="I14" s="102"/>
      <c r="J14" s="102" t="str">
        <f>IF(F11&gt;0,"만기2","")</f>
        <v/>
      </c>
      <c r="K14" s="102"/>
      <c r="L14" s="108">
        <v>5</v>
      </c>
      <c r="M14" s="109"/>
      <c r="W14" s="28">
        <f t="shared" si="4"/>
        <v>45545</v>
      </c>
      <c r="X14" s="35">
        <v>3.44E-2</v>
      </c>
      <c r="Y14" s="28">
        <f t="shared" si="5"/>
        <v>45545</v>
      </c>
      <c r="Z14" s="35">
        <v>3.44E-2</v>
      </c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W15" s="28">
        <f t="shared" si="4"/>
        <v>45546</v>
      </c>
      <c r="X15" s="35">
        <v>3.44E-2</v>
      </c>
      <c r="Y15" s="28">
        <f t="shared" si="5"/>
        <v>45546</v>
      </c>
      <c r="Z15" s="35">
        <v>3.44E-2</v>
      </c>
      <c r="AB15" s="146" t="s">
        <v>73</v>
      </c>
      <c r="AC15" s="147"/>
      <c r="AD15" s="147"/>
      <c r="AE15" s="147"/>
      <c r="AF15" s="147"/>
      <c r="AG15" s="146" t="s">
        <v>74</v>
      </c>
      <c r="AH15" s="147"/>
      <c r="AI15" s="147"/>
      <c r="AJ15" s="147"/>
      <c r="AK15" s="147"/>
    </row>
    <row r="16" spans="1:57" x14ac:dyDescent="0.4">
      <c r="A16" s="21">
        <f t="shared" si="1"/>
        <v>16</v>
      </c>
      <c r="B16" s="145" t="s">
        <v>41</v>
      </c>
      <c r="C16" s="145"/>
      <c r="D16" s="85" t="s">
        <v>81</v>
      </c>
      <c r="E16" s="85"/>
      <c r="F16" s="112">
        <v>2.3699999999999999E-2</v>
      </c>
      <c r="G16" s="113"/>
      <c r="H16" s="110" t="s">
        <v>84</v>
      </c>
      <c r="I16" s="111"/>
      <c r="J16" s="120" t="str">
        <f>IF(F11&gt;0, F13&amp;" &lt; "&amp;F10&amp;" x Rate("&amp;L13&amp;"Y-"&amp;L14&amp;"Y) &lt; "&amp;F12,F13&amp;" &lt; "&amp;F10&amp;" x Rate("&amp;L11&amp;"Y) &lt; "&amp;F12)</f>
        <v>-1 &lt; 0 x Rate(0.25Y) &lt; 1</v>
      </c>
      <c r="K16" s="120"/>
      <c r="L16" s="120"/>
      <c r="M16" s="120"/>
      <c r="W16" s="28">
        <f t="shared" si="4"/>
        <v>45547</v>
      </c>
      <c r="X16" s="35">
        <v>3.44E-2</v>
      </c>
      <c r="Y16" s="28">
        <f t="shared" si="5"/>
        <v>45547</v>
      </c>
      <c r="Z16" s="35">
        <v>3.44E-2</v>
      </c>
      <c r="AB16" s="37" t="s">
        <v>68</v>
      </c>
      <c r="AC16" s="37" t="s">
        <v>69</v>
      </c>
      <c r="AD16" s="37" t="s">
        <v>70</v>
      </c>
      <c r="AE16" s="37" t="s">
        <v>71</v>
      </c>
      <c r="AF16" s="37" t="s">
        <v>72</v>
      </c>
      <c r="AG16" s="37" t="s">
        <v>68</v>
      </c>
      <c r="AH16" s="37" t="s">
        <v>69</v>
      </c>
      <c r="AI16" s="37" t="s">
        <v>70</v>
      </c>
      <c r="AJ16" s="37" t="s">
        <v>71</v>
      </c>
      <c r="AK16" s="37" t="s">
        <v>72</v>
      </c>
    </row>
    <row r="17" spans="1:37" x14ac:dyDescent="0.4">
      <c r="A17" s="21">
        <f t="shared" si="1"/>
        <v>17</v>
      </c>
      <c r="B17" s="145"/>
      <c r="C17" s="145"/>
      <c r="D17" s="85" t="s">
        <v>44</v>
      </c>
      <c r="E17" s="85"/>
      <c r="F17" s="112">
        <v>0</v>
      </c>
      <c r="G17" s="113"/>
      <c r="H17" s="110" t="s">
        <v>82</v>
      </c>
      <c r="I17" s="111"/>
      <c r="J17" s="120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0 x Rate(0.25Y) + 0.0237(고정) + 0(Range충족시)</v>
      </c>
      <c r="K17" s="120"/>
      <c r="L17" s="120"/>
      <c r="M17" s="120"/>
      <c r="W17" s="28">
        <f t="shared" si="4"/>
        <v>45548</v>
      </c>
      <c r="X17" s="35">
        <v>3.44E-2</v>
      </c>
      <c r="Y17" s="28">
        <f t="shared" si="5"/>
        <v>45548</v>
      </c>
      <c r="Z17" s="35">
        <v>3.44E-2</v>
      </c>
      <c r="AB17" s="39">
        <v>20160929</v>
      </c>
      <c r="AC17" s="40">
        <v>20460928</v>
      </c>
      <c r="AD17" s="40">
        <v>20460928</v>
      </c>
      <c r="AE17" s="43">
        <v>0</v>
      </c>
      <c r="AF17" s="47">
        <v>14220</v>
      </c>
      <c r="AG17" s="40">
        <v>20160929</v>
      </c>
      <c r="AH17" s="40">
        <v>20161229</v>
      </c>
      <c r="AI17" s="40">
        <v>20161229</v>
      </c>
      <c r="AJ17" s="43">
        <v>0</v>
      </c>
      <c r="AK17" s="47">
        <v>0</v>
      </c>
    </row>
    <row r="18" spans="1:37" x14ac:dyDescent="0.4">
      <c r="A18" s="21">
        <f t="shared" si="1"/>
        <v>18</v>
      </c>
      <c r="B18" s="145"/>
      <c r="C18" s="145"/>
      <c r="D18" s="85" t="s">
        <v>45</v>
      </c>
      <c r="E18" s="85"/>
      <c r="F18" s="103">
        <v>0</v>
      </c>
      <c r="G18" s="104"/>
      <c r="H18" s="110"/>
      <c r="I18" s="111"/>
      <c r="J18" s="120"/>
      <c r="K18" s="120"/>
      <c r="L18" s="120"/>
      <c r="M18" s="120"/>
      <c r="W18" s="28">
        <f t="shared" si="4"/>
        <v>45549</v>
      </c>
      <c r="X18" s="35">
        <v>3.44E-2</v>
      </c>
      <c r="Y18" s="28">
        <f t="shared" si="5"/>
        <v>45549</v>
      </c>
      <c r="Z18" s="35">
        <v>3.44E-2</v>
      </c>
      <c r="AG18" s="42">
        <v>20161229</v>
      </c>
      <c r="AH18" s="42">
        <v>20170329</v>
      </c>
      <c r="AI18" s="42">
        <v>20170329</v>
      </c>
      <c r="AJ18" s="44">
        <v>0</v>
      </c>
      <c r="AK18" s="48">
        <v>0</v>
      </c>
    </row>
    <row r="19" spans="1:37" x14ac:dyDescent="0.4">
      <c r="A19" s="21">
        <f t="shared" si="1"/>
        <v>19</v>
      </c>
      <c r="B19" s="20"/>
      <c r="C19" s="20"/>
      <c r="W19" s="28">
        <f t="shared" si="4"/>
        <v>45550</v>
      </c>
      <c r="X19" s="35">
        <v>3.44E-2</v>
      </c>
      <c r="Y19" s="28">
        <f t="shared" si="5"/>
        <v>45550</v>
      </c>
      <c r="Z19" s="35">
        <v>3.44E-2</v>
      </c>
      <c r="AG19" s="42">
        <v>20170329</v>
      </c>
      <c r="AH19" s="42">
        <v>20170629</v>
      </c>
      <c r="AI19" s="42">
        <v>20170629</v>
      </c>
      <c r="AJ19" s="44">
        <v>0</v>
      </c>
      <c r="AK19" s="48">
        <v>0</v>
      </c>
    </row>
    <row r="20" spans="1:37" x14ac:dyDescent="0.4">
      <c r="A20" s="21">
        <f t="shared" si="1"/>
        <v>20</v>
      </c>
      <c r="B20" s="20"/>
      <c r="C20" s="20"/>
      <c r="W20" s="28">
        <f t="shared" si="4"/>
        <v>45551</v>
      </c>
      <c r="X20" s="35">
        <v>3.44E-2</v>
      </c>
      <c r="Y20" s="28">
        <f t="shared" si="5"/>
        <v>45551</v>
      </c>
      <c r="Z20" s="35">
        <v>3.44E-2</v>
      </c>
      <c r="AG20" s="42">
        <v>20170629</v>
      </c>
      <c r="AH20" s="42">
        <v>20170929</v>
      </c>
      <c r="AI20" s="42">
        <v>20170929</v>
      </c>
      <c r="AJ20" s="44">
        <v>0</v>
      </c>
      <c r="AK20" s="48">
        <v>0</v>
      </c>
    </row>
    <row r="21" spans="1:37" x14ac:dyDescent="0.4">
      <c r="A21" s="21">
        <f t="shared" si="1"/>
        <v>21</v>
      </c>
      <c r="B21" s="145" t="s">
        <v>46</v>
      </c>
      <c r="C21" s="145"/>
      <c r="D21" s="85" t="s">
        <v>42</v>
      </c>
      <c r="E21" s="85"/>
      <c r="F21" s="112">
        <v>2.3699999999999999E-2</v>
      </c>
      <c r="G21" s="113"/>
      <c r="H21" s="110" t="s">
        <v>83</v>
      </c>
      <c r="I21" s="111"/>
      <c r="J21" s="120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0 x Rate(0.25Y) + 0.0237(고정) + 0(Range충족시)</v>
      </c>
      <c r="K21" s="120"/>
      <c r="L21" s="120"/>
      <c r="M21" s="120"/>
      <c r="W21" s="28">
        <f t="shared" si="4"/>
        <v>45552</v>
      </c>
      <c r="X21" s="35">
        <v>3.44E-2</v>
      </c>
      <c r="Y21" s="28">
        <f t="shared" si="5"/>
        <v>45552</v>
      </c>
      <c r="Z21" s="35">
        <v>3.44E-2</v>
      </c>
      <c r="AG21" s="42">
        <v>20170929</v>
      </c>
      <c r="AH21" s="42">
        <v>20171229</v>
      </c>
      <c r="AI21" s="42">
        <v>20171229</v>
      </c>
      <c r="AJ21" s="44">
        <v>0</v>
      </c>
      <c r="AK21" s="48">
        <v>0</v>
      </c>
    </row>
    <row r="22" spans="1:37" x14ac:dyDescent="0.4">
      <c r="A22" s="21">
        <f t="shared" si="1"/>
        <v>22</v>
      </c>
      <c r="B22" s="145"/>
      <c r="C22" s="145"/>
      <c r="D22" s="85" t="s">
        <v>44</v>
      </c>
      <c r="E22" s="85"/>
      <c r="F22" s="112">
        <v>0</v>
      </c>
      <c r="G22" s="113"/>
      <c r="H22" s="110"/>
      <c r="I22" s="111"/>
      <c r="J22" s="120"/>
      <c r="K22" s="120"/>
      <c r="L22" s="120"/>
      <c r="M22" s="120"/>
      <c r="W22" s="28">
        <f t="shared" si="4"/>
        <v>45553</v>
      </c>
      <c r="X22" s="35">
        <v>3.44E-2</v>
      </c>
      <c r="Y22" s="28">
        <f t="shared" si="5"/>
        <v>45553</v>
      </c>
      <c r="Z22" s="35">
        <v>3.44E-2</v>
      </c>
      <c r="AG22" s="42">
        <v>20171229</v>
      </c>
      <c r="AH22" s="42">
        <v>20180329</v>
      </c>
      <c r="AI22" s="42">
        <v>20180329</v>
      </c>
      <c r="AJ22" s="44">
        <v>0</v>
      </c>
      <c r="AK22" s="48">
        <v>0</v>
      </c>
    </row>
    <row r="23" spans="1:37" x14ac:dyDescent="0.4">
      <c r="A23" s="21">
        <f t="shared" si="1"/>
        <v>23</v>
      </c>
      <c r="B23" s="145"/>
      <c r="C23" s="145"/>
      <c r="D23" s="85" t="s">
        <v>45</v>
      </c>
      <c r="E23" s="85"/>
      <c r="F23" s="103">
        <v>0</v>
      </c>
      <c r="G23" s="104"/>
      <c r="W23" s="28">
        <f t="shared" si="4"/>
        <v>45554</v>
      </c>
      <c r="X23" s="35">
        <v>3.44E-2</v>
      </c>
      <c r="Y23" s="28">
        <f t="shared" si="5"/>
        <v>45554</v>
      </c>
      <c r="Z23" s="35">
        <v>3.44E-2</v>
      </c>
      <c r="AG23" s="42">
        <v>20180329</v>
      </c>
      <c r="AH23" s="42">
        <v>20180629</v>
      </c>
      <c r="AI23" s="42">
        <v>20180629</v>
      </c>
      <c r="AJ23" s="44">
        <v>0</v>
      </c>
      <c r="AK23" s="48">
        <v>0</v>
      </c>
    </row>
    <row r="24" spans="1:37" x14ac:dyDescent="0.4">
      <c r="A24" s="21">
        <f t="shared" si="1"/>
        <v>24</v>
      </c>
      <c r="B24" s="20"/>
      <c r="C24" s="20"/>
      <c r="W24" s="28">
        <f t="shared" si="4"/>
        <v>45555</v>
      </c>
      <c r="X24" s="35">
        <v>3.44E-2</v>
      </c>
      <c r="Y24" s="28">
        <f t="shared" si="5"/>
        <v>45555</v>
      </c>
      <c r="Z24" s="35">
        <v>3.44E-2</v>
      </c>
      <c r="AG24" s="42">
        <v>20180629</v>
      </c>
      <c r="AH24" s="42">
        <v>20180928</v>
      </c>
      <c r="AI24" s="42">
        <v>20180928</v>
      </c>
      <c r="AJ24" s="44">
        <v>0</v>
      </c>
      <c r="AK24" s="48">
        <v>0</v>
      </c>
    </row>
    <row r="25" spans="1:37" x14ac:dyDescent="0.4">
      <c r="A25" s="21">
        <f t="shared" si="1"/>
        <v>25</v>
      </c>
      <c r="B25" s="86" t="s">
        <v>47</v>
      </c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8"/>
      <c r="W25" s="28">
        <f t="shared" si="4"/>
        <v>45556</v>
      </c>
      <c r="X25" s="35">
        <v>3.44E-2</v>
      </c>
      <c r="Y25" s="28">
        <f t="shared" si="5"/>
        <v>45556</v>
      </c>
      <c r="Z25" s="35">
        <v>3.44E-2</v>
      </c>
      <c r="AG25" s="42">
        <v>20180928</v>
      </c>
      <c r="AH25" s="42">
        <v>20181231</v>
      </c>
      <c r="AI25" s="42">
        <v>20181231</v>
      </c>
      <c r="AJ25" s="44">
        <v>0</v>
      </c>
      <c r="AK25" s="48">
        <v>0</v>
      </c>
    </row>
    <row r="26" spans="1:37" x14ac:dyDescent="0.4">
      <c r="A26" s="21">
        <f t="shared" si="1"/>
        <v>26</v>
      </c>
      <c r="B26" s="89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1"/>
      <c r="W26" s="28">
        <f t="shared" si="4"/>
        <v>45557</v>
      </c>
      <c r="X26" s="35">
        <v>3.44E-2</v>
      </c>
      <c r="Y26" s="28">
        <f t="shared" si="5"/>
        <v>45557</v>
      </c>
      <c r="Z26" s="35">
        <v>3.44E-2</v>
      </c>
      <c r="AG26" s="42">
        <v>20181231</v>
      </c>
      <c r="AH26" s="42">
        <v>20190329</v>
      </c>
      <c r="AI26" s="42">
        <v>20190329</v>
      </c>
      <c r="AJ26" s="44">
        <v>0</v>
      </c>
      <c r="AK26" s="48">
        <v>0</v>
      </c>
    </row>
    <row r="27" spans="1:37" x14ac:dyDescent="0.4">
      <c r="A27" s="21">
        <f t="shared" si="1"/>
        <v>27</v>
      </c>
      <c r="B27" s="73" t="s">
        <v>33</v>
      </c>
      <c r="C27" s="73"/>
      <c r="D27" s="75">
        <v>1</v>
      </c>
      <c r="E27" s="76"/>
      <c r="F27" s="73" t="s">
        <v>34</v>
      </c>
      <c r="G27" s="73"/>
      <c r="H27" s="75">
        <v>1</v>
      </c>
      <c r="I27" s="76"/>
      <c r="J27" s="73" t="s">
        <v>86</v>
      </c>
      <c r="K27" s="73"/>
      <c r="L27" s="103">
        <v>0</v>
      </c>
      <c r="M27" s="104"/>
      <c r="W27" s="28">
        <f t="shared" si="4"/>
        <v>45558</v>
      </c>
      <c r="X27" s="35">
        <v>3.44E-2</v>
      </c>
      <c r="Y27" s="28">
        <f t="shared" si="5"/>
        <v>45558</v>
      </c>
      <c r="Z27" s="35">
        <v>3.44E-2</v>
      </c>
      <c r="AG27" s="42">
        <v>20190329</v>
      </c>
      <c r="AH27" s="42">
        <v>20190628</v>
      </c>
      <c r="AI27" s="42">
        <v>20190628</v>
      </c>
      <c r="AJ27" s="44">
        <v>0</v>
      </c>
      <c r="AK27" s="48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3"/>
      <c r="L28" s="23"/>
      <c r="M28" s="23"/>
      <c r="W28" s="28">
        <f t="shared" si="4"/>
        <v>45559</v>
      </c>
      <c r="X28" s="35">
        <v>3.44E-2</v>
      </c>
      <c r="Y28" s="28">
        <f t="shared" si="5"/>
        <v>45559</v>
      </c>
      <c r="Z28" s="35">
        <v>3.44E-2</v>
      </c>
      <c r="AG28" s="42">
        <v>20190628</v>
      </c>
      <c r="AH28" s="42">
        <v>20190930</v>
      </c>
      <c r="AI28" s="42">
        <v>20190930</v>
      </c>
      <c r="AJ28" s="44">
        <v>0</v>
      </c>
      <c r="AK28" s="48">
        <v>0</v>
      </c>
    </row>
    <row r="29" spans="1:37" x14ac:dyDescent="0.4">
      <c r="A29" s="21">
        <f t="shared" si="1"/>
        <v>29</v>
      </c>
      <c r="B29" s="77" t="str">
        <f>"기초금리정보"</f>
        <v>기초금리정보</v>
      </c>
      <c r="C29" s="78"/>
      <c r="D29" s="83" t="s">
        <v>35</v>
      </c>
      <c r="E29" s="83"/>
      <c r="F29" s="103">
        <v>0</v>
      </c>
      <c r="G29" s="104"/>
      <c r="H29" s="24"/>
      <c r="I29" s="23"/>
      <c r="J29" s="92" t="str">
        <f>IF(OR(F30 = 0, F30 = 2, F30 = 4), "RefType = "&amp;F30&amp;" 이므로 Ref Swap 금리정보 사용안함", "사용")</f>
        <v>사용</v>
      </c>
      <c r="K29" s="93"/>
      <c r="L29" s="93"/>
      <c r="M29" s="94"/>
      <c r="O29" s="85" t="s">
        <v>59</v>
      </c>
      <c r="P29" s="85"/>
      <c r="Q29" s="85"/>
      <c r="R29" s="85"/>
      <c r="W29" s="28">
        <f t="shared" si="4"/>
        <v>45560</v>
      </c>
      <c r="X29" s="35">
        <v>3.44E-2</v>
      </c>
      <c r="Y29" s="28">
        <f t="shared" si="5"/>
        <v>45560</v>
      </c>
      <c r="Z29" s="35">
        <v>3.44E-2</v>
      </c>
      <c r="AG29" s="42">
        <v>20190930</v>
      </c>
      <c r="AH29" s="42">
        <v>20191230</v>
      </c>
      <c r="AI29" s="42">
        <v>20191230</v>
      </c>
      <c r="AJ29" s="44">
        <v>0</v>
      </c>
      <c r="AK29" s="48">
        <v>0</v>
      </c>
    </row>
    <row r="30" spans="1:37" x14ac:dyDescent="0.4">
      <c r="A30" s="21">
        <f t="shared" si="1"/>
        <v>30</v>
      </c>
      <c r="B30" s="79"/>
      <c r="C30" s="80"/>
      <c r="D30" s="83" t="s">
        <v>36</v>
      </c>
      <c r="E30" s="84"/>
      <c r="F30" s="105">
        <v>1</v>
      </c>
      <c r="G30" s="106"/>
      <c r="H30" s="92" t="str">
        <f xml:space="preserve"> "Swap 레퍼런스금리정보"</f>
        <v>Swap 레퍼런스금리정보</v>
      </c>
      <c r="I30" s="93"/>
      <c r="J30" s="96" t="str">
        <f>IF(OR(F30 = 0, F30 = 2, F30 = 4), "", "연 지급횟수")</f>
        <v>연 지급횟수</v>
      </c>
      <c r="K30" s="97"/>
      <c r="L30" s="98">
        <v>4</v>
      </c>
      <c r="M30" s="99"/>
      <c r="O30" s="85" t="s">
        <v>52</v>
      </c>
      <c r="P30" s="85"/>
      <c r="Q30" s="121">
        <v>4</v>
      </c>
      <c r="R30" s="104"/>
      <c r="W30" s="28">
        <f t="shared" si="4"/>
        <v>45561</v>
      </c>
      <c r="X30" s="35">
        <v>3.44E-2</v>
      </c>
      <c r="Y30" s="28">
        <f t="shared" si="5"/>
        <v>45561</v>
      </c>
      <c r="Z30" s="35">
        <v>3.44E-2</v>
      </c>
      <c r="AG30" s="42">
        <v>20191230</v>
      </c>
      <c r="AH30" s="42">
        <v>20200330</v>
      </c>
      <c r="AI30" s="42">
        <v>20200330</v>
      </c>
      <c r="AJ30" s="44">
        <v>0</v>
      </c>
      <c r="AK30" s="48">
        <v>0</v>
      </c>
    </row>
    <row r="31" spans="1:37" x14ac:dyDescent="0.4">
      <c r="A31" s="21">
        <f t="shared" si="1"/>
        <v>31</v>
      </c>
      <c r="B31" s="79"/>
      <c r="C31" s="80"/>
      <c r="D31" s="85" t="s">
        <v>37</v>
      </c>
      <c r="E31" s="85"/>
      <c r="F31" s="103">
        <v>0</v>
      </c>
      <c r="G31" s="104"/>
      <c r="H31" s="95"/>
      <c r="I31" s="96"/>
      <c r="J31" s="96" t="str">
        <f>IF(F31=0, "만기", "입력X, 아래만기2개입력")</f>
        <v>만기</v>
      </c>
      <c r="K31" s="97"/>
      <c r="L31" s="118">
        <v>0.25</v>
      </c>
      <c r="M31" s="119"/>
      <c r="O31" s="85" t="s">
        <v>54</v>
      </c>
      <c r="P31" s="85"/>
      <c r="Q31" s="121">
        <v>0</v>
      </c>
      <c r="R31" s="104"/>
      <c r="W31" s="28">
        <f t="shared" si="4"/>
        <v>45562</v>
      </c>
      <c r="X31" s="35">
        <v>3.44E-2</v>
      </c>
      <c r="Y31" s="28">
        <f t="shared" si="5"/>
        <v>45562</v>
      </c>
      <c r="Z31" s="35">
        <v>3.44E-2</v>
      </c>
      <c r="AG31" s="42">
        <v>20200330</v>
      </c>
      <c r="AH31" s="42">
        <v>20200629</v>
      </c>
      <c r="AI31" s="42">
        <v>20200629</v>
      </c>
      <c r="AJ31" s="44">
        <v>0</v>
      </c>
      <c r="AK31" s="48">
        <v>0</v>
      </c>
    </row>
    <row r="32" spans="1:37" x14ac:dyDescent="0.4">
      <c r="A32" s="21">
        <f t="shared" si="1"/>
        <v>32</v>
      </c>
      <c r="B32" s="79"/>
      <c r="C32" s="80"/>
      <c r="D32" s="85" t="s">
        <v>38</v>
      </c>
      <c r="E32" s="85"/>
      <c r="F32" s="112">
        <v>1</v>
      </c>
      <c r="G32" s="113"/>
      <c r="H32" s="100" t="str">
        <f>"ex) Deposit 3M -&gt; 연 지급횟수= 4, 만기= 0.25 ||  ex2) CMT 5Y 연 지급횟수=2, 만기 5"</f>
        <v>ex) Deposit 3M -&gt; 연 지급횟수= 4, 만기= 0.25 ||  ex2) CMT 5Y 연 지급횟수=2, 만기 5</v>
      </c>
      <c r="I32" s="100"/>
      <c r="J32" s="100"/>
      <c r="K32" s="100"/>
      <c r="L32" s="100"/>
      <c r="M32" s="101"/>
      <c r="O32" s="122" t="s">
        <v>55</v>
      </c>
      <c r="P32" s="123"/>
      <c r="Q32" s="121">
        <v>4</v>
      </c>
      <c r="R32" s="104"/>
      <c r="W32" s="28">
        <f t="shared" si="4"/>
        <v>45563</v>
      </c>
      <c r="X32" s="35">
        <v>3.44E-2</v>
      </c>
      <c r="Y32" s="28">
        <f t="shared" si="5"/>
        <v>45563</v>
      </c>
      <c r="Z32" s="35">
        <v>3.44E-2</v>
      </c>
      <c r="AG32" s="42">
        <v>20200629</v>
      </c>
      <c r="AH32" s="42">
        <v>20200929</v>
      </c>
      <c r="AI32" s="42">
        <v>20200929</v>
      </c>
      <c r="AJ32" s="44">
        <v>0</v>
      </c>
      <c r="AK32" s="48">
        <v>0</v>
      </c>
    </row>
    <row r="33" spans="1:37" x14ac:dyDescent="0.4">
      <c r="A33" s="21">
        <f t="shared" si="1"/>
        <v>33</v>
      </c>
      <c r="B33" s="79"/>
      <c r="C33" s="80"/>
      <c r="D33" s="85" t="s">
        <v>39</v>
      </c>
      <c r="E33" s="83"/>
      <c r="F33" s="114">
        <v>-1</v>
      </c>
      <c r="G33" s="115"/>
      <c r="H33" s="102" t="str">
        <f>IF(F31&gt;0,"PowerSpreadFlag 1일때 입력","입력필요X")</f>
        <v>입력필요X</v>
      </c>
      <c r="I33" s="102"/>
      <c r="J33" s="102" t="str">
        <f>IF(F31&gt;0,"만기1","")</f>
        <v/>
      </c>
      <c r="K33" s="102"/>
      <c r="L33" s="108">
        <v>10</v>
      </c>
      <c r="M33" s="109"/>
      <c r="W33" s="28">
        <f t="shared" si="4"/>
        <v>45564</v>
      </c>
      <c r="X33" s="35">
        <v>3.44E-2</v>
      </c>
      <c r="Y33" s="28">
        <f t="shared" si="5"/>
        <v>45564</v>
      </c>
      <c r="Z33" s="35">
        <v>3.44E-2</v>
      </c>
      <c r="AG33" s="42">
        <v>20200929</v>
      </c>
      <c r="AH33" s="42">
        <v>20201229</v>
      </c>
      <c r="AI33" s="42">
        <v>20201229</v>
      </c>
      <c r="AJ33" s="44">
        <v>0</v>
      </c>
      <c r="AK33" s="48">
        <v>0</v>
      </c>
    </row>
    <row r="34" spans="1:37" x14ac:dyDescent="0.4">
      <c r="A34" s="21">
        <f t="shared" si="1"/>
        <v>34</v>
      </c>
      <c r="B34" s="81"/>
      <c r="C34" s="82"/>
      <c r="D34" s="107" t="s">
        <v>40</v>
      </c>
      <c r="E34" s="107"/>
      <c r="F34" s="116">
        <v>1</v>
      </c>
      <c r="G34" s="117"/>
      <c r="H34" s="102"/>
      <c r="I34" s="102"/>
      <c r="J34" s="102" t="str">
        <f>IF(F31&gt;0,"만기2","")</f>
        <v/>
      </c>
      <c r="K34" s="102"/>
      <c r="L34" s="108">
        <v>5</v>
      </c>
      <c r="M34" s="109"/>
      <c r="W34" s="28">
        <f t="shared" si="4"/>
        <v>45565</v>
      </c>
      <c r="X34" s="35">
        <v>3.44E-2</v>
      </c>
      <c r="Y34" s="28">
        <f t="shared" si="5"/>
        <v>45565</v>
      </c>
      <c r="Z34" s="35">
        <v>3.44E-2</v>
      </c>
      <c r="AG34" s="42">
        <v>20201229</v>
      </c>
      <c r="AH34" s="42">
        <v>20210329</v>
      </c>
      <c r="AI34" s="42">
        <v>20210329</v>
      </c>
      <c r="AJ34" s="44">
        <v>0</v>
      </c>
      <c r="AK34" s="48">
        <v>0</v>
      </c>
    </row>
    <row r="35" spans="1:37" x14ac:dyDescent="0.4">
      <c r="A35" s="21">
        <f t="shared" si="1"/>
        <v>35</v>
      </c>
      <c r="B35" s="20"/>
      <c r="C35" s="20"/>
      <c r="W35" s="28">
        <f t="shared" si="4"/>
        <v>45566</v>
      </c>
      <c r="X35" s="35">
        <v>3.44E-2</v>
      </c>
      <c r="Y35" s="28">
        <f t="shared" si="5"/>
        <v>45566</v>
      </c>
      <c r="Z35" s="35">
        <v>3.44E-2</v>
      </c>
      <c r="AG35" s="42">
        <v>20210329</v>
      </c>
      <c r="AH35" s="42">
        <v>20210629</v>
      </c>
      <c r="AI35" s="42">
        <v>20210629</v>
      </c>
      <c r="AJ35" s="44">
        <v>0</v>
      </c>
      <c r="AK35" s="48">
        <v>0</v>
      </c>
    </row>
    <row r="36" spans="1:37" x14ac:dyDescent="0.4">
      <c r="A36" s="21">
        <f t="shared" si="1"/>
        <v>36</v>
      </c>
      <c r="B36" s="145" t="s">
        <v>41</v>
      </c>
      <c r="C36" s="145"/>
      <c r="D36" s="85" t="s">
        <v>42</v>
      </c>
      <c r="E36" s="85"/>
      <c r="F36" s="112">
        <v>-1.1999999999999999E-3</v>
      </c>
      <c r="G36" s="113"/>
      <c r="H36" s="110" t="s">
        <v>85</v>
      </c>
      <c r="I36" s="111"/>
      <c r="J36" s="120" t="str">
        <f>IF(F31&gt;0, F33&amp;" &lt; "&amp;F30&amp;" x Rate("&amp;L33&amp;"Y-"&amp;L34&amp;"Y) &lt; "&amp;F32,F33&amp;" &lt; "&amp;F30&amp;" x Rate("&amp;L31&amp;"Y) &lt; "&amp;F32)</f>
        <v>-1 &lt; 1 x Rate(0.25Y) &lt; 1</v>
      </c>
      <c r="K36" s="120"/>
      <c r="L36" s="120"/>
      <c r="M36" s="120"/>
      <c r="W36" s="28">
        <f t="shared" si="4"/>
        <v>45567</v>
      </c>
      <c r="X36" s="35">
        <v>3.44E-2</v>
      </c>
      <c r="Y36" s="28">
        <f t="shared" si="5"/>
        <v>45567</v>
      </c>
      <c r="Z36" s="35">
        <v>3.44E-2</v>
      </c>
      <c r="AG36" s="42">
        <v>20210629</v>
      </c>
      <c r="AH36" s="42">
        <v>20210929</v>
      </c>
      <c r="AI36" s="42">
        <v>20210929</v>
      </c>
      <c r="AJ36" s="44">
        <v>0</v>
      </c>
      <c r="AK36" s="48">
        <v>0</v>
      </c>
    </row>
    <row r="37" spans="1:37" x14ac:dyDescent="0.4">
      <c r="A37" s="21">
        <f t="shared" si="1"/>
        <v>37</v>
      </c>
      <c r="B37" s="145"/>
      <c r="C37" s="145"/>
      <c r="D37" s="85" t="s">
        <v>44</v>
      </c>
      <c r="E37" s="85"/>
      <c r="F37" s="112">
        <v>0</v>
      </c>
      <c r="G37" s="113"/>
      <c r="H37" s="110" t="s">
        <v>82</v>
      </c>
      <c r="I37" s="111"/>
      <c r="J37" s="120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1 x Rate(0.25Y) + -0.0012(고정) + 0(Range충족시)</v>
      </c>
      <c r="K37" s="120"/>
      <c r="L37" s="120"/>
      <c r="M37" s="120"/>
      <c r="W37" s="28">
        <f t="shared" si="4"/>
        <v>45568</v>
      </c>
      <c r="X37" s="35">
        <v>3.44E-2</v>
      </c>
      <c r="Y37" s="28">
        <f t="shared" si="5"/>
        <v>45568</v>
      </c>
      <c r="Z37" s="35">
        <v>3.44E-2</v>
      </c>
      <c r="AG37" s="42">
        <v>20210929</v>
      </c>
      <c r="AH37" s="42">
        <v>20211229</v>
      </c>
      <c r="AI37" s="42">
        <v>20211229</v>
      </c>
      <c r="AJ37" s="44">
        <v>0</v>
      </c>
      <c r="AK37" s="48">
        <v>0</v>
      </c>
    </row>
    <row r="38" spans="1:37" x14ac:dyDescent="0.4">
      <c r="A38" s="21">
        <f t="shared" si="1"/>
        <v>38</v>
      </c>
      <c r="B38" s="145"/>
      <c r="C38" s="145"/>
      <c r="D38" s="85" t="s">
        <v>45</v>
      </c>
      <c r="E38" s="85"/>
      <c r="F38" s="103">
        <v>1</v>
      </c>
      <c r="G38" s="104"/>
      <c r="H38" s="110"/>
      <c r="I38" s="111"/>
      <c r="J38" s="120"/>
      <c r="K38" s="120"/>
      <c r="L38" s="120"/>
      <c r="M38" s="120"/>
      <c r="W38" s="28">
        <f t="shared" si="4"/>
        <v>45569</v>
      </c>
      <c r="X38" s="35">
        <v>3.44E-2</v>
      </c>
      <c r="Y38" s="28">
        <f t="shared" si="5"/>
        <v>45569</v>
      </c>
      <c r="Z38" s="35">
        <v>3.44E-2</v>
      </c>
      <c r="AG38" s="42">
        <v>20211229</v>
      </c>
      <c r="AH38" s="42">
        <v>20220329</v>
      </c>
      <c r="AI38" s="42">
        <v>20220329</v>
      </c>
      <c r="AJ38" s="44">
        <v>0</v>
      </c>
      <c r="AK38" s="48">
        <v>0</v>
      </c>
    </row>
    <row r="39" spans="1:37" x14ac:dyDescent="0.4">
      <c r="A39" s="21">
        <f t="shared" si="1"/>
        <v>39</v>
      </c>
      <c r="B39" s="20"/>
      <c r="C39" s="20"/>
      <c r="W39" s="28">
        <f t="shared" si="4"/>
        <v>45570</v>
      </c>
      <c r="X39" s="35">
        <v>3.44E-2</v>
      </c>
      <c r="Y39" s="28">
        <f t="shared" si="5"/>
        <v>45570</v>
      </c>
      <c r="Z39" s="35">
        <v>3.44E-2</v>
      </c>
      <c r="AG39" s="42">
        <v>20220329</v>
      </c>
      <c r="AH39" s="42">
        <v>20220629</v>
      </c>
      <c r="AI39" s="42">
        <v>20220629</v>
      </c>
      <c r="AJ39" s="44">
        <v>0</v>
      </c>
      <c r="AK39" s="48">
        <v>0</v>
      </c>
    </row>
    <row r="40" spans="1:37" x14ac:dyDescent="0.4">
      <c r="A40" s="21">
        <f t="shared" si="1"/>
        <v>40</v>
      </c>
      <c r="B40" s="20"/>
      <c r="C40" s="20"/>
      <c r="W40" s="28">
        <f t="shared" si="4"/>
        <v>45571</v>
      </c>
      <c r="X40" s="35">
        <v>3.44E-2</v>
      </c>
      <c r="Y40" s="28">
        <f t="shared" si="5"/>
        <v>45571</v>
      </c>
      <c r="Z40" s="35">
        <v>3.44E-2</v>
      </c>
      <c r="AG40" s="42">
        <v>20220629</v>
      </c>
      <c r="AH40" s="42">
        <v>20220929</v>
      </c>
      <c r="AI40" s="42">
        <v>20220929</v>
      </c>
      <c r="AJ40" s="44">
        <v>0</v>
      </c>
      <c r="AK40" s="48">
        <v>0</v>
      </c>
    </row>
    <row r="41" spans="1:37" x14ac:dyDescent="0.4">
      <c r="A41" s="21">
        <f t="shared" si="1"/>
        <v>41</v>
      </c>
      <c r="B41" s="145" t="s">
        <v>46</v>
      </c>
      <c r="C41" s="145"/>
      <c r="D41" s="85" t="s">
        <v>42</v>
      </c>
      <c r="E41" s="85"/>
      <c r="F41" s="112">
        <v>-1.1999999999999999E-3</v>
      </c>
      <c r="G41" s="113"/>
      <c r="H41" s="110" t="s">
        <v>83</v>
      </c>
      <c r="I41" s="111"/>
      <c r="J41" s="120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1 x Rate(0.25Y) + -0.0012(고정) + 0(Range충족시)</v>
      </c>
      <c r="K41" s="120"/>
      <c r="L41" s="120"/>
      <c r="M41" s="120"/>
      <c r="W41" s="28">
        <f t="shared" si="4"/>
        <v>45572</v>
      </c>
      <c r="X41" s="35">
        <v>3.44E-2</v>
      </c>
      <c r="Y41" s="28">
        <f t="shared" si="5"/>
        <v>45572</v>
      </c>
      <c r="Z41" s="35">
        <v>3.44E-2</v>
      </c>
      <c r="AG41" s="42">
        <v>20220929</v>
      </c>
      <c r="AH41" s="42">
        <v>20221229</v>
      </c>
      <c r="AI41" s="42">
        <v>20221229</v>
      </c>
      <c r="AJ41" s="44">
        <v>0</v>
      </c>
      <c r="AK41" s="48">
        <v>0</v>
      </c>
    </row>
    <row r="42" spans="1:37" x14ac:dyDescent="0.4">
      <c r="A42" s="21">
        <f t="shared" si="1"/>
        <v>42</v>
      </c>
      <c r="B42" s="145"/>
      <c r="C42" s="145"/>
      <c r="D42" s="85" t="s">
        <v>44</v>
      </c>
      <c r="E42" s="85"/>
      <c r="F42" s="112">
        <v>0</v>
      </c>
      <c r="G42" s="113"/>
      <c r="H42" s="110"/>
      <c r="I42" s="111"/>
      <c r="J42" s="120"/>
      <c r="K42" s="120"/>
      <c r="L42" s="120"/>
      <c r="M42" s="120"/>
      <c r="W42" s="28">
        <f t="shared" si="4"/>
        <v>45573</v>
      </c>
      <c r="X42" s="35">
        <v>3.44E-2</v>
      </c>
      <c r="Y42" s="28">
        <f t="shared" si="5"/>
        <v>45573</v>
      </c>
      <c r="Z42" s="35">
        <v>3.44E-2</v>
      </c>
      <c r="AG42" s="42">
        <v>20221229</v>
      </c>
      <c r="AH42" s="42">
        <v>20230329</v>
      </c>
      <c r="AI42" s="42">
        <v>20230329</v>
      </c>
      <c r="AJ42" s="44">
        <v>0</v>
      </c>
      <c r="AK42" s="48">
        <v>0</v>
      </c>
    </row>
    <row r="43" spans="1:37" x14ac:dyDescent="0.4">
      <c r="A43" s="21">
        <f t="shared" si="1"/>
        <v>43</v>
      </c>
      <c r="B43" s="145"/>
      <c r="C43" s="145"/>
      <c r="D43" s="85" t="s">
        <v>45</v>
      </c>
      <c r="E43" s="85"/>
      <c r="F43" s="103">
        <v>1</v>
      </c>
      <c r="G43" s="104"/>
      <c r="W43" s="28">
        <f t="shared" si="4"/>
        <v>45574</v>
      </c>
      <c r="X43" s="35">
        <v>3.44E-2</v>
      </c>
      <c r="Y43" s="28">
        <f t="shared" si="5"/>
        <v>45574</v>
      </c>
      <c r="Z43" s="35">
        <v>3.44E-2</v>
      </c>
      <c r="AG43" s="42">
        <v>20230329</v>
      </c>
      <c r="AH43" s="42">
        <v>20230629</v>
      </c>
      <c r="AI43" s="42">
        <v>20230629</v>
      </c>
      <c r="AJ43" s="44">
        <v>0</v>
      </c>
      <c r="AK43" s="48">
        <v>0</v>
      </c>
    </row>
    <row r="44" spans="1:37" x14ac:dyDescent="0.4">
      <c r="A44" s="21">
        <f t="shared" si="1"/>
        <v>44</v>
      </c>
      <c r="B44" s="20"/>
      <c r="C44" s="20"/>
      <c r="W44" s="28">
        <f t="shared" si="4"/>
        <v>45575</v>
      </c>
      <c r="X44" s="35">
        <v>3.44E-2</v>
      </c>
      <c r="Y44" s="28">
        <f t="shared" si="5"/>
        <v>45575</v>
      </c>
      <c r="Z44" s="35">
        <v>3.44E-2</v>
      </c>
      <c r="AG44" s="42">
        <v>20230629</v>
      </c>
      <c r="AH44" s="42">
        <v>20230927</v>
      </c>
      <c r="AI44" s="42">
        <v>20230927</v>
      </c>
      <c r="AJ44" s="44">
        <v>0</v>
      </c>
      <c r="AK44" s="48">
        <v>0</v>
      </c>
    </row>
    <row r="45" spans="1:37" ht="17.399999999999999" customHeight="1" x14ac:dyDescent="0.4">
      <c r="A45" s="21">
        <f t="shared" si="1"/>
        <v>45</v>
      </c>
      <c r="B45" s="139" t="s">
        <v>61</v>
      </c>
      <c r="C45" s="140"/>
      <c r="D45" s="140"/>
      <c r="E45" s="140"/>
      <c r="F45" s="140"/>
      <c r="G45" s="141"/>
      <c r="W45" s="28">
        <f t="shared" si="4"/>
        <v>45576</v>
      </c>
      <c r="X45" s="35">
        <v>3.44E-2</v>
      </c>
      <c r="Y45" s="28">
        <f t="shared" si="5"/>
        <v>45576</v>
      </c>
      <c r="Z45" s="35">
        <v>3.44E-2</v>
      </c>
      <c r="AG45" s="42">
        <v>20230927</v>
      </c>
      <c r="AH45" s="42">
        <v>20231229</v>
      </c>
      <c r="AI45" s="42">
        <v>20231229</v>
      </c>
      <c r="AJ45" s="44">
        <v>0</v>
      </c>
      <c r="AK45" s="48">
        <v>0</v>
      </c>
    </row>
    <row r="46" spans="1:37" ht="17.399999999999999" customHeight="1" x14ac:dyDescent="0.4">
      <c r="A46" s="21">
        <f t="shared" si="1"/>
        <v>46</v>
      </c>
      <c r="B46" s="142"/>
      <c r="C46" s="143"/>
      <c r="D46" s="143"/>
      <c r="E46" s="143"/>
      <c r="F46" s="143"/>
      <c r="G46" s="144"/>
      <c r="W46" s="28">
        <f t="shared" si="4"/>
        <v>45577</v>
      </c>
      <c r="X46" s="35">
        <v>3.44E-2</v>
      </c>
      <c r="Y46" s="28">
        <f t="shared" si="5"/>
        <v>45577</v>
      </c>
      <c r="Z46" s="35">
        <v>3.44E-2</v>
      </c>
      <c r="AG46" s="42">
        <v>20231229</v>
      </c>
      <c r="AH46" s="42">
        <v>20240329</v>
      </c>
      <c r="AI46" s="42">
        <v>20240329</v>
      </c>
      <c r="AJ46" s="44">
        <v>0</v>
      </c>
      <c r="AK46" s="48">
        <v>0</v>
      </c>
    </row>
    <row r="47" spans="1:37" x14ac:dyDescent="0.4">
      <c r="A47" s="21">
        <f t="shared" si="1"/>
        <v>47</v>
      </c>
      <c r="B47" s="37" t="s">
        <v>62</v>
      </c>
      <c r="C47" s="38" t="s">
        <v>63</v>
      </c>
      <c r="D47" s="38" t="s">
        <v>64</v>
      </c>
      <c r="E47" s="38" t="s">
        <v>65</v>
      </c>
      <c r="W47" s="28">
        <f t="shared" si="4"/>
        <v>45578</v>
      </c>
      <c r="X47" s="35">
        <v>3.44E-2</v>
      </c>
      <c r="Y47" s="28">
        <f t="shared" si="5"/>
        <v>45578</v>
      </c>
      <c r="Z47" s="35">
        <v>3.44E-2</v>
      </c>
      <c r="AG47" s="42">
        <v>20240329</v>
      </c>
      <c r="AH47" s="42">
        <v>20240628</v>
      </c>
      <c r="AI47" s="42">
        <v>20240628</v>
      </c>
      <c r="AJ47" s="44">
        <v>0</v>
      </c>
      <c r="AK47" s="48">
        <v>0</v>
      </c>
    </row>
    <row r="48" spans="1:37" x14ac:dyDescent="0.4">
      <c r="A48" s="21">
        <f t="shared" si="1"/>
        <v>48</v>
      </c>
      <c r="B48" s="27">
        <v>43710</v>
      </c>
      <c r="C48" s="27">
        <v>43738</v>
      </c>
      <c r="D48" s="32">
        <v>1</v>
      </c>
      <c r="E48" s="32">
        <f>COUNT(C48:C740)</f>
        <v>27</v>
      </c>
      <c r="W48" s="28">
        <f t="shared" si="4"/>
        <v>45579</v>
      </c>
      <c r="X48" s="35">
        <v>3.44E-2</v>
      </c>
      <c r="Y48" s="28">
        <f t="shared" si="5"/>
        <v>45579</v>
      </c>
      <c r="Z48" s="35">
        <v>3.44E-2</v>
      </c>
      <c r="AG48" s="42">
        <v>20240628</v>
      </c>
      <c r="AH48" s="42">
        <v>20240930</v>
      </c>
      <c r="AI48" s="42">
        <v>20240930</v>
      </c>
      <c r="AJ48" s="44">
        <v>0</v>
      </c>
      <c r="AK48" s="48">
        <v>0</v>
      </c>
    </row>
    <row r="49" spans="1:37" x14ac:dyDescent="0.4">
      <c r="A49" s="21">
        <f t="shared" si="1"/>
        <v>49</v>
      </c>
      <c r="B49" s="27">
        <v>44077</v>
      </c>
      <c r="C49" s="27">
        <v>44103</v>
      </c>
      <c r="W49" s="28">
        <f t="shared" si="4"/>
        <v>45580</v>
      </c>
      <c r="X49" s="35">
        <v>3.44E-2</v>
      </c>
      <c r="Y49" s="28">
        <f t="shared" si="5"/>
        <v>45580</v>
      </c>
      <c r="Z49" s="35">
        <v>3.44E-2</v>
      </c>
      <c r="AG49" s="42">
        <v>20240930</v>
      </c>
      <c r="AH49" s="42">
        <v>20241230</v>
      </c>
      <c r="AI49" s="42">
        <v>20241230</v>
      </c>
      <c r="AJ49" s="44">
        <v>0</v>
      </c>
      <c r="AK49" s="48">
        <v>0</v>
      </c>
    </row>
    <row r="50" spans="1:37" x14ac:dyDescent="0.4">
      <c r="A50" s="21">
        <f t="shared" si="1"/>
        <v>50</v>
      </c>
      <c r="B50" s="27">
        <v>44439</v>
      </c>
      <c r="C50" s="27">
        <v>44468</v>
      </c>
      <c r="W50" s="28">
        <f t="shared" si="4"/>
        <v>45581</v>
      </c>
      <c r="X50" s="35">
        <v>3.44E-2</v>
      </c>
      <c r="Y50" s="28">
        <f t="shared" si="5"/>
        <v>45581</v>
      </c>
      <c r="Z50" s="35">
        <v>3.44E-2</v>
      </c>
      <c r="AG50" s="42">
        <v>20241230</v>
      </c>
      <c r="AH50" s="42">
        <v>20250331</v>
      </c>
      <c r="AI50" s="42">
        <v>20250331</v>
      </c>
      <c r="AJ50" s="44">
        <v>3.44E-2</v>
      </c>
      <c r="AK50" s="48">
        <v>165.54520547945205</v>
      </c>
    </row>
    <row r="51" spans="1:37" x14ac:dyDescent="0.4">
      <c r="A51" s="21">
        <f t="shared" si="1"/>
        <v>51</v>
      </c>
      <c r="B51" s="27">
        <v>44805</v>
      </c>
      <c r="C51" s="27">
        <v>44833</v>
      </c>
      <c r="W51" s="28">
        <f t="shared" si="4"/>
        <v>45582</v>
      </c>
      <c r="X51" s="35">
        <v>3.44E-2</v>
      </c>
      <c r="Y51" s="28">
        <f t="shared" si="5"/>
        <v>45582</v>
      </c>
      <c r="Z51" s="35">
        <v>3.44E-2</v>
      </c>
      <c r="AG51" s="42">
        <v>20250331</v>
      </c>
      <c r="AH51" s="42">
        <v>20250630</v>
      </c>
      <c r="AI51" s="42">
        <v>20250630</v>
      </c>
      <c r="AJ51" s="44">
        <v>2.8271486938472763E-2</v>
      </c>
      <c r="AK51" s="48">
        <v>134.98659240553542</v>
      </c>
    </row>
    <row r="52" spans="1:37" x14ac:dyDescent="0.4">
      <c r="A52" s="21">
        <f t="shared" si="1"/>
        <v>52</v>
      </c>
      <c r="B52" s="27">
        <v>45173</v>
      </c>
      <c r="C52" s="27">
        <v>45203</v>
      </c>
      <c r="W52" s="28">
        <f t="shared" si="4"/>
        <v>45583</v>
      </c>
      <c r="X52" s="35">
        <v>3.44E-2</v>
      </c>
      <c r="Y52" s="28">
        <f t="shared" si="5"/>
        <v>45583</v>
      </c>
      <c r="Z52" s="35">
        <v>3.44E-2</v>
      </c>
      <c r="AG52" s="42">
        <v>20250630</v>
      </c>
      <c r="AH52" s="42">
        <v>20250929</v>
      </c>
      <c r="AI52" s="42">
        <v>20250929</v>
      </c>
      <c r="AJ52" s="44">
        <v>2.63812392984576E-2</v>
      </c>
      <c r="AK52" s="48">
        <v>125.56124800874748</v>
      </c>
    </row>
    <row r="53" spans="1:37" x14ac:dyDescent="0.4">
      <c r="A53" s="21">
        <f t="shared" si="1"/>
        <v>53</v>
      </c>
      <c r="B53" s="27">
        <v>45534</v>
      </c>
      <c r="C53" s="27">
        <v>45565</v>
      </c>
      <c r="W53" s="28">
        <f t="shared" si="4"/>
        <v>45584</v>
      </c>
      <c r="X53" s="35">
        <v>3.44E-2</v>
      </c>
      <c r="Y53" s="28">
        <f t="shared" si="5"/>
        <v>45584</v>
      </c>
      <c r="Z53" s="35">
        <v>3.44E-2</v>
      </c>
      <c r="AG53" s="42">
        <v>20250929</v>
      </c>
      <c r="AH53" s="42">
        <v>20251229</v>
      </c>
      <c r="AI53" s="42">
        <v>20251229</v>
      </c>
      <c r="AJ53" s="44">
        <v>2.5209570811449554E-2</v>
      </c>
      <c r="AK53" s="48">
        <v>119.71895582695394</v>
      </c>
    </row>
    <row r="54" spans="1:37" x14ac:dyDescent="0.4">
      <c r="A54" s="21">
        <f t="shared" si="1"/>
        <v>54</v>
      </c>
      <c r="B54" s="27">
        <v>45903</v>
      </c>
      <c r="C54" s="27">
        <v>45929</v>
      </c>
      <c r="W54" s="28">
        <f t="shared" si="4"/>
        <v>45585</v>
      </c>
      <c r="X54" s="35">
        <v>3.44E-2</v>
      </c>
      <c r="Y54" s="28">
        <f t="shared" si="5"/>
        <v>45585</v>
      </c>
      <c r="Z54" s="35">
        <v>3.44E-2</v>
      </c>
      <c r="AG54" s="42">
        <v>20251229</v>
      </c>
      <c r="AH54" s="42">
        <v>20260330</v>
      </c>
      <c r="AI54" s="42">
        <v>20260330</v>
      </c>
      <c r="AJ54" s="44">
        <v>2.4964235642790638E-2</v>
      </c>
      <c r="AK54" s="48">
        <v>118.49564073939442</v>
      </c>
    </row>
    <row r="55" spans="1:37" x14ac:dyDescent="0.4">
      <c r="A55" s="21">
        <f t="shared" si="1"/>
        <v>55</v>
      </c>
      <c r="B55" s="27">
        <v>46266</v>
      </c>
      <c r="C55" s="27">
        <v>46294</v>
      </c>
      <c r="W55" s="28">
        <f t="shared" si="4"/>
        <v>45586</v>
      </c>
      <c r="X55" s="35">
        <v>3.44E-2</v>
      </c>
      <c r="Y55" s="28">
        <f t="shared" si="5"/>
        <v>45586</v>
      </c>
      <c r="Z55" s="35">
        <v>3.44E-2</v>
      </c>
      <c r="AG55" s="42">
        <v>20260330</v>
      </c>
      <c r="AH55" s="42">
        <v>20260629</v>
      </c>
      <c r="AI55" s="42">
        <v>20260629</v>
      </c>
      <c r="AJ55" s="44">
        <v>2.4977155012127203E-2</v>
      </c>
      <c r="AK55" s="48">
        <v>118.5600606084151</v>
      </c>
    </row>
    <row r="56" spans="1:37" x14ac:dyDescent="0.4">
      <c r="A56" s="21">
        <f t="shared" si="1"/>
        <v>56</v>
      </c>
      <c r="B56" s="27">
        <v>46630</v>
      </c>
      <c r="C56" s="27">
        <v>46659</v>
      </c>
      <c r="G56" s="20">
        <v>0</v>
      </c>
      <c r="W56" s="28">
        <f t="shared" si="4"/>
        <v>45587</v>
      </c>
      <c r="X56" s="35">
        <v>3.44E-2</v>
      </c>
      <c r="Y56" s="28">
        <f t="shared" si="5"/>
        <v>45587</v>
      </c>
      <c r="Z56" s="35">
        <v>3.44E-2</v>
      </c>
      <c r="AG56" s="42">
        <v>20260629</v>
      </c>
      <c r="AH56" s="42">
        <v>20260929</v>
      </c>
      <c r="AI56" s="42">
        <v>20260929</v>
      </c>
      <c r="AJ56" s="44">
        <v>2.4579493568398971E-2</v>
      </c>
      <c r="AK56" s="48">
        <v>117.85826894754551</v>
      </c>
    </row>
    <row r="57" spans="1:37" x14ac:dyDescent="0.4">
      <c r="A57" s="21">
        <f t="shared" si="1"/>
        <v>57</v>
      </c>
      <c r="B57" s="27">
        <v>47001</v>
      </c>
      <c r="C57" s="27">
        <v>47025</v>
      </c>
      <c r="G57" s="20">
        <v>1</v>
      </c>
      <c r="W57" s="28">
        <f t="shared" si="4"/>
        <v>45588</v>
      </c>
      <c r="X57" s="35">
        <v>3.44E-2</v>
      </c>
      <c r="Y57" s="28">
        <f t="shared" si="5"/>
        <v>45588</v>
      </c>
      <c r="Z57" s="35">
        <v>3.44E-2</v>
      </c>
      <c r="AG57" s="42">
        <v>20260929</v>
      </c>
      <c r="AH57" s="42">
        <v>20261229</v>
      </c>
      <c r="AI57" s="42">
        <v>20261229</v>
      </c>
      <c r="AJ57" s="44">
        <v>2.4533592377532977E-2</v>
      </c>
      <c r="AK57" s="48">
        <v>116.34832363591786</v>
      </c>
    </row>
    <row r="58" spans="1:37" x14ac:dyDescent="0.4">
      <c r="A58" s="21">
        <f t="shared" si="1"/>
        <v>58</v>
      </c>
      <c r="B58" s="27">
        <v>47364</v>
      </c>
      <c r="C58" s="27">
        <v>47392</v>
      </c>
      <c r="G58" s="20">
        <v>0</v>
      </c>
      <c r="W58" s="28">
        <f t="shared" si="4"/>
        <v>45589</v>
      </c>
      <c r="X58" s="35">
        <v>3.44E-2</v>
      </c>
      <c r="Y58" s="28">
        <f t="shared" si="5"/>
        <v>45589</v>
      </c>
      <c r="Z58" s="35">
        <v>3.44E-2</v>
      </c>
      <c r="AG58" s="42">
        <v>20261229</v>
      </c>
      <c r="AH58" s="42">
        <v>20270329</v>
      </c>
      <c r="AI58" s="42">
        <v>20270329</v>
      </c>
      <c r="AJ58" s="44">
        <v>2.4406759072674693E-2</v>
      </c>
      <c r="AK58" s="48">
        <v>114.44429131729986</v>
      </c>
    </row>
    <row r="59" spans="1:37" x14ac:dyDescent="0.4">
      <c r="A59" s="21">
        <f t="shared" si="1"/>
        <v>59</v>
      </c>
      <c r="B59" s="27">
        <v>47725</v>
      </c>
      <c r="C59" s="27">
        <v>47756</v>
      </c>
      <c r="G59" s="20">
        <v>1</v>
      </c>
      <c r="W59" s="28">
        <f t="shared" si="4"/>
        <v>45590</v>
      </c>
      <c r="X59" s="35">
        <v>3.44E-2</v>
      </c>
      <c r="Y59" s="28">
        <f t="shared" si="5"/>
        <v>45590</v>
      </c>
      <c r="Z59" s="35">
        <v>3.44E-2</v>
      </c>
      <c r="AG59" s="42">
        <v>20270329</v>
      </c>
      <c r="AH59" s="42">
        <v>20270629</v>
      </c>
      <c r="AI59" s="42">
        <v>20270629</v>
      </c>
      <c r="AJ59" s="44">
        <v>2.4817939465964237E-2</v>
      </c>
      <c r="AK59" s="48">
        <v>119.06029758184711</v>
      </c>
    </row>
    <row r="60" spans="1:37" x14ac:dyDescent="0.4">
      <c r="A60" s="21">
        <f t="shared" si="1"/>
        <v>60</v>
      </c>
      <c r="B60" s="27">
        <v>48094</v>
      </c>
      <c r="C60" s="27">
        <v>48120</v>
      </c>
      <c r="G60" s="20">
        <v>-1</v>
      </c>
      <c r="W60" s="28">
        <f t="shared" si="4"/>
        <v>45591</v>
      </c>
      <c r="X60" s="35">
        <v>3.44E-2</v>
      </c>
      <c r="Y60" s="28">
        <f t="shared" si="5"/>
        <v>45591</v>
      </c>
      <c r="Z60" s="35">
        <v>3.44E-2</v>
      </c>
      <c r="AG60" s="42">
        <v>20270629</v>
      </c>
      <c r="AH60" s="42">
        <v>20270929</v>
      </c>
      <c r="AI60" s="42">
        <v>20270929</v>
      </c>
      <c r="AJ60" s="44">
        <v>2.4666088257174337E-2</v>
      </c>
      <c r="AK60" s="48">
        <v>118.29480107726242</v>
      </c>
    </row>
    <row r="61" spans="1:37" x14ac:dyDescent="0.4">
      <c r="A61" s="21">
        <f t="shared" si="1"/>
        <v>61</v>
      </c>
      <c r="B61" s="27">
        <v>48458</v>
      </c>
      <c r="C61" s="27">
        <v>48486</v>
      </c>
      <c r="G61" s="20">
        <v>1</v>
      </c>
      <c r="W61" s="28">
        <f t="shared" si="4"/>
        <v>45592</v>
      </c>
      <c r="X61" s="35">
        <v>3.44E-2</v>
      </c>
      <c r="Y61" s="28">
        <f t="shared" si="5"/>
        <v>45592</v>
      </c>
      <c r="Z61" s="35">
        <v>3.44E-2</v>
      </c>
      <c r="AG61" s="42">
        <v>20270929</v>
      </c>
      <c r="AH61" s="42">
        <v>20271229</v>
      </c>
      <c r="AI61" s="42">
        <v>20271229</v>
      </c>
      <c r="AJ61" s="44">
        <v>2.4514246492466543E-2</v>
      </c>
      <c r="AK61" s="48">
        <v>116.25185922270988</v>
      </c>
    </row>
    <row r="62" spans="1:37" x14ac:dyDescent="0.4">
      <c r="B62" s="27">
        <v>48822</v>
      </c>
      <c r="C62" s="27">
        <v>48851</v>
      </c>
      <c r="W62" s="28">
        <f t="shared" si="4"/>
        <v>45593</v>
      </c>
      <c r="X62" s="35">
        <v>3.44E-2</v>
      </c>
      <c r="Y62" s="28">
        <f t="shared" si="5"/>
        <v>45593</v>
      </c>
      <c r="Z62" s="35">
        <v>3.44E-2</v>
      </c>
      <c r="AG62" s="42">
        <v>20271229</v>
      </c>
      <c r="AH62" s="42">
        <v>20280329</v>
      </c>
      <c r="AI62" s="42">
        <v>20280329</v>
      </c>
      <c r="AJ62" s="44">
        <v>2.4661297972041255E-2</v>
      </c>
      <c r="AK62" s="48">
        <v>116.98510221675366</v>
      </c>
    </row>
    <row r="63" spans="1:37" x14ac:dyDescent="0.4">
      <c r="B63" s="27">
        <v>49187</v>
      </c>
      <c r="C63" s="27">
        <v>49216</v>
      </c>
      <c r="G63" s="20">
        <v>-1.2E-4</v>
      </c>
      <c r="W63" s="28">
        <f t="shared" si="4"/>
        <v>45594</v>
      </c>
      <c r="X63" s="35">
        <v>3.44E-2</v>
      </c>
      <c r="Y63" s="28">
        <f t="shared" si="5"/>
        <v>45594</v>
      </c>
      <c r="Z63" s="35">
        <v>3.44E-2</v>
      </c>
      <c r="AG63" s="42">
        <v>20280329</v>
      </c>
      <c r="AH63" s="42">
        <v>20280629</v>
      </c>
      <c r="AI63" s="42">
        <v>20280629</v>
      </c>
      <c r="AJ63" s="44">
        <v>2.5510712234326747E-2</v>
      </c>
      <c r="AK63" s="48">
        <v>122.552631537428</v>
      </c>
    </row>
    <row r="64" spans="1:37" x14ac:dyDescent="0.4">
      <c r="B64" s="27">
        <v>49555</v>
      </c>
      <c r="C64" s="27">
        <v>49583</v>
      </c>
      <c r="G64" s="20">
        <v>0</v>
      </c>
      <c r="W64" s="28">
        <f t="shared" si="4"/>
        <v>45595</v>
      </c>
      <c r="X64" s="35">
        <v>3.44E-2</v>
      </c>
      <c r="Y64" s="28">
        <f t="shared" si="5"/>
        <v>45595</v>
      </c>
      <c r="Z64" s="35">
        <v>3.44E-2</v>
      </c>
      <c r="AG64" s="42">
        <v>20280629</v>
      </c>
      <c r="AH64" s="42">
        <v>20280929</v>
      </c>
      <c r="AI64" s="42">
        <v>20280929</v>
      </c>
      <c r="AJ64" s="44">
        <v>2.55519207826044E-2</v>
      </c>
      <c r="AK64" s="48">
        <v>122.76036778080028</v>
      </c>
    </row>
    <row r="65" spans="2:37" x14ac:dyDescent="0.4">
      <c r="B65" s="27">
        <v>49921</v>
      </c>
      <c r="C65" s="27">
        <v>49947</v>
      </c>
      <c r="G65" s="20">
        <v>1</v>
      </c>
      <c r="W65" s="28">
        <f t="shared" si="4"/>
        <v>45596</v>
      </c>
      <c r="X65" s="35">
        <v>3.44E-2</v>
      </c>
      <c r="Y65" s="28">
        <f t="shared" si="5"/>
        <v>45596</v>
      </c>
      <c r="Z65" s="35">
        <v>3.44E-2</v>
      </c>
      <c r="AG65" s="42">
        <v>20280929</v>
      </c>
      <c r="AH65" s="42">
        <v>20281229</v>
      </c>
      <c r="AI65" s="42">
        <v>20281229</v>
      </c>
      <c r="AJ65" s="44">
        <v>2.5592010481297171E-2</v>
      </c>
      <c r="AK65" s="48">
        <v>121.62591527660507</v>
      </c>
    </row>
    <row r="66" spans="2:37" x14ac:dyDescent="0.4">
      <c r="B66" s="27">
        <v>50286</v>
      </c>
      <c r="C66" s="27">
        <v>50312</v>
      </c>
      <c r="W66" s="28">
        <f t="shared" si="4"/>
        <v>45597</v>
      </c>
      <c r="X66" s="35">
        <v>3.44E-2</v>
      </c>
      <c r="Y66" s="28">
        <f t="shared" si="5"/>
        <v>45597</v>
      </c>
      <c r="Z66" s="35">
        <v>3.44E-2</v>
      </c>
      <c r="AG66" s="42">
        <v>20281229</v>
      </c>
      <c r="AH66" s="42">
        <v>20290329</v>
      </c>
      <c r="AI66" s="42">
        <v>20290329</v>
      </c>
      <c r="AJ66" s="44">
        <v>2.5574593094934258E-2</v>
      </c>
      <c r="AK66" s="48">
        <v>120.20347279693605</v>
      </c>
    </row>
    <row r="67" spans="2:37" x14ac:dyDescent="0.4">
      <c r="B67" s="27">
        <v>50651</v>
      </c>
      <c r="C67" s="27">
        <v>50677</v>
      </c>
      <c r="W67" s="28">
        <f t="shared" si="4"/>
        <v>45598</v>
      </c>
      <c r="X67" s="35">
        <v>3.44E-2</v>
      </c>
      <c r="Y67" s="28">
        <f t="shared" si="5"/>
        <v>45598</v>
      </c>
      <c r="Z67" s="35">
        <v>3.44E-2</v>
      </c>
      <c r="AG67" s="42">
        <v>20290329</v>
      </c>
      <c r="AH67" s="42">
        <v>20290629</v>
      </c>
      <c r="AI67" s="42">
        <v>20290629</v>
      </c>
      <c r="AJ67" s="44">
        <v>2.5443521750750701E-2</v>
      </c>
      <c r="AK67" s="48">
        <v>122.21391786679806</v>
      </c>
    </row>
    <row r="68" spans="2:37" x14ac:dyDescent="0.4">
      <c r="B68" s="27">
        <v>51018</v>
      </c>
      <c r="C68" s="27">
        <v>51042</v>
      </c>
      <c r="G68" s="20">
        <v>-1.2E-4</v>
      </c>
      <c r="W68" s="28">
        <f t="shared" si="4"/>
        <v>45599</v>
      </c>
      <c r="X68" s="35">
        <v>3.44E-2</v>
      </c>
      <c r="Y68" s="28">
        <f t="shared" si="5"/>
        <v>45599</v>
      </c>
      <c r="Z68" s="35">
        <v>3.44E-2</v>
      </c>
      <c r="AG68" s="42">
        <v>20290629</v>
      </c>
      <c r="AH68" s="42">
        <v>20290928</v>
      </c>
      <c r="AI68" s="42">
        <v>20290928</v>
      </c>
      <c r="AJ68" s="44">
        <v>2.5457268830319523E-2</v>
      </c>
      <c r="AK68" s="48">
        <v>120.95405279775764</v>
      </c>
    </row>
    <row r="69" spans="2:37" x14ac:dyDescent="0.4">
      <c r="B69" s="27">
        <v>51384</v>
      </c>
      <c r="C69" s="27">
        <v>51410</v>
      </c>
      <c r="G69" s="20">
        <v>0</v>
      </c>
      <c r="W69" s="28">
        <f t="shared" si="4"/>
        <v>45600</v>
      </c>
      <c r="X69" s="35">
        <v>3.44E-2</v>
      </c>
      <c r="Y69" s="28">
        <f t="shared" si="5"/>
        <v>45600</v>
      </c>
      <c r="Z69" s="35">
        <v>3.44E-2</v>
      </c>
      <c r="AG69" s="42">
        <v>20290928</v>
      </c>
      <c r="AH69" s="42">
        <v>20291231</v>
      </c>
      <c r="AI69" s="42">
        <v>20291231</v>
      </c>
      <c r="AJ69" s="44">
        <v>2.5471820908156632E-2</v>
      </c>
      <c r="AK69" s="48">
        <v>125.01650221187526</v>
      </c>
    </row>
    <row r="70" spans="2:37" x14ac:dyDescent="0.4">
      <c r="B70" s="27">
        <v>51748</v>
      </c>
      <c r="C70" s="27">
        <v>51774</v>
      </c>
      <c r="G70" s="20">
        <v>1</v>
      </c>
      <c r="W70" s="28">
        <f t="shared" si="4"/>
        <v>45601</v>
      </c>
      <c r="X70" s="35">
        <v>3.44E-2</v>
      </c>
      <c r="Y70" s="28">
        <f t="shared" si="5"/>
        <v>45601</v>
      </c>
      <c r="Z70" s="35">
        <v>3.44E-2</v>
      </c>
      <c r="AG70" s="42">
        <v>20291231</v>
      </c>
      <c r="AH70" s="42">
        <v>20300329</v>
      </c>
      <c r="AI70" s="42">
        <v>20300329</v>
      </c>
      <c r="AJ70" s="44">
        <v>2.562867414555129E-2</v>
      </c>
      <c r="AK70" s="48">
        <v>117.79305889361719</v>
      </c>
    </row>
    <row r="71" spans="2:37" x14ac:dyDescent="0.4">
      <c r="B71" s="27">
        <v>52112</v>
      </c>
      <c r="C71" s="27">
        <v>52140</v>
      </c>
      <c r="W71" s="28">
        <f t="shared" si="4"/>
        <v>45602</v>
      </c>
      <c r="X71" s="35">
        <v>3.44E-2</v>
      </c>
      <c r="Y71" s="28">
        <f t="shared" si="5"/>
        <v>45602</v>
      </c>
      <c r="Z71" s="35">
        <v>3.44E-2</v>
      </c>
      <c r="AG71" s="42">
        <v>20300329</v>
      </c>
      <c r="AH71" s="42">
        <v>20300628</v>
      </c>
      <c r="AI71" s="42">
        <v>20300628</v>
      </c>
      <c r="AJ71" s="44">
        <v>2.6064701394445434E-2</v>
      </c>
      <c r="AK71" s="48">
        <v>123.98289462435807</v>
      </c>
    </row>
    <row r="72" spans="2:37" x14ac:dyDescent="0.4">
      <c r="B72" s="27">
        <v>52478</v>
      </c>
      <c r="C72" s="27">
        <v>52503</v>
      </c>
      <c r="W72" s="28">
        <f t="shared" si="4"/>
        <v>45603</v>
      </c>
      <c r="X72" s="35">
        <v>3.44E-2</v>
      </c>
      <c r="Y72" s="28">
        <f t="shared" si="5"/>
        <v>45603</v>
      </c>
      <c r="Z72" s="35">
        <v>3.44E-2</v>
      </c>
      <c r="AG72" s="42">
        <v>20300628</v>
      </c>
      <c r="AH72" s="42">
        <v>20300930</v>
      </c>
      <c r="AI72" s="42">
        <v>20300930</v>
      </c>
      <c r="AJ72" s="44">
        <v>2.613535158681933E-2</v>
      </c>
      <c r="AK72" s="48">
        <v>128.43413968005572</v>
      </c>
    </row>
    <row r="73" spans="2:37" x14ac:dyDescent="0.4">
      <c r="B73" s="27">
        <v>52845</v>
      </c>
      <c r="C73" s="27">
        <v>52869</v>
      </c>
      <c r="W73" s="28">
        <f t="shared" si="4"/>
        <v>45604</v>
      </c>
      <c r="X73" s="35">
        <v>3.44E-2</v>
      </c>
      <c r="Y73" s="28">
        <f t="shared" si="5"/>
        <v>45604</v>
      </c>
      <c r="Z73" s="35">
        <v>3.44E-2</v>
      </c>
      <c r="AG73" s="42">
        <v>20300930</v>
      </c>
      <c r="AH73" s="42">
        <v>20301230</v>
      </c>
      <c r="AI73" s="42">
        <v>20301230</v>
      </c>
      <c r="AJ73" s="44">
        <v>2.6200401709240644E-2</v>
      </c>
      <c r="AK73" s="48">
        <v>124.65953728991225</v>
      </c>
    </row>
    <row r="74" spans="2:37" x14ac:dyDescent="0.4">
      <c r="B74" s="27">
        <v>53210</v>
      </c>
      <c r="C74" s="27">
        <v>53234</v>
      </c>
      <c r="W74" s="28">
        <f t="shared" ref="W74:W100" si="6">W73+1</f>
        <v>45605</v>
      </c>
      <c r="X74" s="35">
        <v>3.44E-2</v>
      </c>
      <c r="Y74" s="28">
        <f t="shared" ref="Y74:Y100" si="7">Y73+1</f>
        <v>45605</v>
      </c>
      <c r="Z74" s="35">
        <v>3.44E-2</v>
      </c>
      <c r="AG74" s="42">
        <v>20301230</v>
      </c>
      <c r="AH74" s="42">
        <v>20310331</v>
      </c>
      <c r="AI74" s="42">
        <v>20310331</v>
      </c>
      <c r="AJ74" s="44">
        <v>2.6268900841439492E-2</v>
      </c>
      <c r="AK74" s="48">
        <v>125.00109460662981</v>
      </c>
    </row>
    <row r="75" spans="2:37" x14ac:dyDescent="0.4">
      <c r="W75" s="28">
        <f t="shared" si="6"/>
        <v>45606</v>
      </c>
      <c r="X75" s="35">
        <v>3.44E-2</v>
      </c>
      <c r="Y75" s="28">
        <f t="shared" si="7"/>
        <v>45606</v>
      </c>
      <c r="Z75" s="35">
        <v>3.44E-2</v>
      </c>
      <c r="AG75" s="42">
        <v>20310331</v>
      </c>
      <c r="AH75" s="42">
        <v>20310630</v>
      </c>
      <c r="AI75" s="42">
        <v>20310630</v>
      </c>
      <c r="AJ75" s="44">
        <v>2.634034519566239E-2</v>
      </c>
      <c r="AK75" s="48">
        <v>125.35733768796041</v>
      </c>
    </row>
    <row r="76" spans="2:37" x14ac:dyDescent="0.4">
      <c r="W76" s="28">
        <f t="shared" si="6"/>
        <v>45607</v>
      </c>
      <c r="X76" s="35">
        <v>3.44E-2</v>
      </c>
      <c r="Y76" s="28">
        <f t="shared" si="7"/>
        <v>45607</v>
      </c>
      <c r="Z76" s="35">
        <v>3.44E-2</v>
      </c>
      <c r="AG76" s="42">
        <v>20310630</v>
      </c>
      <c r="AH76" s="42">
        <v>20310929</v>
      </c>
      <c r="AI76" s="42">
        <v>20310929</v>
      </c>
      <c r="AJ76" s="44">
        <v>2.6407600980757621E-2</v>
      </c>
      <c r="AK76" s="48">
        <v>125.69269530131197</v>
      </c>
    </row>
    <row r="77" spans="2:37" x14ac:dyDescent="0.4">
      <c r="W77" s="28">
        <f t="shared" si="6"/>
        <v>45608</v>
      </c>
      <c r="X77" s="35">
        <v>3.44E-2</v>
      </c>
      <c r="Y77" s="28">
        <f t="shared" si="7"/>
        <v>45608</v>
      </c>
      <c r="Z77" s="35">
        <v>3.44E-2</v>
      </c>
      <c r="AG77" s="42">
        <v>20310929</v>
      </c>
      <c r="AH77" s="42">
        <v>20311229</v>
      </c>
      <c r="AI77" s="42">
        <v>20311229</v>
      </c>
      <c r="AJ77" s="44">
        <v>2.6474857886231471E-2</v>
      </c>
      <c r="AK77" s="48">
        <v>126.02805850120899</v>
      </c>
    </row>
    <row r="78" spans="2:37" x14ac:dyDescent="0.4">
      <c r="W78" s="28">
        <f t="shared" si="6"/>
        <v>45609</v>
      </c>
      <c r="X78" s="35">
        <v>3.44E-2</v>
      </c>
      <c r="Y78" s="28">
        <f t="shared" si="7"/>
        <v>45609</v>
      </c>
      <c r="Z78" s="35">
        <v>3.44E-2</v>
      </c>
      <c r="AG78" s="42">
        <v>20311229</v>
      </c>
      <c r="AH78" s="42">
        <v>20320329</v>
      </c>
      <c r="AI78" s="42">
        <v>20320329</v>
      </c>
      <c r="AJ78" s="44">
        <v>2.648759087051163E-2</v>
      </c>
      <c r="AK78" s="48">
        <v>126.09154899816758</v>
      </c>
    </row>
    <row r="79" spans="2:37" x14ac:dyDescent="0.4">
      <c r="W79" s="28">
        <f t="shared" si="6"/>
        <v>45610</v>
      </c>
      <c r="X79" s="35">
        <v>3.44E-2</v>
      </c>
      <c r="Y79" s="28">
        <f t="shared" si="7"/>
        <v>45610</v>
      </c>
      <c r="Z79" s="35">
        <v>3.44E-2</v>
      </c>
      <c r="AG79" s="42">
        <v>20320329</v>
      </c>
      <c r="AH79" s="42">
        <v>20320629</v>
      </c>
      <c r="AI79" s="42">
        <v>20320629</v>
      </c>
      <c r="AJ79" s="44">
        <v>2.6403233295147176E-2</v>
      </c>
      <c r="AK79" s="48">
        <v>127.0519157892351</v>
      </c>
    </row>
    <row r="80" spans="2:37" x14ac:dyDescent="0.4">
      <c r="W80" s="28">
        <f t="shared" si="6"/>
        <v>45611</v>
      </c>
      <c r="X80" s="35">
        <v>3.44E-2</v>
      </c>
      <c r="Y80" s="28">
        <f t="shared" si="7"/>
        <v>45611</v>
      </c>
      <c r="Z80" s="35">
        <v>3.44E-2</v>
      </c>
      <c r="AG80" s="42">
        <v>20320629</v>
      </c>
      <c r="AH80" s="42">
        <v>20320929</v>
      </c>
      <c r="AI80" s="42">
        <v>20320929</v>
      </c>
      <c r="AJ80" s="44">
        <v>2.6457089704063436E-2</v>
      </c>
      <c r="AK80" s="48">
        <v>127.32341111089514</v>
      </c>
    </row>
    <row r="81" spans="23:37" x14ac:dyDescent="0.4">
      <c r="W81" s="28">
        <f t="shared" si="6"/>
        <v>45612</v>
      </c>
      <c r="X81" s="35">
        <v>3.44E-2</v>
      </c>
      <c r="Y81" s="28">
        <f t="shared" si="7"/>
        <v>45612</v>
      </c>
      <c r="Z81" s="35">
        <v>3.44E-2</v>
      </c>
      <c r="AG81" s="42">
        <v>20320929</v>
      </c>
      <c r="AH81" s="42">
        <v>20321229</v>
      </c>
      <c r="AI81" s="42">
        <v>20321229</v>
      </c>
      <c r="AJ81" s="44">
        <v>2.6509693535962546E-2</v>
      </c>
      <c r="AK81" s="48">
        <v>126.20175954918311</v>
      </c>
    </row>
    <row r="82" spans="23:37" x14ac:dyDescent="0.4">
      <c r="W82" s="28">
        <f t="shared" si="6"/>
        <v>45613</v>
      </c>
      <c r="X82" s="35">
        <v>3.44E-2</v>
      </c>
      <c r="Y82" s="28">
        <f t="shared" si="7"/>
        <v>45613</v>
      </c>
      <c r="Z82" s="35">
        <v>3.44E-2</v>
      </c>
      <c r="AG82" s="42">
        <v>20321229</v>
      </c>
      <c r="AH82" s="42">
        <v>20330329</v>
      </c>
      <c r="AI82" s="42">
        <v>20330329</v>
      </c>
      <c r="AJ82" s="44">
        <v>2.6512229585580666E-2</v>
      </c>
      <c r="AK82" s="48">
        <v>124.82743357272656</v>
      </c>
    </row>
    <row r="83" spans="23:37" x14ac:dyDescent="0.4">
      <c r="W83" s="28">
        <f t="shared" si="6"/>
        <v>45614</v>
      </c>
      <c r="X83" s="35">
        <v>3.44E-2</v>
      </c>
      <c r="Y83" s="28">
        <f t="shared" si="7"/>
        <v>45614</v>
      </c>
      <c r="Z83" s="35">
        <v>3.44E-2</v>
      </c>
      <c r="AG83" s="42">
        <v>20330329</v>
      </c>
      <c r="AH83" s="42">
        <v>20330629</v>
      </c>
      <c r="AI83" s="42">
        <v>20330629</v>
      </c>
      <c r="AJ83" s="44">
        <v>2.640664888372456E-2</v>
      </c>
      <c r="AK83" s="48">
        <v>127.06913409877588</v>
      </c>
    </row>
    <row r="84" spans="23:37" x14ac:dyDescent="0.4">
      <c r="W84" s="28">
        <f t="shared" si="6"/>
        <v>45615</v>
      </c>
      <c r="X84" s="35">
        <v>3.44E-2</v>
      </c>
      <c r="Y84" s="28">
        <f t="shared" si="7"/>
        <v>45615</v>
      </c>
      <c r="Z84" s="35">
        <v>3.44E-2</v>
      </c>
      <c r="AG84" s="42">
        <v>20330629</v>
      </c>
      <c r="AH84" s="42">
        <v>20330929</v>
      </c>
      <c r="AI84" s="42">
        <v>20330929</v>
      </c>
      <c r="AJ84" s="44">
        <v>2.6447866678471602E-2</v>
      </c>
      <c r="AK84" s="48">
        <v>127.27691695448699</v>
      </c>
    </row>
    <row r="85" spans="23:37" x14ac:dyDescent="0.4">
      <c r="W85" s="28">
        <f t="shared" si="6"/>
        <v>45616</v>
      </c>
      <c r="X85" s="35">
        <v>3.44E-2</v>
      </c>
      <c r="Y85" s="28">
        <f t="shared" si="7"/>
        <v>45616</v>
      </c>
      <c r="Z85" s="35">
        <v>3.44E-2</v>
      </c>
      <c r="AG85" s="42">
        <v>20330929</v>
      </c>
      <c r="AH85" s="42">
        <v>20331229</v>
      </c>
      <c r="AI85" s="42">
        <v>20331229</v>
      </c>
      <c r="AJ85" s="44">
        <v>2.6487901862819001E-2</v>
      </c>
      <c r="AK85" s="48">
        <v>126.09309969953586</v>
      </c>
    </row>
    <row r="86" spans="23:37" x14ac:dyDescent="0.4">
      <c r="W86" s="28">
        <f t="shared" si="6"/>
        <v>45617</v>
      </c>
      <c r="X86" s="35">
        <v>3.44E-2</v>
      </c>
      <c r="Y86" s="28">
        <f t="shared" si="7"/>
        <v>45617</v>
      </c>
      <c r="Z86" s="35">
        <v>3.44E-2</v>
      </c>
      <c r="AG86" s="42">
        <v>20331229</v>
      </c>
      <c r="AH86" s="42">
        <v>20340329</v>
      </c>
      <c r="AI86" s="42">
        <v>20340329</v>
      </c>
      <c r="AJ86" s="44">
        <v>2.6658552844273872E-2</v>
      </c>
      <c r="AK86" s="48">
        <v>125.54902772518622</v>
      </c>
    </row>
    <row r="87" spans="23:37" x14ac:dyDescent="0.4">
      <c r="W87" s="28">
        <f t="shared" si="6"/>
        <v>45618</v>
      </c>
      <c r="X87" s="35">
        <v>3.44E-2</v>
      </c>
      <c r="Y87" s="28">
        <f t="shared" si="7"/>
        <v>45618</v>
      </c>
      <c r="Z87" s="35">
        <v>3.44E-2</v>
      </c>
      <c r="AG87" s="42">
        <v>20340329</v>
      </c>
      <c r="AH87" s="42">
        <v>20340629</v>
      </c>
      <c r="AI87" s="42">
        <v>20340629</v>
      </c>
      <c r="AJ87" s="44">
        <v>2.7100975484472333E-2</v>
      </c>
      <c r="AK87" s="48">
        <v>130.56930107240848</v>
      </c>
    </row>
    <row r="88" spans="23:37" x14ac:dyDescent="0.4">
      <c r="W88" s="28">
        <f t="shared" si="6"/>
        <v>45619</v>
      </c>
      <c r="X88" s="35">
        <v>3.44E-2</v>
      </c>
      <c r="Y88" s="28">
        <f t="shared" si="7"/>
        <v>45619</v>
      </c>
      <c r="Z88" s="35">
        <v>3.44E-2</v>
      </c>
      <c r="AG88" s="42">
        <v>20340629</v>
      </c>
      <c r="AH88" s="42">
        <v>20340929</v>
      </c>
      <c r="AI88" s="42">
        <v>20340929</v>
      </c>
      <c r="AJ88" s="44">
        <v>2.7170701901002289E-2</v>
      </c>
      <c r="AK88" s="48">
        <v>130.92079862423074</v>
      </c>
    </row>
    <row r="89" spans="23:37" x14ac:dyDescent="0.4">
      <c r="W89" s="28">
        <f t="shared" si="6"/>
        <v>45620</v>
      </c>
      <c r="X89" s="35">
        <v>3.44E-2</v>
      </c>
      <c r="Y89" s="28">
        <f t="shared" si="7"/>
        <v>45620</v>
      </c>
      <c r="Z89" s="35">
        <v>3.44E-2</v>
      </c>
      <c r="AG89" s="42">
        <v>20340929</v>
      </c>
      <c r="AH89" s="42">
        <v>20341229</v>
      </c>
      <c r="AI89" s="42">
        <v>20341229</v>
      </c>
      <c r="AJ89" s="44">
        <v>2.7239036454141087E-2</v>
      </c>
      <c r="AK89" s="48">
        <v>129.83848314119666</v>
      </c>
    </row>
    <row r="90" spans="23:37" x14ac:dyDescent="0.4">
      <c r="W90" s="28">
        <f t="shared" si="6"/>
        <v>45621</v>
      </c>
      <c r="X90" s="35">
        <v>3.44E-2</v>
      </c>
      <c r="Y90" s="28">
        <f t="shared" si="7"/>
        <v>45621</v>
      </c>
      <c r="Z90" s="35">
        <v>3.44E-2</v>
      </c>
      <c r="AG90" s="42">
        <v>20341229</v>
      </c>
      <c r="AH90" s="42">
        <v>20350329</v>
      </c>
      <c r="AI90" s="42">
        <v>20350329</v>
      </c>
      <c r="AJ90" s="44">
        <v>2.7195699246005726E-2</v>
      </c>
      <c r="AK90" s="48">
        <v>128.19796888441181</v>
      </c>
    </row>
    <row r="91" spans="23:37" x14ac:dyDescent="0.4">
      <c r="W91" s="28">
        <f t="shared" si="6"/>
        <v>45622</v>
      </c>
      <c r="X91" s="35">
        <v>3.44E-2</v>
      </c>
      <c r="Y91" s="28">
        <f t="shared" si="7"/>
        <v>45622</v>
      </c>
      <c r="Z91" s="35">
        <v>3.44E-2</v>
      </c>
      <c r="AG91" s="42">
        <v>20350329</v>
      </c>
      <c r="AH91" s="42">
        <v>20350629</v>
      </c>
      <c r="AI91" s="42">
        <v>20350629</v>
      </c>
      <c r="AJ91" s="44">
        <v>2.6948546810657073E-2</v>
      </c>
      <c r="AK91" s="48">
        <v>129.80089351125758</v>
      </c>
    </row>
    <row r="92" spans="23:37" x14ac:dyDescent="0.4">
      <c r="W92" s="28">
        <f t="shared" si="6"/>
        <v>45623</v>
      </c>
      <c r="X92" s="35">
        <v>3.44E-2</v>
      </c>
      <c r="Y92" s="28">
        <f t="shared" si="7"/>
        <v>45623</v>
      </c>
      <c r="Z92" s="35">
        <v>3.44E-2</v>
      </c>
      <c r="AG92" s="42">
        <v>20350629</v>
      </c>
      <c r="AH92" s="42">
        <v>20350928</v>
      </c>
      <c r="AI92" s="42">
        <v>20350928</v>
      </c>
      <c r="AJ92" s="44">
        <v>2.6996195158417176E-2</v>
      </c>
      <c r="AK92" s="48">
        <v>128.62760325566921</v>
      </c>
    </row>
    <row r="93" spans="23:37" x14ac:dyDescent="0.4">
      <c r="W93" s="28">
        <f t="shared" si="6"/>
        <v>45624</v>
      </c>
      <c r="X93" s="35">
        <v>3.44E-2</v>
      </c>
      <c r="Y93" s="28">
        <f t="shared" si="7"/>
        <v>45624</v>
      </c>
      <c r="Z93" s="35">
        <v>3.44E-2</v>
      </c>
      <c r="AG93" s="42">
        <v>20350928</v>
      </c>
      <c r="AH93" s="42">
        <v>20351231</v>
      </c>
      <c r="AI93" s="42">
        <v>20351231</v>
      </c>
      <c r="AJ93" s="44">
        <v>2.7044570848447417E-2</v>
      </c>
      <c r="AK93" s="48">
        <v>133.1172416303593</v>
      </c>
    </row>
    <row r="94" spans="23:37" x14ac:dyDescent="0.4">
      <c r="W94" s="28">
        <f t="shared" si="6"/>
        <v>45625</v>
      </c>
      <c r="X94" s="35">
        <v>3.44E-2</v>
      </c>
      <c r="Y94" s="28">
        <f t="shared" si="7"/>
        <v>45625</v>
      </c>
      <c r="Z94" s="35">
        <v>3.44E-2</v>
      </c>
      <c r="AG94" s="42">
        <v>20351231</v>
      </c>
      <c r="AH94" s="42">
        <v>20360331</v>
      </c>
      <c r="AI94" s="42">
        <v>20360331</v>
      </c>
      <c r="AJ94" s="44">
        <v>2.7094541949967441E-2</v>
      </c>
      <c r="AK94" s="48">
        <v>129.11798999709794</v>
      </c>
    </row>
    <row r="95" spans="23:37" x14ac:dyDescent="0.4">
      <c r="W95" s="28">
        <f t="shared" si="6"/>
        <v>45626</v>
      </c>
      <c r="X95" s="35">
        <v>3.44E-2</v>
      </c>
      <c r="Y95" s="28">
        <f t="shared" si="7"/>
        <v>45626</v>
      </c>
      <c r="Z95" s="35">
        <v>3.44E-2</v>
      </c>
      <c r="AG95" s="42">
        <v>20360331</v>
      </c>
      <c r="AH95" s="42">
        <v>20360630</v>
      </c>
      <c r="AI95" s="42">
        <v>20360630</v>
      </c>
      <c r="AJ95" s="44">
        <v>2.7142918818208756E-2</v>
      </c>
      <c r="AK95" s="48">
        <v>129.35921164147928</v>
      </c>
    </row>
    <row r="96" spans="23:37" x14ac:dyDescent="0.4">
      <c r="W96" s="28">
        <f t="shared" si="6"/>
        <v>45627</v>
      </c>
      <c r="X96" s="35">
        <v>3.44E-2</v>
      </c>
      <c r="Y96" s="28">
        <f t="shared" si="7"/>
        <v>45627</v>
      </c>
      <c r="Z96" s="35">
        <v>3.44E-2</v>
      </c>
      <c r="AG96" s="42">
        <v>20360630</v>
      </c>
      <c r="AH96" s="42">
        <v>20360929</v>
      </c>
      <c r="AI96" s="42">
        <v>20360929</v>
      </c>
      <c r="AJ96" s="44">
        <v>2.7192572672472298E-2</v>
      </c>
      <c r="AK96" s="48">
        <v>129.60680072301255</v>
      </c>
    </row>
    <row r="97" spans="23:37" x14ac:dyDescent="0.4">
      <c r="W97" s="28">
        <f t="shared" si="6"/>
        <v>45628</v>
      </c>
      <c r="X97" s="35">
        <v>3.44E-2</v>
      </c>
      <c r="Y97" s="28">
        <f t="shared" si="7"/>
        <v>45628</v>
      </c>
      <c r="Z97" s="35">
        <v>3.44E-2</v>
      </c>
      <c r="AG97" s="42">
        <v>20360929</v>
      </c>
      <c r="AH97" s="42">
        <v>20361229</v>
      </c>
      <c r="AI97" s="42">
        <v>20361229</v>
      </c>
      <c r="AJ97" s="44">
        <v>2.7239674293382487E-2</v>
      </c>
      <c r="AK97" s="48">
        <v>129.84166359987981</v>
      </c>
    </row>
    <row r="98" spans="23:37" x14ac:dyDescent="0.4">
      <c r="W98" s="28">
        <f t="shared" si="6"/>
        <v>45629</v>
      </c>
      <c r="X98" s="35">
        <v>3.44E-2</v>
      </c>
      <c r="Y98" s="28">
        <f t="shared" si="7"/>
        <v>45629</v>
      </c>
      <c r="Z98" s="35">
        <v>3.44E-2</v>
      </c>
      <c r="AG98" s="42">
        <v>20361229</v>
      </c>
      <c r="AH98" s="42">
        <v>20370330</v>
      </c>
      <c r="AI98" s="42">
        <v>20370330</v>
      </c>
      <c r="AJ98" s="44">
        <v>2.6464339487854559E-2</v>
      </c>
      <c r="AK98" s="48">
        <v>125.97561059697343</v>
      </c>
    </row>
    <row r="99" spans="23:37" x14ac:dyDescent="0.4">
      <c r="W99" s="28">
        <f t="shared" si="6"/>
        <v>45630</v>
      </c>
      <c r="X99" s="35">
        <v>3.44E-2</v>
      </c>
      <c r="Y99" s="28">
        <f t="shared" si="7"/>
        <v>45630</v>
      </c>
      <c r="Z99" s="35">
        <v>3.44E-2</v>
      </c>
      <c r="AG99" s="42">
        <v>20370330</v>
      </c>
      <c r="AH99" s="42">
        <v>20370629</v>
      </c>
      <c r="AI99" s="42">
        <v>20370629</v>
      </c>
      <c r="AJ99" s="44">
        <v>2.426044233717492E-2</v>
      </c>
      <c r="AK99" s="48">
        <v>114.98631521550234</v>
      </c>
    </row>
    <row r="100" spans="23:37" x14ac:dyDescent="0.4">
      <c r="W100" s="28">
        <f t="shared" si="6"/>
        <v>45631</v>
      </c>
      <c r="X100" s="35">
        <v>3.44E-2</v>
      </c>
      <c r="Y100" s="28">
        <f t="shared" si="7"/>
        <v>45631</v>
      </c>
      <c r="Z100" s="35">
        <v>3.44E-2</v>
      </c>
      <c r="AG100" s="42">
        <v>20370629</v>
      </c>
      <c r="AH100" s="42">
        <v>20370929</v>
      </c>
      <c r="AI100" s="42">
        <v>20370929</v>
      </c>
      <c r="AJ100" s="44">
        <v>2.4185092748899101E-2</v>
      </c>
      <c r="AK100" s="48">
        <v>115.87005659718999</v>
      </c>
    </row>
    <row r="101" spans="23:37" x14ac:dyDescent="0.4">
      <c r="W101" s="28">
        <f t="shared" ref="W101:W132" si="8">W100+1</f>
        <v>45632</v>
      </c>
      <c r="X101" s="35">
        <v>3.44E-2</v>
      </c>
      <c r="Y101" s="28">
        <f t="shared" ref="Y101:Y132" si="9">Y100+1</f>
        <v>45632</v>
      </c>
      <c r="Z101" s="35">
        <v>3.44E-2</v>
      </c>
      <c r="AG101" s="42">
        <v>20370929</v>
      </c>
      <c r="AH101" s="42">
        <v>20371229</v>
      </c>
      <c r="AI101" s="42">
        <v>20371229</v>
      </c>
      <c r="AJ101" s="44">
        <v>2.4108535965133064E-2</v>
      </c>
      <c r="AK101" s="48">
        <v>114.22886426449912</v>
      </c>
    </row>
    <row r="102" spans="23:37" x14ac:dyDescent="0.4">
      <c r="W102" s="28">
        <f t="shared" si="8"/>
        <v>45633</v>
      </c>
      <c r="X102" s="35">
        <v>3.44E-2</v>
      </c>
      <c r="Y102" s="28">
        <f t="shared" si="9"/>
        <v>45633</v>
      </c>
      <c r="Z102" s="35">
        <v>3.44E-2</v>
      </c>
      <c r="AG102" s="42">
        <v>20371229</v>
      </c>
      <c r="AH102" s="42">
        <v>20380329</v>
      </c>
      <c r="AI102" s="42">
        <v>20380329</v>
      </c>
      <c r="AJ102" s="44">
        <v>2.4032818485730273E-2</v>
      </c>
      <c r="AK102" s="48">
        <v>112.60020075154654</v>
      </c>
    </row>
    <row r="103" spans="23:37" x14ac:dyDescent="0.4">
      <c r="W103" s="28">
        <f t="shared" si="8"/>
        <v>45634</v>
      </c>
      <c r="X103" s="35">
        <v>3.44E-2</v>
      </c>
      <c r="Y103" s="28">
        <f t="shared" si="9"/>
        <v>45634</v>
      </c>
      <c r="Z103" s="35">
        <v>3.44E-2</v>
      </c>
      <c r="AG103" s="42">
        <v>20380329</v>
      </c>
      <c r="AH103" s="42">
        <v>20380629</v>
      </c>
      <c r="AI103" s="42">
        <v>20380629</v>
      </c>
      <c r="AJ103" s="44">
        <v>2.3959052518115486E-2</v>
      </c>
      <c r="AK103" s="48">
        <v>114.73056611871917</v>
      </c>
    </row>
    <row r="104" spans="23:37" x14ac:dyDescent="0.4">
      <c r="W104" s="28">
        <f t="shared" si="8"/>
        <v>45635</v>
      </c>
      <c r="X104" s="35">
        <v>3.44E-2</v>
      </c>
      <c r="Y104" s="28">
        <f t="shared" si="9"/>
        <v>45635</v>
      </c>
      <c r="Z104" s="35">
        <v>3.44E-2</v>
      </c>
      <c r="AG104" s="42">
        <v>20380629</v>
      </c>
      <c r="AH104" s="42">
        <v>20380929</v>
      </c>
      <c r="AI104" s="42">
        <v>20380929</v>
      </c>
      <c r="AJ104" s="44">
        <v>2.3882880672079238E-2</v>
      </c>
      <c r="AK104" s="48">
        <v>114.34657653870082</v>
      </c>
    </row>
    <row r="105" spans="23:37" x14ac:dyDescent="0.4">
      <c r="W105" s="28">
        <f t="shared" si="8"/>
        <v>45636</v>
      </c>
      <c r="X105" s="35">
        <v>3.44E-2</v>
      </c>
      <c r="Y105" s="28">
        <f t="shared" si="9"/>
        <v>45636</v>
      </c>
      <c r="Z105" s="35">
        <v>3.44E-2</v>
      </c>
      <c r="AG105" s="42">
        <v>20380929</v>
      </c>
      <c r="AH105" s="42">
        <v>20381229</v>
      </c>
      <c r="AI105" s="42">
        <v>20381229</v>
      </c>
      <c r="AJ105" s="44">
        <v>2.3806349400665415E-2</v>
      </c>
      <c r="AK105" s="48">
        <v>112.72207098413988</v>
      </c>
    </row>
    <row r="106" spans="23:37" x14ac:dyDescent="0.4">
      <c r="W106" s="28">
        <f t="shared" si="8"/>
        <v>45637</v>
      </c>
      <c r="X106" s="35">
        <v>3.44E-2</v>
      </c>
      <c r="Y106" s="28">
        <f t="shared" si="9"/>
        <v>45637</v>
      </c>
      <c r="Z106" s="35">
        <v>3.44E-2</v>
      </c>
      <c r="AG106" s="42">
        <v>20381229</v>
      </c>
      <c r="AH106" s="42">
        <v>20390329</v>
      </c>
      <c r="AI106" s="42">
        <v>20390329</v>
      </c>
      <c r="AJ106" s="44">
        <v>2.3730657245467943E-2</v>
      </c>
      <c r="AK106" s="48">
        <v>111.11009052559533</v>
      </c>
    </row>
    <row r="107" spans="23:37" x14ac:dyDescent="0.4">
      <c r="W107" s="28">
        <f t="shared" si="8"/>
        <v>45638</v>
      </c>
      <c r="X107" s="35">
        <v>3.44E-2</v>
      </c>
      <c r="Y107" s="28">
        <f t="shared" si="9"/>
        <v>45638</v>
      </c>
      <c r="Z107" s="35">
        <v>3.44E-2</v>
      </c>
      <c r="AG107" s="42">
        <v>20390329</v>
      </c>
      <c r="AH107" s="42">
        <v>20390629</v>
      </c>
      <c r="AI107" s="42">
        <v>20390629</v>
      </c>
      <c r="AJ107" s="44">
        <v>2.365685755535709E-2</v>
      </c>
      <c r="AK107" s="48">
        <v>113.20717233385493</v>
      </c>
    </row>
    <row r="108" spans="23:37" x14ac:dyDescent="0.4">
      <c r="W108" s="28">
        <f t="shared" si="8"/>
        <v>45639</v>
      </c>
      <c r="X108" s="35">
        <v>3.44E-2</v>
      </c>
      <c r="Y108" s="28">
        <f t="shared" si="9"/>
        <v>45639</v>
      </c>
      <c r="Z108" s="35">
        <v>3.44E-2</v>
      </c>
      <c r="AG108" s="42">
        <v>20390629</v>
      </c>
      <c r="AH108" s="42">
        <v>20390929</v>
      </c>
      <c r="AI108" s="42">
        <v>20390929</v>
      </c>
      <c r="AJ108" s="44">
        <v>2.3580691476479412E-2</v>
      </c>
      <c r="AK108" s="48">
        <v>112.82321182663595</v>
      </c>
    </row>
    <row r="109" spans="23:37" x14ac:dyDescent="0.4">
      <c r="W109" s="28">
        <f t="shared" si="8"/>
        <v>45640</v>
      </c>
      <c r="X109" s="35">
        <v>3.44E-2</v>
      </c>
      <c r="Y109" s="28">
        <f t="shared" si="9"/>
        <v>45640</v>
      </c>
      <c r="Z109" s="35">
        <v>3.44E-2</v>
      </c>
      <c r="AG109" s="42">
        <v>20390929</v>
      </c>
      <c r="AH109" s="42">
        <v>20391229</v>
      </c>
      <c r="AI109" s="42">
        <v>20391229</v>
      </c>
      <c r="AJ109" s="44">
        <v>2.3504185466809879E-2</v>
      </c>
      <c r="AK109" s="48">
        <v>111.21539054683282</v>
      </c>
    </row>
    <row r="110" spans="23:37" x14ac:dyDescent="0.4">
      <c r="W110" s="28">
        <f t="shared" si="8"/>
        <v>45641</v>
      </c>
      <c r="X110" s="35">
        <v>3.44E-2</v>
      </c>
      <c r="Y110" s="28">
        <f t="shared" si="9"/>
        <v>45641</v>
      </c>
      <c r="Z110" s="35">
        <v>3.44E-2</v>
      </c>
      <c r="AG110" s="42">
        <v>20391229</v>
      </c>
      <c r="AH110" s="42">
        <v>20400329</v>
      </c>
      <c r="AI110" s="42">
        <v>20400329</v>
      </c>
      <c r="AJ110" s="44">
        <v>2.2946827529350563E-2</v>
      </c>
      <c r="AK110" s="48">
        <v>108.43623589977541</v>
      </c>
    </row>
    <row r="111" spans="23:37" x14ac:dyDescent="0.4">
      <c r="W111" s="28">
        <f t="shared" si="8"/>
        <v>45642</v>
      </c>
      <c r="X111" s="35">
        <v>3.44E-2</v>
      </c>
      <c r="Y111" s="28">
        <f t="shared" si="9"/>
        <v>45642</v>
      </c>
      <c r="Z111" s="35">
        <v>3.44E-2</v>
      </c>
      <c r="AG111" s="42">
        <v>20400329</v>
      </c>
      <c r="AH111" s="42">
        <v>20400629</v>
      </c>
      <c r="AI111" s="42">
        <v>20400629</v>
      </c>
      <c r="AJ111" s="44">
        <v>2.1487891538498099E-2</v>
      </c>
      <c r="AK111" s="48">
        <v>102.27320665982604</v>
      </c>
    </row>
    <row r="112" spans="23:37" x14ac:dyDescent="0.4">
      <c r="W112" s="28">
        <f t="shared" si="8"/>
        <v>45643</v>
      </c>
      <c r="X112" s="35">
        <v>3.44E-2</v>
      </c>
      <c r="Y112" s="28">
        <f t="shared" si="9"/>
        <v>45643</v>
      </c>
      <c r="Z112" s="35">
        <v>3.44E-2</v>
      </c>
      <c r="AG112" s="42">
        <v>20400629</v>
      </c>
      <c r="AH112" s="42">
        <v>20400928</v>
      </c>
      <c r="AI112" s="42">
        <v>20400928</v>
      </c>
      <c r="AJ112" s="44">
        <v>2.1350812917517448E-2</v>
      </c>
      <c r="AK112" s="48">
        <v>100.47802605447058</v>
      </c>
    </row>
    <row r="113" spans="23:37" x14ac:dyDescent="0.4">
      <c r="W113" s="28">
        <f t="shared" si="8"/>
        <v>45644</v>
      </c>
      <c r="X113" s="35">
        <v>3.44E-2</v>
      </c>
      <c r="Y113" s="28">
        <f t="shared" si="9"/>
        <v>45644</v>
      </c>
      <c r="Z113" s="35">
        <v>3.44E-2</v>
      </c>
      <c r="AG113" s="42">
        <v>20400928</v>
      </c>
      <c r="AH113" s="42">
        <v>20401231</v>
      </c>
      <c r="AI113" s="42">
        <v>20401231</v>
      </c>
      <c r="AJ113" s="44">
        <v>2.1215115844165564E-2</v>
      </c>
      <c r="AK113" s="48">
        <v>103.09155558090757</v>
      </c>
    </row>
    <row r="114" spans="23:37" x14ac:dyDescent="0.4">
      <c r="W114" s="28">
        <f t="shared" si="8"/>
        <v>45645</v>
      </c>
      <c r="X114" s="35">
        <v>3.44E-2</v>
      </c>
      <c r="Y114" s="28">
        <f t="shared" si="9"/>
        <v>45645</v>
      </c>
      <c r="Z114" s="35">
        <v>3.44E-2</v>
      </c>
      <c r="AG114" s="42">
        <v>20401231</v>
      </c>
      <c r="AH114" s="42">
        <v>20410329</v>
      </c>
      <c r="AI114" s="42">
        <v>20410329</v>
      </c>
      <c r="AJ114" s="44">
        <v>2.1075364304538585E-2</v>
      </c>
      <c r="AK114" s="48">
        <v>95.837373084898374</v>
      </c>
    </row>
    <row r="115" spans="23:37" x14ac:dyDescent="0.4">
      <c r="W115" s="28">
        <f t="shared" si="8"/>
        <v>45646</v>
      </c>
      <c r="X115" s="35">
        <v>3.44E-2</v>
      </c>
      <c r="Y115" s="28">
        <f t="shared" si="9"/>
        <v>45646</v>
      </c>
      <c r="Z115" s="35">
        <v>3.44E-2</v>
      </c>
      <c r="AG115" s="42">
        <v>20410329</v>
      </c>
      <c r="AH115" s="42">
        <v>20410628</v>
      </c>
      <c r="AI115" s="42">
        <v>20410628</v>
      </c>
      <c r="AJ115" s="44">
        <v>2.0943735396822517E-2</v>
      </c>
      <c r="AK115" s="48">
        <v>98.448214855388997</v>
      </c>
    </row>
    <row r="116" spans="23:37" x14ac:dyDescent="0.4">
      <c r="W116" s="28">
        <f t="shared" si="8"/>
        <v>45647</v>
      </c>
      <c r="X116" s="35">
        <v>3.44E-2</v>
      </c>
      <c r="Y116" s="28">
        <f t="shared" si="9"/>
        <v>45647</v>
      </c>
      <c r="Z116" s="35">
        <v>3.44E-2</v>
      </c>
      <c r="AG116" s="42">
        <v>20410628</v>
      </c>
      <c r="AH116" s="42">
        <v>20410930</v>
      </c>
      <c r="AI116" s="42">
        <v>20410930</v>
      </c>
      <c r="AJ116" s="44">
        <v>2.080759152160996E-2</v>
      </c>
      <c r="AK116" s="48">
        <v>100.99252619349788</v>
      </c>
    </row>
    <row r="117" spans="23:37" x14ac:dyDescent="0.4">
      <c r="W117" s="28">
        <f t="shared" si="8"/>
        <v>45648</v>
      </c>
      <c r="X117" s="35">
        <v>3.44E-2</v>
      </c>
      <c r="Y117" s="28">
        <f t="shared" si="9"/>
        <v>45648</v>
      </c>
      <c r="Z117" s="35">
        <v>3.44E-2</v>
      </c>
      <c r="AG117" s="42">
        <v>20410930</v>
      </c>
      <c r="AH117" s="42">
        <v>20411230</v>
      </c>
      <c r="AI117" s="42">
        <v>20411230</v>
      </c>
      <c r="AJ117" s="44">
        <v>2.0667900364264115E-2</v>
      </c>
      <c r="AK117" s="48">
        <v>97.072818254686823</v>
      </c>
    </row>
    <row r="118" spans="23:37" x14ac:dyDescent="0.4">
      <c r="W118" s="28">
        <f t="shared" si="8"/>
        <v>45649</v>
      </c>
      <c r="X118" s="35">
        <v>3.44E-2</v>
      </c>
      <c r="Y118" s="28">
        <f t="shared" si="9"/>
        <v>45649</v>
      </c>
      <c r="Z118" s="35">
        <v>3.44E-2</v>
      </c>
      <c r="AG118" s="42">
        <v>20411230</v>
      </c>
      <c r="AH118" s="42">
        <v>20420331</v>
      </c>
      <c r="AI118" s="42">
        <v>20420331</v>
      </c>
      <c r="AJ118" s="44">
        <v>2.0532226272417593E-2</v>
      </c>
      <c r="AK118" s="48">
        <v>96.396306344657589</v>
      </c>
    </row>
    <row r="119" spans="23:37" x14ac:dyDescent="0.4">
      <c r="W119" s="28">
        <f t="shared" si="8"/>
        <v>45650</v>
      </c>
      <c r="X119" s="35">
        <v>3.44E-2</v>
      </c>
      <c r="Y119" s="28">
        <f t="shared" si="9"/>
        <v>45650</v>
      </c>
      <c r="Z119" s="35">
        <v>3.44E-2</v>
      </c>
      <c r="AG119" s="42">
        <v>20420331</v>
      </c>
      <c r="AH119" s="42">
        <v>20420630</v>
      </c>
      <c r="AI119" s="42">
        <v>20420630</v>
      </c>
      <c r="AJ119" s="44">
        <v>2.0396556746301569E-2</v>
      </c>
      <c r="AK119" s="48">
        <v>95.719817200736586</v>
      </c>
    </row>
    <row r="120" spans="23:37" x14ac:dyDescent="0.4">
      <c r="W120" s="28">
        <f t="shared" si="8"/>
        <v>45651</v>
      </c>
      <c r="X120" s="35">
        <v>3.44E-2</v>
      </c>
      <c r="Y120" s="28">
        <f t="shared" si="9"/>
        <v>45651</v>
      </c>
      <c r="Z120" s="35">
        <v>3.44E-2</v>
      </c>
      <c r="AG120" s="42">
        <v>20420630</v>
      </c>
      <c r="AH120" s="42">
        <v>20420926</v>
      </c>
      <c r="AI120" s="42">
        <v>20420926</v>
      </c>
      <c r="AJ120" s="44">
        <v>2.0261443537948818E-2</v>
      </c>
      <c r="AK120" s="48">
        <v>91.912714045999778</v>
      </c>
    </row>
    <row r="121" spans="23:37" x14ac:dyDescent="0.4">
      <c r="W121" s="28">
        <f t="shared" si="8"/>
        <v>45652</v>
      </c>
      <c r="X121" s="35">
        <v>3.44E-2</v>
      </c>
      <c r="Y121" s="28">
        <f t="shared" si="9"/>
        <v>45652</v>
      </c>
      <c r="Z121" s="35">
        <v>3.44E-2</v>
      </c>
      <c r="AG121" s="42">
        <v>20420926</v>
      </c>
      <c r="AH121" s="42">
        <v>20421229</v>
      </c>
      <c r="AI121" s="42">
        <v>20421229</v>
      </c>
      <c r="AJ121" s="44">
        <v>2.0129703638592473E-2</v>
      </c>
      <c r="AK121" s="48">
        <v>97.500939289188636</v>
      </c>
    </row>
    <row r="122" spans="23:37" x14ac:dyDescent="0.4">
      <c r="W122" s="28">
        <f t="shared" si="8"/>
        <v>45653</v>
      </c>
      <c r="X122" s="35">
        <v>3.44E-2</v>
      </c>
      <c r="Y122" s="28">
        <f t="shared" si="9"/>
        <v>45653</v>
      </c>
      <c r="Z122" s="35">
        <v>3.44E-2</v>
      </c>
      <c r="AG122" s="42">
        <v>20421229</v>
      </c>
      <c r="AH122" s="42">
        <v>20430330</v>
      </c>
      <c r="AI122" s="42">
        <v>20430330</v>
      </c>
      <c r="AJ122" s="44">
        <v>1.9989575560800263E-2</v>
      </c>
      <c r="AK122" s="48">
        <v>93.690486357962953</v>
      </c>
    </row>
    <row r="123" spans="23:37" x14ac:dyDescent="0.4">
      <c r="W123" s="28">
        <f t="shared" si="8"/>
        <v>45654</v>
      </c>
      <c r="X123" s="35">
        <v>3.44E-2</v>
      </c>
      <c r="Y123" s="28">
        <f t="shared" si="9"/>
        <v>45654</v>
      </c>
      <c r="Z123" s="35">
        <v>3.44E-2</v>
      </c>
      <c r="AG123" s="42">
        <v>20430330</v>
      </c>
      <c r="AH123" s="42">
        <v>20430629</v>
      </c>
      <c r="AI123" s="42">
        <v>20430629</v>
      </c>
      <c r="AJ123" s="44">
        <v>1.9853718022929134E-2</v>
      </c>
      <c r="AK123" s="48">
        <v>93.013059730769939</v>
      </c>
    </row>
    <row r="124" spans="23:37" x14ac:dyDescent="0.4">
      <c r="W124" s="28">
        <f t="shared" si="8"/>
        <v>45655</v>
      </c>
      <c r="X124" s="35">
        <v>3.44E-2</v>
      </c>
      <c r="Y124" s="28">
        <f t="shared" si="9"/>
        <v>45655</v>
      </c>
      <c r="Z124" s="35">
        <v>3.44E-2</v>
      </c>
      <c r="AG124" s="42">
        <v>20430629</v>
      </c>
      <c r="AH124" s="42">
        <v>20430929</v>
      </c>
      <c r="AI124" s="42">
        <v>20430929</v>
      </c>
      <c r="AJ124" s="44">
        <v>1.9718064013195445E-2</v>
      </c>
      <c r="AK124" s="48">
        <v>93.351336395286637</v>
      </c>
    </row>
    <row r="125" spans="23:37" x14ac:dyDescent="0.4">
      <c r="W125" s="28">
        <f t="shared" si="8"/>
        <v>45656</v>
      </c>
      <c r="X125" s="35">
        <v>3.44E-2</v>
      </c>
      <c r="Y125" s="28">
        <f t="shared" si="9"/>
        <v>45656</v>
      </c>
      <c r="Z125" s="35">
        <v>3.44E-2</v>
      </c>
      <c r="AG125" s="42">
        <v>20430929</v>
      </c>
      <c r="AH125" s="42">
        <v>20431229</v>
      </c>
      <c r="AI125" s="42">
        <v>20431229</v>
      </c>
      <c r="AJ125" s="44">
        <v>1.9581144913787089E-2</v>
      </c>
      <c r="AK125" s="48">
        <v>91.653928063267131</v>
      </c>
    </row>
    <row r="126" spans="23:37" x14ac:dyDescent="0.4">
      <c r="W126" s="28">
        <f t="shared" si="8"/>
        <v>45657</v>
      </c>
      <c r="X126" s="35">
        <v>3.44E-2</v>
      </c>
      <c r="Y126" s="28">
        <f t="shared" si="9"/>
        <v>45657</v>
      </c>
      <c r="Z126" s="35">
        <v>3.44E-2</v>
      </c>
      <c r="AG126" s="42">
        <v>20431229</v>
      </c>
      <c r="AH126" s="42">
        <v>20440329</v>
      </c>
      <c r="AI126" s="42">
        <v>20440329</v>
      </c>
      <c r="AJ126" s="44">
        <v>1.9445507393644264E-2</v>
      </c>
      <c r="AK126" s="48">
        <v>90.977598510774143</v>
      </c>
    </row>
    <row r="127" spans="23:37" x14ac:dyDescent="0.4">
      <c r="W127" s="28">
        <f t="shared" si="8"/>
        <v>45658</v>
      </c>
      <c r="X127" s="35">
        <v>3.44E-2</v>
      </c>
      <c r="Y127" s="28">
        <f t="shared" si="9"/>
        <v>45658</v>
      </c>
      <c r="Z127" s="35">
        <v>3.44E-2</v>
      </c>
      <c r="AG127" s="42">
        <v>20440329</v>
      </c>
      <c r="AH127" s="42">
        <v>20440629</v>
      </c>
      <c r="AI127" s="42">
        <v>20440629</v>
      </c>
      <c r="AJ127" s="44">
        <v>1.9309639149058103E-2</v>
      </c>
      <c r="AK127" s="48">
        <v>91.292427491142234</v>
      </c>
    </row>
    <row r="128" spans="23:37" x14ac:dyDescent="0.4">
      <c r="W128" s="28">
        <f t="shared" si="8"/>
        <v>45659</v>
      </c>
      <c r="X128" s="35">
        <v>3.44E-2</v>
      </c>
      <c r="Y128" s="28">
        <f t="shared" si="9"/>
        <v>45659</v>
      </c>
      <c r="Z128" s="35">
        <v>3.44E-2</v>
      </c>
      <c r="AG128" s="42">
        <v>20440629</v>
      </c>
      <c r="AH128" s="42">
        <v>20440929</v>
      </c>
      <c r="AI128" s="42">
        <v>20440929</v>
      </c>
      <c r="AJ128" s="44">
        <v>1.9172513175614518E-2</v>
      </c>
      <c r="AK128" s="48">
        <v>90.601162309947171</v>
      </c>
    </row>
    <row r="129" spans="23:37" x14ac:dyDescent="0.4">
      <c r="W129" s="28">
        <f t="shared" si="8"/>
        <v>45660</v>
      </c>
      <c r="X129" s="35">
        <v>3.44E-2</v>
      </c>
      <c r="Y129" s="28">
        <f t="shared" si="9"/>
        <v>45660</v>
      </c>
      <c r="Z129" s="35">
        <v>3.44E-2</v>
      </c>
      <c r="AG129" s="42">
        <v>20440929</v>
      </c>
      <c r="AH129" s="42">
        <v>20441229</v>
      </c>
      <c r="AI129" s="42">
        <v>20441229</v>
      </c>
      <c r="AJ129" s="44">
        <v>1.9035641527401316E-2</v>
      </c>
      <c r="AK129" s="48">
        <v>88.933883780466843</v>
      </c>
    </row>
    <row r="130" spans="23:37" x14ac:dyDescent="0.4">
      <c r="W130" s="28">
        <f t="shared" si="8"/>
        <v>45661</v>
      </c>
      <c r="X130" s="35">
        <v>3.44E-2</v>
      </c>
      <c r="Y130" s="28">
        <f t="shared" si="9"/>
        <v>45661</v>
      </c>
      <c r="Z130" s="35">
        <v>3.44E-2</v>
      </c>
      <c r="AG130" s="42">
        <v>20441229</v>
      </c>
      <c r="AH130" s="42">
        <v>20450329</v>
      </c>
      <c r="AI130" s="42">
        <v>20450329</v>
      </c>
      <c r="AJ130" s="44">
        <v>1.8473849040249662E-2</v>
      </c>
      <c r="AK130" s="48">
        <v>85.186104856025736</v>
      </c>
    </row>
    <row r="131" spans="23:37" x14ac:dyDescent="0.4">
      <c r="W131" s="28">
        <f t="shared" si="8"/>
        <v>45662</v>
      </c>
      <c r="X131" s="35">
        <v>3.44E-2</v>
      </c>
      <c r="Y131" s="28">
        <f t="shared" si="9"/>
        <v>45662</v>
      </c>
      <c r="Z131" s="35">
        <v>3.44E-2</v>
      </c>
      <c r="AG131" s="42">
        <v>20450329</v>
      </c>
      <c r="AH131" s="42">
        <v>20450629</v>
      </c>
      <c r="AI131" s="42">
        <v>20450629</v>
      </c>
      <c r="AJ131" s="44">
        <v>1.7070970850858742E-2</v>
      </c>
      <c r="AK131" s="48">
        <v>80.007085933096135</v>
      </c>
    </row>
    <row r="132" spans="23:37" x14ac:dyDescent="0.4">
      <c r="W132" s="28">
        <f t="shared" si="8"/>
        <v>45663</v>
      </c>
      <c r="X132" s="35">
        <v>3.44E-2</v>
      </c>
      <c r="Y132" s="28">
        <f t="shared" si="9"/>
        <v>45663</v>
      </c>
      <c r="Z132" s="35">
        <v>3.44E-2</v>
      </c>
      <c r="AG132" s="42">
        <v>20450629</v>
      </c>
      <c r="AH132" s="42">
        <v>20450929</v>
      </c>
      <c r="AI132" s="42">
        <v>20450929</v>
      </c>
      <c r="AJ132" s="44">
        <v>1.6892049553072348E-2</v>
      </c>
      <c r="AK132" s="48">
        <v>79.105126514118155</v>
      </c>
    </row>
    <row r="133" spans="23:37" x14ac:dyDescent="0.4">
      <c r="AG133" s="42">
        <v>20450929</v>
      </c>
      <c r="AH133" s="42">
        <v>20451229</v>
      </c>
      <c r="AI133" s="42">
        <v>20451229</v>
      </c>
      <c r="AJ133" s="44">
        <v>1.6713726477894115E-2</v>
      </c>
      <c r="AK133" s="48">
        <v>77.356115588403526</v>
      </c>
    </row>
    <row r="134" spans="23:37" x14ac:dyDescent="0.4">
      <c r="AG134" s="42">
        <v>20451229</v>
      </c>
      <c r="AH134" s="42">
        <v>20460329</v>
      </c>
      <c r="AI134" s="42">
        <v>20460329</v>
      </c>
      <c r="AJ134" s="44">
        <v>1.6537371939813285E-2</v>
      </c>
      <c r="AK134" s="48">
        <v>75.636354771681951</v>
      </c>
    </row>
    <row r="135" spans="23:37" x14ac:dyDescent="0.4">
      <c r="AG135" s="42">
        <v>20460329</v>
      </c>
      <c r="AH135" s="42">
        <v>20460629</v>
      </c>
      <c r="AI135" s="42">
        <v>20460629</v>
      </c>
      <c r="AJ135" s="44">
        <v>1.6361167342267793E-2</v>
      </c>
      <c r="AK135" s="48">
        <v>76.428898382939025</v>
      </c>
    </row>
    <row r="136" spans="23:37" x14ac:dyDescent="0.4">
      <c r="AG136" s="42">
        <v>20460629</v>
      </c>
      <c r="AH136" s="42">
        <v>20460928</v>
      </c>
      <c r="AI136" s="42">
        <v>20460928</v>
      </c>
      <c r="AJ136" s="44">
        <v>1.6182891849740862E-2</v>
      </c>
      <c r="AK136" s="48">
        <v>74.709214154872242</v>
      </c>
    </row>
  </sheetData>
  <mergeCells count="146"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2025-05-18T13:47:23Z</dcterms:modified>
</cp:coreProperties>
</file>