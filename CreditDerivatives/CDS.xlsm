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V4" i="1"/>
  <c r="AW4" i="1" s="1"/>
  <c r="AK12" i="1" l="1"/>
  <c r="AK11" i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<sst xmlns="http://schemas.openxmlformats.org/spreadsheetml/2006/main" count="68" uniqueCount="49">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</sst>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90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 applyAlignment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 applyAlignment="1">
      <alignment vertical="center"/>
    </xf>
    <xf numFmtId="14" fontId="14" fillId="5" borderId="3" xfId="0" applyNumberFormat="1" applyFont="1" applyFill="1" applyBorder="1">
      <alignment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90" fontId="6" fillId="9" borderId="3" xfId="1" applyNumberFormat="1" applyFont="1" applyFill="1" applyBorder="1" applyAlignment="1"/>
    <xf numFmtId="190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  <xf numFmtId="183" fontId="14" fillId="9" borderId="3" xfId="1" applyNumberFormat="1" applyFont="1" applyFill="1" applyBorder="1" applyAlignment="1">
      <alignment horizontal="right" vertical="center"/>
    </xf>
    <xf numFmtId="184" fontId="14" fillId="9" borderId="3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517"/>
  <sheetViews>
    <sheetView tabSelected="1" zoomScale="80" zoomScaleNormal="80" workbookViewId="0">
      <selection activeCell="AG10" sqref="AG10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67"/>
    <col min="49" max="49" width="11.8984375" style="69"/>
    <col min="50" max="50" width="11.8984375" style="67"/>
    <col min="51" max="51" width="11.8984375" style="69"/>
    <col min="52" max="16384" width="11.8984375" style="1"/>
  </cols>
  <sheetData>
    <row r="1" spans="1:49" s="1" customFormat="1" ht="16.5" customHeight="1" x14ac:dyDescent="0.4">
      <c r="A1" s="60" t="s">
        <v>6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</row>
    <row r="2" spans="1:49" s="1" customFormat="1" ht="16.5" customHeight="1" x14ac:dyDescent="0.4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</row>
    <row r="3" spans="1:49" s="1" customFormat="1" ht="16.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41" t="s">
        <v>0</v>
      </c>
      <c r="G6" s="42"/>
      <c r="H6" s="42"/>
      <c r="I6" s="42"/>
      <c r="N6" s="41" t="s">
        <v>1</v>
      </c>
      <c r="O6" s="42"/>
      <c r="P6" s="42"/>
      <c r="Q6" s="42"/>
      <c r="S6" s="42" t="s">
        <v>7</v>
      </c>
      <c r="T6" s="42"/>
      <c r="U6" s="42"/>
      <c r="V6" s="42"/>
      <c r="W6" s="42"/>
      <c r="X6" s="42"/>
      <c r="Y6" s="42"/>
      <c r="Z6" s="42"/>
      <c r="AE6" s="42" t="s">
        <v>17</v>
      </c>
      <c r="AF6" s="42"/>
      <c r="AG6" s="42"/>
      <c r="AH6" s="42"/>
      <c r="AI6" s="42"/>
      <c r="AJ6" s="42"/>
      <c r="AK6" s="42"/>
      <c r="AL6" s="42"/>
      <c r="AN6" s="43" t="s">
        <v>23</v>
      </c>
      <c r="AO6" s="43"/>
      <c r="AP6" s="43"/>
      <c r="AQ6" s="43"/>
      <c r="AR6" s="43"/>
      <c r="AS6" s="43"/>
      <c r="AT6" s="43"/>
      <c r="AU6" s="43"/>
    </row>
    <row r="7" spans="1:49" s="1" customFormat="1" ht="16.5" customHeight="1" x14ac:dyDescent="0.4">
      <c r="A7" s="26">
        <f t="shared" ref="A7:A70" si="3">A6+1</f>
        <v>7</v>
      </c>
      <c r="F7" s="43"/>
      <c r="G7" s="43"/>
      <c r="H7" s="43"/>
      <c r="I7" s="43"/>
      <c r="N7" s="43"/>
      <c r="O7" s="43"/>
      <c r="P7" s="43"/>
      <c r="Q7" s="43"/>
      <c r="S7" s="43"/>
      <c r="T7" s="43"/>
      <c r="U7" s="43"/>
      <c r="V7" s="43"/>
      <c r="W7" s="43"/>
      <c r="X7" s="43"/>
      <c r="Y7" s="43"/>
      <c r="Z7" s="43"/>
      <c r="AE7" s="43"/>
      <c r="AF7" s="43"/>
      <c r="AG7" s="43"/>
      <c r="AH7" s="43"/>
      <c r="AI7" s="43"/>
      <c r="AJ7" s="43"/>
      <c r="AK7" s="43"/>
      <c r="AL7" s="43"/>
      <c r="AN7" s="43"/>
      <c r="AO7" s="43"/>
      <c r="AP7" s="43"/>
      <c r="AQ7" s="43"/>
      <c r="AR7" s="43"/>
      <c r="AS7" s="43"/>
      <c r="AT7" s="43"/>
      <c r="AU7" s="43"/>
    </row>
    <row r="8" spans="1:49" s="1" customFormat="1" ht="17.25" customHeight="1" thickBot="1" x14ac:dyDescent="0.45">
      <c r="A8" s="26">
        <f t="shared" si="3"/>
        <v>8</v>
      </c>
      <c r="F8" s="44"/>
      <c r="G8" s="44"/>
      <c r="H8" s="44"/>
      <c r="I8" s="44"/>
      <c r="N8" s="44"/>
      <c r="O8" s="44"/>
      <c r="P8" s="44"/>
      <c r="Q8" s="44"/>
      <c r="S8" s="44"/>
      <c r="T8" s="44"/>
      <c r="U8" s="44"/>
      <c r="V8" s="44"/>
      <c r="W8" s="44"/>
      <c r="X8" s="44"/>
      <c r="Y8" s="44"/>
      <c r="Z8" s="44"/>
      <c r="AE8" s="44"/>
      <c r="AF8" s="44"/>
      <c r="AG8" s="44"/>
      <c r="AH8" s="44"/>
      <c r="AI8" s="44"/>
      <c r="AJ8" s="44"/>
      <c r="AK8" s="44"/>
      <c r="AL8" s="44"/>
      <c r="AN8" s="43"/>
      <c r="AO8" s="43"/>
      <c r="AP8" s="43"/>
      <c r="AQ8" s="43"/>
      <c r="AR8" s="43"/>
      <c r="AS8" s="43"/>
      <c r="AT8" s="43"/>
      <c r="AU8" s="43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40" t="s">
        <v>2</v>
      </c>
      <c r="H10" s="40"/>
      <c r="I10" s="40"/>
      <c r="O10" s="40" t="s">
        <v>2</v>
      </c>
      <c r="P10" s="40"/>
      <c r="Q10" s="40"/>
      <c r="R10" s="12"/>
      <c r="S10" s="45" t="s">
        <v>8</v>
      </c>
      <c r="T10" s="46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40" t="s">
        <v>20</v>
      </c>
      <c r="AF10" s="40"/>
      <c r="AG10" s="66">
        <v>1</v>
      </c>
      <c r="AH10" s="12"/>
      <c r="AI10" s="40" t="str">
        <f>IF(AG10=1,"지급스케줄 입력방식 = 1일때 아래입력", "지급스케줄입력방식 0이므로 아래 입력 X")</f>
        <v>지급스케줄 입력방식 = 1일때 아래입력</v>
      </c>
      <c r="AJ10" s="40"/>
      <c r="AK10" s="40"/>
      <c r="AL10" s="12"/>
      <c r="AM10" s="12"/>
      <c r="AN10" s="61" t="s">
        <v>37</v>
      </c>
      <c r="AO10" s="61"/>
      <c r="AP10" s="61"/>
      <c r="AQ10" s="61"/>
    </row>
    <row r="11" spans="1:49" s="1" customFormat="1" x14ac:dyDescent="0.4">
      <c r="A11" s="26">
        <f t="shared" si="3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2"/>
      <c r="S11" s="45" t="s">
        <v>13</v>
      </c>
      <c r="T11" s="47"/>
      <c r="U11" s="47"/>
      <c r="V11" s="12"/>
      <c r="W11" s="45" t="str">
        <f>IF(U10=1,"데이터유형 = 1일때 입력","아래정보 입력 X (데이터유형 = 0)")</f>
        <v>아래정보 입력 X (데이터유형 = 0)</v>
      </c>
      <c r="X11" s="47"/>
      <c r="Y11" s="47"/>
      <c r="Z11" s="12"/>
      <c r="AA11" s="12"/>
      <c r="AB11" s="12"/>
      <c r="AC11" s="12"/>
      <c r="AD11" s="12"/>
      <c r="AE11" s="40" t="s">
        <v>18</v>
      </c>
      <c r="AF11" s="40"/>
      <c r="AG11" s="10">
        <v>1000000</v>
      </c>
      <c r="AH11" s="12"/>
      <c r="AI11" s="38" t="s">
        <v>45</v>
      </c>
      <c r="AJ11" s="39"/>
      <c r="AK11" s="16">
        <f>AG13</f>
        <v>45180</v>
      </c>
      <c r="AL11" s="12"/>
      <c r="AM11" s="12"/>
      <c r="AN11" s="61"/>
      <c r="AO11" s="61"/>
      <c r="AP11" s="61"/>
      <c r="AQ11" s="61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45" t="s">
        <v>9</v>
      </c>
      <c r="T12" s="46"/>
      <c r="U12" s="2">
        <v>0</v>
      </c>
      <c r="V12" s="12"/>
      <c r="W12" s="48" t="s">
        <v>10</v>
      </c>
      <c r="X12" s="49"/>
      <c r="Y12" s="2">
        <v>1</v>
      </c>
      <c r="Z12" s="12"/>
      <c r="AA12" s="12"/>
      <c r="AB12" s="12"/>
      <c r="AC12" s="12"/>
      <c r="AD12" s="12"/>
      <c r="AE12" s="38" t="s">
        <v>43</v>
      </c>
      <c r="AF12" s="39"/>
      <c r="AG12" s="10">
        <v>0.4</v>
      </c>
      <c r="AH12" s="12"/>
      <c r="AI12" s="38" t="s">
        <v>46</v>
      </c>
      <c r="AJ12" s="39"/>
      <c r="AK12" s="16">
        <f>EDATE(AK11,120)+AL12</f>
        <v>48833</v>
      </c>
      <c r="AL12" s="12"/>
      <c r="AM12" s="12"/>
      <c r="AN12" s="62" t="s">
        <v>35</v>
      </c>
      <c r="AO12" s="63"/>
      <c r="AP12" s="55">
        <v>1.4999999999999999E-2</v>
      </c>
      <c r="AQ12" s="55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38" t="s">
        <v>42</v>
      </c>
      <c r="AF13" s="39"/>
      <c r="AG13" s="36">
        <v>45180</v>
      </c>
      <c r="AH13" s="12"/>
      <c r="AI13" s="38" t="s">
        <v>47</v>
      </c>
      <c r="AJ13" s="39"/>
      <c r="AK13" s="9">
        <v>2</v>
      </c>
      <c r="AL13" s="12"/>
      <c r="AM13" s="12"/>
      <c r="AN13" s="56" t="s">
        <v>36</v>
      </c>
      <c r="AO13" s="56"/>
      <c r="AP13" s="57">
        <v>1</v>
      </c>
      <c r="AQ13" s="57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56" t="s">
        <v>19</v>
      </c>
      <c r="AO14" s="56"/>
      <c r="AP14" s="57">
        <v>2</v>
      </c>
      <c r="AQ14" s="57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50" t="s">
        <v>11</v>
      </c>
      <c r="T15" s="51"/>
      <c r="U15" s="52"/>
      <c r="V15" s="12"/>
      <c r="W15" s="53" t="s">
        <v>12</v>
      </c>
      <c r="X15" s="54"/>
      <c r="Y15" s="54"/>
      <c r="Z15" s="54"/>
      <c r="AA15" s="12"/>
      <c r="AB15" s="12"/>
      <c r="AC15" s="12"/>
      <c r="AD15" s="12"/>
      <c r="AE15" s="40" t="str">
        <f>IF(AG10=1, "아래 입력 X (지급스케줄 방식 1이므로)","지급스케줄 입력방식 = 0일때")</f>
        <v>아래 입력 X (지급스케줄 방식 1이므로)</v>
      </c>
      <c r="AF15" s="40"/>
      <c r="AG15" s="40"/>
      <c r="AH15" s="12"/>
      <c r="AI15" s="5" t="s">
        <v>3</v>
      </c>
      <c r="AJ15" s="15" t="s">
        <v>21</v>
      </c>
      <c r="AK15" s="15" t="s">
        <v>22</v>
      </c>
      <c r="AL15" s="12"/>
      <c r="AM15" s="12"/>
      <c r="AN15" s="1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40" t="s">
        <v>13</v>
      </c>
      <c r="T16" s="40"/>
      <c r="U16" s="40"/>
      <c r="V16" s="12"/>
      <c r="W16" s="40" t="s">
        <v>14</v>
      </c>
      <c r="X16" s="40"/>
      <c r="Y16" s="40"/>
      <c r="Z16" s="40"/>
      <c r="AA16" s="12"/>
      <c r="AB16" s="12"/>
      <c r="AC16" s="12"/>
      <c r="AD16" s="12"/>
      <c r="AE16" s="38" t="str">
        <f>IF(AG10=1, "입력 X (지급스케줄 방식 1)","연 이자지급횟수")</f>
        <v>입력 X (지급스케줄 방식 1)</v>
      </c>
      <c r="AF16" s="39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3</v>
      </c>
      <c r="T17" s="5" t="s">
        <v>4</v>
      </c>
      <c r="U17" s="5" t="s">
        <v>5</v>
      </c>
      <c r="V17" s="12"/>
      <c r="W17" s="11" t="s">
        <v>3</v>
      </c>
      <c r="X17" s="11" t="s">
        <v>4</v>
      </c>
      <c r="Y17" s="17" t="s">
        <v>15</v>
      </c>
      <c r="Z17" s="17" t="s">
        <v>16</v>
      </c>
      <c r="AA17" s="12"/>
      <c r="AB17" s="12"/>
      <c r="AC17" s="12"/>
      <c r="AD17" s="12"/>
      <c r="AE17" s="38" t="str">
        <f>IF(AG10=1, "입력 X (지급스케줄 방식 1)","만기(년)")</f>
        <v>입력 X (지급스케줄 방식 1)</v>
      </c>
      <c r="AF17" s="39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72" t="s">
        <v>38</v>
      </c>
      <c r="AO21" s="72"/>
      <c r="AP21" s="72"/>
      <c r="AQ21" s="72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64" t="s">
        <v>44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71" t="s">
        <v>24</v>
      </c>
      <c r="AO22" s="71"/>
      <c r="AP22" s="73">
        <v>1</v>
      </c>
      <c r="AQ22" s="73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65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71" t="s">
        <v>25</v>
      </c>
      <c r="AO23" s="71"/>
      <c r="AP23" s="74">
        <v>1.6974176712413538E-2</v>
      </c>
      <c r="AQ23" s="74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71" t="s">
        <v>26</v>
      </c>
      <c r="AO24" s="71"/>
      <c r="AP24" s="75">
        <v>107608.85850871319</v>
      </c>
      <c r="AQ24" s="75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71" t="s">
        <v>27</v>
      </c>
      <c r="AO25" s="71"/>
      <c r="AP25" s="75">
        <v>121771.45200986689</v>
      </c>
      <c r="AQ25" s="75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71" t="s">
        <v>28</v>
      </c>
      <c r="AO26" s="71"/>
      <c r="AP26" s="75">
        <v>14162.593501153693</v>
      </c>
      <c r="AQ26" s="75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71" t="s">
        <v>29</v>
      </c>
      <c r="AO28" s="71"/>
      <c r="AP28" s="76">
        <v>-9.8776615512251738</v>
      </c>
      <c r="AQ28" s="76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71" t="s">
        <v>30</v>
      </c>
      <c r="AO29" s="71"/>
      <c r="AP29" s="76">
        <v>422.22800436562102</v>
      </c>
      <c r="AQ29" s="76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71" t="s">
        <v>31</v>
      </c>
      <c r="AO30" s="71"/>
      <c r="AP30" s="76">
        <v>-50.131138472635939</v>
      </c>
      <c r="AQ30" s="76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71" t="s">
        <v>32</v>
      </c>
      <c r="AO31" s="71"/>
      <c r="AP31" s="76">
        <v>-47.418755668215454</v>
      </c>
      <c r="AQ31" s="76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71" t="s">
        <v>33</v>
      </c>
      <c r="AO32" s="71"/>
      <c r="AP32" s="76">
        <v>-60.008800023861113</v>
      </c>
      <c r="AQ32" s="76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71" t="s">
        <v>34</v>
      </c>
      <c r="AO33" s="71"/>
      <c r="AP33" s="76">
        <v>374.80924869740556</v>
      </c>
      <c r="AQ33" s="76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58" t="s">
        <v>39</v>
      </c>
      <c r="AO36" s="59"/>
      <c r="AP36" s="58" t="s">
        <v>40</v>
      </c>
      <c r="AQ36" s="59"/>
      <c r="AV36" s="71" t="s">
        <v>29</v>
      </c>
      <c r="AW36" s="71"/>
      <c r="AX36" s="71" t="s">
        <v>30</v>
      </c>
      <c r="AY36" s="71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4</v>
      </c>
      <c r="AO37" s="19" t="s">
        <v>39</v>
      </c>
      <c r="AP37" s="19" t="s">
        <v>4</v>
      </c>
      <c r="AQ37" s="19" t="s">
        <v>41</v>
      </c>
      <c r="AV37" s="70" t="s">
        <v>4</v>
      </c>
      <c r="AW37" s="70" t="s">
        <v>48</v>
      </c>
      <c r="AX37" s="70" t="s">
        <v>4</v>
      </c>
      <c r="AY37" s="70" t="s">
        <v>48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7334.1450862847514</v>
      </c>
      <c r="AV38" s="20">
        <v>2.7397260273972603E-3</v>
      </c>
      <c r="AW38" s="68">
        <v>-5.5195662498590536E-3</v>
      </c>
      <c r="AX38" s="20">
        <v>0.24931506849315069</v>
      </c>
      <c r="AY38" s="68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7211.5450467347619</v>
      </c>
      <c r="AV39" s="67">
        <v>0.25</v>
      </c>
      <c r="AW39" s="69">
        <v>-4.2392263509100303E-2</v>
      </c>
      <c r="AX39" s="67">
        <v>0.49863013698630138</v>
      </c>
      <c r="AY39" s="69">
        <v>0.81240187441289891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67">
        <v>0.5</v>
      </c>
      <c r="AW40" s="69">
        <v>7.3097831082122866E-2</v>
      </c>
      <c r="AX40" s="67">
        <v>1.0027397260273974</v>
      </c>
      <c r="AY40" s="69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67">
        <v>1</v>
      </c>
      <c r="AW41" s="69">
        <v>-1.4338700697408058E-2</v>
      </c>
      <c r="AX41" s="67">
        <v>2.0027397260273974</v>
      </c>
      <c r="AY41" s="69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</v>
      </c>
      <c r="AV42" s="67">
        <v>1.5</v>
      </c>
      <c r="AW42" s="69">
        <v>4.4671917108644266E-2</v>
      </c>
      <c r="AX42" s="67">
        <v>3.0027397260273974</v>
      </c>
      <c r="AY42" s="69">
        <v>16.504487801292271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6252.5178506027096</v>
      </c>
      <c r="AV43" s="67">
        <v>2</v>
      </c>
      <c r="AW43" s="69">
        <v>3.8487650017486885E-3</v>
      </c>
      <c r="AX43" s="67">
        <v>5.0054794520547947</v>
      </c>
      <c r="AY43" s="69">
        <v>28.499080653135024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</v>
      </c>
      <c r="AV44" s="67">
        <v>3</v>
      </c>
      <c r="AW44" s="69">
        <v>-0.12718001285247738</v>
      </c>
      <c r="AX44" s="67">
        <v>7.0054794520547947</v>
      </c>
      <c r="AY44" s="69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67">
        <v>4</v>
      </c>
      <c r="AW45" s="69">
        <v>-0.3687628236511955</v>
      </c>
      <c r="AX45" s="67">
        <v>10.008219178082191</v>
      </c>
      <c r="AY45" s="69">
        <v>320.46221146750031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67">
        <v>5</v>
      </c>
      <c r="AW46" s="69">
        <v>-4.7880605055179331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67">
        <v>10</v>
      </c>
      <c r="AW47" s="69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5182.1532796017646</v>
      </c>
      <c r="AV48" s="67">
        <v>20</v>
      </c>
      <c r="AW48" s="69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5023.2234023985648</v>
      </c>
      <c r="AV49" s="67">
        <v>30</v>
      </c>
      <c r="AW49" s="69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4788.7458752081347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4811.6598153668638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4138.0324179918052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3764.7447580660205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3739.4865327809598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3">
    <mergeCell ref="AI11:AJ11"/>
    <mergeCell ref="AI12:AJ12"/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N6:AU8"/>
    <mergeCell ref="AP12:AQ12"/>
    <mergeCell ref="AE6:AL8"/>
    <mergeCell ref="AE10:AF10"/>
    <mergeCell ref="AE11:AF11"/>
    <mergeCell ref="AE12:AF12"/>
    <mergeCell ref="AN13:AO13"/>
    <mergeCell ref="AP13:AQ13"/>
    <mergeCell ref="AN14:AO14"/>
    <mergeCell ref="AP14:AQ14"/>
    <mergeCell ref="AE16:AF16"/>
    <mergeCell ref="AI13:AJ13"/>
    <mergeCell ref="AI10:AK10"/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2022-01-14T01:14:27Z</dcterms:created>
  <dcterms:modified xsi:type="dcterms:W3CDTF">2023-12-31T17:34:06Z</dcterms:modified>
</cp:coreProperties>
</file>