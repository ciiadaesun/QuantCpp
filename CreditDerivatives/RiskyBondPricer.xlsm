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B16" i="1" l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B28" i="1" s="1"/>
  <c r="B29" i="1" l="1"/>
  <c r="D28" i="1"/>
  <c r="D27" i="1"/>
  <c r="B30" i="1" l="1"/>
  <c r="D29" i="1"/>
  <c r="D30" i="1" l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<sst xmlns="http://schemas.openxmlformats.org/spreadsheetml/2006/main" count="34" uniqueCount="27">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</sst>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F1" zoomScale="85" zoomScaleNormal="85" workbookViewId="0">
      <selection activeCell="L13" sqref="L13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8" width="15.59765625" style="5"/>
    <col min="9" max="9" width="15.59765625" style="26"/>
    <col min="10" max="10" width="15.59765625" style="29"/>
    <col min="11" max="12" width="15.59765625" style="2"/>
    <col min="13" max="13" width="15.59765625" style="33"/>
    <col min="14" max="14" width="15.59765625" style="30"/>
    <col min="15" max="15" width="15.59765625" style="34"/>
    <col min="16" max="16" width="15.59765625" style="32"/>
    <col min="17" max="17" width="15.59765625" style="34"/>
    <col min="18" max="18" width="15.59765625" style="31"/>
    <col min="19" max="19" width="15.59765625" style="34"/>
    <col min="20" max="20" width="15.59765625" style="32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69"/>
      <c r="M3" s="69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70" t="s">
        <v>0</v>
      </c>
      <c r="C5" s="71"/>
      <c r="D5" s="72">
        <v>44084</v>
      </c>
      <c r="E5" s="73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74" t="s">
        <v>1</v>
      </c>
      <c r="C6" s="75"/>
      <c r="D6" s="76">
        <v>0</v>
      </c>
      <c r="E6" s="77"/>
      <c r="F6" s="78" t="str">
        <f>IF(D6=0,"채권정보입력","")</f>
        <v>채권정보입력</v>
      </c>
      <c r="G6" s="79"/>
      <c r="H6" s="65" t="str">
        <f>IF(D6=0,"Coupon Rate","입력안함")</f>
        <v>Coupon Rate</v>
      </c>
      <c r="I6" s="66"/>
      <c r="J6" s="88">
        <v>0.04</v>
      </c>
      <c r="K6" s="89"/>
      <c r="M6" s="90" t="s">
        <v>2</v>
      </c>
      <c r="N6" s="91"/>
      <c r="O6" s="59">
        <v>44848</v>
      </c>
      <c r="P6" s="60"/>
      <c r="Q6" s="2"/>
      <c r="R6" s="2"/>
      <c r="S6" s="2"/>
      <c r="T6" s="2"/>
    </row>
    <row r="7" spans="1:29" ht="19.5" customHeight="1" thickTop="1" thickBot="1" x14ac:dyDescent="0.45">
      <c r="A7" s="2">
        <f t="shared" ref="A7:A70" si="2">A6+1</f>
        <v>7</v>
      </c>
      <c r="B7" s="61" t="s">
        <v>3</v>
      </c>
      <c r="C7" s="62"/>
      <c r="D7" s="63">
        <v>0.4</v>
      </c>
      <c r="E7" s="64"/>
      <c r="F7" s="80"/>
      <c r="G7" s="81"/>
      <c r="H7" s="65" t="str">
        <f>IF(D6=0,"연 이자지급횟수","입력안함")</f>
        <v>연 이자지급횟수</v>
      </c>
      <c r="I7" s="66"/>
      <c r="J7" s="67">
        <v>4</v>
      </c>
      <c r="K7" s="68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84" t="s">
        <v>4</v>
      </c>
      <c r="C8" s="85"/>
      <c r="D8" s="86">
        <v>0</v>
      </c>
      <c r="E8" s="87"/>
      <c r="F8" s="80"/>
      <c r="G8" s="81"/>
      <c r="H8" s="42" t="str">
        <f>IF(D6=0,"액면금액","입력안함")</f>
        <v>액면금액</v>
      </c>
      <c r="I8" s="43"/>
      <c r="J8" s="92">
        <v>10000</v>
      </c>
      <c r="K8" s="93"/>
      <c r="M8" s="90" t="s">
        <v>26</v>
      </c>
      <c r="N8" s="91"/>
      <c r="O8" s="40">
        <v>3</v>
      </c>
      <c r="P8" s="41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82"/>
      <c r="G9" s="83"/>
      <c r="H9" s="94" t="str">
        <f>IF(D6=0,"만기YYYYMMDD","입력안함")</f>
        <v>만기YYYYMMDD</v>
      </c>
      <c r="I9" s="95"/>
      <c r="J9" s="96">
        <v>46822</v>
      </c>
      <c r="K9" s="97"/>
      <c r="M9" s="90" t="s">
        <v>5</v>
      </c>
      <c r="N9" s="91"/>
      <c r="O9" s="40">
        <v>2</v>
      </c>
      <c r="P9" s="41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44" t="str">
        <f>IF(D6=0,"사용하지않음","쿠폰입력Flag 1일 경우 입력")</f>
        <v>사용하지않음</v>
      </c>
      <c r="C12" s="45"/>
      <c r="D12" s="45"/>
      <c r="E12" s="45"/>
      <c r="F12" s="46"/>
      <c r="G12" s="47" t="s">
        <v>6</v>
      </c>
      <c r="H12" s="48"/>
      <c r="I12" s="49" t="s">
        <v>7</v>
      </c>
      <c r="J12" s="49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50" t="str">
        <f>IF(D6=0,"사용하지않음","쿠폰스케줄")</f>
        <v>사용하지않음</v>
      </c>
      <c r="C13" s="51"/>
      <c r="D13" s="52"/>
      <c r="E13" s="53" t="str">
        <f>IF(D6=0,"사용하지않음","원금 스케줄")</f>
        <v>사용하지않음</v>
      </c>
      <c r="F13" s="54"/>
      <c r="G13" s="17" t="s">
        <v>8</v>
      </c>
      <c r="H13" s="16">
        <v>0</v>
      </c>
      <c r="I13" s="18" t="s">
        <v>9</v>
      </c>
      <c r="J13" s="16">
        <f>COUNT(I16:I1048576)</f>
        <v>10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사용하지않음</v>
      </c>
      <c r="C14" s="15">
        <f>COUNT(B16:B1048576)</f>
        <v>15</v>
      </c>
      <c r="D14" s="11"/>
      <c r="E14" s="55"/>
      <c r="F14" s="56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사용하지않음</v>
      </c>
      <c r="C15" s="14" t="str">
        <f>IF(D6=0,"사용하지않음","CouponRate")</f>
        <v>사용하지않음</v>
      </c>
      <c r="D15" s="14" t="str">
        <f>IF(D6=0,"사용하지않음","쿠폰지급일")</f>
        <v>사용하지않음</v>
      </c>
      <c r="E15" s="14" t="str">
        <f>IF(D6=0,"사용하지않음","원금지급일")</f>
        <v>사용하지않음</v>
      </c>
      <c r="F15" s="14" t="str">
        <f>IF(D6=0,"사용하지않음","원금")</f>
        <v>사용하지않음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44265</v>
      </c>
      <c r="C16" s="9">
        <v>0.04</v>
      </c>
      <c r="D16" s="8">
        <f>B16+3</f>
        <v>44268</v>
      </c>
      <c r="E16" s="3">
        <v>45580</v>
      </c>
      <c r="F16" s="5">
        <v>10000</v>
      </c>
      <c r="G16" s="12">
        <v>0.25</v>
      </c>
      <c r="H16" s="13">
        <v>2.5000000000000001E-3</v>
      </c>
      <c r="I16" s="24">
        <v>0.25</v>
      </c>
      <c r="J16" s="27">
        <v>4.2140000000000004E-2</v>
      </c>
      <c r="M16" s="36" t="s">
        <v>12</v>
      </c>
      <c r="N16" s="37"/>
      <c r="O16" s="57">
        <v>1</v>
      </c>
      <c r="P16" s="58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44449</v>
      </c>
      <c r="C17" s="9">
        <v>0.04</v>
      </c>
      <c r="D17" s="3">
        <f t="shared" ref="D17:D27" si="3">B17+3</f>
        <v>44452</v>
      </c>
      <c r="G17" s="6">
        <v>0.5</v>
      </c>
      <c r="H17" s="1">
        <v>3.3E-3</v>
      </c>
      <c r="I17" s="25">
        <v>0.5</v>
      </c>
      <c r="J17" s="28">
        <v>4.5100000000000001E-2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30" si="4">EDATE(B17,6)</f>
        <v>44630</v>
      </c>
      <c r="C18" s="9">
        <v>0.04</v>
      </c>
      <c r="D18" s="3">
        <f t="shared" si="3"/>
        <v>44633</v>
      </c>
      <c r="G18" s="6">
        <v>1</v>
      </c>
      <c r="H18" s="1">
        <v>6.6E-3</v>
      </c>
      <c r="I18" s="25">
        <v>1</v>
      </c>
      <c r="J18" s="28">
        <v>4.8210000000000003E-2</v>
      </c>
      <c r="M18" s="36" t="s">
        <v>13</v>
      </c>
      <c r="N18" s="37"/>
      <c r="O18" s="38">
        <v>9530.9199503204363</v>
      </c>
      <c r="P18" s="39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44814</v>
      </c>
      <c r="C19" s="9">
        <v>0.04</v>
      </c>
      <c r="D19" s="3">
        <f t="shared" si="3"/>
        <v>44817</v>
      </c>
      <c r="G19" s="6">
        <v>2</v>
      </c>
      <c r="H19" s="1">
        <v>8.6999999999999994E-3</v>
      </c>
      <c r="I19" s="25">
        <v>2</v>
      </c>
      <c r="J19" s="28">
        <v>4.7410000000000001E-2</v>
      </c>
      <c r="M19" s="36" t="s">
        <v>14</v>
      </c>
      <c r="N19" s="37"/>
      <c r="O19" s="38">
        <v>37.260273972602747</v>
      </c>
      <c r="P19" s="39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44995</v>
      </c>
      <c r="C20" s="9">
        <v>0.04</v>
      </c>
      <c r="D20" s="3">
        <f t="shared" si="3"/>
        <v>44998</v>
      </c>
      <c r="G20" s="6">
        <v>3</v>
      </c>
      <c r="H20" s="1">
        <v>9.4000000000000004E-3</v>
      </c>
      <c r="I20" s="25">
        <v>3</v>
      </c>
      <c r="J20" s="28">
        <v>4.727E-2</v>
      </c>
      <c r="M20" s="36" t="s">
        <v>15</v>
      </c>
      <c r="N20" s="37"/>
      <c r="O20" s="38">
        <v>9568.1802242930389</v>
      </c>
      <c r="P20" s="39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45179</v>
      </c>
      <c r="C21" s="9">
        <v>0.04</v>
      </c>
      <c r="D21" s="3">
        <f t="shared" si="3"/>
        <v>45182</v>
      </c>
      <c r="G21" s="6">
        <v>5</v>
      </c>
      <c r="H21" s="1">
        <v>9.8700000000000003E-3</v>
      </c>
      <c r="I21" s="25">
        <v>5</v>
      </c>
      <c r="J21" s="28">
        <v>4.5089999999999998E-2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45361</v>
      </c>
      <c r="C22" s="9">
        <v>0.04</v>
      </c>
      <c r="D22" s="3">
        <f t="shared" si="3"/>
        <v>45364</v>
      </c>
      <c r="G22" s="6">
        <v>7</v>
      </c>
      <c r="H22" s="1">
        <v>1.01E-2</v>
      </c>
      <c r="I22" s="25">
        <v>7</v>
      </c>
      <c r="J22" s="28">
        <v>4.4120000000000006E-2</v>
      </c>
      <c r="M22" s="36" t="s">
        <v>16</v>
      </c>
      <c r="N22" s="37"/>
      <c r="O22" s="38">
        <v>4.5773186869428173</v>
      </c>
      <c r="P22" s="39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45545</v>
      </c>
      <c r="C23" s="9">
        <v>0.04</v>
      </c>
      <c r="D23" s="3">
        <f t="shared" si="3"/>
        <v>45548</v>
      </c>
      <c r="G23" s="6">
        <v>10</v>
      </c>
      <c r="H23" s="1">
        <v>1.11E-2</v>
      </c>
      <c r="I23" s="25">
        <v>10</v>
      </c>
      <c r="J23" s="28">
        <v>4.2840000000000003E-2</v>
      </c>
      <c r="M23" s="36" t="s">
        <v>17</v>
      </c>
      <c r="N23" s="37"/>
      <c r="O23" s="38">
        <v>2.5026856620443141</v>
      </c>
      <c r="P23" s="39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45726</v>
      </c>
      <c r="C24" s="9">
        <v>0.04</v>
      </c>
      <c r="D24" s="3">
        <f t="shared" si="3"/>
        <v>45729</v>
      </c>
      <c r="G24" s="6"/>
      <c r="H24" s="1"/>
      <c r="I24" s="25">
        <v>20</v>
      </c>
      <c r="J24" s="28">
        <v>4.5839999999999999E-2</v>
      </c>
      <c r="M24" s="36" t="s">
        <v>18</v>
      </c>
      <c r="N24" s="37"/>
      <c r="O24" s="38">
        <v>5.0917741567363919</v>
      </c>
      <c r="P24" s="39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45910</v>
      </c>
      <c r="C25" s="9">
        <v>0.04</v>
      </c>
      <c r="D25" s="3">
        <f t="shared" si="3"/>
        <v>45913</v>
      </c>
      <c r="I25" s="26">
        <v>30</v>
      </c>
      <c r="J25" s="29">
        <v>4.684E-2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46091</v>
      </c>
      <c r="C26" s="9">
        <v>0.04</v>
      </c>
      <c r="D26" s="3">
        <f t="shared" si="3"/>
        <v>46094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46275</v>
      </c>
      <c r="C27" s="9">
        <v>0.04</v>
      </c>
      <c r="D27" s="3">
        <f t="shared" si="3"/>
        <v>46278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B28" s="3">
        <f t="shared" si="4"/>
        <v>46456</v>
      </c>
      <c r="C28" s="9">
        <v>0.04</v>
      </c>
      <c r="D28" s="3">
        <f t="shared" ref="D28:D30" si="5">B28+3</f>
        <v>46459</v>
      </c>
      <c r="M28" s="35" t="s">
        <v>19</v>
      </c>
      <c r="N28" s="35"/>
      <c r="O28" s="35" t="s">
        <v>20</v>
      </c>
      <c r="P28" s="35"/>
      <c r="Q28" s="35" t="s">
        <v>21</v>
      </c>
      <c r="R28" s="35"/>
      <c r="S28" s="35" t="s">
        <v>22</v>
      </c>
      <c r="T28" s="35"/>
    </row>
    <row r="29" spans="1:20" ht="19.5" customHeight="1" x14ac:dyDescent="0.4">
      <c r="A29" s="2">
        <f t="shared" si="2"/>
        <v>29</v>
      </c>
      <c r="B29" s="3">
        <f t="shared" si="4"/>
        <v>46640</v>
      </c>
      <c r="C29" s="9">
        <v>0.04</v>
      </c>
      <c r="D29" s="3">
        <f t="shared" si="5"/>
        <v>46643</v>
      </c>
      <c r="M29" s="23" t="s">
        <v>11</v>
      </c>
      <c r="N29" s="23" t="s">
        <v>16</v>
      </c>
      <c r="O29" s="23" t="s">
        <v>11</v>
      </c>
      <c r="P29" s="23" t="s">
        <v>23</v>
      </c>
      <c r="Q29" s="23" t="s">
        <v>11</v>
      </c>
      <c r="R29" s="23" t="s">
        <v>24</v>
      </c>
      <c r="S29" s="23" t="s">
        <v>11</v>
      </c>
      <c r="T29" s="23" t="s">
        <v>25</v>
      </c>
    </row>
    <row r="30" spans="1:20" ht="19.5" customHeight="1" x14ac:dyDescent="0.35">
      <c r="A30" s="2">
        <f t="shared" si="2"/>
        <v>30</v>
      </c>
      <c r="B30" s="3">
        <f t="shared" si="4"/>
        <v>46822</v>
      </c>
      <c r="C30" s="9">
        <v>0.04</v>
      </c>
      <c r="D30" s="3">
        <f t="shared" si="5"/>
        <v>46825</v>
      </c>
      <c r="M30" s="19">
        <v>0.25</v>
      </c>
      <c r="N30" s="20">
        <v>3.142851778648037E-3</v>
      </c>
      <c r="O30" s="19">
        <v>0.25</v>
      </c>
      <c r="P30" s="21">
        <v>5.003676051273942E-8</v>
      </c>
      <c r="Q30" s="19">
        <v>0.25</v>
      </c>
      <c r="R30" s="22">
        <v>1.8784792609949363E-3</v>
      </c>
      <c r="S30" s="19">
        <v>0.25</v>
      </c>
      <c r="T30" s="21">
        <v>2.9951479518786073E-8</v>
      </c>
    </row>
    <row r="31" spans="1:20" ht="19.5" customHeight="1" x14ac:dyDescent="0.35">
      <c r="A31" s="2">
        <f t="shared" si="2"/>
        <v>31</v>
      </c>
      <c r="C31" s="9"/>
      <c r="D31" s="3"/>
      <c r="M31" s="19">
        <v>0.5</v>
      </c>
      <c r="N31" s="20">
        <v>8.3254781475261552E-3</v>
      </c>
      <c r="O31" s="19">
        <v>0.5</v>
      </c>
      <c r="P31" s="21">
        <v>2.7996429707854986E-7</v>
      </c>
      <c r="Q31" s="19">
        <v>0.5</v>
      </c>
      <c r="R31" s="22">
        <v>4.9479074368719012E-3</v>
      </c>
      <c r="S31" s="19">
        <v>0.5</v>
      </c>
      <c r="T31" s="21">
        <v>1.6697595128789544E-7</v>
      </c>
    </row>
    <row r="32" spans="1:20" ht="19.5" customHeight="1" x14ac:dyDescent="0.35">
      <c r="A32" s="2">
        <f t="shared" si="2"/>
        <v>32</v>
      </c>
      <c r="C32" s="9"/>
      <c r="D32" s="3"/>
      <c r="M32" s="19">
        <v>1</v>
      </c>
      <c r="N32" s="20">
        <v>3.2791107451885182E-2</v>
      </c>
      <c r="O32" s="19">
        <v>1</v>
      </c>
      <c r="P32" s="21">
        <v>2.4298788048326969E-6</v>
      </c>
      <c r="Q32" s="19">
        <v>1</v>
      </c>
      <c r="R32" s="22">
        <v>1.9275803160780924E-2</v>
      </c>
      <c r="S32" s="19">
        <v>1</v>
      </c>
      <c r="T32" s="21">
        <v>1.439359039068222E-6</v>
      </c>
    </row>
    <row r="33" spans="1:20" ht="19.5" customHeight="1" x14ac:dyDescent="0.35">
      <c r="A33" s="2">
        <f t="shared" si="2"/>
        <v>33</v>
      </c>
      <c r="C33" s="9"/>
      <c r="D33" s="3"/>
      <c r="M33" s="19">
        <v>2</v>
      </c>
      <c r="N33" s="20">
        <v>7.1520824380968406E-2</v>
      </c>
      <c r="O33" s="19">
        <v>2</v>
      </c>
      <c r="P33" s="21">
        <v>9.6374933491460979E-6</v>
      </c>
      <c r="Q33" s="19">
        <v>2</v>
      </c>
      <c r="R33" s="22">
        <v>4.1422833396609349E-2</v>
      </c>
      <c r="S33" s="19">
        <v>2</v>
      </c>
      <c r="T33" s="21">
        <v>5.6538556236773729E-6</v>
      </c>
    </row>
    <row r="34" spans="1:20" ht="19.5" customHeight="1" x14ac:dyDescent="0.35">
      <c r="A34" s="2">
        <f t="shared" si="2"/>
        <v>34</v>
      </c>
      <c r="C34" s="9"/>
      <c r="D34" s="3"/>
      <c r="M34" s="19">
        <v>3</v>
      </c>
      <c r="N34" s="20">
        <v>0.16615212436681759</v>
      </c>
      <c r="O34" s="19">
        <v>3</v>
      </c>
      <c r="P34" s="21">
        <v>3.5704790207091719E-5</v>
      </c>
      <c r="Q34" s="19">
        <v>3</v>
      </c>
      <c r="R34" s="22">
        <v>9.3870089767733589E-2</v>
      </c>
      <c r="S34" s="19">
        <v>3</v>
      </c>
      <c r="T34" s="21">
        <v>2.0639978174585849E-5</v>
      </c>
    </row>
    <row r="35" spans="1:20" ht="19.5" customHeight="1" x14ac:dyDescent="0.35">
      <c r="A35" s="2">
        <f t="shared" si="2"/>
        <v>35</v>
      </c>
      <c r="C35" s="9"/>
      <c r="D35" s="3"/>
      <c r="M35" s="19">
        <v>5</v>
      </c>
      <c r="N35" s="20">
        <v>3.4526056058703034</v>
      </c>
      <c r="O35" s="19">
        <v>5</v>
      </c>
      <c r="P35" s="21">
        <v>1.4655709892394952E-3</v>
      </c>
      <c r="Q35" s="19">
        <v>5</v>
      </c>
      <c r="R35" s="22">
        <v>1.8822192483421532</v>
      </c>
      <c r="S35" s="19">
        <v>5</v>
      </c>
      <c r="T35" s="21">
        <v>8.2855758228106424E-4</v>
      </c>
    </row>
    <row r="36" spans="1:20" ht="19.5" customHeight="1" x14ac:dyDescent="0.35">
      <c r="A36" s="2">
        <f t="shared" si="2"/>
        <v>36</v>
      </c>
      <c r="C36" s="4"/>
      <c r="D36" s="3"/>
      <c r="M36" s="19">
        <v>7</v>
      </c>
      <c r="N36" s="20">
        <v>0.84278059327061783</v>
      </c>
      <c r="O36" s="19">
        <v>7</v>
      </c>
      <c r="P36" s="21">
        <v>9.2437105195131153E-5</v>
      </c>
      <c r="Q36" s="19">
        <v>7</v>
      </c>
      <c r="R36" s="22">
        <v>0.45907124216955708</v>
      </c>
      <c r="S36" s="19">
        <v>7</v>
      </c>
      <c r="T36" s="21">
        <v>5.2242437959648669E-5</v>
      </c>
    </row>
    <row r="37" spans="1:20" ht="19.5" customHeight="1" x14ac:dyDescent="0.35">
      <c r="A37" s="2">
        <f t="shared" si="2"/>
        <v>37</v>
      </c>
      <c r="C37" s="4"/>
      <c r="D37" s="3"/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  <c r="M38" s="33">
        <v>20</v>
      </c>
      <c r="N38" s="30">
        <v>0</v>
      </c>
      <c r="O38" s="34">
        <v>20</v>
      </c>
      <c r="P38" s="32">
        <v>0</v>
      </c>
    </row>
    <row r="39" spans="1:20" ht="19.5" customHeight="1" x14ac:dyDescent="0.4">
      <c r="A39" s="2">
        <f t="shared" si="2"/>
        <v>39</v>
      </c>
      <c r="M39" s="33">
        <v>30</v>
      </c>
      <c r="N39" s="30">
        <v>0</v>
      </c>
      <c r="O39" s="34">
        <v>30</v>
      </c>
      <c r="P39" s="32">
        <v>0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6">A70+1</f>
        <v>71</v>
      </c>
    </row>
    <row r="72" spans="1:1" ht="19.5" customHeight="1" x14ac:dyDescent="0.4">
      <c r="A72" s="2">
        <f t="shared" si="6"/>
        <v>72</v>
      </c>
    </row>
    <row r="73" spans="1:1" ht="19.5" customHeight="1" x14ac:dyDescent="0.4">
      <c r="A73" s="2">
        <f t="shared" si="6"/>
        <v>73</v>
      </c>
    </row>
    <row r="74" spans="1:1" ht="19.5" customHeight="1" x14ac:dyDescent="0.4">
      <c r="A74" s="2">
        <f t="shared" si="6"/>
        <v>74</v>
      </c>
    </row>
    <row r="75" spans="1:1" ht="19.5" customHeight="1" x14ac:dyDescent="0.4">
      <c r="A75" s="2">
        <f t="shared" si="6"/>
        <v>75</v>
      </c>
    </row>
    <row r="76" spans="1:1" ht="19.5" customHeight="1" x14ac:dyDescent="0.4">
      <c r="A76" s="2">
        <f t="shared" si="6"/>
        <v>76</v>
      </c>
    </row>
    <row r="77" spans="1:1" ht="19.5" customHeight="1" x14ac:dyDescent="0.4">
      <c r="A77" s="2">
        <f t="shared" si="6"/>
        <v>77</v>
      </c>
    </row>
    <row r="78" spans="1:1" ht="19.5" customHeight="1" x14ac:dyDescent="0.4">
      <c r="A78" s="2">
        <f t="shared" si="6"/>
        <v>78</v>
      </c>
    </row>
    <row r="79" spans="1:1" ht="19.5" customHeight="1" x14ac:dyDescent="0.4">
      <c r="A79" s="2">
        <f t="shared" si="6"/>
        <v>79</v>
      </c>
    </row>
    <row r="80" spans="1:1" ht="19.5" customHeight="1" x14ac:dyDescent="0.4">
      <c r="A80" s="2">
        <f t="shared" si="6"/>
        <v>80</v>
      </c>
    </row>
    <row r="81" spans="1:1" ht="19.5" customHeight="1" x14ac:dyDescent="0.4">
      <c r="A81" s="2">
        <f t="shared" si="6"/>
        <v>81</v>
      </c>
    </row>
    <row r="82" spans="1:1" ht="19.5" customHeight="1" x14ac:dyDescent="0.4">
      <c r="A82" s="2">
        <f t="shared" si="6"/>
        <v>82</v>
      </c>
    </row>
    <row r="83" spans="1:1" ht="19.5" customHeight="1" x14ac:dyDescent="0.4">
      <c r="A83" s="2">
        <f t="shared" si="6"/>
        <v>83</v>
      </c>
    </row>
    <row r="84" spans="1:1" ht="19.5" customHeight="1" x14ac:dyDescent="0.4">
      <c r="A84" s="2">
        <f t="shared" si="6"/>
        <v>84</v>
      </c>
    </row>
    <row r="85" spans="1:1" ht="19.5" customHeight="1" x14ac:dyDescent="0.4">
      <c r="A85" s="2">
        <f t="shared" si="6"/>
        <v>85</v>
      </c>
    </row>
    <row r="86" spans="1:1" ht="19.5" customHeight="1" x14ac:dyDescent="0.4">
      <c r="A86" s="2">
        <f t="shared" si="6"/>
        <v>86</v>
      </c>
    </row>
    <row r="87" spans="1:1" ht="19.5" customHeight="1" x14ac:dyDescent="0.4">
      <c r="A87" s="2">
        <f t="shared" si="6"/>
        <v>87</v>
      </c>
    </row>
    <row r="88" spans="1:1" ht="19.5" customHeight="1" x14ac:dyDescent="0.4">
      <c r="A88" s="2">
        <f t="shared" si="6"/>
        <v>88</v>
      </c>
    </row>
    <row r="89" spans="1:1" ht="19.5" customHeight="1" x14ac:dyDescent="0.4">
      <c r="A89" s="2">
        <f t="shared" si="6"/>
        <v>89</v>
      </c>
    </row>
    <row r="90" spans="1:1" ht="19.5" customHeight="1" x14ac:dyDescent="0.4">
      <c r="A90" s="2">
        <f t="shared" si="6"/>
        <v>90</v>
      </c>
    </row>
  </sheetData>
  <mergeCells count="47"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  <mergeCell ref="M8:N8"/>
    <mergeCell ref="O6:P6"/>
    <mergeCell ref="B7:C7"/>
    <mergeCell ref="D7:E7"/>
    <mergeCell ref="H7:I7"/>
    <mergeCell ref="J7:K7"/>
    <mergeCell ref="H6:I6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8:P8"/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2023-12-17T13:07:09Z</dcterms:modified>
</cp:coreProperties>
</file>