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D8522B00-CE9C-4EF4-A394-21FC0D5AF5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yBo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1" l="1"/>
  <c r="E16" i="1" s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<sst xmlns="http://schemas.openxmlformats.org/spreadsheetml/2006/main" count="35" uniqueCount="28">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</sst>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>
      <alignment vertical="center"/>
    </xf>
    <xf numFmtId="184" fontId="10" fillId="3" borderId="9" xfId="0" applyNumberFormat="1" applyFont="1" applyFill="1" applyBorder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6"/>
  <sheetViews>
    <sheetView tabSelected="1" topLeftCell="G7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71"/>
      <c r="M3" s="71"/>
      <c r="N3" s="71"/>
      <c r="O3" s="71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72" t="s">
        <v>0</v>
      </c>
      <c r="C5" s="73"/>
      <c r="D5" s="74">
        <v>43169</v>
      </c>
      <c r="E5" s="75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76" t="s">
        <v>1</v>
      </c>
      <c r="C6" s="77"/>
      <c r="D6" s="78">
        <v>0</v>
      </c>
      <c r="E6" s="79"/>
      <c r="F6" s="80" t="str">
        <f>IF(D6=0,"채권정보입력","")</f>
        <v>채권정보입력</v>
      </c>
      <c r="G6" s="81"/>
      <c r="H6" s="65" t="str">
        <f>IF(D6=0,"Coupon Rate","입력안함")</f>
        <v>Coupon Rate</v>
      </c>
      <c r="I6" s="66"/>
      <c r="J6" s="90">
        <v>0.05</v>
      </c>
      <c r="K6" s="91"/>
      <c r="L6" s="2"/>
      <c r="O6" s="92" t="s">
        <v>2</v>
      </c>
      <c r="P6" s="93"/>
      <c r="Q6" s="59">
        <v>44848</v>
      </c>
      <c r="R6" s="60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1" t="s">
        <v>3</v>
      </c>
      <c r="C7" s="62"/>
      <c r="D7" s="63">
        <v>0</v>
      </c>
      <c r="E7" s="64"/>
      <c r="F7" s="82"/>
      <c r="G7" s="83"/>
      <c r="H7" s="65" t="str">
        <f>IF(D6=0,"연 이자지급횟수","입력안함")</f>
        <v>연 이자지급횟수</v>
      </c>
      <c r="I7" s="66"/>
      <c r="J7" s="67">
        <v>2</v>
      </c>
      <c r="K7" s="68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86" t="s">
        <v>4</v>
      </c>
      <c r="C8" s="87"/>
      <c r="D8" s="88">
        <v>0</v>
      </c>
      <c r="E8" s="89"/>
      <c r="F8" s="82"/>
      <c r="G8" s="83"/>
      <c r="H8" s="42" t="str">
        <f>IF(D6=0,"액면금액","입력안함")</f>
        <v>액면금액</v>
      </c>
      <c r="I8" s="43"/>
      <c r="J8" s="94">
        <v>10000</v>
      </c>
      <c r="K8" s="95"/>
      <c r="L8" s="2"/>
      <c r="O8" s="92" t="s">
        <v>26</v>
      </c>
      <c r="P8" s="93"/>
      <c r="Q8" s="40">
        <v>0</v>
      </c>
      <c r="R8" s="41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84"/>
      <c r="G9" s="85"/>
      <c r="H9" s="96" t="str">
        <f>IF(D6=0,"만기YYYYMMDD","입력안함")</f>
        <v>만기YYYYMMDD</v>
      </c>
      <c r="I9" s="97"/>
      <c r="J9" s="98">
        <v>46822</v>
      </c>
      <c r="K9" s="99"/>
      <c r="L9" s="2"/>
      <c r="O9" s="92" t="s">
        <v>5</v>
      </c>
      <c r="P9" s="93"/>
      <c r="Q9" s="40">
        <v>2</v>
      </c>
      <c r="R9" s="41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44" t="str">
        <f>IF(D6=0,"사용하지않음","쿠폰입력Flag 1일 경우 입력")</f>
        <v>사용하지않음</v>
      </c>
      <c r="C12" s="45"/>
      <c r="D12" s="45"/>
      <c r="E12" s="45"/>
      <c r="F12" s="46"/>
      <c r="G12" s="47" t="s">
        <v>6</v>
      </c>
      <c r="H12" s="48"/>
      <c r="I12" s="49" t="s">
        <v>7</v>
      </c>
      <c r="J12" s="49"/>
      <c r="L12" s="69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50" t="str">
        <f>IF(D6=0,"사용하지않음","쿠폰스케줄")</f>
        <v>사용하지않음</v>
      </c>
      <c r="C13" s="51"/>
      <c r="D13" s="52"/>
      <c r="E13" s="53" t="str">
        <f>IF(D6=0,"사용하지않음","원금 스케줄")</f>
        <v>사용하지않음</v>
      </c>
      <c r="F13" s="5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70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55"/>
      <c r="F14" s="5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36" t="s">
        <v>12</v>
      </c>
      <c r="P16" s="37"/>
      <c r="Q16" s="57">
        <v>1</v>
      </c>
      <c r="R16" s="5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36" t="s">
        <v>13</v>
      </c>
      <c r="P18" s="37"/>
      <c r="Q18" s="38">
        <v>9840.3730989250689</v>
      </c>
      <c r="R18" s="39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36" t="s">
        <v>14</v>
      </c>
      <c r="P19" s="37"/>
      <c r="Q19" s="38">
        <v>42.465753424657535</v>
      </c>
      <c r="R19" s="39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36" t="s">
        <v>15</v>
      </c>
      <c r="P20" s="37"/>
      <c r="Q20" s="38">
        <v>9882.8388523497269</v>
      </c>
      <c r="R20" s="39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36" t="s">
        <v>16</v>
      </c>
      <c r="P22" s="37"/>
      <c r="Q22" s="38">
        <v>4.7024840069316269</v>
      </c>
      <c r="R22" s="39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36" t="s">
        <v>17</v>
      </c>
      <c r="P23" s="37"/>
      <c r="Q23" s="38">
        <v>4.7024840069316269</v>
      </c>
      <c r="R23" s="39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36" t="s">
        <v>18</v>
      </c>
      <c r="P24" s="37"/>
      <c r="Q24" s="38">
        <v>4.582141121103632</v>
      </c>
      <c r="R24" s="39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35" t="s">
        <v>19</v>
      </c>
      <c r="P28" s="35"/>
      <c r="Q28" s="35" t="s">
        <v>20</v>
      </c>
      <c r="R28" s="35"/>
      <c r="S28" s="35" t="s">
        <v>21</v>
      </c>
      <c r="T28" s="35"/>
      <c r="U28" s="35" t="s">
        <v>22</v>
      </c>
      <c r="V28" s="35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  <mergeCell ref="Q6:R6"/>
    <mergeCell ref="B7:C7"/>
    <mergeCell ref="D7:E7"/>
    <mergeCell ref="H7:I7"/>
    <mergeCell ref="J7:K7"/>
    <mergeCell ref="H6:I6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2022-01-18T00:29:12Z</dcterms:created>
  <dcterms:modified xsi:type="dcterms:W3CDTF">2025-11-23T12:55:42Z</dcterms:modified>
</cp:coreProperties>
</file>