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Credit\"/>
    </mc:Choice>
  </mc:AlternateContent>
  <xr:revisionPtr revIDLastSave="0" documentId="13_ncr:1_{FE86587F-C63B-4428-A767-D39E3E2B4E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yBo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1" l="1"/>
  <c r="E16" i="1" s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<sst xmlns="http://schemas.openxmlformats.org/spreadsheetml/2006/main" count="36" uniqueCount="29">
  <si>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</si>
  <si>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</si>
  <si>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</si>
  <si>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</si>
  <si>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</si>
  <si>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</si>
  <si>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</si>
  <si>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</si>
  <si>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</si>
  <si>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</si>
  <si>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</si>
  <si>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</si>
  <si>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</si>
  <si>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</si>
  <si>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</si>
  <si>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</si>
  <si>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</si>
  <si>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</si>
  <si>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</si>
  <si>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</si>
  <si>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</si>
  <si>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</si>
  <si>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</si>
  <si>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</si>
  <si>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</si>
  <si>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</si>
  <si>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</si>
  <si>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</si>
  <si>
    <t>DebugFlag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</si>
</sst>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>
      <alignment vertical="center"/>
    </xf>
    <xf numFmtId="184" fontId="10" fillId="3" borderId="9" xfId="0" applyNumberFormat="1" applyFont="1" applyFill="1" applyBorder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6"/>
  <sheetViews>
    <sheetView tabSelected="1" topLeftCell="H1" zoomScale="85" zoomScaleNormal="85" workbookViewId="0">
      <selection activeCell="Q7" sqref="Q7:R7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7"/>
      <c r="M3" s="37"/>
      <c r="N3" s="37"/>
      <c r="O3" s="3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38" t="s">
        <v>0</v>
      </c>
      <c r="C5" s="39"/>
      <c r="D5" s="40">
        <v>43169</v>
      </c>
      <c r="E5" s="4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42" t="s">
        <v>1</v>
      </c>
      <c r="C6" s="43"/>
      <c r="D6" s="44">
        <v>0</v>
      </c>
      <c r="E6" s="45"/>
      <c r="F6" s="46" t="str">
        <f>IF(D6=0,"채권정보입력","")</f>
        <v>채권정보입력</v>
      </c>
      <c r="G6" s="47"/>
      <c r="H6" s="72" t="str">
        <f>IF(D6=0,"Coupon Rate","입력안함")</f>
        <v>Coupon Rate</v>
      </c>
      <c r="I6" s="73"/>
      <c r="J6" s="56">
        <v>0.05</v>
      </c>
      <c r="K6" s="57"/>
      <c r="L6" s="2"/>
      <c r="O6" s="58" t="s">
        <v>2</v>
      </c>
      <c r="P6" s="59"/>
      <c r="Q6" s="66">
        <v>44848</v>
      </c>
      <c r="R6" s="67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8" t="s">
        <v>3</v>
      </c>
      <c r="C7" s="69"/>
      <c r="D7" s="70">
        <v>0</v>
      </c>
      <c r="E7" s="71"/>
      <c r="F7" s="48"/>
      <c r="G7" s="49"/>
      <c r="H7" s="72" t="str">
        <f>IF(D6=0,"연 이자지급횟수","입력안함")</f>
        <v>연 이자지급횟수</v>
      </c>
      <c r="I7" s="73"/>
      <c r="J7" s="74">
        <v>2</v>
      </c>
      <c r="K7" s="75"/>
      <c r="L7" s="2"/>
      <c r="O7" s="58" t="s">
        <v>28</v>
      </c>
      <c r="P7" s="59"/>
      <c r="Q7" s="76">
        <v>0</v>
      </c>
      <c r="R7" s="77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52" t="s">
        <v>4</v>
      </c>
      <c r="C8" s="53"/>
      <c r="D8" s="54">
        <v>0</v>
      </c>
      <c r="E8" s="55"/>
      <c r="F8" s="48"/>
      <c r="G8" s="49"/>
      <c r="H8" s="78" t="str">
        <f>IF(D6=0,"액면금액","입력안함")</f>
        <v>액면금액</v>
      </c>
      <c r="I8" s="79"/>
      <c r="J8" s="60">
        <v>10000</v>
      </c>
      <c r="K8" s="61"/>
      <c r="L8" s="2"/>
      <c r="O8" s="58" t="s">
        <v>26</v>
      </c>
      <c r="P8" s="59"/>
      <c r="Q8" s="76">
        <v>0</v>
      </c>
      <c r="R8" s="77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50"/>
      <c r="G9" s="51"/>
      <c r="H9" s="62" t="str">
        <f>IF(D6=0,"만기YYYYMMDD","입력안함")</f>
        <v>만기YYYYMMDD</v>
      </c>
      <c r="I9" s="63"/>
      <c r="J9" s="64">
        <v>46822</v>
      </c>
      <c r="K9" s="65"/>
      <c r="L9" s="2"/>
      <c r="O9" s="58" t="s">
        <v>5</v>
      </c>
      <c r="P9" s="59"/>
      <c r="Q9" s="76">
        <v>2</v>
      </c>
      <c r="R9" s="77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84" t="str">
        <f>IF(D6=0,"사용하지않음","쿠폰입력Flag 1일 경우 입력")</f>
        <v>사용하지않음</v>
      </c>
      <c r="C12" s="85"/>
      <c r="D12" s="85"/>
      <c r="E12" s="85"/>
      <c r="F12" s="86"/>
      <c r="G12" s="87" t="s">
        <v>6</v>
      </c>
      <c r="H12" s="88"/>
      <c r="I12" s="89" t="s">
        <v>7</v>
      </c>
      <c r="J12" s="89"/>
      <c r="L12" s="3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90" t="str">
        <f>IF(D6=0,"사용하지않음","쿠폰스케줄")</f>
        <v>사용하지않음</v>
      </c>
      <c r="C13" s="91"/>
      <c r="D13" s="92"/>
      <c r="E13" s="93" t="str">
        <f>IF(D6=0,"사용하지않음","원금 스케줄")</f>
        <v>사용하지않음</v>
      </c>
      <c r="F13" s="9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3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95"/>
      <c r="F14" s="9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80" t="s">
        <v>12</v>
      </c>
      <c r="P16" s="81"/>
      <c r="Q16" s="97">
        <v>1</v>
      </c>
      <c r="R16" s="9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80" t="s">
        <v>13</v>
      </c>
      <c r="P18" s="81"/>
      <c r="Q18" s="82">
        <v>9840.3730989250689</v>
      </c>
      <c r="R18" s="83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80" t="s">
        <v>14</v>
      </c>
      <c r="P19" s="81"/>
      <c r="Q19" s="82">
        <v>42.465753424657535</v>
      </c>
      <c r="R19" s="83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80" t="s">
        <v>15</v>
      </c>
      <c r="P20" s="81"/>
      <c r="Q20" s="82">
        <v>9882.8388523497269</v>
      </c>
      <c r="R20" s="83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80" t="s">
        <v>16</v>
      </c>
      <c r="P22" s="81"/>
      <c r="Q22" s="82">
        <v>4.7024840069316269</v>
      </c>
      <c r="R22" s="83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80" t="s">
        <v>17</v>
      </c>
      <c r="P23" s="81"/>
      <c r="Q23" s="82">
        <v>4.7024840069316269</v>
      </c>
      <c r="R23" s="83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80" t="s">
        <v>18</v>
      </c>
      <c r="P24" s="81"/>
      <c r="Q24" s="82">
        <v>4.582141121103632</v>
      </c>
      <c r="R24" s="83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99" t="s">
        <v>19</v>
      </c>
      <c r="P28" s="99"/>
      <c r="Q28" s="99" t="s">
        <v>20</v>
      </c>
      <c r="R28" s="99"/>
      <c r="S28" s="99" t="s">
        <v>21</v>
      </c>
      <c r="T28" s="99"/>
      <c r="U28" s="99" t="s">
        <v>22</v>
      </c>
      <c r="V28" s="99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50"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Q6:R6"/>
    <mergeCell ref="B7:C7"/>
    <mergeCell ref="D7:E7"/>
    <mergeCell ref="H7:I7"/>
    <mergeCell ref="J7:K7"/>
    <mergeCell ref="H6:I6"/>
    <mergeCell ref="O7:P7"/>
    <mergeCell ref="Q7:R7"/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2022-01-18T00:29:12Z</dcterms:created>
  <dcterms:modified xsi:type="dcterms:W3CDTF">2025-11-26T12:56:33Z</dcterms:modified>
</cp:coreProperties>
</file>