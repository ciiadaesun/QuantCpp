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C860FC62-DDB2-4A1D-97E2-213C2D217D15}" xr6:coauthVersionLast="47" xr6:coauthVersionMax="47" xr10:uidLastSave="{00000000-0000-0000-0000-000000000000}"/>
  <bookViews>
    <workbookView xWindow="11424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2" l="1"/>
  <c r="J30" i="2"/>
  <c r="J29" i="2"/>
  <c r="J9" i="2"/>
  <c r="J11" i="2"/>
  <c r="J10" i="2"/>
  <c r="Q7" i="2"/>
  <c r="AE13" i="2" l="1"/>
  <c r="J41" i="2" l="1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FB6F9917-A922-4FDD-94A8-59CDE5FA4148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DE165F3A-7A78-4F66-A8D7-A68BCF0C509C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272B6F17-5BE2-41E6-A2B3-CC0C0403135F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EAC8F28E-4410-4B40-9346-3C03584F5E2D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<sst xmlns="http://schemas.openxmlformats.org/spreadsheetml/2006/main" count="147" uniqueCount="104">
  <si>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</si>
  <si>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</si>
  <si>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</si>
  <si>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</si>
  <si>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</si>
  <si>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</si>
  <si>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</si>
  <si>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</si>
  <si>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</si>
  <si>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</si>
  <si>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</si>
  <si>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</si>
  <si>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</si>
  <si>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</si>
  <si>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</si>
  <si>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</si>
  <si>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</si>
  <si>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</si>
  <si>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</si>
  <si>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</si>
  <si>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</si>
  <si>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</si>
  <si>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</si>
  <si>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</si>
  <si>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</si>
  <si>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</si>
  <si>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</si>
  <si>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</si>
  <si>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</si>
  <si>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</si>
  <si>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</si>
  <si>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</si>
  <si>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</si>
  <si>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</si>
  <si>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</si>
  <si>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</si>
  <si>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</si>
  <si>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</si>
  <si>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</si>
  <si>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</si>
  <si>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</si>
  <si>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</si>
  <si>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</si>
  <si>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</si>
  <si>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</si>
  <si>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</si>
  <si>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</si>
  <si>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</si>
  <si>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</si>
  <si>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</si>
  <si>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</si>
  <si>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</si>
  <si>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</si>
  <si>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</si>
  <si>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</si>
  <si>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</si>
  <si>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</si>
  <si>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</si>
  <si>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</si>
  <si>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</si>
  <si>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</si>
  <si>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</si>
  <si>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</si>
  <si>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</si>
  <si>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</si>
  <si>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</si>
  <si>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</si>
  <si>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</si>
  <si>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</si>
  <si>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</si>
  <si>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</si>
  <si>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</si>
  <si>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</si>
  <si>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</si>
  <si>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</si>
  <si>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</si>
  <si>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</si>
  <si>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</si>
  <si>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</si>
  <si>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</si>
  <si>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</si>
  <si>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</si>
  <si>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</si>
  <si>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</si>
  <si>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</si>
  <si>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</si>
  <si>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</si>
  <si>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</si>
  <si>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</si>
  <si>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</si>
  <si>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</si>
  <si>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</si>
  <si>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</si>
  <si>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</si>
  <si>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1: Nominal 교환 함</t>
    <phoneticPr fontId="2" type="noConversion"/>
  </si>
  <si>
    <t>-1: 단순 Callable 채권 평가</t>
  </si>
  <si>
    <t>0: ACT/365</t>
  </si>
  <si>
    <t>1: ACT/360</t>
  </si>
  <si>
    <t>2: ACT/ACT</t>
  </si>
  <si>
    <t>3: 30/360</t>
  </si>
  <si>
    <t>0: Receiver가 옵션보유</t>
  </si>
  <si>
    <t>1: Payer가 옵션보유</t>
  </si>
  <si>
    <t>1: Nominal 교환 함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</si>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</sst>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1" t="s">
        <v>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41" x14ac:dyDescent="0.4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41" x14ac:dyDescent="0.4">
      <c r="A4" s="1">
        <f>4</f>
        <v>4</v>
      </c>
      <c r="B4" s="55" t="s">
        <v>1</v>
      </c>
      <c r="C4" s="55"/>
      <c r="D4" s="56">
        <v>1</v>
      </c>
      <c r="E4" s="56"/>
      <c r="G4" s="53" t="s">
        <v>86</v>
      </c>
      <c r="H4" s="54">
        <v>0</v>
      </c>
    </row>
    <row r="5" spans="1:41" x14ac:dyDescent="0.4">
      <c r="A5" s="1">
        <f>A4+1</f>
        <v>5</v>
      </c>
      <c r="B5" s="55" t="s">
        <v>29</v>
      </c>
      <c r="C5" s="55"/>
      <c r="D5" s="71">
        <v>45538</v>
      </c>
      <c r="E5" s="56"/>
      <c r="G5" s="62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3"/>
      <c r="H6" s="64" t="s">
        <v>4</v>
      </c>
      <c r="I6" s="65"/>
      <c r="L6" s="68" t="s">
        <v>74</v>
      </c>
      <c r="M6" s="68"/>
      <c r="N6" s="68"/>
      <c r="O6" s="72" t="s">
        <v>75</v>
      </c>
      <c r="P6" s="65"/>
      <c r="R6" s="68" t="s">
        <v>5</v>
      </c>
      <c r="S6" s="68"/>
      <c r="T6" s="68"/>
    </row>
    <row r="7" spans="1:41" x14ac:dyDescent="0.4">
      <c r="A7" s="1">
        <f t="shared" si="1"/>
        <v>7</v>
      </c>
      <c r="B7" s="55" t="s">
        <v>6</v>
      </c>
      <c r="C7" s="55"/>
      <c r="D7" s="56">
        <v>0</v>
      </c>
      <c r="E7" s="56"/>
      <c r="G7" s="63"/>
      <c r="H7" s="66"/>
      <c r="I7" s="67"/>
      <c r="L7" s="68"/>
      <c r="M7" s="68"/>
      <c r="N7" s="68"/>
      <c r="O7" s="66"/>
      <c r="P7" s="67"/>
      <c r="R7" s="68"/>
      <c r="S7" s="68"/>
      <c r="T7" s="68"/>
    </row>
    <row r="8" spans="1:41" x14ac:dyDescent="0.4">
      <c r="A8" s="1">
        <f t="shared" si="1"/>
        <v>8</v>
      </c>
      <c r="B8" s="55" t="s">
        <v>7</v>
      </c>
      <c r="C8" s="55"/>
      <c r="D8" s="56">
        <v>0.01</v>
      </c>
      <c r="E8" s="56"/>
      <c r="G8" s="63"/>
      <c r="I8" s="3" t="s">
        <v>8</v>
      </c>
      <c r="J8" s="3" t="s">
        <v>9</v>
      </c>
      <c r="K8" s="3" t="s">
        <v>10</v>
      </c>
      <c r="R8" s="68" t="s">
        <v>11</v>
      </c>
      <c r="S8" s="68"/>
      <c r="T8" s="4">
        <v>3</v>
      </c>
    </row>
    <row r="9" spans="1:41" x14ac:dyDescent="0.4">
      <c r="A9" s="1">
        <f t="shared" si="1"/>
        <v>9</v>
      </c>
      <c r="G9" s="63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3"/>
      <c r="H10" s="8" t="s">
        <v>13</v>
      </c>
      <c r="I10" s="69" t="s">
        <v>14</v>
      </c>
      <c r="J10" s="70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3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3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9" t="s">
        <v>23</v>
      </c>
      <c r="E13" s="59"/>
      <c r="G13" s="63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9"/>
      <c r="E14" s="59"/>
      <c r="G14" s="63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9"/>
      <c r="E15" s="59"/>
      <c r="G15" s="63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3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0">
        <v>45202.835729166669</v>
      </c>
      <c r="E17" s="60"/>
      <c r="G17" s="63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0">
        <v>45202.835729166669</v>
      </c>
      <c r="E18" s="60"/>
      <c r="G18" s="63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3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3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3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3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6">
        <v>1</v>
      </c>
      <c r="E23" s="56"/>
      <c r="G23" s="63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6">
        <v>0</v>
      </c>
      <c r="E24" s="56"/>
      <c r="G24" s="63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6">
        <v>-0.1</v>
      </c>
      <c r="E25" s="56"/>
      <c r="G25" s="63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6">
        <v>0.15</v>
      </c>
      <c r="E26" s="56"/>
      <c r="G26" s="63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3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3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3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3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3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3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3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3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3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3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3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3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3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3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G13" workbookViewId="0">
      <selection activeCell="J31" sqref="J31:K3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86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90" t="s">
        <v>30</v>
      </c>
      <c r="C3" s="90"/>
      <c r="D3" s="152">
        <v>45538</v>
      </c>
      <c r="E3" s="80"/>
      <c r="F3" s="73" t="s">
        <v>87</v>
      </c>
      <c r="G3" s="73"/>
      <c r="H3" s="80" t="s">
        <v>102</v>
      </c>
      <c r="I3" s="80"/>
      <c r="J3" s="73" t="s">
        <v>31</v>
      </c>
      <c r="K3" s="73"/>
      <c r="L3" s="153">
        <v>40000000000</v>
      </c>
      <c r="M3" s="153"/>
      <c r="O3" s="134" t="s">
        <v>49</v>
      </c>
      <c r="P3" s="135"/>
      <c r="Q3" s="135"/>
      <c r="R3" s="136"/>
      <c r="T3" s="78" t="s">
        <v>55</v>
      </c>
      <c r="U3" s="79"/>
      <c r="W3" s="92" t="s">
        <v>76</v>
      </c>
      <c r="X3" s="93"/>
      <c r="Y3" s="92" t="s">
        <v>77</v>
      </c>
      <c r="Z3" s="93"/>
      <c r="AB3" s="81" t="s">
        <v>65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  <c r="AY3" s="73" t="s">
        <v>87</v>
      </c>
      <c r="AZ3" s="73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37" t="s">
        <v>48</v>
      </c>
      <c r="P4" s="138"/>
      <c r="Q4" s="139">
        <v>43819</v>
      </c>
      <c r="R4" s="140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  <c r="BA4" s="31" t="s">
        <v>93</v>
      </c>
      <c r="BB4" s="31" t="s">
        <v>94</v>
      </c>
      <c r="BC4" s="31" t="s">
        <v>95</v>
      </c>
    </row>
    <row r="5" spans="1:57" x14ac:dyDescent="0.4">
      <c r="A5" s="21">
        <f t="shared" si="1"/>
        <v>5</v>
      </c>
      <c r="B5" s="81" t="s">
        <v>47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89" t="s">
        <v>50</v>
      </c>
      <c r="P5" s="145"/>
      <c r="Q5" s="146">
        <v>49298</v>
      </c>
      <c r="R5" s="147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5" t="s">
        <v>34</v>
      </c>
      <c r="AZ5" s="55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3" t="s">
        <v>42</v>
      </c>
      <c r="P6" s="144"/>
      <c r="Q6" s="75">
        <v>0</v>
      </c>
      <c r="R6" s="76"/>
      <c r="W6" s="27">
        <v>44769</v>
      </c>
      <c r="X6" s="34">
        <v>3.6999999999999998E-2</v>
      </c>
      <c r="Y6" s="27">
        <v>44769</v>
      </c>
      <c r="Z6" s="36">
        <v>0.03</v>
      </c>
      <c r="AB6" s="73" t="s">
        <v>66</v>
      </c>
      <c r="AC6" s="73"/>
      <c r="AD6" s="80">
        <v>0</v>
      </c>
      <c r="AE6" s="80"/>
      <c r="AF6" s="20"/>
      <c r="AG6" s="20"/>
      <c r="AH6" s="20"/>
      <c r="AI6" s="20"/>
      <c r="AJ6" s="20"/>
      <c r="AK6" s="20"/>
      <c r="BA6" s="31" t="s">
        <v>96</v>
      </c>
      <c r="BB6" s="31" t="s">
        <v>97</v>
      </c>
      <c r="BC6" s="31" t="s">
        <v>98</v>
      </c>
      <c r="BD6" s="31" t="s">
        <v>99</v>
      </c>
      <c r="BE6" s="31" t="s">
        <v>103</v>
      </c>
    </row>
    <row r="7" spans="1:57" x14ac:dyDescent="0.4">
      <c r="A7" s="21">
        <f t="shared" si="1"/>
        <v>7</v>
      </c>
      <c r="B7" s="73" t="s">
        <v>32</v>
      </c>
      <c r="C7" s="73"/>
      <c r="D7" s="102">
        <v>1</v>
      </c>
      <c r="E7" s="80"/>
      <c r="F7" s="73" t="s">
        <v>33</v>
      </c>
      <c r="G7" s="73"/>
      <c r="H7" s="102">
        <v>1</v>
      </c>
      <c r="I7" s="80"/>
      <c r="J7" s="73" t="s">
        <v>85</v>
      </c>
      <c r="K7" s="73"/>
      <c r="L7" s="77">
        <v>0</v>
      </c>
      <c r="M7" s="76"/>
      <c r="O7" s="78" t="str">
        <f>IF(Q6&gt;0,"Phase2날짜","")</f>
        <v/>
      </c>
      <c r="P7" s="79"/>
      <c r="Q7" s="141">
        <f>EDATE(Q4,12)</f>
        <v>44185</v>
      </c>
      <c r="R7" s="142"/>
      <c r="W7" s="27">
        <v>44815</v>
      </c>
      <c r="X7" s="34">
        <v>3.6999999999999998E-2</v>
      </c>
      <c r="Y7" s="27">
        <v>44815</v>
      </c>
      <c r="Z7" s="34">
        <v>0.03</v>
      </c>
      <c r="AB7" s="73" t="s">
        <v>79</v>
      </c>
      <c r="AC7" s="73"/>
      <c r="AD7" s="80">
        <v>0</v>
      </c>
      <c r="AE7" s="80"/>
      <c r="AF7" s="20"/>
      <c r="AG7" s="20"/>
      <c r="AH7" s="20"/>
      <c r="AI7" s="20"/>
      <c r="AJ7" s="20"/>
      <c r="AK7" s="20"/>
      <c r="AZ7" s="38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100</v>
      </c>
      <c r="BB8" s="31" t="s">
        <v>101</v>
      </c>
    </row>
    <row r="9" spans="1:57" x14ac:dyDescent="0.4">
      <c r="A9" s="21">
        <f t="shared" si="1"/>
        <v>9</v>
      </c>
      <c r="B9" s="128" t="str">
        <f>"기초금리정보"</f>
        <v>기초금리정보</v>
      </c>
      <c r="C9" s="129"/>
      <c r="D9" s="55" t="s">
        <v>34</v>
      </c>
      <c r="E9" s="55"/>
      <c r="F9" s="77" t="s">
        <v>96</v>
      </c>
      <c r="G9" s="76"/>
      <c r="H9" s="23"/>
      <c r="I9" s="22"/>
      <c r="J9" s="103" t="str">
        <f>IF(F10=0,"금리결정조건이 = "&amp;F10&amp;" 이므로 Ref Swap 금리정보 사용안함", "사용")</f>
        <v>사용</v>
      </c>
      <c r="K9" s="104"/>
      <c r="L9" s="104"/>
      <c r="M9" s="105"/>
      <c r="O9" s="74" t="s">
        <v>52</v>
      </c>
      <c r="P9" s="74"/>
      <c r="Q9" s="74"/>
      <c r="R9" s="74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30"/>
      <c r="C10" s="131"/>
      <c r="D10" s="55" t="s">
        <v>35</v>
      </c>
      <c r="E10" s="106"/>
      <c r="F10" s="107">
        <v>1</v>
      </c>
      <c r="G10" s="108"/>
      <c r="H10" s="103" t="str">
        <f xml:space="preserve"> "Swap 레퍼런스금리정보"</f>
        <v>Swap 레퍼런스금리정보</v>
      </c>
      <c r="I10" s="104"/>
      <c r="J10" s="98" t="str">
        <f>IF(F10=0,"", "연 지급횟수")</f>
        <v>연 지급횟수</v>
      </c>
      <c r="K10" s="99"/>
      <c r="L10" s="80">
        <v>4</v>
      </c>
      <c r="M10" s="110"/>
      <c r="O10" s="74" t="s">
        <v>51</v>
      </c>
      <c r="P10" s="74"/>
      <c r="Q10" s="75">
        <v>4</v>
      </c>
      <c r="R10" s="76"/>
      <c r="AB10" s="89" t="s">
        <v>78</v>
      </c>
      <c r="AC10" s="90"/>
      <c r="AD10" s="91">
        <v>890546084.84454501</v>
      </c>
      <c r="AE10" s="9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30"/>
      <c r="C11" s="131"/>
      <c r="D11" s="74" t="s">
        <v>36</v>
      </c>
      <c r="E11" s="74"/>
      <c r="F11" s="77">
        <v>0</v>
      </c>
      <c r="G11" s="76"/>
      <c r="H11" s="109"/>
      <c r="I11" s="98"/>
      <c r="J11" s="98" t="str">
        <f>IF(F10=0,"",IF(F11=0, "만기", "입력X, 아래만기2개입력"))</f>
        <v>만기</v>
      </c>
      <c r="K11" s="99"/>
      <c r="L11" s="100">
        <v>0.25</v>
      </c>
      <c r="M11" s="101"/>
      <c r="O11" s="74" t="s">
        <v>53</v>
      </c>
      <c r="P11" s="74"/>
      <c r="Q11" s="75">
        <v>0</v>
      </c>
      <c r="R11" s="76"/>
      <c r="AB11" s="89" t="s">
        <v>91</v>
      </c>
      <c r="AC11" s="90"/>
      <c r="AD11" s="121">
        <v>40261175215.205704</v>
      </c>
      <c r="AE11" s="121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30"/>
      <c r="C12" s="131"/>
      <c r="D12" s="74" t="s">
        <v>37</v>
      </c>
      <c r="E12" s="74"/>
      <c r="F12" s="119">
        <v>1</v>
      </c>
      <c r="G12" s="120"/>
      <c r="H12" s="148" t="str">
        <f>"ex) Deposit 3M -&gt; 연 지급횟수= 4, 만기= 0.25 ||  ex2) CMT 5Y 연 지급횟수=2, 만기 5"</f>
        <v>ex) Deposit 3M -&gt; 연 지급횟수= 4, 만기= 0.25 ||  ex2) CMT 5Y 연 지급횟수=2, 만기 5</v>
      </c>
      <c r="I12" s="148"/>
      <c r="J12" s="148"/>
      <c r="K12" s="148"/>
      <c r="L12" s="148"/>
      <c r="M12" s="149"/>
      <c r="O12" s="78" t="s">
        <v>54</v>
      </c>
      <c r="P12" s="79"/>
      <c r="Q12" s="75">
        <v>4</v>
      </c>
      <c r="R12" s="76"/>
      <c r="AB12" s="89" t="s">
        <v>92</v>
      </c>
      <c r="AC12" s="90"/>
      <c r="AD12" s="121">
        <v>39934899495.429939</v>
      </c>
      <c r="AE12" s="121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30"/>
      <c r="C13" s="131"/>
      <c r="D13" s="74" t="s">
        <v>38</v>
      </c>
      <c r="E13" s="55"/>
      <c r="F13" s="111">
        <v>-1</v>
      </c>
      <c r="G13" s="112"/>
      <c r="H13" s="97" t="str">
        <f>IF(F11&gt;0,"PowerSpreadFlag 1일때 입력","입력필요X")</f>
        <v>입력필요X</v>
      </c>
      <c r="I13" s="97"/>
      <c r="J13" s="97" t="str">
        <f>IF(F11&gt;0,"만기1","")</f>
        <v/>
      </c>
      <c r="K13" s="97"/>
      <c r="L13" s="150">
        <v>10</v>
      </c>
      <c r="M13" s="151"/>
      <c r="AB13" s="20"/>
      <c r="AC13" s="20"/>
      <c r="AD13" s="20">
        <v>798615000</v>
      </c>
      <c r="AE13" s="49">
        <f>(AD13-AD10)/L3</f>
        <v>-2.2982771211136253E-3</v>
      </c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2"/>
      <c r="C14" s="133"/>
      <c r="D14" s="115" t="s">
        <v>39</v>
      </c>
      <c r="E14" s="115"/>
      <c r="F14" s="116">
        <v>1</v>
      </c>
      <c r="G14" s="117"/>
      <c r="H14" s="97"/>
      <c r="I14" s="97"/>
      <c r="J14" s="97" t="str">
        <f>IF(F11&gt;0,"만기2","")</f>
        <v/>
      </c>
      <c r="K14" s="97"/>
      <c r="L14" s="150">
        <v>5</v>
      </c>
      <c r="M14" s="151"/>
      <c r="O14" s="74" t="s">
        <v>88</v>
      </c>
      <c r="P14" s="74"/>
      <c r="Q14" s="74"/>
      <c r="R14" s="7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74" t="s">
        <v>89</v>
      </c>
      <c r="P15" s="74"/>
      <c r="Q15" s="75">
        <v>0</v>
      </c>
      <c r="R15" s="76"/>
      <c r="AB15" s="87" t="s">
        <v>72</v>
      </c>
      <c r="AC15" s="88"/>
      <c r="AD15" s="88"/>
      <c r="AE15" s="88"/>
      <c r="AF15" s="88"/>
      <c r="AG15" s="87" t="s">
        <v>73</v>
      </c>
      <c r="AH15" s="88"/>
      <c r="AI15" s="88"/>
      <c r="AJ15" s="88"/>
      <c r="AK15" s="88"/>
    </row>
    <row r="16" spans="1:57" x14ac:dyDescent="0.4">
      <c r="A16" s="21">
        <f t="shared" si="1"/>
        <v>16</v>
      </c>
      <c r="B16" s="118" t="s">
        <v>40</v>
      </c>
      <c r="C16" s="118"/>
      <c r="D16" s="74" t="s">
        <v>80</v>
      </c>
      <c r="E16" s="74"/>
      <c r="F16" s="119">
        <v>-1E-4</v>
      </c>
      <c r="G16" s="120"/>
      <c r="H16" s="94" t="s">
        <v>83</v>
      </c>
      <c r="I16" s="95"/>
      <c r="J16" s="96" t="str">
        <f>IF(F11&gt;0, F13&amp;" &lt; "&amp;F10&amp;" x Rate("&amp;L13&amp;"Y-"&amp;L14&amp;"Y) &lt; "&amp;F12,F13&amp;" &lt; "&amp;F10&amp;" x Rate("&amp;L11&amp;"Y) &lt; "&amp;F12)</f>
        <v>-1 &lt; 1 x Rate(0.25Y) &lt; 1</v>
      </c>
      <c r="K16" s="96"/>
      <c r="L16" s="96"/>
      <c r="M16" s="96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18"/>
      <c r="C17" s="118"/>
      <c r="D17" s="74" t="s">
        <v>43</v>
      </c>
      <c r="E17" s="74"/>
      <c r="F17" s="119">
        <v>0</v>
      </c>
      <c r="G17" s="120"/>
      <c r="H17" s="94" t="s">
        <v>81</v>
      </c>
      <c r="I17" s="95"/>
      <c r="J17" s="9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96"/>
      <c r="L17" s="96"/>
      <c r="M17" s="96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53996000000</v>
      </c>
    </row>
    <row r="18" spans="1:37" x14ac:dyDescent="0.4">
      <c r="A18" s="21">
        <f t="shared" si="1"/>
        <v>18</v>
      </c>
      <c r="B18" s="118"/>
      <c r="C18" s="118"/>
      <c r="D18" s="74" t="s">
        <v>44</v>
      </c>
      <c r="E18" s="74"/>
      <c r="F18" s="77">
        <v>1</v>
      </c>
      <c r="G18" s="76"/>
      <c r="H18" s="94"/>
      <c r="I18" s="95"/>
      <c r="J18" s="96"/>
      <c r="K18" s="96"/>
      <c r="L18" s="96"/>
      <c r="M18" s="96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18" t="s">
        <v>45</v>
      </c>
      <c r="C21" s="118"/>
      <c r="D21" s="74" t="s">
        <v>41</v>
      </c>
      <c r="E21" s="74"/>
      <c r="F21" s="119">
        <v>-1E-4</v>
      </c>
      <c r="G21" s="120"/>
      <c r="H21" s="94" t="s">
        <v>82</v>
      </c>
      <c r="I21" s="95"/>
      <c r="J21" s="9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96"/>
      <c r="L21" s="96"/>
      <c r="M21" s="96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18"/>
      <c r="C22" s="118"/>
      <c r="D22" s="74" t="s">
        <v>43</v>
      </c>
      <c r="E22" s="74"/>
      <c r="F22" s="119">
        <v>0</v>
      </c>
      <c r="G22" s="120"/>
      <c r="H22" s="94"/>
      <c r="I22" s="95"/>
      <c r="J22" s="96"/>
      <c r="K22" s="96"/>
      <c r="L22" s="96"/>
      <c r="M22" s="96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18"/>
      <c r="C23" s="118"/>
      <c r="D23" s="74" t="s">
        <v>44</v>
      </c>
      <c r="E23" s="74"/>
      <c r="F23" s="77">
        <v>1</v>
      </c>
      <c r="G23" s="76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1" t="s">
        <v>46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3" t="s">
        <v>32</v>
      </c>
      <c r="C27" s="73"/>
      <c r="D27" s="102">
        <v>1</v>
      </c>
      <c r="E27" s="80"/>
      <c r="F27" s="73" t="s">
        <v>33</v>
      </c>
      <c r="G27" s="73"/>
      <c r="H27" s="102">
        <v>1</v>
      </c>
      <c r="I27" s="80"/>
      <c r="J27" s="73" t="s">
        <v>85</v>
      </c>
      <c r="K27" s="73"/>
      <c r="L27" s="77">
        <v>4</v>
      </c>
      <c r="M27" s="76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128" t="str">
        <f>"기초금리정보"</f>
        <v>기초금리정보</v>
      </c>
      <c r="C29" s="129"/>
      <c r="D29" s="55" t="s">
        <v>34</v>
      </c>
      <c r="E29" s="55"/>
      <c r="F29" s="77" t="s">
        <v>99</v>
      </c>
      <c r="G29" s="76"/>
      <c r="H29" s="23"/>
      <c r="I29" s="22"/>
      <c r="J29" s="103" t="str">
        <f>IF(F30=0,"금리결정조건이 = "&amp;F30&amp;" 이므로 Ref Swap 금리정보 사용안함", "사용")</f>
        <v>금리결정조건이 = 0 이므로 Ref Swap 금리정보 사용안함</v>
      </c>
      <c r="K29" s="104"/>
      <c r="L29" s="104"/>
      <c r="M29" s="105"/>
      <c r="O29" s="74" t="s">
        <v>58</v>
      </c>
      <c r="P29" s="74"/>
      <c r="Q29" s="74"/>
      <c r="R29" s="74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130"/>
      <c r="C30" s="131"/>
      <c r="D30" s="55" t="s">
        <v>35</v>
      </c>
      <c r="E30" s="106"/>
      <c r="F30" s="107">
        <v>0</v>
      </c>
      <c r="G30" s="108"/>
      <c r="H30" s="103" t="str">
        <f xml:space="preserve"> "Swap 레퍼런스금리정보"</f>
        <v>Swap 레퍼런스금리정보</v>
      </c>
      <c r="I30" s="104"/>
      <c r="J30" s="98" t="str">
        <f>IF(F30=0,"", "연 지급횟수")</f>
        <v/>
      </c>
      <c r="K30" s="99"/>
      <c r="L30" s="80">
        <v>4</v>
      </c>
      <c r="M30" s="110"/>
      <c r="O30" s="74" t="s">
        <v>51</v>
      </c>
      <c r="P30" s="74"/>
      <c r="Q30" s="75">
        <v>0</v>
      </c>
      <c r="R30" s="76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130"/>
      <c r="C31" s="131"/>
      <c r="D31" s="74" t="s">
        <v>36</v>
      </c>
      <c r="E31" s="74"/>
      <c r="F31" s="77">
        <v>0</v>
      </c>
      <c r="G31" s="76"/>
      <c r="H31" s="109"/>
      <c r="I31" s="98"/>
      <c r="J31" s="98" t="str">
        <f>IF(F30=0,"",IF(F31=0, "만기", "입력X, 아래만기2개입력"))</f>
        <v/>
      </c>
      <c r="K31" s="99"/>
      <c r="L31" s="100">
        <v>10</v>
      </c>
      <c r="M31" s="101"/>
      <c r="O31" s="74" t="s">
        <v>53</v>
      </c>
      <c r="P31" s="74"/>
      <c r="Q31" s="75">
        <v>0</v>
      </c>
      <c r="R31" s="76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130"/>
      <c r="C32" s="131"/>
      <c r="D32" s="74" t="s">
        <v>37</v>
      </c>
      <c r="E32" s="74"/>
      <c r="F32" s="119">
        <v>0.8</v>
      </c>
      <c r="G32" s="120"/>
      <c r="H32" s="148" t="str">
        <f>"ex) Deposit 3M -&gt; 연 지급횟수= 4, 만기= 0.25 ||  ex2) CMT 5Y 연 지급횟수=2, 만기 5"</f>
        <v>ex) Deposit 3M -&gt; 연 지급횟수= 4, 만기= 0.25 ||  ex2) CMT 5Y 연 지급횟수=2, 만기 5</v>
      </c>
      <c r="I32" s="148"/>
      <c r="J32" s="148"/>
      <c r="K32" s="148"/>
      <c r="L32" s="148"/>
      <c r="M32" s="149"/>
      <c r="O32" s="78" t="s">
        <v>54</v>
      </c>
      <c r="P32" s="79"/>
      <c r="Q32" s="75">
        <v>0</v>
      </c>
      <c r="R32" s="76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130"/>
      <c r="C33" s="131"/>
      <c r="D33" s="74" t="s">
        <v>38</v>
      </c>
      <c r="E33" s="55"/>
      <c r="F33" s="111">
        <v>-0.8</v>
      </c>
      <c r="G33" s="112"/>
      <c r="H33" s="97" t="str">
        <f>IF(F31&gt;0,"PowerSpreadFlag 1일때 입력","입력필요X")</f>
        <v>입력필요X</v>
      </c>
      <c r="I33" s="97"/>
      <c r="J33" s="97" t="str">
        <f>IF(F31&gt;0,"만기1","")</f>
        <v/>
      </c>
      <c r="K33" s="97"/>
      <c r="L33" s="113">
        <v>10</v>
      </c>
      <c r="M33" s="114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132"/>
      <c r="C34" s="133"/>
      <c r="D34" s="115" t="s">
        <v>39</v>
      </c>
      <c r="E34" s="115"/>
      <c r="F34" s="116">
        <v>0</v>
      </c>
      <c r="G34" s="117"/>
      <c r="H34" s="97"/>
      <c r="I34" s="97"/>
      <c r="J34" s="97" t="str">
        <f>IF(F31&gt;0,"만기2","")</f>
        <v/>
      </c>
      <c r="K34" s="97"/>
      <c r="L34" s="113">
        <v>5</v>
      </c>
      <c r="M34" s="114"/>
      <c r="O34" s="74" t="s">
        <v>90</v>
      </c>
      <c r="P34" s="74"/>
      <c r="Q34" s="74"/>
      <c r="R34" s="74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O35" s="74" t="s">
        <v>89</v>
      </c>
      <c r="P35" s="74"/>
      <c r="Q35" s="75">
        <v>0</v>
      </c>
      <c r="R35" s="76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18" t="s">
        <v>40</v>
      </c>
      <c r="C36" s="118"/>
      <c r="D36" s="74" t="s">
        <v>41</v>
      </c>
      <c r="E36" s="74"/>
      <c r="F36" s="119">
        <v>2.0199999999999999E-2</v>
      </c>
      <c r="G36" s="120"/>
      <c r="H36" s="94" t="s">
        <v>84</v>
      </c>
      <c r="I36" s="95"/>
      <c r="J36" s="96" t="str">
        <f>IF(F31&gt;0, F33&amp;" &lt; "&amp;F30&amp;" x Rate("&amp;L33&amp;"Y-"&amp;L34&amp;"Y) &lt; "&amp;F32,F33&amp;" &lt; "&amp;F30&amp;" x Rate("&amp;L31&amp;"Y) &lt; "&amp;F32)</f>
        <v>-0.8 &lt; 0 x Rate(10Y) &lt; 0.8</v>
      </c>
      <c r="K36" s="96"/>
      <c r="L36" s="96"/>
      <c r="M36" s="96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18"/>
      <c r="C37" s="118"/>
      <c r="D37" s="74" t="s">
        <v>43</v>
      </c>
      <c r="E37" s="74"/>
      <c r="F37" s="119">
        <v>0</v>
      </c>
      <c r="G37" s="120"/>
      <c r="H37" s="94" t="s">
        <v>81</v>
      </c>
      <c r="I37" s="95"/>
      <c r="J37" s="9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96"/>
      <c r="L37" s="96"/>
      <c r="M37" s="96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18"/>
      <c r="C38" s="118"/>
      <c r="D38" s="74" t="s">
        <v>44</v>
      </c>
      <c r="E38" s="74"/>
      <c r="F38" s="77">
        <v>0</v>
      </c>
      <c r="G38" s="76"/>
      <c r="H38" s="94"/>
      <c r="I38" s="95"/>
      <c r="J38" s="96"/>
      <c r="K38" s="96"/>
      <c r="L38" s="96"/>
      <c r="M38" s="96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18" t="s">
        <v>45</v>
      </c>
      <c r="C41" s="118"/>
      <c r="D41" s="74" t="s">
        <v>41</v>
      </c>
      <c r="E41" s="74"/>
      <c r="F41" s="119">
        <v>2.0199999999999999E-2</v>
      </c>
      <c r="G41" s="120"/>
      <c r="H41" s="94" t="s">
        <v>82</v>
      </c>
      <c r="I41" s="95"/>
      <c r="J41" s="9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96"/>
      <c r="L41" s="96"/>
      <c r="M41" s="96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18"/>
      <c r="C42" s="118"/>
      <c r="D42" s="74" t="s">
        <v>43</v>
      </c>
      <c r="E42" s="74"/>
      <c r="F42" s="119">
        <v>0</v>
      </c>
      <c r="G42" s="120"/>
      <c r="H42" s="94"/>
      <c r="I42" s="95"/>
      <c r="J42" s="96"/>
      <c r="K42" s="96"/>
      <c r="L42" s="96"/>
      <c r="M42" s="96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18"/>
      <c r="C43" s="118"/>
      <c r="D43" s="74" t="s">
        <v>44</v>
      </c>
      <c r="E43" s="74"/>
      <c r="F43" s="77">
        <v>0</v>
      </c>
      <c r="G43" s="76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22" t="s">
        <v>60</v>
      </c>
      <c r="C45" s="123"/>
      <c r="D45" s="123"/>
      <c r="E45" s="123"/>
      <c r="F45" s="123"/>
      <c r="G45" s="124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25"/>
      <c r="C46" s="126"/>
      <c r="D46" s="126"/>
      <c r="E46" s="126"/>
      <c r="F46" s="126"/>
      <c r="G46" s="127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 t="s">
        <v>100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40302236505.636894</v>
      </c>
    </row>
  </sheetData>
  <mergeCells count="158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6:G36"/>
    <mergeCell ref="D37:E37"/>
    <mergeCell ref="F37:G37"/>
    <mergeCell ref="D38:E38"/>
    <mergeCell ref="F38:G38"/>
    <mergeCell ref="L34:M34"/>
    <mergeCell ref="B29:C34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D32:E32"/>
    <mergeCell ref="F32:G32"/>
    <mergeCell ref="H32:M32"/>
    <mergeCell ref="F16:G16"/>
    <mergeCell ref="Y3:Z3"/>
    <mergeCell ref="AB7:AC7"/>
    <mergeCell ref="AD7:AE7"/>
    <mergeCell ref="AB11:AC11"/>
    <mergeCell ref="AD11:AE11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D17:E17"/>
    <mergeCell ref="F17:G17"/>
    <mergeCell ref="D22:E22"/>
    <mergeCell ref="F22:G22"/>
    <mergeCell ref="D16:E16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1:G31"/>
    <mergeCell ref="J31:K31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L31:M31"/>
    <mergeCell ref="J16:M16"/>
    <mergeCell ref="AY3:AZ3"/>
    <mergeCell ref="AY5:AZ5"/>
    <mergeCell ref="O14:R14"/>
    <mergeCell ref="O15:P15"/>
    <mergeCell ref="Q15:R15"/>
    <mergeCell ref="O34:R34"/>
    <mergeCell ref="O35:P35"/>
    <mergeCell ref="Q35:R35"/>
    <mergeCell ref="J7:K7"/>
    <mergeCell ref="J27:K27"/>
    <mergeCell ref="L7:M7"/>
    <mergeCell ref="L27:M27"/>
    <mergeCell ref="O11:P11"/>
    <mergeCell ref="Q11:R11"/>
    <mergeCell ref="O12:P12"/>
    <mergeCell ref="Q12:R12"/>
    <mergeCell ref="AB6:AC6"/>
    <mergeCell ref="AD6:AE6"/>
    <mergeCell ref="AB3:AM4"/>
    <mergeCell ref="AB15:AF15"/>
    <mergeCell ref="AG15:AK15"/>
    <mergeCell ref="AB10:AC10"/>
    <mergeCell ref="AD10:AE10"/>
    <mergeCell ref="W3:X3"/>
  </mergeCells>
  <phoneticPr fontId="2" type="noConversion"/>
  <dataValidations count="3">
    <dataValidation type="list" allowBlank="1" showInputMessage="1" showErrorMessage="1" sqref="D48" xr:uid="{69BE09A5-F3EC-4754-817C-46FEBE2A1BFB}">
      <formula1>$BA$8:$BB$8</formula1>
    </dataValidation>
    <dataValidation type="list" allowBlank="1" showInputMessage="1" showErrorMessage="1" sqref="H3:I3" xr:uid="{88260C89-4CD4-4802-AC39-62C5D152C728}">
      <formula1>$BA$4:$BC$4</formula1>
    </dataValidation>
    <dataValidation type="list" allowBlank="1" showInputMessage="1" showErrorMessage="1" sqref="F9:G9 F29:G29" xr:uid="{88D0C2AE-C3B8-45CE-90A1-A87C70A75D20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2026-05-25T12:37:53Z</dcterms:modified>
</cp:coreProperties>
</file>