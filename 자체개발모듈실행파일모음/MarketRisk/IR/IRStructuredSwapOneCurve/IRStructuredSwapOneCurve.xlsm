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IR\IRStructuredSwapOneCurve\"/>
    </mc:Choice>
  </mc:AlternateContent>
  <xr:revisionPtr revIDLastSave="0" documentId="13_ncr:1_{E9D8EF5A-1D24-405C-ABD7-D5A4F6F357C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<sst xmlns="http://schemas.openxmlformats.org/spreadsheetml/2006/main" count="124" uniqueCount="88">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</sst>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G4" sqref="G4:H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1" t="s">
        <v>0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</row>
    <row r="3" spans="1:41" x14ac:dyDescent="0.4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</row>
    <row r="4" spans="1:41" x14ac:dyDescent="0.4">
      <c r="A4" s="1">
        <f>4</f>
        <v>4</v>
      </c>
      <c r="B4" s="55" t="s">
        <v>1</v>
      </c>
      <c r="C4" s="55"/>
      <c r="D4" s="56">
        <v>1</v>
      </c>
      <c r="E4" s="56"/>
      <c r="G4" s="53" t="s">
        <v>87</v>
      </c>
      <c r="H4" s="54">
        <v>0</v>
      </c>
    </row>
    <row r="5" spans="1:41" x14ac:dyDescent="0.4">
      <c r="A5" s="1">
        <f>A4+1</f>
        <v>5</v>
      </c>
      <c r="B5" s="55" t="s">
        <v>29</v>
      </c>
      <c r="C5" s="55"/>
      <c r="D5" s="71">
        <v>45538</v>
      </c>
      <c r="E5" s="56"/>
      <c r="G5" s="62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3"/>
      <c r="H6" s="64" t="s">
        <v>4</v>
      </c>
      <c r="I6" s="65"/>
      <c r="L6" s="68" t="s">
        <v>75</v>
      </c>
      <c r="M6" s="68"/>
      <c r="N6" s="68"/>
      <c r="O6" s="72" t="s">
        <v>76</v>
      </c>
      <c r="P6" s="65"/>
      <c r="R6" s="68" t="s">
        <v>5</v>
      </c>
      <c r="S6" s="68"/>
      <c r="T6" s="68"/>
    </row>
    <row r="7" spans="1:41" x14ac:dyDescent="0.4">
      <c r="A7" s="1">
        <f t="shared" si="1"/>
        <v>7</v>
      </c>
      <c r="B7" s="55" t="s">
        <v>6</v>
      </c>
      <c r="C7" s="55"/>
      <c r="D7" s="56">
        <v>0</v>
      </c>
      <c r="E7" s="56"/>
      <c r="G7" s="63"/>
      <c r="H7" s="66"/>
      <c r="I7" s="67"/>
      <c r="L7" s="68"/>
      <c r="M7" s="68"/>
      <c r="N7" s="68"/>
      <c r="O7" s="66"/>
      <c r="P7" s="67"/>
      <c r="R7" s="68"/>
      <c r="S7" s="68"/>
      <c r="T7" s="68"/>
    </row>
    <row r="8" spans="1:41" x14ac:dyDescent="0.4">
      <c r="A8" s="1">
        <f t="shared" si="1"/>
        <v>8</v>
      </c>
      <c r="B8" s="55" t="s">
        <v>7</v>
      </c>
      <c r="C8" s="55"/>
      <c r="D8" s="56">
        <v>0.01</v>
      </c>
      <c r="E8" s="56"/>
      <c r="G8" s="63"/>
      <c r="I8" s="3" t="s">
        <v>8</v>
      </c>
      <c r="J8" s="3" t="s">
        <v>9</v>
      </c>
      <c r="K8" s="3" t="s">
        <v>10</v>
      </c>
      <c r="R8" s="68" t="s">
        <v>11</v>
      </c>
      <c r="S8" s="68"/>
      <c r="T8" s="4">
        <v>3</v>
      </c>
    </row>
    <row r="9" spans="1:41" x14ac:dyDescent="0.4">
      <c r="A9" s="1">
        <f t="shared" si="1"/>
        <v>9</v>
      </c>
      <c r="G9" s="63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3"/>
      <c r="H10" s="8" t="s">
        <v>13</v>
      </c>
      <c r="I10" s="69" t="s">
        <v>14</v>
      </c>
      <c r="J10" s="70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7" t="s">
        <v>17</v>
      </c>
      <c r="S10" s="57" t="s">
        <v>18</v>
      </c>
      <c r="T10" s="57" t="s">
        <v>19</v>
      </c>
      <c r="U10" s="57" t="s">
        <v>20</v>
      </c>
      <c r="V10" s="57" t="s">
        <v>21</v>
      </c>
      <c r="W10" s="57" t="s">
        <v>22</v>
      </c>
    </row>
    <row r="11" spans="1:41" x14ac:dyDescent="0.4">
      <c r="A11" s="1">
        <f t="shared" si="1"/>
        <v>11</v>
      </c>
      <c r="G11" s="63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8"/>
      <c r="S11" s="58"/>
      <c r="T11" s="58"/>
      <c r="U11" s="58"/>
      <c r="V11" s="58"/>
      <c r="W11" s="58"/>
    </row>
    <row r="12" spans="1:41" x14ac:dyDescent="0.4">
      <c r="A12" s="1">
        <f t="shared" si="1"/>
        <v>12</v>
      </c>
      <c r="G12" s="63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9" t="s">
        <v>23</v>
      </c>
      <c r="E13" s="59"/>
      <c r="G13" s="63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9"/>
      <c r="E14" s="59"/>
      <c r="G14" s="63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9"/>
      <c r="E15" s="59"/>
      <c r="G15" s="63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3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0">
        <v>45202.835729166669</v>
      </c>
      <c r="E17" s="60"/>
      <c r="G17" s="63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0">
        <v>45202.835729166669</v>
      </c>
      <c r="E18" s="60"/>
      <c r="G18" s="63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3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3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3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3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5" t="s">
        <v>24</v>
      </c>
      <c r="C23" s="55"/>
      <c r="D23" s="56">
        <v>1</v>
      </c>
      <c r="E23" s="56"/>
      <c r="G23" s="63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5" t="s">
        <v>25</v>
      </c>
      <c r="C24" s="55"/>
      <c r="D24" s="56">
        <v>0</v>
      </c>
      <c r="E24" s="56"/>
      <c r="G24" s="63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5" t="s">
        <v>26</v>
      </c>
      <c r="C25" s="55"/>
      <c r="D25" s="56">
        <v>-0.1</v>
      </c>
      <c r="E25" s="56"/>
      <c r="G25" s="63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5" t="s">
        <v>27</v>
      </c>
      <c r="C26" s="55"/>
      <c r="D26" s="56">
        <v>0.15</v>
      </c>
      <c r="E26" s="56"/>
      <c r="G26" s="63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3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3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3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3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3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3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3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3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3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3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3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3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3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3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W1" workbookViewId="0">
      <selection activeCell="B9" sqref="B9:C14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1" t="s">
        <v>87</v>
      </c>
      <c r="C2" s="52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14" t="s">
        <v>30</v>
      </c>
      <c r="C3" s="114"/>
      <c r="D3" s="149">
        <v>45538</v>
      </c>
      <c r="E3" s="91"/>
      <c r="F3" s="73" t="s">
        <v>31</v>
      </c>
      <c r="G3" s="73"/>
      <c r="H3" s="91">
        <v>0</v>
      </c>
      <c r="I3" s="91"/>
      <c r="J3" s="73" t="s">
        <v>32</v>
      </c>
      <c r="K3" s="73"/>
      <c r="L3" s="150">
        <v>40000000000</v>
      </c>
      <c r="M3" s="150"/>
      <c r="O3" s="133" t="s">
        <v>50</v>
      </c>
      <c r="P3" s="134"/>
      <c r="Q3" s="134"/>
      <c r="R3" s="135"/>
      <c r="T3" s="125" t="s">
        <v>56</v>
      </c>
      <c r="U3" s="126"/>
      <c r="W3" s="116" t="s">
        <v>77</v>
      </c>
      <c r="X3" s="117"/>
      <c r="Y3" s="116" t="s">
        <v>78</v>
      </c>
      <c r="Z3" s="117"/>
      <c r="AB3" s="84" t="s">
        <v>66</v>
      </c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6"/>
    </row>
    <row r="4" spans="1:57" x14ac:dyDescent="0.4">
      <c r="A4" s="21">
        <f t="shared" si="1"/>
        <v>4</v>
      </c>
      <c r="B4" s="20"/>
      <c r="C4" s="20"/>
      <c r="O4" s="136" t="s">
        <v>49</v>
      </c>
      <c r="P4" s="137"/>
      <c r="Q4" s="138">
        <v>43819</v>
      </c>
      <c r="R4" s="139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7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9"/>
    </row>
    <row r="5" spans="1:57" x14ac:dyDescent="0.4">
      <c r="A5" s="21">
        <f t="shared" si="1"/>
        <v>5</v>
      </c>
      <c r="B5" s="84" t="s">
        <v>48</v>
      </c>
      <c r="C5" s="85"/>
      <c r="D5" s="85"/>
      <c r="E5" s="85"/>
      <c r="F5" s="85"/>
      <c r="G5" s="85"/>
      <c r="H5" s="85"/>
      <c r="I5" s="85"/>
      <c r="J5" s="85"/>
      <c r="K5" s="85"/>
      <c r="L5" s="85"/>
      <c r="M5" s="86"/>
      <c r="O5" s="113" t="s">
        <v>51</v>
      </c>
      <c r="P5" s="144"/>
      <c r="Q5" s="145">
        <v>49298</v>
      </c>
      <c r="R5" s="146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7"/>
      <c r="C6" s="88"/>
      <c r="D6" s="88"/>
      <c r="E6" s="88"/>
      <c r="F6" s="88"/>
      <c r="G6" s="88"/>
      <c r="H6" s="88"/>
      <c r="I6" s="88"/>
      <c r="J6" s="88"/>
      <c r="K6" s="88"/>
      <c r="L6" s="88"/>
      <c r="M6" s="89"/>
      <c r="O6" s="142" t="s">
        <v>43</v>
      </c>
      <c r="P6" s="143"/>
      <c r="Q6" s="124">
        <v>0</v>
      </c>
      <c r="R6" s="75"/>
      <c r="W6" s="27">
        <v>44769</v>
      </c>
      <c r="X6" s="34">
        <v>3.6999999999999998E-2</v>
      </c>
      <c r="Y6" s="27">
        <v>44769</v>
      </c>
      <c r="Z6" s="36">
        <v>0.03</v>
      </c>
      <c r="AB6" s="73" t="s">
        <v>67</v>
      </c>
      <c r="AC6" s="73"/>
      <c r="AD6" s="91">
        <v>0</v>
      </c>
      <c r="AE6" s="91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33</v>
      </c>
      <c r="C7" s="73"/>
      <c r="D7" s="90">
        <v>1</v>
      </c>
      <c r="E7" s="91"/>
      <c r="F7" s="73" t="s">
        <v>34</v>
      </c>
      <c r="G7" s="73"/>
      <c r="H7" s="90">
        <v>1</v>
      </c>
      <c r="I7" s="91"/>
      <c r="J7" s="73" t="s">
        <v>86</v>
      </c>
      <c r="K7" s="73"/>
      <c r="L7" s="74">
        <v>0</v>
      </c>
      <c r="M7" s="75"/>
      <c r="O7" s="125" t="str">
        <f>IF(Q6&gt;0,"Phase2날짜","")</f>
        <v/>
      </c>
      <c r="P7" s="126"/>
      <c r="Q7" s="140">
        <f>EDATE(Q4,12)</f>
        <v>44185</v>
      </c>
      <c r="R7" s="141"/>
      <c r="W7" s="27">
        <v>44815</v>
      </c>
      <c r="X7" s="34">
        <v>3.6999999999999998E-2</v>
      </c>
      <c r="Y7" s="27">
        <v>44815</v>
      </c>
      <c r="Z7" s="34">
        <v>0.03</v>
      </c>
      <c r="AB7" s="73" t="s">
        <v>80</v>
      </c>
      <c r="AC7" s="73"/>
      <c r="AD7" s="91">
        <v>0</v>
      </c>
      <c r="AE7" s="91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55" t="s">
        <v>35</v>
      </c>
      <c r="E9" s="55"/>
      <c r="F9" s="74">
        <v>0</v>
      </c>
      <c r="G9" s="75"/>
      <c r="H9" s="23"/>
      <c r="I9" s="22"/>
      <c r="J9" s="92" t="str">
        <f>IF(OR(F10 = 0, F10 = 2, F10 = 4), "RefType = "&amp;F10&amp;" 이므로 Ref Swap 금리정보 사용안함", "사용")</f>
        <v>사용</v>
      </c>
      <c r="K9" s="93"/>
      <c r="L9" s="93"/>
      <c r="M9" s="94"/>
      <c r="O9" s="100" t="s">
        <v>53</v>
      </c>
      <c r="P9" s="100"/>
      <c r="Q9" s="100"/>
      <c r="R9" s="100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55" t="s">
        <v>36</v>
      </c>
      <c r="E10" s="95"/>
      <c r="F10" s="96">
        <v>1</v>
      </c>
      <c r="G10" s="97"/>
      <c r="H10" s="92" t="str">
        <f xml:space="preserve"> "Swap 레퍼런스금리정보"</f>
        <v>Swap 레퍼런스금리정보</v>
      </c>
      <c r="I10" s="93"/>
      <c r="J10" s="80" t="str">
        <f>IF(OR(F10 = 0, F10 = 2, F10 = 4), "", "연 지급횟수")</f>
        <v>연 지급횟수</v>
      </c>
      <c r="K10" s="81"/>
      <c r="L10" s="91">
        <v>4</v>
      </c>
      <c r="M10" s="99"/>
      <c r="O10" s="100" t="s">
        <v>52</v>
      </c>
      <c r="P10" s="100"/>
      <c r="Q10" s="124">
        <v>4</v>
      </c>
      <c r="R10" s="75"/>
      <c r="AB10" s="113" t="s">
        <v>79</v>
      </c>
      <c r="AC10" s="114"/>
      <c r="AD10" s="115">
        <v>890546084.84454477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100" t="s">
        <v>37</v>
      </c>
      <c r="E11" s="100"/>
      <c r="F11" s="74">
        <v>0</v>
      </c>
      <c r="G11" s="75"/>
      <c r="H11" s="98"/>
      <c r="I11" s="80"/>
      <c r="J11" s="80" t="str">
        <f>IF(F11=0, "만기", "입력X, 아래만기2개입력")</f>
        <v>만기</v>
      </c>
      <c r="K11" s="81"/>
      <c r="L11" s="82">
        <v>0.25</v>
      </c>
      <c r="M11" s="83"/>
      <c r="O11" s="100" t="s">
        <v>54</v>
      </c>
      <c r="P11" s="100"/>
      <c r="Q11" s="124">
        <v>0</v>
      </c>
      <c r="R11" s="75"/>
      <c r="AB11" s="20"/>
      <c r="AC11" s="20"/>
      <c r="AD11" s="20">
        <v>798615000</v>
      </c>
      <c r="AE11" s="49">
        <f>(AD11-AD10)/L3</f>
        <v>-2.2982771211136192E-3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100" t="s">
        <v>38</v>
      </c>
      <c r="E12" s="100"/>
      <c r="F12" s="109">
        <v>1</v>
      </c>
      <c r="G12" s="110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55</v>
      </c>
      <c r="P12" s="126"/>
      <c r="Q12" s="124">
        <v>4</v>
      </c>
      <c r="R12" s="75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100" t="s">
        <v>39</v>
      </c>
      <c r="E13" s="55"/>
      <c r="F13" s="101">
        <v>-1</v>
      </c>
      <c r="G13" s="102"/>
      <c r="H13" s="79" t="str">
        <f>IF(F11&gt;0,"PowerSpreadFlag 1일때 입력","입력필요X")</f>
        <v>입력필요X</v>
      </c>
      <c r="I13" s="79"/>
      <c r="J13" s="79" t="str">
        <f>IF(F11&gt;0,"만기1","")</f>
        <v/>
      </c>
      <c r="K13" s="79"/>
      <c r="L13" s="103">
        <v>10</v>
      </c>
      <c r="M13" s="104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5" t="s">
        <v>40</v>
      </c>
      <c r="E14" s="105"/>
      <c r="F14" s="106">
        <v>1</v>
      </c>
      <c r="G14" s="107"/>
      <c r="H14" s="79"/>
      <c r="I14" s="79"/>
      <c r="J14" s="79" t="str">
        <f>IF(F11&gt;0,"만기2","")</f>
        <v/>
      </c>
      <c r="K14" s="79"/>
      <c r="L14" s="103">
        <v>5</v>
      </c>
      <c r="M14" s="104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1" t="s">
        <v>73</v>
      </c>
      <c r="AC15" s="112"/>
      <c r="AD15" s="112"/>
      <c r="AE15" s="112"/>
      <c r="AF15" s="112"/>
      <c r="AG15" s="111" t="s">
        <v>74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8" t="s">
        <v>41</v>
      </c>
      <c r="C16" s="108"/>
      <c r="D16" s="100" t="s">
        <v>81</v>
      </c>
      <c r="E16" s="100"/>
      <c r="F16" s="109">
        <v>-1E-4</v>
      </c>
      <c r="G16" s="110"/>
      <c r="H16" s="76" t="s">
        <v>84</v>
      </c>
      <c r="I16" s="77"/>
      <c r="J16" s="78" t="str">
        <f>IF(F11&gt;0, F13&amp;" &lt; "&amp;F10&amp;" x Rate("&amp;L13&amp;"Y-"&amp;L14&amp;"Y) &lt; "&amp;F12,F13&amp;" &lt; "&amp;F10&amp;" x Rate("&amp;L11&amp;"Y) &lt; "&amp;F12)</f>
        <v>-1 &lt; 1 x Rate(0.25Y) &lt; 1</v>
      </c>
      <c r="K16" s="78"/>
      <c r="L16" s="78"/>
      <c r="M16" s="78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08"/>
      <c r="C17" s="108"/>
      <c r="D17" s="100" t="s">
        <v>44</v>
      </c>
      <c r="E17" s="100"/>
      <c r="F17" s="109">
        <v>0</v>
      </c>
      <c r="G17" s="110"/>
      <c r="H17" s="76" t="s">
        <v>82</v>
      </c>
      <c r="I17" s="77"/>
      <c r="J17" s="78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8"/>
      <c r="L17" s="78"/>
      <c r="M17" s="78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20341220</v>
      </c>
      <c r="AI17" s="40">
        <v>20341220</v>
      </c>
      <c r="AJ17" s="43">
        <v>0</v>
      </c>
      <c r="AK17" s="47">
        <v>13996000000</v>
      </c>
    </row>
    <row r="18" spans="1:37" x14ac:dyDescent="0.4">
      <c r="A18" s="21">
        <f t="shared" si="1"/>
        <v>18</v>
      </c>
      <c r="B18" s="108"/>
      <c r="C18" s="108"/>
      <c r="D18" s="100" t="s">
        <v>45</v>
      </c>
      <c r="E18" s="100"/>
      <c r="F18" s="74">
        <v>1</v>
      </c>
      <c r="G18" s="75"/>
      <c r="H18" s="76"/>
      <c r="I18" s="77"/>
      <c r="J18" s="78"/>
      <c r="K18" s="78"/>
      <c r="L18" s="78"/>
      <c r="M18" s="78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</row>
    <row r="21" spans="1:37" x14ac:dyDescent="0.4">
      <c r="A21" s="21">
        <f t="shared" si="1"/>
        <v>21</v>
      </c>
      <c r="B21" s="108" t="s">
        <v>46</v>
      </c>
      <c r="C21" s="108"/>
      <c r="D21" s="100" t="s">
        <v>42</v>
      </c>
      <c r="E21" s="100"/>
      <c r="F21" s="109">
        <v>-1E-4</v>
      </c>
      <c r="G21" s="110"/>
      <c r="H21" s="76" t="s">
        <v>83</v>
      </c>
      <c r="I21" s="77"/>
      <c r="J21" s="78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8"/>
      <c r="L21" s="78"/>
      <c r="M21" s="78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</row>
    <row r="22" spans="1:37" x14ac:dyDescent="0.4">
      <c r="A22" s="21">
        <f t="shared" si="1"/>
        <v>22</v>
      </c>
      <c r="B22" s="108"/>
      <c r="C22" s="108"/>
      <c r="D22" s="100" t="s">
        <v>44</v>
      </c>
      <c r="E22" s="100"/>
      <c r="F22" s="109">
        <v>0</v>
      </c>
      <c r="G22" s="110"/>
      <c r="H22" s="76"/>
      <c r="I22" s="77"/>
      <c r="J22" s="78"/>
      <c r="K22" s="78"/>
      <c r="L22" s="78"/>
      <c r="M22" s="78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</row>
    <row r="23" spans="1:37" x14ac:dyDescent="0.4">
      <c r="A23" s="21">
        <f t="shared" si="1"/>
        <v>23</v>
      </c>
      <c r="B23" s="108"/>
      <c r="C23" s="108"/>
      <c r="D23" s="100" t="s">
        <v>45</v>
      </c>
      <c r="E23" s="100"/>
      <c r="F23" s="74">
        <v>1</v>
      </c>
      <c r="G23" s="75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</row>
    <row r="25" spans="1:37" x14ac:dyDescent="0.4">
      <c r="A25" s="21">
        <f t="shared" si="1"/>
        <v>25</v>
      </c>
      <c r="B25" s="84" t="s">
        <v>47</v>
      </c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6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</row>
    <row r="26" spans="1:37" x14ac:dyDescent="0.4">
      <c r="A26" s="21">
        <f t="shared" si="1"/>
        <v>26</v>
      </c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9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</row>
    <row r="27" spans="1:37" x14ac:dyDescent="0.4">
      <c r="A27" s="21">
        <f t="shared" si="1"/>
        <v>27</v>
      </c>
      <c r="B27" s="73" t="s">
        <v>33</v>
      </c>
      <c r="C27" s="73"/>
      <c r="D27" s="90">
        <v>1</v>
      </c>
      <c r="E27" s="91"/>
      <c r="F27" s="73" t="s">
        <v>34</v>
      </c>
      <c r="G27" s="73"/>
      <c r="H27" s="90">
        <v>1</v>
      </c>
      <c r="I27" s="91"/>
      <c r="J27" s="73" t="s">
        <v>86</v>
      </c>
      <c r="K27" s="73"/>
      <c r="L27" s="74">
        <v>4</v>
      </c>
      <c r="M27" s="75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55" t="s">
        <v>35</v>
      </c>
      <c r="E29" s="55"/>
      <c r="F29" s="74">
        <v>3</v>
      </c>
      <c r="G29" s="75"/>
      <c r="H29" s="23"/>
      <c r="I29" s="22"/>
      <c r="J29" s="92" t="str">
        <f>IF(OR(F30 = 0, F30 = 2, F30 = 4), "RefType = "&amp;F30&amp;" 이므로 Ref Swap 금리정보 사용안함", "사용")</f>
        <v>RefType = 0 이므로 Ref Swap 금리정보 사용안함</v>
      </c>
      <c r="K29" s="93"/>
      <c r="L29" s="93"/>
      <c r="M29" s="94"/>
      <c r="O29" s="100" t="s">
        <v>59</v>
      </c>
      <c r="P29" s="100"/>
      <c r="Q29" s="100"/>
      <c r="R29" s="100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</row>
    <row r="30" spans="1:37" x14ac:dyDescent="0.4">
      <c r="A30" s="21">
        <f t="shared" si="1"/>
        <v>30</v>
      </c>
      <c r="B30" s="129"/>
      <c r="C30" s="130"/>
      <c r="D30" s="55" t="s">
        <v>36</v>
      </c>
      <c r="E30" s="95"/>
      <c r="F30" s="96">
        <v>0</v>
      </c>
      <c r="G30" s="97"/>
      <c r="H30" s="92" t="str">
        <f xml:space="preserve"> "Swap 레퍼런스금리정보"</f>
        <v>Swap 레퍼런스금리정보</v>
      </c>
      <c r="I30" s="93"/>
      <c r="J30" s="80" t="str">
        <f>IF(OR(F30 = 0, F30 = 2, F30 = 4), "", "연 지급횟수")</f>
        <v/>
      </c>
      <c r="K30" s="81"/>
      <c r="L30" s="91">
        <v>4</v>
      </c>
      <c r="M30" s="99"/>
      <c r="O30" s="100" t="s">
        <v>52</v>
      </c>
      <c r="P30" s="100"/>
      <c r="Q30" s="124">
        <v>0</v>
      </c>
      <c r="R30" s="75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</row>
    <row r="31" spans="1:37" x14ac:dyDescent="0.4">
      <c r="A31" s="21">
        <f t="shared" si="1"/>
        <v>31</v>
      </c>
      <c r="B31" s="129"/>
      <c r="C31" s="130"/>
      <c r="D31" s="100" t="s">
        <v>37</v>
      </c>
      <c r="E31" s="100"/>
      <c r="F31" s="74">
        <v>0</v>
      </c>
      <c r="G31" s="75"/>
      <c r="H31" s="98"/>
      <c r="I31" s="80"/>
      <c r="J31" s="80" t="str">
        <f>IF(F31=0, "만기", "입력X, 아래만기2개입력")</f>
        <v>만기</v>
      </c>
      <c r="K31" s="81"/>
      <c r="L31" s="82">
        <v>10</v>
      </c>
      <c r="M31" s="83"/>
      <c r="O31" s="100" t="s">
        <v>54</v>
      </c>
      <c r="P31" s="100"/>
      <c r="Q31" s="124">
        <v>0</v>
      </c>
      <c r="R31" s="75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</row>
    <row r="32" spans="1:37" x14ac:dyDescent="0.4">
      <c r="A32" s="21">
        <f t="shared" si="1"/>
        <v>32</v>
      </c>
      <c r="B32" s="129"/>
      <c r="C32" s="130"/>
      <c r="D32" s="100" t="s">
        <v>38</v>
      </c>
      <c r="E32" s="100"/>
      <c r="F32" s="109">
        <v>0.8</v>
      </c>
      <c r="G32" s="110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55</v>
      </c>
      <c r="P32" s="126"/>
      <c r="Q32" s="124">
        <v>0</v>
      </c>
      <c r="R32" s="75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</row>
    <row r="33" spans="1:32" x14ac:dyDescent="0.4">
      <c r="A33" s="21">
        <f t="shared" si="1"/>
        <v>33</v>
      </c>
      <c r="B33" s="129"/>
      <c r="C33" s="130"/>
      <c r="D33" s="100" t="s">
        <v>39</v>
      </c>
      <c r="E33" s="55"/>
      <c r="F33" s="101">
        <v>-0.8</v>
      </c>
      <c r="G33" s="102"/>
      <c r="H33" s="79" t="str">
        <f>IF(F31&gt;0,"PowerSpreadFlag 1일때 입력","입력필요X")</f>
        <v>입력필요X</v>
      </c>
      <c r="I33" s="79"/>
      <c r="J33" s="79" t="str">
        <f>IF(F31&gt;0,"만기1","")</f>
        <v/>
      </c>
      <c r="K33" s="79"/>
      <c r="L33" s="103">
        <v>10</v>
      </c>
      <c r="M33" s="104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</row>
    <row r="34" spans="1:32" x14ac:dyDescent="0.4">
      <c r="A34" s="21">
        <f t="shared" si="1"/>
        <v>34</v>
      </c>
      <c r="B34" s="131"/>
      <c r="C34" s="132"/>
      <c r="D34" s="105" t="s">
        <v>40</v>
      </c>
      <c r="E34" s="105"/>
      <c r="F34" s="106">
        <v>0</v>
      </c>
      <c r="G34" s="107"/>
      <c r="H34" s="79"/>
      <c r="I34" s="79"/>
      <c r="J34" s="79" t="str">
        <f>IF(F31&gt;0,"만기2","")</f>
        <v/>
      </c>
      <c r="K34" s="79"/>
      <c r="L34" s="103">
        <v>5</v>
      </c>
      <c r="M34" s="104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</row>
    <row r="35" spans="1:32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</row>
    <row r="36" spans="1:32" x14ac:dyDescent="0.4">
      <c r="A36" s="21">
        <f t="shared" si="1"/>
        <v>36</v>
      </c>
      <c r="B36" s="108" t="s">
        <v>41</v>
      </c>
      <c r="C36" s="108"/>
      <c r="D36" s="100" t="s">
        <v>42</v>
      </c>
      <c r="E36" s="100"/>
      <c r="F36" s="109">
        <v>2.0199999999999999E-2</v>
      </c>
      <c r="G36" s="110"/>
      <c r="H36" s="76" t="s">
        <v>85</v>
      </c>
      <c r="I36" s="77"/>
      <c r="J36" s="78" t="str">
        <f>IF(F31&gt;0, F33&amp;" &lt; "&amp;F30&amp;" x Rate("&amp;L33&amp;"Y-"&amp;L34&amp;"Y) &lt; "&amp;F32,F33&amp;" &lt; "&amp;F30&amp;" x Rate("&amp;L31&amp;"Y) &lt; "&amp;F32)</f>
        <v>-0.8 &lt; 0 x Rate(10Y) &lt; 0.8</v>
      </c>
      <c r="K36" s="78"/>
      <c r="L36" s="78"/>
      <c r="M36" s="78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</row>
    <row r="37" spans="1:32" x14ac:dyDescent="0.4">
      <c r="A37" s="21">
        <f t="shared" si="1"/>
        <v>37</v>
      </c>
      <c r="B37" s="108"/>
      <c r="C37" s="108"/>
      <c r="D37" s="100" t="s">
        <v>44</v>
      </c>
      <c r="E37" s="100"/>
      <c r="F37" s="109">
        <v>0</v>
      </c>
      <c r="G37" s="110"/>
      <c r="H37" s="76" t="s">
        <v>82</v>
      </c>
      <c r="I37" s="77"/>
      <c r="J37" s="78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8"/>
      <c r="L37" s="78"/>
      <c r="M37" s="78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</row>
    <row r="38" spans="1:32" x14ac:dyDescent="0.4">
      <c r="A38" s="21">
        <f t="shared" si="1"/>
        <v>38</v>
      </c>
      <c r="B38" s="108"/>
      <c r="C38" s="108"/>
      <c r="D38" s="100" t="s">
        <v>45</v>
      </c>
      <c r="E38" s="100"/>
      <c r="F38" s="74">
        <v>0</v>
      </c>
      <c r="G38" s="75"/>
      <c r="H38" s="76"/>
      <c r="I38" s="77"/>
      <c r="J38" s="78"/>
      <c r="K38" s="78"/>
      <c r="L38" s="78"/>
      <c r="M38" s="78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</row>
    <row r="39" spans="1:32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</row>
    <row r="40" spans="1:32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</row>
    <row r="41" spans="1:32" x14ac:dyDescent="0.4">
      <c r="A41" s="21">
        <f t="shared" si="1"/>
        <v>41</v>
      </c>
      <c r="B41" s="108" t="s">
        <v>46</v>
      </c>
      <c r="C41" s="108"/>
      <c r="D41" s="100" t="s">
        <v>42</v>
      </c>
      <c r="E41" s="100"/>
      <c r="F41" s="109">
        <v>2.0199999999999999E-2</v>
      </c>
      <c r="G41" s="110"/>
      <c r="H41" s="76" t="s">
        <v>83</v>
      </c>
      <c r="I41" s="77"/>
      <c r="J41" s="78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8"/>
      <c r="L41" s="78"/>
      <c r="M41" s="78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</row>
    <row r="42" spans="1:32" x14ac:dyDescent="0.4">
      <c r="A42" s="21">
        <f t="shared" si="1"/>
        <v>42</v>
      </c>
      <c r="B42" s="108"/>
      <c r="C42" s="108"/>
      <c r="D42" s="100" t="s">
        <v>44</v>
      </c>
      <c r="E42" s="100"/>
      <c r="F42" s="109">
        <v>0</v>
      </c>
      <c r="G42" s="110"/>
      <c r="H42" s="76"/>
      <c r="I42" s="77"/>
      <c r="J42" s="78"/>
      <c r="K42" s="78"/>
      <c r="L42" s="78"/>
      <c r="M42" s="78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</row>
    <row r="43" spans="1:32" x14ac:dyDescent="0.4">
      <c r="A43" s="21">
        <f t="shared" si="1"/>
        <v>43</v>
      </c>
      <c r="B43" s="108"/>
      <c r="C43" s="108"/>
      <c r="D43" s="100" t="s">
        <v>45</v>
      </c>
      <c r="E43" s="100"/>
      <c r="F43" s="74">
        <v>0</v>
      </c>
      <c r="G43" s="75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</row>
    <row r="44" spans="1:32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</row>
    <row r="45" spans="1:32" ht="17.399999999999999" customHeight="1" x14ac:dyDescent="0.4">
      <c r="A45" s="21">
        <f t="shared" si="1"/>
        <v>45</v>
      </c>
      <c r="B45" s="118" t="s">
        <v>61</v>
      </c>
      <c r="C45" s="119"/>
      <c r="D45" s="119"/>
      <c r="E45" s="119"/>
      <c r="F45" s="119"/>
      <c r="G45" s="120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</row>
    <row r="46" spans="1:32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</row>
    <row r="47" spans="1:32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</row>
    <row r="48" spans="1:32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</row>
    <row r="49" spans="1:32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</row>
    <row r="50" spans="1:32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</row>
    <row r="51" spans="1:32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</row>
    <row r="52" spans="1:32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</row>
    <row r="53" spans="1:32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</row>
    <row r="54" spans="1:32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</row>
    <row r="55" spans="1:32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</row>
    <row r="56" spans="1:32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</row>
    <row r="57" spans="1:32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</row>
    <row r="58" spans="1:32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</row>
    <row r="59" spans="1:32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</row>
    <row r="60" spans="1:32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</row>
    <row r="61" spans="1:32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</row>
    <row r="62" spans="1:32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</row>
    <row r="63" spans="1:32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</row>
    <row r="64" spans="1:32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</row>
    <row r="65" spans="28:32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</row>
    <row r="66" spans="28:32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</row>
    <row r="67" spans="28:32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</row>
    <row r="68" spans="28:32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</row>
    <row r="69" spans="28:32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</row>
    <row r="70" spans="28:32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</row>
    <row r="71" spans="28:32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</row>
    <row r="72" spans="28:32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</row>
    <row r="73" spans="28:32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</row>
    <row r="74" spans="28:32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</row>
    <row r="75" spans="28:32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</row>
    <row r="76" spans="28:32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302236505.63689774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2025-11-25T12:54:34Z</dcterms:modified>
</cp:coreProperties>
</file>