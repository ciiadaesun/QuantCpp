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F1BAE20E-CFD8-45E7-B6C0-CC1D8596051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" i="2" l="1"/>
  <c r="J30" i="2"/>
  <c r="J29" i="2"/>
  <c r="J11" i="2"/>
  <c r="J10" i="2"/>
  <c r="J9" i="2"/>
  <c r="W7" i="2"/>
  <c r="W8" i="2" s="1"/>
  <c r="W9" i="2" s="1"/>
  <c r="W10" i="2" s="1"/>
  <c r="W11" i="2" s="1"/>
  <c r="W12" i="2" s="1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W24" i="2" s="1"/>
  <c r="W25" i="2" s="1"/>
  <c r="W6" i="2"/>
  <c r="H19" i="2"/>
  <c r="Q7" i="2"/>
  <c r="J41" i="2" l="1"/>
  <c r="J37" i="2"/>
  <c r="J21" i="2"/>
  <c r="J17" i="2"/>
  <c r="J36" i="2"/>
  <c r="J16" i="2"/>
  <c r="O7" i="2" l="1"/>
  <c r="J34" i="2"/>
  <c r="J33" i="2"/>
  <c r="H33" i="2"/>
  <c r="H32" i="2"/>
  <c r="H30" i="2"/>
  <c r="B29" i="2"/>
  <c r="J14" i="2"/>
  <c r="J13" i="2"/>
  <c r="H13" i="2"/>
  <c r="H12" i="2"/>
  <c r="H10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교환여부
</t>
        </r>
        <r>
          <rPr>
            <b/>
            <sz val="9"/>
            <color indexed="81"/>
            <rFont val="Tahoma"/>
            <family val="2"/>
          </rPr>
          <t xml:space="preserve">0: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함
</t>
        </r>
        <r>
          <rPr>
            <b/>
            <sz val="9"/>
            <color indexed="81"/>
            <rFont val="Tahoma"/>
            <family val="2"/>
          </rPr>
          <t xml:space="preserve">-1: </t>
        </r>
        <r>
          <rPr>
            <b/>
            <sz val="9"/>
            <color indexed="81"/>
            <rFont val="돋움"/>
            <family val="3"/>
            <charset val="129"/>
          </rPr>
          <t>단순</t>
        </r>
        <r>
          <rPr>
            <b/>
            <sz val="9"/>
            <color indexed="81"/>
            <rFont val="Tahoma"/>
            <family val="2"/>
          </rPr>
          <t xml:space="preserve"> Callable </t>
        </r>
        <r>
          <rPr>
            <b/>
            <sz val="9"/>
            <color indexed="81"/>
            <rFont val="돋움"/>
            <family val="3"/>
            <charset val="129"/>
          </rPr>
          <t>채권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</t>
        </r>
      </text>
    </comment>
    <comment ref="AY5" authorId="0" shapeId="0" xr:uid="{6A3B60F1-0272-40F5-B6C1-E0D565CC27E6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AZ7" authorId="0" shapeId="0" xr:uid="{536B2DBD-8F9A-4467-AA50-E4FFF1247479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15" authorId="0" shapeId="0" xr:uid="{272B6F17-5BE2-41E6-A2B3-CC0C0403135F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35" authorId="0" shapeId="0" xr:uid="{EAC8F28E-4410-4B40-9346-3C03584F5E2D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<sst xmlns="http://schemas.openxmlformats.org/spreadsheetml/2006/main" count="147" uniqueCount="103">
  <si>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</si>
  <si>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</si>
  <si>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</si>
  <si>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</si>
  <si>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</si>
  <si>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</si>
  <si>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</si>
  <si>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</si>
  <si>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</si>
  <si>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</si>
  <si>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</si>
  <si>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</si>
  <si>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</si>
  <si>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</si>
  <si>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</si>
  <si>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</si>
  <si>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</si>
  <si>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</si>
  <si>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</si>
  <si>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</si>
  <si>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</si>
  <si>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</si>
  <si>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</si>
  <si>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</si>
  <si>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</si>
  <si>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</si>
  <si>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</si>
  <si>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</si>
  <si>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</si>
  <si>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</si>
  <si>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</si>
  <si>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</si>
  <si>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</si>
  <si>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</si>
  <si>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</si>
  <si>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</si>
  <si>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</si>
  <si>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</si>
  <si>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</si>
  <si>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</si>
  <si>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</si>
  <si>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</si>
  <si>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</si>
  <si>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</si>
  <si>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</si>
  <si>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</si>
  <si>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</si>
  <si>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</si>
  <si>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</si>
  <si>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</si>
  <si>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</si>
  <si>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</si>
  <si>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</si>
  <si>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</si>
  <si>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</si>
  <si>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</si>
  <si>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</si>
  <si>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</si>
  <si>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</si>
  <si>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</si>
  <si>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</si>
  <si>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</si>
  <si>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</si>
  <si>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</si>
  <si>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</si>
  <si>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</si>
  <si>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</si>
  <si>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</si>
  <si>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</si>
  <si>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</si>
  <si>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</si>
  <si>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</si>
  <si>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</si>
  <si>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</si>
  <si>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</si>
  <si>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</si>
  <si>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</si>
  <si>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</si>
  <si>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</si>
  <si>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</si>
  <si>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</si>
  <si>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</si>
  <si>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</si>
  <si>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</si>
  <si>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</si>
  <si>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</si>
  <si>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Debug</t>
    <phoneticPr fontId="2" type="noConversion"/>
  </si>
  <si>
    <t>NAFlag/BondFlag</t>
    <phoneticPr fontId="2" type="noConversion"/>
  </si>
  <si>
    <t>Receive Leg Range Accrual 정보</t>
    <phoneticPr fontId="2" type="noConversion"/>
  </si>
  <si>
    <t>Range Accrual Payoff Flag</t>
    <phoneticPr fontId="2" type="noConversion"/>
  </si>
  <si>
    <t>Pay Leg Range Accrual 정보</t>
    <phoneticPr fontId="2" type="noConversion"/>
  </si>
  <si>
    <t>Leg2Value NonOption</t>
    <phoneticPr fontId="2" type="noConversion"/>
  </si>
  <si>
    <t>Leg1Value NonOption</t>
    <phoneticPr fontId="2" type="noConversion"/>
  </si>
  <si>
    <t>0: ACT/365</t>
  </si>
  <si>
    <t>0: Receiver가 옵션보유</t>
  </si>
  <si>
    <t>0: Nominal 교환 안함</t>
  </si>
  <si>
    <t>1: Nominal 교환 함</t>
    <phoneticPr fontId="2" type="noConversion"/>
  </si>
  <si>
    <t>-1: 단순 Callable 채권 평가</t>
  </si>
  <si>
    <t>1: ACT/360</t>
  </si>
  <si>
    <t>2: ACT/ACT</t>
  </si>
  <si>
    <t>3: 30/360</t>
  </si>
  <si>
    <t>1: Payer가 옵션보유</t>
  </si>
  <si>
    <t>4: ACT(주말제외)/ACT(주말제외)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</si>
</sst>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1" formatCode="_-* #,##0_-;\-* #,##0_-;_-* &quot;-&quot;_-;_-@_-"/>
    <numFmt numFmtId="43" formatCode="_-* #,##0.00_-;\-* #,##0.00_-;_-* &quot;-&quot;??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43" fontId="0" fillId="2" borderId="0" xfId="0" applyNumberFormat="1" applyFill="1">
      <alignment vertical="center"/>
    </xf>
    <xf numFmtId="9" fontId="0" fillId="2" borderId="0" xfId="1" applyFont="1" applyFill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14" fillId="4" borderId="0" xfId="0" applyFont="1" applyFill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187" fontId="8" fillId="11" borderId="0" xfId="2" applyNumberFormat="1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A7" workbookViewId="0">
      <selection activeCell="G4" sqref="G4:H4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8" t="s">
        <v>0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</row>
    <row r="3" spans="1:41" x14ac:dyDescent="0.4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</row>
    <row r="4" spans="1:41" x14ac:dyDescent="0.4">
      <c r="A4" s="1">
        <f>4</f>
        <v>4</v>
      </c>
      <c r="B4" s="61" t="s">
        <v>1</v>
      </c>
      <c r="C4" s="61"/>
      <c r="D4" s="63">
        <v>1</v>
      </c>
      <c r="E4" s="63"/>
      <c r="G4" s="52" t="s">
        <v>86</v>
      </c>
      <c r="H4" s="53">
        <v>0</v>
      </c>
    </row>
    <row r="5" spans="1:41" x14ac:dyDescent="0.4">
      <c r="A5" s="1">
        <f>A4+1</f>
        <v>5</v>
      </c>
      <c r="B5" s="61" t="s">
        <v>29</v>
      </c>
      <c r="C5" s="61"/>
      <c r="D5" s="62">
        <v>45538</v>
      </c>
      <c r="E5" s="63"/>
      <c r="G5" s="69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70"/>
      <c r="H6" s="71" t="s">
        <v>4</v>
      </c>
      <c r="I6" s="65"/>
      <c r="L6" s="56" t="s">
        <v>74</v>
      </c>
      <c r="M6" s="56"/>
      <c r="N6" s="56"/>
      <c r="O6" s="64" t="s">
        <v>75</v>
      </c>
      <c r="P6" s="65"/>
      <c r="R6" s="56" t="s">
        <v>5</v>
      </c>
      <c r="S6" s="56"/>
      <c r="T6" s="56"/>
    </row>
    <row r="7" spans="1:41" x14ac:dyDescent="0.4">
      <c r="A7" s="1">
        <f t="shared" si="1"/>
        <v>7</v>
      </c>
      <c r="B7" s="61" t="s">
        <v>6</v>
      </c>
      <c r="C7" s="61"/>
      <c r="D7" s="63">
        <v>0</v>
      </c>
      <c r="E7" s="63"/>
      <c r="G7" s="70"/>
      <c r="H7" s="66"/>
      <c r="I7" s="67"/>
      <c r="L7" s="56"/>
      <c r="M7" s="56"/>
      <c r="N7" s="56"/>
      <c r="O7" s="66"/>
      <c r="P7" s="67"/>
      <c r="R7" s="56"/>
      <c r="S7" s="56"/>
      <c r="T7" s="56"/>
    </row>
    <row r="8" spans="1:41" x14ac:dyDescent="0.4">
      <c r="A8" s="1">
        <f t="shared" si="1"/>
        <v>8</v>
      </c>
      <c r="B8" s="61" t="s">
        <v>7</v>
      </c>
      <c r="C8" s="61"/>
      <c r="D8" s="63">
        <v>0.01</v>
      </c>
      <c r="E8" s="63"/>
      <c r="G8" s="70"/>
      <c r="I8" s="3" t="s">
        <v>8</v>
      </c>
      <c r="J8" s="3" t="s">
        <v>9</v>
      </c>
      <c r="K8" s="3" t="s">
        <v>10</v>
      </c>
      <c r="R8" s="56" t="s">
        <v>11</v>
      </c>
      <c r="S8" s="56"/>
      <c r="T8" s="4">
        <v>3</v>
      </c>
    </row>
    <row r="9" spans="1:41" x14ac:dyDescent="0.4">
      <c r="A9" s="1">
        <f t="shared" si="1"/>
        <v>9</v>
      </c>
      <c r="G9" s="70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70"/>
      <c r="H10" s="8" t="s">
        <v>13</v>
      </c>
      <c r="I10" s="57" t="s">
        <v>14</v>
      </c>
      <c r="J10" s="58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9" t="s">
        <v>17</v>
      </c>
      <c r="S10" s="59" t="s">
        <v>18</v>
      </c>
      <c r="T10" s="59" t="s">
        <v>19</v>
      </c>
      <c r="U10" s="59" t="s">
        <v>20</v>
      </c>
      <c r="V10" s="59" t="s">
        <v>21</v>
      </c>
      <c r="W10" s="59" t="s">
        <v>22</v>
      </c>
    </row>
    <row r="11" spans="1:41" x14ac:dyDescent="0.4">
      <c r="A11" s="1">
        <f t="shared" si="1"/>
        <v>11</v>
      </c>
      <c r="G11" s="70"/>
      <c r="H11" s="49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60"/>
      <c r="S11" s="60"/>
      <c r="T11" s="60"/>
      <c r="U11" s="60"/>
      <c r="V11" s="60"/>
      <c r="W11" s="60"/>
    </row>
    <row r="12" spans="1:41" x14ac:dyDescent="0.4">
      <c r="A12" s="1">
        <f t="shared" si="1"/>
        <v>12</v>
      </c>
      <c r="G12" s="70"/>
      <c r="H12" s="49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72" t="s">
        <v>23</v>
      </c>
      <c r="E13" s="72"/>
      <c r="G13" s="70"/>
      <c r="H13" s="49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72"/>
      <c r="E14" s="72"/>
      <c r="G14" s="70"/>
      <c r="H14" s="49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72"/>
      <c r="E15" s="72"/>
      <c r="G15" s="70"/>
      <c r="H15" s="49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70"/>
      <c r="H16" s="49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73">
        <v>45202.835729166669</v>
      </c>
      <c r="E17" s="73"/>
      <c r="G17" s="70"/>
      <c r="H17" s="49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73">
        <v>45202.835729166669</v>
      </c>
      <c r="E18" s="73"/>
      <c r="G18" s="70"/>
      <c r="H18" s="49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70"/>
      <c r="H19" s="49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70"/>
      <c r="H20" s="49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70"/>
      <c r="H21" s="49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70"/>
      <c r="H22" s="49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61" t="s">
        <v>24</v>
      </c>
      <c r="C23" s="61"/>
      <c r="D23" s="63">
        <v>1</v>
      </c>
      <c r="E23" s="63"/>
      <c r="G23" s="70"/>
      <c r="H23" s="49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61" t="s">
        <v>25</v>
      </c>
      <c r="C24" s="61"/>
      <c r="D24" s="63">
        <v>0</v>
      </c>
      <c r="E24" s="63"/>
      <c r="G24" s="70"/>
      <c r="H24" s="49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61" t="s">
        <v>26</v>
      </c>
      <c r="C25" s="61"/>
      <c r="D25" s="63">
        <v>-0.1</v>
      </c>
      <c r="E25" s="63"/>
      <c r="G25" s="70"/>
      <c r="H25" s="49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61" t="s">
        <v>27</v>
      </c>
      <c r="C26" s="61"/>
      <c r="D26" s="63">
        <v>0.15</v>
      </c>
      <c r="E26" s="63"/>
      <c r="G26" s="70"/>
      <c r="H26" s="49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70"/>
      <c r="H27" s="49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70"/>
      <c r="H28" s="49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70"/>
      <c r="H29" s="49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70"/>
      <c r="H30" s="49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70"/>
      <c r="H31" s="49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70"/>
      <c r="H32" s="49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70"/>
      <c r="H33" s="49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70"/>
      <c r="H34" s="49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70"/>
      <c r="H35" s="49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70"/>
      <c r="H36" s="49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70"/>
      <c r="H37" s="49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70"/>
      <c r="H38" s="49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70"/>
      <c r="H39" s="49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70"/>
      <c r="H40" s="49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D22" workbookViewId="0">
      <selection activeCell="J30" sqref="J30:K31"/>
    </sheetView>
  </sheetViews>
  <sheetFormatPr defaultColWidth="12.5" defaultRowHeight="17.399999999999999" x14ac:dyDescent="0.4"/>
  <cols>
    <col min="1" max="1" width="12.5" style="20"/>
    <col min="2" max="3" width="12.5" style="26"/>
    <col min="4" max="7" width="12.5" style="20"/>
    <col min="8" max="8" width="12.796875" style="20" bestFit="1" customWidth="1"/>
    <col min="9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0" t="s">
        <v>86</v>
      </c>
      <c r="C2" s="51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5" t="s">
        <v>30</v>
      </c>
      <c r="C3" s="75"/>
      <c r="D3" s="76">
        <v>45538</v>
      </c>
      <c r="E3" s="77"/>
      <c r="F3" s="74" t="s">
        <v>87</v>
      </c>
      <c r="G3" s="74"/>
      <c r="H3" s="77" t="s">
        <v>95</v>
      </c>
      <c r="I3" s="77"/>
      <c r="J3" s="74" t="s">
        <v>31</v>
      </c>
      <c r="K3" s="74"/>
      <c r="L3" s="78">
        <v>10000</v>
      </c>
      <c r="M3" s="78"/>
      <c r="O3" s="120" t="s">
        <v>49</v>
      </c>
      <c r="P3" s="121"/>
      <c r="Q3" s="121"/>
      <c r="R3" s="122"/>
      <c r="T3" s="80" t="s">
        <v>55</v>
      </c>
      <c r="U3" s="81"/>
      <c r="W3" s="146" t="s">
        <v>76</v>
      </c>
      <c r="X3" s="147"/>
      <c r="Y3" s="146" t="s">
        <v>77</v>
      </c>
      <c r="Z3" s="147"/>
      <c r="AB3" s="82" t="s">
        <v>65</v>
      </c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4"/>
      <c r="AY3" s="74" t="s">
        <v>87</v>
      </c>
      <c r="AZ3" s="74"/>
      <c r="BA3" s="31">
        <v>0</v>
      </c>
      <c r="BB3" s="31">
        <v>1</v>
      </c>
      <c r="BC3" s="31">
        <v>-1</v>
      </c>
    </row>
    <row r="4" spans="1:57" x14ac:dyDescent="0.4">
      <c r="A4" s="21">
        <f t="shared" si="1"/>
        <v>4</v>
      </c>
      <c r="B4" s="20"/>
      <c r="C4" s="20"/>
      <c r="O4" s="123" t="s">
        <v>48</v>
      </c>
      <c r="P4" s="124"/>
      <c r="Q4" s="125">
        <v>43819</v>
      </c>
      <c r="R4" s="126"/>
      <c r="T4" s="29" t="s">
        <v>56</v>
      </c>
      <c r="U4" s="30" t="s">
        <v>57</v>
      </c>
      <c r="W4" s="37" t="s">
        <v>59</v>
      </c>
      <c r="X4" s="38" t="s">
        <v>16</v>
      </c>
      <c r="Y4" s="37" t="s">
        <v>59</v>
      </c>
      <c r="Z4" s="38" t="s">
        <v>16</v>
      </c>
      <c r="AB4" s="85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7"/>
      <c r="BA4" s="31" t="s">
        <v>95</v>
      </c>
      <c r="BB4" s="31" t="s">
        <v>96</v>
      </c>
      <c r="BC4" s="31" t="s">
        <v>97</v>
      </c>
    </row>
    <row r="5" spans="1:57" x14ac:dyDescent="0.4">
      <c r="A5" s="21">
        <f t="shared" si="1"/>
        <v>5</v>
      </c>
      <c r="B5" s="82" t="s">
        <v>47</v>
      </c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O5" s="132" t="s">
        <v>50</v>
      </c>
      <c r="P5" s="133"/>
      <c r="Q5" s="134">
        <v>49298</v>
      </c>
      <c r="R5" s="135"/>
      <c r="T5" s="24">
        <v>45292</v>
      </c>
      <c r="U5" s="25">
        <v>45651</v>
      </c>
      <c r="W5" s="32">
        <v>45463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  <c r="AY5" s="61" t="s">
        <v>34</v>
      </c>
      <c r="AZ5" s="61"/>
      <c r="BA5" s="31">
        <v>0</v>
      </c>
      <c r="BB5" s="31">
        <v>1</v>
      </c>
      <c r="BC5" s="31">
        <v>2</v>
      </c>
      <c r="BD5" s="31">
        <v>3</v>
      </c>
      <c r="BE5" s="31">
        <v>4</v>
      </c>
    </row>
    <row r="6" spans="1:57" x14ac:dyDescent="0.4">
      <c r="A6" s="21">
        <f t="shared" si="1"/>
        <v>6</v>
      </c>
      <c r="B6" s="85"/>
      <c r="C6" s="86"/>
      <c r="D6" s="86"/>
      <c r="E6" s="86"/>
      <c r="F6" s="86"/>
      <c r="G6" s="86"/>
      <c r="H6" s="86"/>
      <c r="I6" s="86"/>
      <c r="J6" s="86"/>
      <c r="K6" s="86"/>
      <c r="L6" s="86"/>
      <c r="M6" s="87"/>
      <c r="O6" s="130" t="s">
        <v>42</v>
      </c>
      <c r="P6" s="131"/>
      <c r="Q6" s="127">
        <v>0</v>
      </c>
      <c r="R6" s="107"/>
      <c r="W6" s="27">
        <f>W5+1</f>
        <v>45464</v>
      </c>
      <c r="X6" s="34">
        <v>3.6999999999999998E-2</v>
      </c>
      <c r="Y6" s="27">
        <v>44769</v>
      </c>
      <c r="Z6" s="36">
        <v>0.03</v>
      </c>
      <c r="AB6" s="74" t="s">
        <v>66</v>
      </c>
      <c r="AC6" s="74"/>
      <c r="AD6" s="77">
        <v>0</v>
      </c>
      <c r="AE6" s="77"/>
      <c r="AF6" s="20"/>
      <c r="AG6" s="20"/>
      <c r="AH6" s="20"/>
      <c r="AI6" s="20"/>
      <c r="AJ6" s="20"/>
      <c r="AK6" s="20"/>
      <c r="BA6" s="31" t="s">
        <v>93</v>
      </c>
      <c r="BB6" s="31" t="s">
        <v>98</v>
      </c>
      <c r="BC6" s="31" t="s">
        <v>99</v>
      </c>
      <c r="BD6" s="31" t="s">
        <v>100</v>
      </c>
      <c r="BE6" s="31" t="s">
        <v>102</v>
      </c>
    </row>
    <row r="7" spans="1:57" x14ac:dyDescent="0.4">
      <c r="A7" s="21">
        <f t="shared" si="1"/>
        <v>7</v>
      </c>
      <c r="B7" s="74" t="s">
        <v>32</v>
      </c>
      <c r="C7" s="74"/>
      <c r="D7" s="79">
        <v>1</v>
      </c>
      <c r="E7" s="77"/>
      <c r="F7" s="74" t="s">
        <v>33</v>
      </c>
      <c r="G7" s="74"/>
      <c r="H7" s="79">
        <v>1</v>
      </c>
      <c r="I7" s="77"/>
      <c r="J7" s="74" t="s">
        <v>85</v>
      </c>
      <c r="K7" s="74"/>
      <c r="L7" s="106">
        <v>0</v>
      </c>
      <c r="M7" s="107"/>
      <c r="O7" s="80" t="str">
        <f>IF(Q6&gt;0,"Phase2날짜","")</f>
        <v/>
      </c>
      <c r="P7" s="81"/>
      <c r="Q7" s="128">
        <f>EDATE(Q4,12)</f>
        <v>44185</v>
      </c>
      <c r="R7" s="129"/>
      <c r="W7" s="27">
        <f t="shared" ref="W7:W25" si="2">W6+1</f>
        <v>45465</v>
      </c>
      <c r="X7" s="34">
        <v>3.6999999999999998E-2</v>
      </c>
      <c r="Y7" s="27">
        <v>44815</v>
      </c>
      <c r="Z7" s="34">
        <v>0.03</v>
      </c>
      <c r="AB7" s="74" t="s">
        <v>79</v>
      </c>
      <c r="AC7" s="74"/>
      <c r="AD7" s="77">
        <v>0</v>
      </c>
      <c r="AE7" s="77"/>
      <c r="AF7" s="20"/>
      <c r="AG7" s="20"/>
      <c r="AH7" s="20"/>
      <c r="AI7" s="20"/>
      <c r="AJ7" s="20"/>
      <c r="AK7" s="20"/>
      <c r="AZ7" s="38" t="s">
        <v>63</v>
      </c>
      <c r="BA7" s="31">
        <v>0</v>
      </c>
      <c r="BB7" s="31">
        <v>1</v>
      </c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f t="shared" si="2"/>
        <v>45466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  <c r="BA8" s="31" t="s">
        <v>94</v>
      </c>
      <c r="BB8" s="31" t="s">
        <v>101</v>
      </c>
    </row>
    <row r="9" spans="1:57" x14ac:dyDescent="0.4">
      <c r="A9" s="21">
        <f t="shared" si="1"/>
        <v>9</v>
      </c>
      <c r="B9" s="88" t="str">
        <f>"기초금리정보"</f>
        <v>기초금리정보</v>
      </c>
      <c r="C9" s="89"/>
      <c r="D9" s="61" t="s">
        <v>34</v>
      </c>
      <c r="E9" s="61"/>
      <c r="F9" s="106" t="s">
        <v>93</v>
      </c>
      <c r="G9" s="107"/>
      <c r="H9" s="23"/>
      <c r="I9" s="22"/>
      <c r="J9" s="96" t="str">
        <f>IF(F10=0,"금리결정조건이 = "&amp;F10&amp;" 이므로 Ref Swap 금리정보 사용안함", "사용")</f>
        <v>사용</v>
      </c>
      <c r="K9" s="97"/>
      <c r="L9" s="97"/>
      <c r="M9" s="98"/>
      <c r="O9" s="95" t="s">
        <v>52</v>
      </c>
      <c r="P9" s="95"/>
      <c r="Q9" s="95"/>
      <c r="R9" s="95"/>
      <c r="W9" s="27">
        <f t="shared" si="2"/>
        <v>45467</v>
      </c>
      <c r="X9" s="34">
        <v>3.5999999999999997E-2</v>
      </c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90"/>
      <c r="C10" s="91"/>
      <c r="D10" s="61" t="s">
        <v>35</v>
      </c>
      <c r="E10" s="94"/>
      <c r="F10" s="108">
        <v>1</v>
      </c>
      <c r="G10" s="109"/>
      <c r="H10" s="96" t="str">
        <f xml:space="preserve"> "Swap 레퍼런스금리정보"</f>
        <v>Swap 레퍼런스금리정보</v>
      </c>
      <c r="I10" s="97"/>
      <c r="J10" s="100" t="str">
        <f>IF(F10=0,"", "연 지급횟수")</f>
        <v>연 지급횟수</v>
      </c>
      <c r="K10" s="101"/>
      <c r="L10" s="77">
        <v>4</v>
      </c>
      <c r="M10" s="102"/>
      <c r="O10" s="95" t="s">
        <v>51</v>
      </c>
      <c r="P10" s="95"/>
      <c r="Q10" s="127">
        <v>4</v>
      </c>
      <c r="R10" s="107"/>
      <c r="W10" s="27">
        <f t="shared" si="2"/>
        <v>45468</v>
      </c>
      <c r="X10" s="34">
        <v>3.5999999999999997E-2</v>
      </c>
      <c r="AB10" s="132" t="s">
        <v>78</v>
      </c>
      <c r="AC10" s="75"/>
      <c r="AD10" s="145">
        <v>711.47586985936869</v>
      </c>
      <c r="AE10" s="145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90"/>
      <c r="C11" s="91"/>
      <c r="D11" s="95" t="s">
        <v>36</v>
      </c>
      <c r="E11" s="95"/>
      <c r="F11" s="106">
        <v>0</v>
      </c>
      <c r="G11" s="107"/>
      <c r="H11" s="99"/>
      <c r="I11" s="100"/>
      <c r="J11" s="100" t="str">
        <f>IF(F10=0,"",IF(F11=0, "만기", "입력X, 아래만기2개입력"))</f>
        <v>만기</v>
      </c>
      <c r="K11" s="101"/>
      <c r="L11" s="150">
        <v>5</v>
      </c>
      <c r="M11" s="151"/>
      <c r="O11" s="95" t="s">
        <v>53</v>
      </c>
      <c r="P11" s="95"/>
      <c r="Q11" s="127">
        <v>0</v>
      </c>
      <c r="R11" s="107"/>
      <c r="W11" s="27">
        <f t="shared" si="2"/>
        <v>45469</v>
      </c>
      <c r="X11" s="34">
        <v>3.5999999999999997E-2</v>
      </c>
      <c r="AB11" s="132" t="s">
        <v>92</v>
      </c>
      <c r="AC11" s="75"/>
      <c r="AD11" s="145">
        <v>3174.3601395983187</v>
      </c>
      <c r="AE11" s="145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90"/>
      <c r="C12" s="91"/>
      <c r="D12" s="95" t="s">
        <v>37</v>
      </c>
      <c r="E12" s="95"/>
      <c r="F12" s="113">
        <v>1</v>
      </c>
      <c r="G12" s="114"/>
      <c r="H12" s="103" t="str">
        <f>"ex) Deposit 3M -&gt; 연 지급횟수= 4, 만기= 0.25 ||  ex2) CMT 5Y 연 지급횟수=2, 만기 5"</f>
        <v>ex) Deposit 3M -&gt; 연 지급횟수= 4, 만기= 0.25 ||  ex2) CMT 5Y 연 지급횟수=2, 만기 5</v>
      </c>
      <c r="I12" s="103"/>
      <c r="J12" s="103"/>
      <c r="K12" s="103"/>
      <c r="L12" s="103"/>
      <c r="M12" s="104"/>
      <c r="O12" s="80" t="s">
        <v>54</v>
      </c>
      <c r="P12" s="81"/>
      <c r="Q12" s="127">
        <v>4</v>
      </c>
      <c r="R12" s="107"/>
      <c r="W12" s="27">
        <f t="shared" si="2"/>
        <v>45470</v>
      </c>
      <c r="X12" s="34">
        <v>3.5999999999999997E-2</v>
      </c>
      <c r="AB12" s="132" t="s">
        <v>91</v>
      </c>
      <c r="AC12" s="75"/>
      <c r="AD12" s="145">
        <v>2632.6220369419052</v>
      </c>
      <c r="AE12" s="145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90"/>
      <c r="C13" s="91"/>
      <c r="D13" s="95" t="s">
        <v>38</v>
      </c>
      <c r="E13" s="61"/>
      <c r="F13" s="115">
        <v>-1</v>
      </c>
      <c r="G13" s="116"/>
      <c r="H13" s="105" t="str">
        <f>IF(F11&gt;0,"PowerSpreadFlag 1일때 입력","입력필요X")</f>
        <v>입력필요X</v>
      </c>
      <c r="I13" s="105"/>
      <c r="J13" s="105" t="str">
        <f>IF(F11&gt;0,"만기1","")</f>
        <v/>
      </c>
      <c r="K13" s="105"/>
      <c r="L13" s="111">
        <v>10</v>
      </c>
      <c r="M13" s="112"/>
      <c r="W13" s="27">
        <f t="shared" si="2"/>
        <v>45471</v>
      </c>
      <c r="X13" s="34">
        <v>3.5999999999999997E-2</v>
      </c>
      <c r="AB13" s="20"/>
      <c r="AC13" s="20"/>
      <c r="AD13" s="20"/>
      <c r="AE13" s="55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92"/>
      <c r="C14" s="93"/>
      <c r="D14" s="110" t="s">
        <v>39</v>
      </c>
      <c r="E14" s="110"/>
      <c r="F14" s="117">
        <v>0</v>
      </c>
      <c r="G14" s="118"/>
      <c r="H14" s="105"/>
      <c r="I14" s="105"/>
      <c r="J14" s="105" t="str">
        <f>IF(F11&gt;0,"만기2","")</f>
        <v/>
      </c>
      <c r="K14" s="105"/>
      <c r="L14" s="111">
        <v>5</v>
      </c>
      <c r="M14" s="112"/>
      <c r="O14" s="95" t="s">
        <v>88</v>
      </c>
      <c r="P14" s="95"/>
      <c r="Q14" s="95"/>
      <c r="R14" s="95"/>
      <c r="W14" s="27">
        <f t="shared" si="2"/>
        <v>45472</v>
      </c>
      <c r="X14" s="34">
        <v>3.5999999999999997E-2</v>
      </c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O15" s="95" t="s">
        <v>89</v>
      </c>
      <c r="P15" s="95"/>
      <c r="Q15" s="127">
        <v>1</v>
      </c>
      <c r="R15" s="107"/>
      <c r="W15" s="27">
        <f t="shared" si="2"/>
        <v>45473</v>
      </c>
      <c r="X15" s="34">
        <v>3.5999999999999997E-2</v>
      </c>
      <c r="AB15" s="143" t="s">
        <v>72</v>
      </c>
      <c r="AC15" s="144"/>
      <c r="AD15" s="144"/>
      <c r="AE15" s="144"/>
      <c r="AF15" s="144"/>
      <c r="AG15" s="143" t="s">
        <v>73</v>
      </c>
      <c r="AH15" s="144"/>
      <c r="AI15" s="144"/>
      <c r="AJ15" s="144"/>
      <c r="AK15" s="144"/>
    </row>
    <row r="16" spans="1:57" x14ac:dyDescent="0.4">
      <c r="A16" s="21">
        <f t="shared" si="1"/>
        <v>16</v>
      </c>
      <c r="B16" s="142" t="s">
        <v>40</v>
      </c>
      <c r="C16" s="142"/>
      <c r="D16" s="95" t="s">
        <v>80</v>
      </c>
      <c r="E16" s="95"/>
      <c r="F16" s="113">
        <v>0</v>
      </c>
      <c r="G16" s="114"/>
      <c r="H16" s="148" t="s">
        <v>83</v>
      </c>
      <c r="I16" s="149"/>
      <c r="J16" s="119" t="str">
        <f>IF(F11&gt;0, F13&amp;" &lt; "&amp;F10&amp;" x Rate("&amp;L13&amp;"Y-"&amp;L14&amp;"Y) &lt; "&amp;F12,F13&amp;" &lt; "&amp;F10&amp;" x Rate("&amp;L11&amp;"Y) &lt; "&amp;F12)</f>
        <v>-1 &lt; 1 x Rate(5Y) &lt; 1</v>
      </c>
      <c r="K16" s="119"/>
      <c r="L16" s="119"/>
      <c r="M16" s="119"/>
      <c r="W16" s="27">
        <f t="shared" si="2"/>
        <v>45474</v>
      </c>
      <c r="X16" s="34">
        <v>3.5999999999999997E-2</v>
      </c>
      <c r="AB16" s="37" t="s">
        <v>67</v>
      </c>
      <c r="AC16" s="37" t="s">
        <v>68</v>
      </c>
      <c r="AD16" s="37" t="s">
        <v>69</v>
      </c>
      <c r="AE16" s="37" t="s">
        <v>70</v>
      </c>
      <c r="AF16" s="37" t="s">
        <v>71</v>
      </c>
      <c r="AG16" s="37" t="s">
        <v>67</v>
      </c>
      <c r="AH16" s="37" t="s">
        <v>68</v>
      </c>
      <c r="AI16" s="37" t="s">
        <v>69</v>
      </c>
      <c r="AJ16" s="37" t="s">
        <v>70</v>
      </c>
      <c r="AK16" s="37" t="s">
        <v>71</v>
      </c>
    </row>
    <row r="17" spans="1:37" x14ac:dyDescent="0.4">
      <c r="A17" s="21">
        <f t="shared" si="1"/>
        <v>17</v>
      </c>
      <c r="B17" s="142"/>
      <c r="C17" s="142"/>
      <c r="D17" s="95" t="s">
        <v>43</v>
      </c>
      <c r="E17" s="95"/>
      <c r="F17" s="113">
        <v>3.5000000000000003E-2</v>
      </c>
      <c r="G17" s="114"/>
      <c r="H17" s="148" t="s">
        <v>81</v>
      </c>
      <c r="I17" s="149"/>
      <c r="J17" s="119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0 x Rate(5Y) + 0(고정) + 0.035(Range충족시)</v>
      </c>
      <c r="K17" s="119"/>
      <c r="L17" s="119"/>
      <c r="M17" s="119"/>
      <c r="W17" s="27">
        <f t="shared" si="2"/>
        <v>45475</v>
      </c>
      <c r="X17" s="34">
        <v>3.5999999999999997E-2</v>
      </c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20200320</v>
      </c>
      <c r="AI17" s="40">
        <v>20200320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42"/>
      <c r="C18" s="142"/>
      <c r="D18" s="95" t="s">
        <v>44</v>
      </c>
      <c r="E18" s="95"/>
      <c r="F18" s="106">
        <v>1</v>
      </c>
      <c r="G18" s="107"/>
      <c r="H18" s="148"/>
      <c r="I18" s="149"/>
      <c r="J18" s="119"/>
      <c r="K18" s="119"/>
      <c r="L18" s="119"/>
      <c r="M18" s="119"/>
      <c r="W18" s="27">
        <f t="shared" si="2"/>
        <v>45476</v>
      </c>
      <c r="X18" s="34">
        <v>3.5999999999999997E-2</v>
      </c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  <c r="AG18" s="42">
        <v>20200320</v>
      </c>
      <c r="AH18" s="42">
        <v>20200622</v>
      </c>
      <c r="AI18" s="42">
        <v>20200622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H19" s="54">
        <f>F17/91*L3</f>
        <v>3.8461538461538467</v>
      </c>
      <c r="W19" s="27">
        <f t="shared" si="2"/>
        <v>45477</v>
      </c>
      <c r="X19" s="34">
        <v>3.5999999999999997E-2</v>
      </c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  <c r="AG19" s="42">
        <v>20200622</v>
      </c>
      <c r="AH19" s="42">
        <v>20200921</v>
      </c>
      <c r="AI19" s="42">
        <v>20200921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W20" s="27">
        <f t="shared" si="2"/>
        <v>45478</v>
      </c>
      <c r="X20" s="34">
        <v>3.5999999999999997E-2</v>
      </c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  <c r="AG20" s="42">
        <v>20200921</v>
      </c>
      <c r="AH20" s="42">
        <v>20201221</v>
      </c>
      <c r="AI20" s="42">
        <v>20201221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42" t="s">
        <v>45</v>
      </c>
      <c r="C21" s="142"/>
      <c r="D21" s="95" t="s">
        <v>41</v>
      </c>
      <c r="E21" s="95"/>
      <c r="F21" s="113">
        <v>0</v>
      </c>
      <c r="G21" s="114"/>
      <c r="H21" s="148" t="s">
        <v>82</v>
      </c>
      <c r="I21" s="149"/>
      <c r="J21" s="119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0 x Rate(5Y) + 0(고정) + 0.035(Range충족시)</v>
      </c>
      <c r="K21" s="119"/>
      <c r="L21" s="119"/>
      <c r="M21" s="119"/>
      <c r="W21" s="27">
        <f t="shared" si="2"/>
        <v>45479</v>
      </c>
      <c r="X21" s="34">
        <v>3.5999999999999997E-2</v>
      </c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  <c r="AG21" s="42">
        <v>20201221</v>
      </c>
      <c r="AH21" s="42">
        <v>20210322</v>
      </c>
      <c r="AI21" s="42">
        <v>20210322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42"/>
      <c r="C22" s="142"/>
      <c r="D22" s="95" t="s">
        <v>43</v>
      </c>
      <c r="E22" s="95"/>
      <c r="F22" s="113">
        <v>3.5000000000000003E-2</v>
      </c>
      <c r="G22" s="114"/>
      <c r="H22" s="148"/>
      <c r="I22" s="149"/>
      <c r="J22" s="119"/>
      <c r="K22" s="119"/>
      <c r="L22" s="119"/>
      <c r="M22" s="119"/>
      <c r="W22" s="27">
        <f t="shared" si="2"/>
        <v>45480</v>
      </c>
      <c r="X22" s="34">
        <v>3.5999999999999997E-2</v>
      </c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  <c r="AG22" s="42">
        <v>20210322</v>
      </c>
      <c r="AH22" s="42">
        <v>20210621</v>
      </c>
      <c r="AI22" s="42">
        <v>20210621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42"/>
      <c r="C23" s="142"/>
      <c r="D23" s="95" t="s">
        <v>44</v>
      </c>
      <c r="E23" s="95"/>
      <c r="F23" s="106">
        <v>1</v>
      </c>
      <c r="G23" s="107"/>
      <c r="W23" s="27">
        <f t="shared" si="2"/>
        <v>45481</v>
      </c>
      <c r="X23" s="34">
        <v>3.5999999999999997E-2</v>
      </c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  <c r="AG23" s="42">
        <v>20210621</v>
      </c>
      <c r="AH23" s="42">
        <v>20210923</v>
      </c>
      <c r="AI23" s="42">
        <v>20210923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W24" s="27">
        <f t="shared" si="2"/>
        <v>45482</v>
      </c>
      <c r="X24" s="34">
        <v>3.5999999999999997E-2</v>
      </c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  <c r="AG24" s="42">
        <v>20210923</v>
      </c>
      <c r="AH24" s="42">
        <v>20211220</v>
      </c>
      <c r="AI24" s="42">
        <v>20211220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82" t="s">
        <v>46</v>
      </c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4"/>
      <c r="W25" s="27">
        <f t="shared" si="2"/>
        <v>45483</v>
      </c>
      <c r="X25" s="34">
        <v>3.5999999999999997E-2</v>
      </c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  <c r="AG25" s="42">
        <v>20211220</v>
      </c>
      <c r="AH25" s="42">
        <v>20220321</v>
      </c>
      <c r="AI25" s="42">
        <v>20220321</v>
      </c>
      <c r="AJ25" s="44">
        <v>0</v>
      </c>
      <c r="AK25" s="48">
        <v>0</v>
      </c>
    </row>
    <row r="26" spans="1:37" x14ac:dyDescent="0.4">
      <c r="A26" s="21">
        <f t="shared" si="1"/>
        <v>26</v>
      </c>
      <c r="B26" s="85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7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  <c r="AG26" s="42">
        <v>20220321</v>
      </c>
      <c r="AH26" s="42">
        <v>20220620</v>
      </c>
      <c r="AI26" s="42">
        <v>20220620</v>
      </c>
      <c r="AJ26" s="44">
        <v>0</v>
      </c>
      <c r="AK26" s="48">
        <v>0</v>
      </c>
    </row>
    <row r="27" spans="1:37" x14ac:dyDescent="0.4">
      <c r="A27" s="21">
        <f t="shared" si="1"/>
        <v>27</v>
      </c>
      <c r="B27" s="74" t="s">
        <v>32</v>
      </c>
      <c r="C27" s="74"/>
      <c r="D27" s="79">
        <v>1</v>
      </c>
      <c r="E27" s="77"/>
      <c r="F27" s="74" t="s">
        <v>33</v>
      </c>
      <c r="G27" s="74"/>
      <c r="H27" s="79">
        <v>1</v>
      </c>
      <c r="I27" s="77"/>
      <c r="J27" s="74" t="s">
        <v>85</v>
      </c>
      <c r="K27" s="74"/>
      <c r="L27" s="106">
        <v>0</v>
      </c>
      <c r="M27" s="107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  <c r="AG27" s="42">
        <v>20220620</v>
      </c>
      <c r="AH27" s="42">
        <v>20220920</v>
      </c>
      <c r="AI27" s="42">
        <v>20220920</v>
      </c>
      <c r="AJ27" s="44">
        <v>0</v>
      </c>
      <c r="AK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  <c r="AG28" s="42">
        <v>20220920</v>
      </c>
      <c r="AH28" s="42">
        <v>20221220</v>
      </c>
      <c r="AI28" s="42">
        <v>20221220</v>
      </c>
      <c r="AJ28" s="44">
        <v>0</v>
      </c>
      <c r="AK28" s="48">
        <v>0</v>
      </c>
    </row>
    <row r="29" spans="1:37" x14ac:dyDescent="0.4">
      <c r="A29" s="21">
        <f t="shared" si="1"/>
        <v>29</v>
      </c>
      <c r="B29" s="88" t="str">
        <f>"기초금리정보"</f>
        <v>기초금리정보</v>
      </c>
      <c r="C29" s="89"/>
      <c r="D29" s="61" t="s">
        <v>34</v>
      </c>
      <c r="E29" s="61"/>
      <c r="F29" s="106" t="s">
        <v>93</v>
      </c>
      <c r="G29" s="107"/>
      <c r="H29" s="23"/>
      <c r="I29" s="22"/>
      <c r="J29" s="96" t="str">
        <f>IF(F30=0,"금리결정조건이 = "&amp;F30&amp;" 이므로 Ref Swap 금리정보 사용안함", "사용")</f>
        <v>사용</v>
      </c>
      <c r="K29" s="97"/>
      <c r="L29" s="97"/>
      <c r="M29" s="98"/>
      <c r="O29" s="95" t="s">
        <v>58</v>
      </c>
      <c r="P29" s="95"/>
      <c r="Q29" s="95"/>
      <c r="R29" s="95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  <c r="AG29" s="42">
        <v>20221220</v>
      </c>
      <c r="AH29" s="42">
        <v>20230320</v>
      </c>
      <c r="AI29" s="42">
        <v>20230320</v>
      </c>
      <c r="AJ29" s="44">
        <v>0</v>
      </c>
      <c r="AK29" s="48">
        <v>0</v>
      </c>
    </row>
    <row r="30" spans="1:37" x14ac:dyDescent="0.4">
      <c r="A30" s="21">
        <f t="shared" si="1"/>
        <v>30</v>
      </c>
      <c r="B30" s="90"/>
      <c r="C30" s="91"/>
      <c r="D30" s="61" t="s">
        <v>35</v>
      </c>
      <c r="E30" s="94"/>
      <c r="F30" s="108">
        <v>1</v>
      </c>
      <c r="G30" s="109"/>
      <c r="H30" s="96" t="str">
        <f xml:space="preserve"> "Swap 레퍼런스금리정보"</f>
        <v>Swap 레퍼런스금리정보</v>
      </c>
      <c r="I30" s="97"/>
      <c r="J30" s="100" t="str">
        <f>IF(F30=0,"", "연 지급횟수")</f>
        <v>연 지급횟수</v>
      </c>
      <c r="K30" s="101"/>
      <c r="L30" s="77">
        <v>4</v>
      </c>
      <c r="M30" s="102"/>
      <c r="O30" s="95" t="s">
        <v>51</v>
      </c>
      <c r="P30" s="95"/>
      <c r="Q30" s="127">
        <v>4</v>
      </c>
      <c r="R30" s="107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  <c r="AG30" s="42">
        <v>20230320</v>
      </c>
      <c r="AH30" s="42">
        <v>20230620</v>
      </c>
      <c r="AI30" s="42">
        <v>20230620</v>
      </c>
      <c r="AJ30" s="44">
        <v>0</v>
      </c>
      <c r="AK30" s="48">
        <v>0</v>
      </c>
    </row>
    <row r="31" spans="1:37" x14ac:dyDescent="0.4">
      <c r="A31" s="21">
        <f t="shared" si="1"/>
        <v>31</v>
      </c>
      <c r="B31" s="90"/>
      <c r="C31" s="91"/>
      <c r="D31" s="95" t="s">
        <v>36</v>
      </c>
      <c r="E31" s="95"/>
      <c r="F31" s="106">
        <v>0</v>
      </c>
      <c r="G31" s="107"/>
      <c r="H31" s="99"/>
      <c r="I31" s="100"/>
      <c r="J31" s="100" t="str">
        <f>IF(F30=0,"",IF(F31=0, "만기", "입력X, 아래만기2개입력"))</f>
        <v>만기</v>
      </c>
      <c r="K31" s="101"/>
      <c r="L31" s="150">
        <v>10</v>
      </c>
      <c r="M31" s="151"/>
      <c r="O31" s="95" t="s">
        <v>53</v>
      </c>
      <c r="P31" s="95"/>
      <c r="Q31" s="127">
        <v>0</v>
      </c>
      <c r="R31" s="107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  <c r="AG31" s="42">
        <v>20230620</v>
      </c>
      <c r="AH31" s="42">
        <v>20230920</v>
      </c>
      <c r="AI31" s="42">
        <v>20230920</v>
      </c>
      <c r="AJ31" s="44">
        <v>0</v>
      </c>
      <c r="AK31" s="48">
        <v>0</v>
      </c>
    </row>
    <row r="32" spans="1:37" x14ac:dyDescent="0.4">
      <c r="A32" s="21">
        <f t="shared" si="1"/>
        <v>32</v>
      </c>
      <c r="B32" s="90"/>
      <c r="C32" s="91"/>
      <c r="D32" s="95" t="s">
        <v>37</v>
      </c>
      <c r="E32" s="95"/>
      <c r="F32" s="113">
        <v>0.8</v>
      </c>
      <c r="G32" s="114"/>
      <c r="H32" s="103" t="str">
        <f>"ex) Deposit 3M -&gt; 연 지급횟수= 4, 만기= 0.25 ||  ex2) CMT 5Y 연 지급횟수=2, 만기 5"</f>
        <v>ex) Deposit 3M -&gt; 연 지급횟수= 4, 만기= 0.25 ||  ex2) CMT 5Y 연 지급횟수=2, 만기 5</v>
      </c>
      <c r="I32" s="103"/>
      <c r="J32" s="103"/>
      <c r="K32" s="103"/>
      <c r="L32" s="103"/>
      <c r="M32" s="104"/>
      <c r="O32" s="80" t="s">
        <v>54</v>
      </c>
      <c r="P32" s="81"/>
      <c r="Q32" s="127">
        <v>4</v>
      </c>
      <c r="R32" s="107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  <c r="AG32" s="42">
        <v>20230920</v>
      </c>
      <c r="AH32" s="42">
        <v>20231220</v>
      </c>
      <c r="AI32" s="42">
        <v>20231220</v>
      </c>
      <c r="AJ32" s="44">
        <v>0</v>
      </c>
      <c r="AK32" s="48">
        <v>0</v>
      </c>
    </row>
    <row r="33" spans="1:37" x14ac:dyDescent="0.4">
      <c r="A33" s="21">
        <f t="shared" si="1"/>
        <v>33</v>
      </c>
      <c r="B33" s="90"/>
      <c r="C33" s="91"/>
      <c r="D33" s="95" t="s">
        <v>38</v>
      </c>
      <c r="E33" s="61"/>
      <c r="F33" s="115">
        <v>-0.8</v>
      </c>
      <c r="G33" s="116"/>
      <c r="H33" s="105" t="str">
        <f>IF(F31&gt;0,"PowerSpreadFlag 1일때 입력","입력필요X")</f>
        <v>입력필요X</v>
      </c>
      <c r="I33" s="105"/>
      <c r="J33" s="105" t="str">
        <f>IF(F31&gt;0,"만기1","")</f>
        <v/>
      </c>
      <c r="K33" s="105"/>
      <c r="L33" s="111">
        <v>10</v>
      </c>
      <c r="M33" s="112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  <c r="AG33" s="42">
        <v>20231220</v>
      </c>
      <c r="AH33" s="42">
        <v>20240320</v>
      </c>
      <c r="AI33" s="42">
        <v>20240320</v>
      </c>
      <c r="AJ33" s="44">
        <v>0</v>
      </c>
      <c r="AK33" s="48">
        <v>0</v>
      </c>
    </row>
    <row r="34" spans="1:37" x14ac:dyDescent="0.4">
      <c r="A34" s="21">
        <f t="shared" si="1"/>
        <v>34</v>
      </c>
      <c r="B34" s="92"/>
      <c r="C34" s="93"/>
      <c r="D34" s="110" t="s">
        <v>39</v>
      </c>
      <c r="E34" s="110"/>
      <c r="F34" s="117">
        <v>1</v>
      </c>
      <c r="G34" s="118"/>
      <c r="H34" s="105"/>
      <c r="I34" s="105"/>
      <c r="J34" s="105" t="str">
        <f>IF(F31&gt;0,"만기2","")</f>
        <v/>
      </c>
      <c r="K34" s="105"/>
      <c r="L34" s="111">
        <v>5</v>
      </c>
      <c r="M34" s="112"/>
      <c r="O34" s="95" t="s">
        <v>90</v>
      </c>
      <c r="P34" s="95"/>
      <c r="Q34" s="95"/>
      <c r="R34" s="95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  <c r="AG34" s="42">
        <v>20240320</v>
      </c>
      <c r="AH34" s="42">
        <v>20240620</v>
      </c>
      <c r="AI34" s="42">
        <v>20240620</v>
      </c>
      <c r="AJ34" s="44">
        <v>0</v>
      </c>
      <c r="AK34" s="48">
        <v>0</v>
      </c>
    </row>
    <row r="35" spans="1:37" x14ac:dyDescent="0.4">
      <c r="A35" s="21">
        <f t="shared" si="1"/>
        <v>35</v>
      </c>
      <c r="B35" s="20"/>
      <c r="C35" s="20"/>
      <c r="O35" s="95" t="s">
        <v>89</v>
      </c>
      <c r="P35" s="95"/>
      <c r="Q35" s="127">
        <v>0</v>
      </c>
      <c r="R35" s="107"/>
      <c r="AA35" s="20">
        <v>88.219178082191789</v>
      </c>
      <c r="AB35" s="41">
        <v>20240620</v>
      </c>
      <c r="AC35" s="42">
        <v>20240920</v>
      </c>
      <c r="AD35" s="42">
        <v>20240920</v>
      </c>
      <c r="AE35" s="44">
        <v>2.8918046379635388E-2</v>
      </c>
      <c r="AF35" s="48">
        <v>88.219178082191789</v>
      </c>
      <c r="AG35" s="42">
        <v>20240620</v>
      </c>
      <c r="AH35" s="42">
        <v>20240920</v>
      </c>
      <c r="AI35" s="42">
        <v>20240920</v>
      </c>
      <c r="AJ35" s="44">
        <v>3.5999999999999997E-2</v>
      </c>
      <c r="AK35" s="48">
        <v>90.739726027397253</v>
      </c>
    </row>
    <row r="36" spans="1:37" x14ac:dyDescent="0.4">
      <c r="A36" s="21">
        <f t="shared" si="1"/>
        <v>36</v>
      </c>
      <c r="B36" s="142" t="s">
        <v>40</v>
      </c>
      <c r="C36" s="142"/>
      <c r="D36" s="95" t="s">
        <v>41</v>
      </c>
      <c r="E36" s="95"/>
      <c r="F36" s="113">
        <v>0</v>
      </c>
      <c r="G36" s="114"/>
      <c r="H36" s="148" t="s">
        <v>84</v>
      </c>
      <c r="I36" s="149"/>
      <c r="J36" s="119" t="str">
        <f>IF(F31&gt;0, F33&amp;" &lt; "&amp;F30&amp;" x Rate("&amp;L33&amp;"Y-"&amp;L34&amp;"Y) &lt; "&amp;F32,F33&amp;" &lt; "&amp;F30&amp;" x Rate("&amp;L31&amp;"Y) &lt; "&amp;F32)</f>
        <v>-0.8 &lt; 1 x Rate(10Y) &lt; 0.8</v>
      </c>
      <c r="K36" s="119"/>
      <c r="L36" s="119"/>
      <c r="M36" s="119"/>
      <c r="AA36" s="20">
        <v>87.260273972602747</v>
      </c>
      <c r="AB36" s="41">
        <v>20240920</v>
      </c>
      <c r="AC36" s="42">
        <v>20241220</v>
      </c>
      <c r="AD36" s="42">
        <v>20241220</v>
      </c>
      <c r="AE36" s="44">
        <v>2.8695786971915761E-2</v>
      </c>
      <c r="AF36" s="48">
        <v>87.260273972602718</v>
      </c>
      <c r="AG36" s="42">
        <v>20240920</v>
      </c>
      <c r="AH36" s="42">
        <v>20241220</v>
      </c>
      <c r="AI36" s="42">
        <v>20241220</v>
      </c>
      <c r="AJ36" s="44">
        <v>2.8823122527533784E-2</v>
      </c>
      <c r="AK36" s="48">
        <v>71.860387671385595</v>
      </c>
    </row>
    <row r="37" spans="1:37" x14ac:dyDescent="0.4">
      <c r="A37" s="21">
        <f t="shared" si="1"/>
        <v>37</v>
      </c>
      <c r="B37" s="142"/>
      <c r="C37" s="142"/>
      <c r="D37" s="95" t="s">
        <v>43</v>
      </c>
      <c r="E37" s="95"/>
      <c r="F37" s="113">
        <v>0</v>
      </c>
      <c r="G37" s="114"/>
      <c r="H37" s="148" t="s">
        <v>81</v>
      </c>
      <c r="I37" s="149"/>
      <c r="J37" s="119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1 x Rate(10Y) + 0(고정) + 0(Range충족시)</v>
      </c>
      <c r="K37" s="119"/>
      <c r="L37" s="119"/>
      <c r="M37" s="119"/>
      <c r="AA37" s="20">
        <v>86.301369863013704</v>
      </c>
      <c r="AB37" s="41">
        <v>20241220</v>
      </c>
      <c r="AC37" s="42">
        <v>20250320</v>
      </c>
      <c r="AD37" s="42">
        <v>20250320</v>
      </c>
      <c r="AE37" s="44">
        <v>2.8430244572161454E-2</v>
      </c>
      <c r="AF37" s="48">
        <v>86.301369863013747</v>
      </c>
      <c r="AG37" s="42">
        <v>20241220</v>
      </c>
      <c r="AH37" s="42">
        <v>20250320</v>
      </c>
      <c r="AI37" s="42">
        <v>20250320</v>
      </c>
      <c r="AJ37" s="44">
        <v>2.8704409876494086E-2</v>
      </c>
      <c r="AK37" s="48">
        <v>70.777996955738843</v>
      </c>
    </row>
    <row r="38" spans="1:37" x14ac:dyDescent="0.4">
      <c r="A38" s="21">
        <f t="shared" si="1"/>
        <v>38</v>
      </c>
      <c r="B38" s="142"/>
      <c r="C38" s="142"/>
      <c r="D38" s="95" t="s">
        <v>44</v>
      </c>
      <c r="E38" s="95"/>
      <c r="F38" s="106">
        <v>1</v>
      </c>
      <c r="G38" s="107"/>
      <c r="H38" s="148"/>
      <c r="I38" s="149"/>
      <c r="J38" s="119"/>
      <c r="K38" s="119"/>
      <c r="L38" s="119"/>
      <c r="M38" s="119"/>
      <c r="AA38" s="20">
        <v>88.219178082191789</v>
      </c>
      <c r="AB38" s="41">
        <v>20250320</v>
      </c>
      <c r="AC38" s="42">
        <v>20250620</v>
      </c>
      <c r="AD38" s="42">
        <v>20250620</v>
      </c>
      <c r="AE38" s="44">
        <v>2.8281316094941326E-2</v>
      </c>
      <c r="AF38" s="48">
        <v>88.219178082191917</v>
      </c>
      <c r="AG38" s="42">
        <v>20250320</v>
      </c>
      <c r="AH38" s="42">
        <v>20250620</v>
      </c>
      <c r="AI38" s="42">
        <v>20250620</v>
      </c>
      <c r="AJ38" s="44">
        <v>2.8647271772745127E-2</v>
      </c>
      <c r="AK38" s="48">
        <v>72.206822002535674</v>
      </c>
    </row>
    <row r="39" spans="1:37" x14ac:dyDescent="0.4">
      <c r="A39" s="21">
        <f t="shared" si="1"/>
        <v>39</v>
      </c>
      <c r="B39" s="20"/>
      <c r="C39" s="20"/>
      <c r="AA39" s="20">
        <v>90.136986301369859</v>
      </c>
      <c r="AB39" s="41">
        <v>20250620</v>
      </c>
      <c r="AC39" s="42">
        <v>20250922</v>
      </c>
      <c r="AD39" s="42">
        <v>20250922</v>
      </c>
      <c r="AE39" s="44">
        <v>2.823287175815305E-2</v>
      </c>
      <c r="AF39" s="48">
        <v>90.136986301369916</v>
      </c>
      <c r="AG39" s="42">
        <v>20250620</v>
      </c>
      <c r="AH39" s="42">
        <v>20250922</v>
      </c>
      <c r="AI39" s="42">
        <v>20250922</v>
      </c>
      <c r="AJ39" s="44">
        <v>2.8644960418818255E-2</v>
      </c>
      <c r="AK39" s="48">
        <v>73.770582996408663</v>
      </c>
    </row>
    <row r="40" spans="1:37" x14ac:dyDescent="0.4">
      <c r="A40" s="21">
        <f t="shared" si="1"/>
        <v>40</v>
      </c>
      <c r="B40" s="20"/>
      <c r="C40" s="20"/>
      <c r="AA40" s="20">
        <v>87.260273972602747</v>
      </c>
      <c r="AB40" s="41">
        <v>20250922</v>
      </c>
      <c r="AC40" s="42">
        <v>20251222</v>
      </c>
      <c r="AD40" s="42">
        <v>20251222</v>
      </c>
      <c r="AE40" s="44">
        <v>2.824773475020765E-2</v>
      </c>
      <c r="AF40" s="48">
        <v>87.260273972602718</v>
      </c>
      <c r="AG40" s="42">
        <v>20250922</v>
      </c>
      <c r="AH40" s="42">
        <v>20251222</v>
      </c>
      <c r="AI40" s="42">
        <v>20251222</v>
      </c>
      <c r="AJ40" s="44">
        <v>2.8694989525764512E-2</v>
      </c>
      <c r="AK40" s="48">
        <v>71.540932790262204</v>
      </c>
    </row>
    <row r="41" spans="1:37" x14ac:dyDescent="0.4">
      <c r="A41" s="21">
        <f t="shared" si="1"/>
        <v>41</v>
      </c>
      <c r="B41" s="142" t="s">
        <v>45</v>
      </c>
      <c r="C41" s="142"/>
      <c r="D41" s="95" t="s">
        <v>41</v>
      </c>
      <c r="E41" s="95"/>
      <c r="F41" s="113">
        <v>0</v>
      </c>
      <c r="G41" s="114"/>
      <c r="H41" s="148" t="s">
        <v>82</v>
      </c>
      <c r="I41" s="149"/>
      <c r="J41" s="119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+ 0(고정) + 0(Range충족시)</v>
      </c>
      <c r="K41" s="119"/>
      <c r="L41" s="119"/>
      <c r="M41" s="119"/>
      <c r="AA41" s="20">
        <v>84.383561643835634</v>
      </c>
      <c r="AB41" s="41">
        <v>20251222</v>
      </c>
      <c r="AC41" s="42">
        <v>20260320</v>
      </c>
      <c r="AD41" s="42">
        <v>20260320</v>
      </c>
      <c r="AE41" s="44">
        <v>2.8306275173404238E-2</v>
      </c>
      <c r="AF41" s="48">
        <v>84.383561643835534</v>
      </c>
      <c r="AG41" s="42">
        <v>20251222</v>
      </c>
      <c r="AH41" s="42">
        <v>20260320</v>
      </c>
      <c r="AI41" s="42">
        <v>20260320</v>
      </c>
      <c r="AJ41" s="44">
        <v>2.8745826801846171E-2</v>
      </c>
      <c r="AK41" s="48">
        <v>69.305007083903106</v>
      </c>
    </row>
    <row r="42" spans="1:37" x14ac:dyDescent="0.4">
      <c r="A42" s="21">
        <f t="shared" si="1"/>
        <v>42</v>
      </c>
      <c r="B42" s="142"/>
      <c r="C42" s="142"/>
      <c r="D42" s="95" t="s">
        <v>43</v>
      </c>
      <c r="E42" s="95"/>
      <c r="F42" s="113">
        <v>0</v>
      </c>
      <c r="G42" s="114"/>
      <c r="H42" s="148"/>
      <c r="I42" s="149"/>
      <c r="J42" s="119"/>
      <c r="K42" s="119"/>
      <c r="L42" s="119"/>
      <c r="M42" s="119"/>
      <c r="AA42" s="20">
        <v>90.136986301369859</v>
      </c>
      <c r="AB42" s="41">
        <v>20260320</v>
      </c>
      <c r="AC42" s="42">
        <v>20260622</v>
      </c>
      <c r="AD42" s="42">
        <v>20260622</v>
      </c>
      <c r="AE42" s="44">
        <v>2.8380506585954781E-2</v>
      </c>
      <c r="AF42" s="48">
        <v>90.136986301369816</v>
      </c>
      <c r="AG42" s="42">
        <v>20260320</v>
      </c>
      <c r="AH42" s="42">
        <v>20260622</v>
      </c>
      <c r="AI42" s="42">
        <v>20260622</v>
      </c>
      <c r="AJ42" s="44">
        <v>2.8820039320730885E-2</v>
      </c>
      <c r="AK42" s="48">
        <v>74.221471127361738</v>
      </c>
    </row>
    <row r="43" spans="1:37" x14ac:dyDescent="0.4">
      <c r="A43" s="21">
        <f t="shared" si="1"/>
        <v>43</v>
      </c>
      <c r="B43" s="142"/>
      <c r="C43" s="142"/>
      <c r="D43" s="95" t="s">
        <v>44</v>
      </c>
      <c r="E43" s="95"/>
      <c r="F43" s="106">
        <v>1</v>
      </c>
      <c r="G43" s="107"/>
      <c r="AA43" s="20">
        <v>87.260273972602747</v>
      </c>
      <c r="AB43" s="41">
        <v>20260622</v>
      </c>
      <c r="AC43" s="42">
        <v>20260921</v>
      </c>
      <c r="AD43" s="42">
        <v>20260921</v>
      </c>
      <c r="AE43" s="44">
        <v>2.8472901870875179E-2</v>
      </c>
      <c r="AF43" s="48">
        <v>87.260273972602718</v>
      </c>
      <c r="AG43" s="42">
        <v>20260622</v>
      </c>
      <c r="AH43" s="42">
        <v>20260921</v>
      </c>
      <c r="AI43" s="42">
        <v>20260921</v>
      </c>
      <c r="AJ43" s="44">
        <v>2.8889991650879687E-2</v>
      </c>
      <c r="AK43" s="48">
        <v>72.027102472056214</v>
      </c>
    </row>
    <row r="44" spans="1:37" x14ac:dyDescent="0.4">
      <c r="A44" s="21">
        <f t="shared" si="1"/>
        <v>44</v>
      </c>
      <c r="B44" s="20"/>
      <c r="C44" s="20"/>
      <c r="AA44" s="20">
        <v>87.260273972602747</v>
      </c>
      <c r="AB44" s="41">
        <v>20260921</v>
      </c>
      <c r="AC44" s="42">
        <v>20261221</v>
      </c>
      <c r="AD44" s="42">
        <v>20261221</v>
      </c>
      <c r="AE44" s="44">
        <v>2.8557338748710352E-2</v>
      </c>
      <c r="AF44" s="48">
        <v>87.260273972602747</v>
      </c>
      <c r="AG44" s="42">
        <v>20260921</v>
      </c>
      <c r="AH44" s="42">
        <v>20261221</v>
      </c>
      <c r="AI44" s="42">
        <v>20261221</v>
      </c>
      <c r="AJ44" s="44">
        <v>2.8965189818070645E-2</v>
      </c>
      <c r="AK44" s="48">
        <v>72.214582834093946</v>
      </c>
    </row>
    <row r="45" spans="1:37" ht="17.399999999999999" customHeight="1" x14ac:dyDescent="0.4">
      <c r="A45" s="21">
        <f t="shared" si="1"/>
        <v>45</v>
      </c>
      <c r="B45" s="136" t="s">
        <v>60</v>
      </c>
      <c r="C45" s="137"/>
      <c r="D45" s="137"/>
      <c r="E45" s="137"/>
      <c r="F45" s="137"/>
      <c r="G45" s="138"/>
      <c r="AA45" s="20">
        <v>87.260273972602747</v>
      </c>
      <c r="AB45" s="41">
        <v>20261221</v>
      </c>
      <c r="AC45" s="42">
        <v>20270322</v>
      </c>
      <c r="AD45" s="42">
        <v>20270322</v>
      </c>
      <c r="AE45" s="44">
        <v>2.863996243291602E-2</v>
      </c>
      <c r="AF45" s="48">
        <v>87.260273972602832</v>
      </c>
      <c r="AG45" s="42">
        <v>20261221</v>
      </c>
      <c r="AH45" s="42">
        <v>20270322</v>
      </c>
      <c r="AI45" s="42">
        <v>20270322</v>
      </c>
      <c r="AJ45" s="44">
        <v>2.8993021192200735E-2</v>
      </c>
      <c r="AK45" s="48">
        <v>72.283970643568964</v>
      </c>
    </row>
    <row r="46" spans="1:37" ht="17.399999999999999" customHeight="1" x14ac:dyDescent="0.4">
      <c r="A46" s="21">
        <f t="shared" si="1"/>
        <v>46</v>
      </c>
      <c r="B46" s="139"/>
      <c r="C46" s="140"/>
      <c r="D46" s="140"/>
      <c r="E46" s="140"/>
      <c r="F46" s="140"/>
      <c r="G46" s="141"/>
      <c r="AA46" s="20">
        <v>87.260273972602747</v>
      </c>
      <c r="AB46" s="41">
        <v>20270322</v>
      </c>
      <c r="AC46" s="42">
        <v>20270621</v>
      </c>
      <c r="AD46" s="42">
        <v>20270621</v>
      </c>
      <c r="AE46" s="44">
        <v>2.8745791747675355E-2</v>
      </c>
      <c r="AF46" s="48">
        <v>87.260273972602832</v>
      </c>
      <c r="AG46" s="42">
        <v>20270322</v>
      </c>
      <c r="AH46" s="42">
        <v>20270621</v>
      </c>
      <c r="AI46" s="42">
        <v>20270621</v>
      </c>
      <c r="AJ46" s="44">
        <v>2.9031318781666583E-2</v>
      </c>
      <c r="AK46" s="48">
        <v>72.379452304976965</v>
      </c>
    </row>
    <row r="47" spans="1:37" x14ac:dyDescent="0.4">
      <c r="A47" s="21">
        <f t="shared" si="1"/>
        <v>47</v>
      </c>
      <c r="B47" s="37" t="s">
        <v>61</v>
      </c>
      <c r="C47" s="38" t="s">
        <v>62</v>
      </c>
      <c r="D47" s="38" t="s">
        <v>63</v>
      </c>
      <c r="E47" s="38" t="s">
        <v>64</v>
      </c>
      <c r="AA47" s="20">
        <v>87.260273972602747</v>
      </c>
      <c r="AB47" s="41">
        <v>20270621</v>
      </c>
      <c r="AC47" s="42">
        <v>20270920</v>
      </c>
      <c r="AD47" s="42">
        <v>20270920</v>
      </c>
      <c r="AE47" s="44">
        <v>2.8873855272729176E-2</v>
      </c>
      <c r="AF47" s="48">
        <v>87.260273972602718</v>
      </c>
      <c r="AG47" s="42">
        <v>20270621</v>
      </c>
      <c r="AH47" s="42">
        <v>20270920</v>
      </c>
      <c r="AI47" s="42">
        <v>20270920</v>
      </c>
      <c r="AJ47" s="44">
        <v>2.9080548715275188E-2</v>
      </c>
      <c r="AK47" s="48">
        <v>72.502189947672377</v>
      </c>
    </row>
    <row r="48" spans="1:37" x14ac:dyDescent="0.4">
      <c r="A48" s="21">
        <f t="shared" si="1"/>
        <v>48</v>
      </c>
      <c r="B48" s="26">
        <v>44524</v>
      </c>
      <c r="C48" s="26">
        <v>44550</v>
      </c>
      <c r="D48" s="31" t="s">
        <v>94</v>
      </c>
      <c r="E48" s="31">
        <f>COUNT(B48:B1048576)</f>
        <v>13</v>
      </c>
      <c r="AA48" s="20">
        <v>87.260273972602747</v>
      </c>
      <c r="AB48" s="41">
        <v>20270920</v>
      </c>
      <c r="AC48" s="42">
        <v>20271220</v>
      </c>
      <c r="AD48" s="42">
        <v>20271220</v>
      </c>
      <c r="AE48" s="44">
        <v>2.8961644515317408E-2</v>
      </c>
      <c r="AF48" s="48">
        <v>87.260273972602718</v>
      </c>
      <c r="AG48" s="42">
        <v>20270920</v>
      </c>
      <c r="AH48" s="42">
        <v>20271220</v>
      </c>
      <c r="AI48" s="42">
        <v>20271220</v>
      </c>
      <c r="AJ48" s="44">
        <v>2.9134142013166487E-2</v>
      </c>
      <c r="AK48" s="48">
        <v>72.635806115017814</v>
      </c>
    </row>
    <row r="49" spans="1:37" x14ac:dyDescent="0.4">
      <c r="A49" s="21">
        <f t="shared" si="1"/>
        <v>49</v>
      </c>
      <c r="B49" s="26">
        <v>44889</v>
      </c>
      <c r="C49" s="26">
        <v>44915</v>
      </c>
      <c r="AA49" s="20">
        <v>87.260273972602747</v>
      </c>
      <c r="AB49" s="41">
        <v>20271220</v>
      </c>
      <c r="AC49" s="42">
        <v>20280320</v>
      </c>
      <c r="AD49" s="42">
        <v>20280320</v>
      </c>
      <c r="AE49" s="44">
        <v>2.9020448647274925E-2</v>
      </c>
      <c r="AF49" s="48">
        <v>87.260273972602747</v>
      </c>
      <c r="AG49" s="42">
        <v>20271220</v>
      </c>
      <c r="AH49" s="42">
        <v>20280320</v>
      </c>
      <c r="AI49" s="42">
        <v>20280320</v>
      </c>
      <c r="AJ49" s="44">
        <v>2.9162648396013048E-2</v>
      </c>
      <c r="AK49" s="48">
        <v>72.706876822936636</v>
      </c>
    </row>
    <row r="50" spans="1:37" x14ac:dyDescent="0.4">
      <c r="A50" s="21">
        <f t="shared" si="1"/>
        <v>50</v>
      </c>
      <c r="B50" s="26">
        <v>45254</v>
      </c>
      <c r="C50" s="26">
        <v>45280</v>
      </c>
      <c r="AA50" s="20">
        <v>88.219178082191789</v>
      </c>
      <c r="AB50" s="41">
        <v>20280320</v>
      </c>
      <c r="AC50" s="42">
        <v>20280620</v>
      </c>
      <c r="AD50" s="42">
        <v>20280620</v>
      </c>
      <c r="AE50" s="44">
        <v>2.9087780285142625E-2</v>
      </c>
      <c r="AF50" s="48">
        <v>88.219178082191846</v>
      </c>
      <c r="AG50" s="42">
        <v>20280320</v>
      </c>
      <c r="AH50" s="42">
        <v>20280620</v>
      </c>
      <c r="AI50" s="42">
        <v>20280620</v>
      </c>
      <c r="AJ50" s="44">
        <v>2.9194221979601469E-2</v>
      </c>
      <c r="AK50" s="48">
        <v>73.585436222557135</v>
      </c>
    </row>
    <row r="51" spans="1:37" x14ac:dyDescent="0.4">
      <c r="A51" s="21">
        <f t="shared" si="1"/>
        <v>51</v>
      </c>
      <c r="B51" s="26">
        <v>45622</v>
      </c>
      <c r="C51" s="26">
        <v>45646</v>
      </c>
      <c r="AA51" s="20">
        <v>88.219178082191789</v>
      </c>
      <c r="AB51" s="41">
        <v>20280620</v>
      </c>
      <c r="AC51" s="42">
        <v>20280920</v>
      </c>
      <c r="AD51" s="42">
        <v>20280920</v>
      </c>
      <c r="AE51" s="44">
        <v>2.9163925237585757E-2</v>
      </c>
      <c r="AF51" s="48">
        <v>88.219178082191888</v>
      </c>
      <c r="AG51" s="42">
        <v>20280620</v>
      </c>
      <c r="AH51" s="42">
        <v>20280920</v>
      </c>
      <c r="AI51" s="42">
        <v>20280920</v>
      </c>
      <c r="AJ51" s="44">
        <v>2.9225076545867746E-2</v>
      </c>
      <c r="AK51" s="48">
        <v>73.663206636159813</v>
      </c>
    </row>
    <row r="52" spans="1:37" x14ac:dyDescent="0.4">
      <c r="A52" s="21">
        <f t="shared" si="1"/>
        <v>52</v>
      </c>
      <c r="B52" s="26">
        <v>45987</v>
      </c>
      <c r="C52" s="26">
        <v>46013</v>
      </c>
      <c r="AA52" s="20">
        <v>87.260273972602747</v>
      </c>
      <c r="AB52" s="41">
        <v>20280920</v>
      </c>
      <c r="AC52" s="42">
        <v>20281220</v>
      </c>
      <c r="AD52" s="42">
        <v>20281220</v>
      </c>
      <c r="AE52" s="44">
        <v>2.9247717205024375E-2</v>
      </c>
      <c r="AF52" s="48">
        <v>87.260273972602718</v>
      </c>
      <c r="AG52" s="42">
        <v>20280920</v>
      </c>
      <c r="AH52" s="42">
        <v>20281220</v>
      </c>
      <c r="AI52" s="42">
        <v>20281220</v>
      </c>
      <c r="AJ52" s="44">
        <v>2.9255304452423227E-2</v>
      </c>
      <c r="AK52" s="48">
        <v>72.937882333438722</v>
      </c>
    </row>
    <row r="53" spans="1:37" x14ac:dyDescent="0.4">
      <c r="A53" s="21">
        <f t="shared" si="1"/>
        <v>53</v>
      </c>
      <c r="B53" s="26">
        <v>46351</v>
      </c>
      <c r="C53" s="26">
        <v>46377</v>
      </c>
      <c r="AA53" s="20">
        <v>86.301369863013704</v>
      </c>
      <c r="AB53" s="41">
        <v>20281220</v>
      </c>
      <c r="AC53" s="42">
        <v>20290320</v>
      </c>
      <c r="AD53" s="42">
        <v>20290320</v>
      </c>
      <c r="AE53" s="44">
        <v>2.9334730040045203E-2</v>
      </c>
      <c r="AF53" s="48">
        <v>86.301369863013775</v>
      </c>
      <c r="AG53" s="42">
        <v>20281220</v>
      </c>
      <c r="AH53" s="42">
        <v>20290320</v>
      </c>
      <c r="AI53" s="42">
        <v>20290320</v>
      </c>
      <c r="AJ53" s="44">
        <v>2.926478193888362E-2</v>
      </c>
      <c r="AK53" s="48">
        <v>72.159736287658234</v>
      </c>
    </row>
    <row r="54" spans="1:37" x14ac:dyDescent="0.4">
      <c r="A54" s="21">
        <f t="shared" si="1"/>
        <v>54</v>
      </c>
      <c r="B54" s="26">
        <v>46715</v>
      </c>
      <c r="C54" s="26">
        <v>46741</v>
      </c>
      <c r="AA54" s="20">
        <v>88.219178082191789</v>
      </c>
      <c r="AB54" s="41">
        <v>20290320</v>
      </c>
      <c r="AC54" s="42">
        <v>20290620</v>
      </c>
      <c r="AD54" s="42">
        <v>20290620</v>
      </c>
      <c r="AE54" s="44">
        <v>2.9428250095345741E-2</v>
      </c>
      <c r="AF54" s="48">
        <v>88.219178082191846</v>
      </c>
      <c r="AG54" s="42">
        <v>20290320</v>
      </c>
      <c r="AH54" s="42">
        <v>20290620</v>
      </c>
      <c r="AI54" s="42">
        <v>20290620</v>
      </c>
      <c r="AJ54" s="44">
        <v>2.9274792283745951E-2</v>
      </c>
      <c r="AK54" s="48">
        <v>73.788517537113094</v>
      </c>
    </row>
    <row r="55" spans="1:37" x14ac:dyDescent="0.4">
      <c r="A55" s="21">
        <f t="shared" si="1"/>
        <v>55</v>
      </c>
      <c r="B55" s="26">
        <v>47081</v>
      </c>
      <c r="C55" s="26">
        <v>47107</v>
      </c>
      <c r="AA55" s="20">
        <v>88.219178082191789</v>
      </c>
      <c r="AB55" s="41">
        <v>20290620</v>
      </c>
      <c r="AC55" s="42">
        <v>20290920</v>
      </c>
      <c r="AD55" s="42">
        <v>20290920</v>
      </c>
      <c r="AE55" s="44">
        <v>2.952915651511152E-2</v>
      </c>
      <c r="AF55" s="48">
        <v>88.219178082191888</v>
      </c>
      <c r="AG55" s="42">
        <v>20290620</v>
      </c>
      <c r="AH55" s="42">
        <v>20290920</v>
      </c>
      <c r="AI55" s="42">
        <v>20290920</v>
      </c>
      <c r="AJ55" s="44">
        <v>2.9287403795026177E-2</v>
      </c>
      <c r="AK55" s="48">
        <v>73.820305455956387</v>
      </c>
    </row>
    <row r="56" spans="1:37" x14ac:dyDescent="0.4">
      <c r="A56" s="21">
        <f t="shared" si="1"/>
        <v>56</v>
      </c>
      <c r="B56" s="26">
        <v>47448</v>
      </c>
      <c r="C56" s="26">
        <v>47472</v>
      </c>
      <c r="AA56" s="20">
        <v>87.260273972602747</v>
      </c>
      <c r="AB56" s="41">
        <v>20290920</v>
      </c>
      <c r="AC56" s="42">
        <v>20291220</v>
      </c>
      <c r="AD56" s="42">
        <v>20291220</v>
      </c>
      <c r="AE56" s="44">
        <v>2.9620265784555771E-2</v>
      </c>
      <c r="AF56" s="48">
        <v>87.260273972602832</v>
      </c>
      <c r="AG56" s="42">
        <v>20290920</v>
      </c>
      <c r="AH56" s="42">
        <v>20291220</v>
      </c>
      <c r="AI56" s="42">
        <v>20291220</v>
      </c>
      <c r="AJ56" s="44">
        <v>2.9292709139718605E-2</v>
      </c>
      <c r="AK56" s="48">
        <v>73.031137855188845</v>
      </c>
    </row>
    <row r="57" spans="1:37" x14ac:dyDescent="0.4">
      <c r="A57" s="21">
        <f t="shared" si="1"/>
        <v>57</v>
      </c>
      <c r="B57" s="26">
        <v>47813</v>
      </c>
      <c r="C57" s="26">
        <v>47837</v>
      </c>
      <c r="AA57" s="20">
        <v>86.301369863013704</v>
      </c>
      <c r="AB57" s="41">
        <v>20291220</v>
      </c>
      <c r="AC57" s="42">
        <v>20300320</v>
      </c>
      <c r="AD57" s="42">
        <v>20300320</v>
      </c>
      <c r="AE57" s="44">
        <v>2.9702984822219652E-2</v>
      </c>
      <c r="AF57" s="48">
        <v>86.301369863013775</v>
      </c>
      <c r="AG57" s="42">
        <v>20291220</v>
      </c>
      <c r="AH57" s="42">
        <v>20300320</v>
      </c>
      <c r="AI57" s="42">
        <v>20300320</v>
      </c>
      <c r="AJ57" s="44">
        <v>2.9259002653771467E-2</v>
      </c>
      <c r="AK57" s="48">
        <v>72.145485995600879</v>
      </c>
    </row>
    <row r="58" spans="1:37" x14ac:dyDescent="0.4">
      <c r="A58" s="21">
        <f t="shared" si="1"/>
        <v>58</v>
      </c>
      <c r="B58" s="26">
        <v>48178</v>
      </c>
      <c r="C58" s="26">
        <v>48204</v>
      </c>
      <c r="AA58" s="20">
        <v>88.219178082191789</v>
      </c>
      <c r="AB58" s="41">
        <v>20300320</v>
      </c>
      <c r="AC58" s="42">
        <v>20300620</v>
      </c>
      <c r="AD58" s="42">
        <v>20300620</v>
      </c>
      <c r="AE58" s="44">
        <v>2.9789469817213182E-2</v>
      </c>
      <c r="AF58" s="48">
        <v>88.219178082191846</v>
      </c>
      <c r="AG58" s="42">
        <v>20300320</v>
      </c>
      <c r="AH58" s="42">
        <v>20300620</v>
      </c>
      <c r="AI58" s="42">
        <v>20300620</v>
      </c>
      <c r="AJ58" s="44">
        <v>2.9223652198897082E-2</v>
      </c>
      <c r="AK58" s="48">
        <v>73.659616501329637</v>
      </c>
    </row>
    <row r="59" spans="1:37" x14ac:dyDescent="0.4">
      <c r="A59" s="21">
        <f t="shared" si="1"/>
        <v>59</v>
      </c>
      <c r="B59" s="26">
        <v>48542</v>
      </c>
      <c r="C59" s="26">
        <v>48568</v>
      </c>
      <c r="AA59" s="20">
        <v>88.219178082191789</v>
      </c>
      <c r="AB59" s="41">
        <v>20300620</v>
      </c>
      <c r="AC59" s="42">
        <v>20300920</v>
      </c>
      <c r="AD59" s="42">
        <v>20300920</v>
      </c>
      <c r="AE59" s="44">
        <v>2.9881429322694341E-2</v>
      </c>
      <c r="AF59" s="48">
        <v>88.219178082191831</v>
      </c>
      <c r="AG59" s="42">
        <v>20300620</v>
      </c>
      <c r="AH59" s="42">
        <v>20300920</v>
      </c>
      <c r="AI59" s="42">
        <v>20300920</v>
      </c>
      <c r="AJ59" s="44">
        <v>2.9187578537567913E-2</v>
      </c>
      <c r="AK59" s="48">
        <v>73.568691108390368</v>
      </c>
    </row>
    <row r="60" spans="1:37" x14ac:dyDescent="0.4">
      <c r="A60" s="21">
        <f t="shared" si="1"/>
        <v>60</v>
      </c>
      <c r="B60" s="26">
        <v>48907</v>
      </c>
      <c r="C60" s="26">
        <v>48933</v>
      </c>
      <c r="AA60" s="20">
        <v>87.260273972602747</v>
      </c>
      <c r="AB60" s="41">
        <v>20300920</v>
      </c>
      <c r="AC60" s="42">
        <v>20301220</v>
      </c>
      <c r="AD60" s="42">
        <v>20301220</v>
      </c>
      <c r="AE60" s="44">
        <v>2.995088056273083E-2</v>
      </c>
      <c r="AF60" s="48">
        <v>87.260273972602661</v>
      </c>
      <c r="AG60" s="42">
        <v>20300920</v>
      </c>
      <c r="AH60" s="42">
        <v>20301220</v>
      </c>
      <c r="AI60" s="42">
        <v>20301220</v>
      </c>
      <c r="AJ60" s="44">
        <v>2.9145784422860397E-2</v>
      </c>
      <c r="AK60" s="48">
        <v>72.664832396720442</v>
      </c>
    </row>
    <row r="61" spans="1:37" x14ac:dyDescent="0.4">
      <c r="A61" s="21">
        <f t="shared" si="1"/>
        <v>61</v>
      </c>
      <c r="AA61" s="20">
        <v>86.301369863013704</v>
      </c>
      <c r="AB61" s="41">
        <v>20301220</v>
      </c>
      <c r="AC61" s="42">
        <v>20310320</v>
      </c>
      <c r="AD61" s="42">
        <v>20310320</v>
      </c>
      <c r="AE61" s="44">
        <v>3.0003309794880341E-2</v>
      </c>
      <c r="AF61" s="48">
        <v>86.301369863013804</v>
      </c>
      <c r="AG61" s="42">
        <v>20301220</v>
      </c>
      <c r="AH61" s="42">
        <v>20310320</v>
      </c>
      <c r="AI61" s="42">
        <v>20310320</v>
      </c>
      <c r="AJ61" s="44">
        <v>2.9082391558028803E-2</v>
      </c>
      <c r="AK61" s="48">
        <v>71.710006581440879</v>
      </c>
    </row>
    <row r="62" spans="1:37" x14ac:dyDescent="0.4">
      <c r="AA62" s="20">
        <v>88.219178082191789</v>
      </c>
      <c r="AB62" s="41">
        <v>20310320</v>
      </c>
      <c r="AC62" s="42">
        <v>20310620</v>
      </c>
      <c r="AD62" s="42">
        <v>20310620</v>
      </c>
      <c r="AE62" s="44">
        <v>3.0057952276619389E-2</v>
      </c>
      <c r="AF62" s="48">
        <v>88.219178082191846</v>
      </c>
      <c r="AG62" s="42">
        <v>20310320</v>
      </c>
      <c r="AH62" s="42">
        <v>20310620</v>
      </c>
      <c r="AI62" s="42">
        <v>20310620</v>
      </c>
      <c r="AJ62" s="44">
        <v>2.9016412030981362E-2</v>
      </c>
      <c r="AK62" s="48">
        <v>73.137257721925621</v>
      </c>
    </row>
    <row r="63" spans="1:37" x14ac:dyDescent="0.4">
      <c r="AA63" s="20">
        <v>90.136986301369859</v>
      </c>
      <c r="AB63" s="41">
        <v>20310620</v>
      </c>
      <c r="AC63" s="42">
        <v>20310922</v>
      </c>
      <c r="AD63" s="42">
        <v>20310922</v>
      </c>
      <c r="AE63" s="44">
        <v>3.0111895252211786E-2</v>
      </c>
      <c r="AF63" s="48">
        <v>90.136986301369916</v>
      </c>
      <c r="AG63" s="42">
        <v>20310620</v>
      </c>
      <c r="AH63" s="42">
        <v>20310922</v>
      </c>
      <c r="AI63" s="42">
        <v>20310922</v>
      </c>
      <c r="AJ63" s="44">
        <v>2.8946151264250229E-2</v>
      </c>
      <c r="AK63" s="48">
        <v>74.546252570945796</v>
      </c>
    </row>
    <row r="64" spans="1:37" x14ac:dyDescent="0.4">
      <c r="AA64" s="20">
        <v>87.260273972602747</v>
      </c>
      <c r="AB64" s="41">
        <v>20310922</v>
      </c>
      <c r="AC64" s="42">
        <v>20311222</v>
      </c>
      <c r="AD64" s="42">
        <v>20311222</v>
      </c>
      <c r="AE64" s="44">
        <v>3.0109384773076314E-2</v>
      </c>
      <c r="AF64" s="48">
        <v>87.260273972602747</v>
      </c>
      <c r="AG64" s="42">
        <v>20310922</v>
      </c>
      <c r="AH64" s="42">
        <v>20311222</v>
      </c>
      <c r="AI64" s="42">
        <v>20311222</v>
      </c>
      <c r="AJ64" s="44">
        <v>2.8868452214533075E-2</v>
      </c>
      <c r="AK64" s="48">
        <v>71.973401411575608</v>
      </c>
    </row>
    <row r="65" spans="27:37" x14ac:dyDescent="0.4">
      <c r="AA65" s="20">
        <v>87.260273972602747</v>
      </c>
      <c r="AB65" s="41">
        <v>20311222</v>
      </c>
      <c r="AC65" s="42">
        <v>20320322</v>
      </c>
      <c r="AD65" s="42">
        <v>20320322</v>
      </c>
      <c r="AE65" s="44">
        <v>3.00762731479218E-2</v>
      </c>
      <c r="AF65" s="48">
        <v>87.260273972602718</v>
      </c>
      <c r="AG65" s="42">
        <v>20311222</v>
      </c>
      <c r="AH65" s="42">
        <v>20320322</v>
      </c>
      <c r="AI65" s="42">
        <v>20320322</v>
      </c>
      <c r="AJ65" s="44">
        <v>2.8786023030201686E-2</v>
      </c>
      <c r="AK65" s="48">
        <v>71.767893034201464</v>
      </c>
    </row>
    <row r="66" spans="27:37" x14ac:dyDescent="0.4">
      <c r="AA66" s="20">
        <v>87.260273972602747</v>
      </c>
      <c r="AB66" s="41">
        <v>20320322</v>
      </c>
      <c r="AC66" s="42">
        <v>20320621</v>
      </c>
      <c r="AD66" s="42">
        <v>20320621</v>
      </c>
      <c r="AE66" s="44">
        <v>3.0039541142248945E-2</v>
      </c>
      <c r="AF66" s="48">
        <v>87.260273972602718</v>
      </c>
      <c r="AG66" s="42">
        <v>20320322</v>
      </c>
      <c r="AH66" s="42">
        <v>20320621</v>
      </c>
      <c r="AI66" s="42">
        <v>20320621</v>
      </c>
      <c r="AJ66" s="44">
        <v>2.8699541940539582E-2</v>
      </c>
      <c r="AK66" s="48">
        <v>71.552282646276765</v>
      </c>
    </row>
    <row r="67" spans="27:37" x14ac:dyDescent="0.4">
      <c r="AA67" s="20">
        <v>89.178082191780831</v>
      </c>
      <c r="AB67" s="41">
        <v>20320621</v>
      </c>
      <c r="AC67" s="42">
        <v>20320922</v>
      </c>
      <c r="AD67" s="42">
        <v>20320922</v>
      </c>
      <c r="AE67" s="44">
        <v>2.9997479842575066E-2</v>
      </c>
      <c r="AF67" s="48">
        <v>89.178082191780931</v>
      </c>
      <c r="AG67" s="42">
        <v>20320621</v>
      </c>
      <c r="AH67" s="42">
        <v>20320922</v>
      </c>
      <c r="AI67" s="42">
        <v>20320922</v>
      </c>
      <c r="AJ67" s="44">
        <v>2.8608851784066577E-2</v>
      </c>
      <c r="AK67" s="48">
        <v>72.893786737484703</v>
      </c>
    </row>
    <row r="68" spans="27:37" x14ac:dyDescent="0.4">
      <c r="AA68" s="20">
        <v>85.342465753424676</v>
      </c>
      <c r="AB68" s="41">
        <v>20320922</v>
      </c>
      <c r="AC68" s="42">
        <v>20321220</v>
      </c>
      <c r="AD68" s="42">
        <v>20321220</v>
      </c>
      <c r="AE68" s="44">
        <v>2.9974485270648676E-2</v>
      </c>
      <c r="AF68" s="48">
        <v>85.342465753424747</v>
      </c>
      <c r="AG68" s="42">
        <v>20320922</v>
      </c>
      <c r="AH68" s="42">
        <v>20321220</v>
      </c>
      <c r="AI68" s="42">
        <v>20321220</v>
      </c>
      <c r="AJ68" s="44">
        <v>2.8516785025005379E-2</v>
      </c>
      <c r="AK68" s="48">
        <v>69.534078554122701</v>
      </c>
    </row>
    <row r="69" spans="27:37" x14ac:dyDescent="0.4">
      <c r="AA69" s="20">
        <v>87.260273972602747</v>
      </c>
      <c r="AB69" s="41">
        <v>20321220</v>
      </c>
      <c r="AC69" s="42">
        <v>20330321</v>
      </c>
      <c r="AD69" s="42">
        <v>20330321</v>
      </c>
      <c r="AE69" s="44">
        <v>2.9963341492651702E-2</v>
      </c>
      <c r="AF69" s="48">
        <v>87.260273972602619</v>
      </c>
      <c r="AG69" s="42">
        <v>20321220</v>
      </c>
      <c r="AH69" s="42">
        <v>20330321</v>
      </c>
      <c r="AI69" s="42">
        <v>20330321</v>
      </c>
      <c r="AJ69" s="44">
        <v>2.8437684468531052E-2</v>
      </c>
      <c r="AK69" s="48">
        <v>70.899432510584276</v>
      </c>
    </row>
    <row r="70" spans="27:37" x14ac:dyDescent="0.4">
      <c r="AA70" s="20">
        <v>87.260273972602747</v>
      </c>
      <c r="AB70" s="41">
        <v>20330321</v>
      </c>
      <c r="AC70" s="42">
        <v>20330620</v>
      </c>
      <c r="AD70" s="42">
        <v>20330620</v>
      </c>
      <c r="AE70" s="44">
        <v>2.9950118382922882E-2</v>
      </c>
      <c r="AF70" s="48">
        <v>87.260273972602747</v>
      </c>
      <c r="AG70" s="42">
        <v>20330321</v>
      </c>
      <c r="AH70" s="42">
        <v>20330620</v>
      </c>
      <c r="AI70" s="42">
        <v>20330620</v>
      </c>
      <c r="AJ70" s="44">
        <v>2.83557990834079E-2</v>
      </c>
      <c r="AK70" s="48">
        <v>70.695279906578605</v>
      </c>
    </row>
    <row r="71" spans="27:37" x14ac:dyDescent="0.4">
      <c r="AA71" s="20">
        <v>88.219178082191789</v>
      </c>
      <c r="AB71" s="41">
        <v>20330620</v>
      </c>
      <c r="AC71" s="42">
        <v>20330920</v>
      </c>
      <c r="AD71" s="42">
        <v>20330920</v>
      </c>
      <c r="AE71" s="44">
        <v>2.9934889752358168E-2</v>
      </c>
      <c r="AF71" s="48">
        <v>88.219178082191831</v>
      </c>
      <c r="AG71" s="42">
        <v>20330620</v>
      </c>
      <c r="AH71" s="42">
        <v>20330920</v>
      </c>
      <c r="AI71" s="42">
        <v>20330920</v>
      </c>
      <c r="AJ71" s="44">
        <v>2.8270915031083959E-2</v>
      </c>
      <c r="AK71" s="48">
        <v>71.258196790677374</v>
      </c>
    </row>
    <row r="72" spans="27:37" x14ac:dyDescent="0.4">
      <c r="AA72" s="20">
        <v>87.260273972602747</v>
      </c>
      <c r="AB72" s="41">
        <v>20330920</v>
      </c>
      <c r="AC72" s="42">
        <v>20331220</v>
      </c>
      <c r="AD72" s="42">
        <v>20331220</v>
      </c>
      <c r="AE72" s="44">
        <v>2.9880695607728561E-2</v>
      </c>
      <c r="AF72" s="48">
        <v>87.260273972602874</v>
      </c>
      <c r="AG72" s="42">
        <v>20330920</v>
      </c>
      <c r="AH72" s="42">
        <v>20331220</v>
      </c>
      <c r="AI72" s="42">
        <v>20331220</v>
      </c>
      <c r="AJ72" s="44">
        <v>2.8177732285656735E-2</v>
      </c>
      <c r="AK72" s="48">
        <v>70.251332547801724</v>
      </c>
    </row>
    <row r="73" spans="27:37" x14ac:dyDescent="0.4">
      <c r="AA73" s="20">
        <v>86.301369863013704</v>
      </c>
      <c r="AB73" s="41">
        <v>20331220</v>
      </c>
      <c r="AC73" s="42">
        <v>20340320</v>
      </c>
      <c r="AD73" s="42">
        <v>20340320</v>
      </c>
      <c r="AE73" s="44">
        <v>2.9802028304975067E-2</v>
      </c>
      <c r="AF73" s="48">
        <v>86.301369863013775</v>
      </c>
      <c r="AG73" s="42">
        <v>20331220</v>
      </c>
      <c r="AH73" s="42">
        <v>20340320</v>
      </c>
      <c r="AI73" s="42">
        <v>20340320</v>
      </c>
      <c r="AJ73" s="44">
        <v>2.8055701342465891E-2</v>
      </c>
      <c r="AK73" s="48">
        <v>69.178441666354246</v>
      </c>
    </row>
    <row r="74" spans="27:37" x14ac:dyDescent="0.4">
      <c r="AA74" s="20">
        <v>88.219178082191789</v>
      </c>
      <c r="AB74" s="41">
        <v>20340320</v>
      </c>
      <c r="AC74" s="42">
        <v>20340620</v>
      </c>
      <c r="AD74" s="42">
        <v>20340620</v>
      </c>
      <c r="AE74" s="44">
        <v>2.9720469476893673E-2</v>
      </c>
      <c r="AF74" s="48">
        <v>88.219178082191846</v>
      </c>
      <c r="AG74" s="42">
        <v>20340320</v>
      </c>
      <c r="AH74" s="42">
        <v>20340620</v>
      </c>
      <c r="AI74" s="42">
        <v>20340620</v>
      </c>
      <c r="AJ74" s="44">
        <v>2.7929528129126534E-2</v>
      </c>
      <c r="AK74" s="48">
        <v>70.39771473642854</v>
      </c>
    </row>
    <row r="75" spans="27:37" x14ac:dyDescent="0.4">
      <c r="AA75" s="20">
        <v>88.219178082191789</v>
      </c>
      <c r="AB75" s="41">
        <v>20340620</v>
      </c>
      <c r="AC75" s="42">
        <v>20340920</v>
      </c>
      <c r="AD75" s="42">
        <v>20340920</v>
      </c>
      <c r="AE75" s="44">
        <v>2.9628892837059717E-2</v>
      </c>
      <c r="AF75" s="48">
        <v>88.219178082191902</v>
      </c>
      <c r="AG75" s="42">
        <v>20340620</v>
      </c>
      <c r="AH75" s="42">
        <v>20340920</v>
      </c>
      <c r="AI75" s="42">
        <v>20340920</v>
      </c>
      <c r="AJ75" s="44">
        <v>2.7797440266300356E-2</v>
      </c>
      <c r="AK75" s="48">
        <v>70.064780945195423</v>
      </c>
    </row>
    <row r="76" spans="27:37" x14ac:dyDescent="0.4">
      <c r="AA76" s="20">
        <v>87.260273972602747</v>
      </c>
      <c r="AB76" s="41">
        <v>20340920</v>
      </c>
      <c r="AC76" s="42">
        <v>20341220</v>
      </c>
      <c r="AD76" s="42">
        <v>20341220</v>
      </c>
      <c r="AE76" s="44">
        <v>2.9486900700837777E-2</v>
      </c>
      <c r="AF76" s="48">
        <v>87.260273972602619</v>
      </c>
      <c r="AG76" s="42">
        <v>20340920</v>
      </c>
      <c r="AH76" s="42">
        <v>20341220</v>
      </c>
      <c r="AI76" s="42">
        <v>20341220</v>
      </c>
      <c r="AJ76" s="44">
        <v>2.7660613252705572E-2</v>
      </c>
      <c r="AK76" s="48">
        <v>68.962076876608407</v>
      </c>
    </row>
  </sheetData>
  <mergeCells count="158">
    <mergeCell ref="O10:P10"/>
    <mergeCell ref="O9:R9"/>
    <mergeCell ref="J34:K34"/>
    <mergeCell ref="J11:K11"/>
    <mergeCell ref="L11:M11"/>
    <mergeCell ref="H37:I38"/>
    <mergeCell ref="J37:M38"/>
    <mergeCell ref="L31:M31"/>
    <mergeCell ref="H16:I16"/>
    <mergeCell ref="O14:R14"/>
    <mergeCell ref="O15:P15"/>
    <mergeCell ref="Q15:R15"/>
    <mergeCell ref="O34:R34"/>
    <mergeCell ref="O35:P35"/>
    <mergeCell ref="Q35:R35"/>
    <mergeCell ref="J27:K27"/>
    <mergeCell ref="L27:M27"/>
    <mergeCell ref="O11:P11"/>
    <mergeCell ref="Q11:R11"/>
    <mergeCell ref="O12:P12"/>
    <mergeCell ref="Q12:R12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F31:G31"/>
    <mergeCell ref="J31:K31"/>
    <mergeCell ref="AB10:AC10"/>
    <mergeCell ref="AD10:AE10"/>
    <mergeCell ref="W3:X3"/>
    <mergeCell ref="Y3:Z3"/>
    <mergeCell ref="AB7:AC7"/>
    <mergeCell ref="AD7:AE7"/>
    <mergeCell ref="AB11:AC11"/>
    <mergeCell ref="AB12:AC12"/>
    <mergeCell ref="AD11:AE11"/>
    <mergeCell ref="AD12:AE12"/>
    <mergeCell ref="F36:G36"/>
    <mergeCell ref="D37:E37"/>
    <mergeCell ref="F37:G37"/>
    <mergeCell ref="D38:E38"/>
    <mergeCell ref="F38:G38"/>
    <mergeCell ref="L34:M34"/>
    <mergeCell ref="B29:C34"/>
    <mergeCell ref="AB15:AF15"/>
    <mergeCell ref="AG15:AK15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6:I36"/>
    <mergeCell ref="H17:I18"/>
    <mergeCell ref="J17:M18"/>
    <mergeCell ref="H21:I22"/>
    <mergeCell ref="J21:M22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14:G14"/>
    <mergeCell ref="J13:K13"/>
    <mergeCell ref="L13:M13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F11:G11"/>
    <mergeCell ref="F12:G12"/>
    <mergeCell ref="F13:G13"/>
    <mergeCell ref="AY3:AZ3"/>
    <mergeCell ref="AY5:AZ5"/>
    <mergeCell ref="B3:C3"/>
    <mergeCell ref="D3:E3"/>
    <mergeCell ref="F3:G3"/>
    <mergeCell ref="H3:I3"/>
    <mergeCell ref="J3:K3"/>
    <mergeCell ref="L3:M3"/>
    <mergeCell ref="H7:I7"/>
    <mergeCell ref="T3:U3"/>
    <mergeCell ref="AB6:AC6"/>
    <mergeCell ref="AD6:AE6"/>
    <mergeCell ref="AB3:AM4"/>
    <mergeCell ref="O3:R3"/>
    <mergeCell ref="O4:P4"/>
    <mergeCell ref="Q4:R4"/>
    <mergeCell ref="J7:K7"/>
    <mergeCell ref="L7:M7"/>
  </mergeCells>
  <phoneticPr fontId="2" type="noConversion"/>
  <dataValidations count="3">
    <dataValidation type="list" allowBlank="1" showInputMessage="1" showErrorMessage="1" sqref="H3:I3" xr:uid="{D09E1763-B91F-41C0-ABD2-F6DC6D4B8939}">
      <formula1>$BA$4:$BC$4</formula1>
    </dataValidation>
    <dataValidation type="list" allowBlank="1" showInputMessage="1" showErrorMessage="1" sqref="D48" xr:uid="{C9572368-F7A0-41A0-AA7B-029C7B619353}">
      <formula1>$BA$8:$BB$8</formula1>
    </dataValidation>
    <dataValidation type="list" allowBlank="1" showInputMessage="1" showErrorMessage="1" sqref="F9:G9 F29:G29" xr:uid="{11B8844E-B239-489F-9407-8203E782FD43}">
      <formula1>$BA$6:$BE$6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2026-05-25T12:39:36Z</dcterms:modified>
</cp:coreProperties>
</file>