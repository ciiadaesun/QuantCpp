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DA4F6997-F3EC-4C63-AD3D-779EF9010AE3}" xr6:coauthVersionLast="47" xr6:coauthVersionMax="47" xr10:uidLastSave="{00000000-0000-0000-0000-000000000000}"/>
  <bookViews>
    <workbookView xWindow="11424" yWindow="0" windowWidth="11712" windowHeight="1233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2" l="1"/>
  <c r="J30" i="2"/>
  <c r="J29" i="2"/>
  <c r="J11" i="2"/>
  <c r="J10" i="2"/>
  <c r="J9" i="2"/>
  <c r="C48" i="2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5E6D8643-5A00-41E2-98F8-82171A778B18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947D1062-72BC-4C31-BC71-58CE527C14CF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35D4721A-EB83-4A27-AE82-01E0E3FB5086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78728C5F-3A66-4DB4-B598-C2DB9AA998BC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CA6072FE-57AB-4C8D-B891-9B67B2857390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<sst xmlns="http://schemas.openxmlformats.org/spreadsheetml/2006/main" count="147" uniqueCount="105">
  <si>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</si>
  <si>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</si>
  <si>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</si>
  <si>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</si>
  <si>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</si>
  <si>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</si>
  <si>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</si>
  <si>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</si>
  <si>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</si>
  <si>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</si>
  <si>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</si>
  <si>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</si>
  <si>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</si>
  <si>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</si>
  <si>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</si>
  <si>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</si>
  <si>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</si>
  <si>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</si>
  <si>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</si>
  <si>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</si>
  <si>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</si>
  <si>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</si>
  <si>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</si>
  <si>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</si>
  <si>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</si>
  <si>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</si>
  <si>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</si>
  <si>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</si>
  <si>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</si>
  <si>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</si>
  <si>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</si>
  <si>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</si>
  <si>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</si>
  <si>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</si>
  <si>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</si>
  <si>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</si>
  <si>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</si>
  <si>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</si>
  <si>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</si>
  <si>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</si>
  <si>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</si>
  <si>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</si>
  <si>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</si>
  <si>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</si>
  <si>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</si>
  <si>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</si>
  <si>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</si>
  <si>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</si>
  <si>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</si>
  <si>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</si>
  <si>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</si>
  <si>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</si>
  <si>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</si>
  <si>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</si>
  <si>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</si>
  <si>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</si>
  <si>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</si>
  <si>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</si>
  <si>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</si>
  <si>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</si>
  <si>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</si>
  <si>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</si>
  <si>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</si>
  <si>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</si>
  <si>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</si>
  <si>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</si>
  <si>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</si>
  <si>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</si>
  <si>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</si>
  <si>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</si>
  <si>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</si>
  <si>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</si>
  <si>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</si>
  <si>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</si>
  <si>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</si>
  <si>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</si>
  <si>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</si>
  <si>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</si>
  <si>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</si>
  <si>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</si>
  <si>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</si>
  <si>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</si>
  <si>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</si>
  <si>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</si>
  <si>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</si>
  <si>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</si>
  <si>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</si>
  <si>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</si>
  <si>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</si>
  <si>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</si>
  <si>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</si>
  <si>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</si>
  <si>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</si>
  <si>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</si>
  <si>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1: Nominal 교환 함</t>
  </si>
  <si>
    <t>0: ACT/365</t>
  </si>
  <si>
    <t>0: Receiver가 옵션보유</t>
  </si>
  <si>
    <t>0: Nominal 교환 안함</t>
  </si>
  <si>
    <t>1: Nominal 교환 함</t>
    <phoneticPr fontId="2" type="noConversion"/>
  </si>
  <si>
    <t>-1: 단순 Callable 채권 평가</t>
  </si>
  <si>
    <t>1: ACT/360</t>
  </si>
  <si>
    <t>2: ACT/ACT</t>
  </si>
  <si>
    <t>3: 30/360</t>
  </si>
  <si>
    <t>1: Payer가 옵션보유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</si>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</sst>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14" fillId="4" borderId="15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N13" sqref="N1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5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1:4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</row>
    <row r="4" spans="1:41" x14ac:dyDescent="0.4">
      <c r="A4" s="1">
        <f>4</f>
        <v>4</v>
      </c>
      <c r="B4" s="58" t="s">
        <v>1</v>
      </c>
      <c r="C4" s="58"/>
      <c r="D4" s="60">
        <v>1</v>
      </c>
      <c r="E4" s="60"/>
      <c r="G4" s="49" t="s">
        <v>87</v>
      </c>
      <c r="H4" s="50">
        <v>0</v>
      </c>
    </row>
    <row r="5" spans="1:41" x14ac:dyDescent="0.4">
      <c r="A5" s="1">
        <f>A4+1</f>
        <v>5</v>
      </c>
      <c r="B5" s="58" t="s">
        <v>29</v>
      </c>
      <c r="C5" s="58"/>
      <c r="D5" s="59">
        <v>44815</v>
      </c>
      <c r="E5" s="60"/>
      <c r="G5" s="66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7"/>
      <c r="H6" s="68" t="s">
        <v>4</v>
      </c>
      <c r="I6" s="62"/>
      <c r="L6" s="53" t="s">
        <v>73</v>
      </c>
      <c r="M6" s="53"/>
      <c r="N6" s="53"/>
      <c r="O6" s="61" t="s">
        <v>74</v>
      </c>
      <c r="P6" s="62"/>
      <c r="R6" s="53" t="s">
        <v>5</v>
      </c>
      <c r="S6" s="53"/>
      <c r="T6" s="53"/>
    </row>
    <row r="7" spans="1:41" x14ac:dyDescent="0.4">
      <c r="A7" s="1">
        <f t="shared" si="1"/>
        <v>7</v>
      </c>
      <c r="B7" s="58" t="s">
        <v>6</v>
      </c>
      <c r="C7" s="58"/>
      <c r="D7" s="60">
        <v>0</v>
      </c>
      <c r="E7" s="60"/>
      <c r="G7" s="67"/>
      <c r="H7" s="63"/>
      <c r="I7" s="64"/>
      <c r="L7" s="53"/>
      <c r="M7" s="53"/>
      <c r="N7" s="53"/>
      <c r="O7" s="63"/>
      <c r="P7" s="64"/>
      <c r="R7" s="53"/>
      <c r="S7" s="53"/>
      <c r="T7" s="53"/>
    </row>
    <row r="8" spans="1:41" x14ac:dyDescent="0.4">
      <c r="A8" s="1">
        <f t="shared" si="1"/>
        <v>8</v>
      </c>
      <c r="B8" s="58" t="s">
        <v>7</v>
      </c>
      <c r="C8" s="58"/>
      <c r="D8" s="60">
        <v>0.01</v>
      </c>
      <c r="E8" s="60"/>
      <c r="G8" s="67"/>
      <c r="I8" s="3" t="s">
        <v>8</v>
      </c>
      <c r="J8" s="3" t="s">
        <v>9</v>
      </c>
      <c r="K8" s="3" t="s">
        <v>10</v>
      </c>
      <c r="R8" s="53" t="s">
        <v>11</v>
      </c>
      <c r="S8" s="53"/>
      <c r="T8" s="4">
        <v>3</v>
      </c>
    </row>
    <row r="9" spans="1:41" x14ac:dyDescent="0.4">
      <c r="A9" s="1">
        <f t="shared" si="1"/>
        <v>9</v>
      </c>
      <c r="G9" s="67"/>
      <c r="H9" s="3" t="s">
        <v>12</v>
      </c>
      <c r="I9" s="5">
        <v>5.7475914374335788E-2</v>
      </c>
      <c r="J9" s="6">
        <v>5.9087532228643325E-2</v>
      </c>
      <c r="K9" s="6">
        <v>-0.25321415289894655</v>
      </c>
      <c r="N9" s="7">
        <v>44815</v>
      </c>
    </row>
    <row r="10" spans="1:41" x14ac:dyDescent="0.4">
      <c r="A10" s="1">
        <f t="shared" si="1"/>
        <v>10</v>
      </c>
      <c r="G10" s="67"/>
      <c r="H10" s="8" t="s">
        <v>13</v>
      </c>
      <c r="I10" s="54" t="s">
        <v>14</v>
      </c>
      <c r="J10" s="55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6" t="s">
        <v>17</v>
      </c>
      <c r="S10" s="56" t="s">
        <v>18</v>
      </c>
      <c r="T10" s="56" t="s">
        <v>19</v>
      </c>
      <c r="U10" s="56" t="s">
        <v>20</v>
      </c>
      <c r="V10" s="56" t="s">
        <v>21</v>
      </c>
      <c r="W10" s="56" t="s">
        <v>22</v>
      </c>
    </row>
    <row r="11" spans="1:41" x14ac:dyDescent="0.4">
      <c r="A11" s="1">
        <f t="shared" si="1"/>
        <v>11</v>
      </c>
      <c r="G11" s="67"/>
      <c r="H11" s="48">
        <v>44816</v>
      </c>
      <c r="I11" s="10">
        <v>6.7846741771103751E-3</v>
      </c>
      <c r="J11" s="11">
        <v>1.1712988495740088E-2</v>
      </c>
      <c r="K11" s="7">
        <v>44906</v>
      </c>
      <c r="L11" s="12">
        <v>1</v>
      </c>
      <c r="M11" s="44">
        <v>44818</v>
      </c>
      <c r="N11" s="13">
        <v>3.5114930000000002</v>
      </c>
      <c r="O11" s="44">
        <v>44818</v>
      </c>
      <c r="P11" s="13">
        <v>3.5114930000000002</v>
      </c>
      <c r="R11" s="57"/>
      <c r="S11" s="57"/>
      <c r="T11" s="57"/>
      <c r="U11" s="57"/>
      <c r="V11" s="57"/>
      <c r="W11" s="57"/>
    </row>
    <row r="12" spans="1:41" x14ac:dyDescent="0.4">
      <c r="A12" s="1">
        <f t="shared" si="1"/>
        <v>12</v>
      </c>
      <c r="G12" s="67"/>
      <c r="H12" s="48"/>
      <c r="I12" s="10"/>
      <c r="J12" s="11"/>
      <c r="K12" s="7">
        <v>44997</v>
      </c>
      <c r="L12" s="12">
        <f>L11+1</f>
        <v>2</v>
      </c>
      <c r="M12" s="44">
        <v>44819</v>
      </c>
      <c r="N12" s="13">
        <v>3.5124149999999998</v>
      </c>
      <c r="O12" s="44">
        <v>44819</v>
      </c>
      <c r="P12" s="13">
        <v>3.5124149999999998</v>
      </c>
      <c r="R12" s="14">
        <v>0.25</v>
      </c>
      <c r="S12" s="14">
        <v>1</v>
      </c>
      <c r="T12" s="15">
        <v>9.2890000000000004E-3</v>
      </c>
      <c r="U12" s="10">
        <v>1.7906860898476015E-3</v>
      </c>
      <c r="V12" s="10">
        <v>9.5016095036083034E-5</v>
      </c>
      <c r="W12" s="16">
        <v>1.6956699948115184E-3</v>
      </c>
    </row>
    <row r="13" spans="1:41" x14ac:dyDescent="0.4">
      <c r="A13" s="1">
        <f t="shared" si="1"/>
        <v>13</v>
      </c>
      <c r="C13" s="17" t="s">
        <v>22</v>
      </c>
      <c r="D13" s="69" t="s">
        <v>23</v>
      </c>
      <c r="E13" s="69"/>
      <c r="G13" s="67"/>
      <c r="H13" s="48"/>
      <c r="I13" s="10"/>
      <c r="J13" s="11"/>
      <c r="K13" s="7">
        <v>45088</v>
      </c>
      <c r="L13" s="12">
        <f t="shared" ref="L13:L53" si="2">L12+1</f>
        <v>3</v>
      </c>
      <c r="M13" s="44">
        <v>44910</v>
      </c>
      <c r="N13" s="13">
        <v>3.7925620000000002</v>
      </c>
      <c r="O13" s="44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2.361639421344592E-3</v>
      </c>
      <c r="W13" s="16">
        <v>2.6014128687925704E-3</v>
      </c>
    </row>
    <row r="14" spans="1:41" x14ac:dyDescent="0.4">
      <c r="A14" s="1">
        <f t="shared" si="1"/>
        <v>14</v>
      </c>
      <c r="D14" s="69"/>
      <c r="E14" s="69"/>
      <c r="G14" s="67"/>
      <c r="H14" s="48"/>
      <c r="I14" s="10"/>
      <c r="J14" s="11"/>
      <c r="K14" s="7">
        <v>45180</v>
      </c>
      <c r="L14" s="12">
        <f t="shared" si="2"/>
        <v>4</v>
      </c>
      <c r="M14" s="44">
        <v>45001</v>
      </c>
      <c r="N14" s="13">
        <v>3.8730349999999998</v>
      </c>
      <c r="O14" s="44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6.1788037054816792E-3</v>
      </c>
      <c r="W14" s="16">
        <v>2.7871386477154704E-3</v>
      </c>
    </row>
    <row r="15" spans="1:41" x14ac:dyDescent="0.4">
      <c r="A15" s="1">
        <f t="shared" si="1"/>
        <v>15</v>
      </c>
      <c r="D15" s="69"/>
      <c r="E15" s="69"/>
      <c r="G15" s="67"/>
      <c r="H15" s="48"/>
      <c r="I15" s="10"/>
      <c r="J15" s="11"/>
      <c r="K15" s="7">
        <v>45545</v>
      </c>
      <c r="L15" s="12">
        <f t="shared" si="2"/>
        <v>5</v>
      </c>
      <c r="M15" s="44">
        <v>45092</v>
      </c>
      <c r="N15" s="13">
        <v>3.9020980000000001</v>
      </c>
      <c r="O15" s="44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1.0595833239762965E-2</v>
      </c>
      <c r="W15" s="16">
        <v>3.0284827678412479E-3</v>
      </c>
    </row>
    <row r="16" spans="1:41" x14ac:dyDescent="0.4">
      <c r="A16" s="1">
        <f t="shared" si="1"/>
        <v>16</v>
      </c>
      <c r="G16" s="67"/>
      <c r="H16" s="48"/>
      <c r="I16" s="10"/>
      <c r="J16" s="11"/>
      <c r="K16" s="7">
        <v>45910</v>
      </c>
      <c r="L16" s="12">
        <f t="shared" si="2"/>
        <v>6</v>
      </c>
      <c r="M16" s="44">
        <v>45184</v>
      </c>
      <c r="N16" s="13">
        <v>3.9204439999999998</v>
      </c>
      <c r="O16" s="44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1.8926700728993769E-2</v>
      </c>
      <c r="W16" s="16">
        <v>1.3986953902191679E-3</v>
      </c>
    </row>
    <row r="17" spans="1:23" x14ac:dyDescent="0.4">
      <c r="A17" s="1">
        <f t="shared" si="1"/>
        <v>17</v>
      </c>
      <c r="D17" s="70">
        <v>45202.835729166669</v>
      </c>
      <c r="E17" s="70"/>
      <c r="G17" s="67"/>
      <c r="H17" s="48"/>
      <c r="I17" s="10"/>
      <c r="J17" s="11"/>
      <c r="K17" s="7">
        <v>46640</v>
      </c>
      <c r="L17" s="12">
        <f t="shared" si="2"/>
        <v>7</v>
      </c>
      <c r="M17" s="44">
        <v>45366</v>
      </c>
      <c r="N17" s="13">
        <v>3.9238849999999998</v>
      </c>
      <c r="O17" s="44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2.9372963000838442E-2</v>
      </c>
      <c r="W17" s="16">
        <v>-1.1946417602048953E-3</v>
      </c>
    </row>
    <row r="18" spans="1:23" x14ac:dyDescent="0.4">
      <c r="A18" s="1">
        <f t="shared" si="1"/>
        <v>18</v>
      </c>
      <c r="D18" s="70">
        <v>45202.835729166669</v>
      </c>
      <c r="E18" s="70"/>
      <c r="G18" s="67"/>
      <c r="H18" s="48"/>
      <c r="I18" s="10"/>
      <c r="J18" s="11"/>
      <c r="L18" s="12">
        <f t="shared" si="2"/>
        <v>8</v>
      </c>
      <c r="M18" s="44">
        <v>45549</v>
      </c>
      <c r="N18" s="13">
        <v>3.9116110000000002</v>
      </c>
      <c r="O18" s="44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4.2770528272405926E-2</v>
      </c>
      <c r="W18" s="16">
        <v>-1.6795659588547118E-3</v>
      </c>
    </row>
    <row r="19" spans="1:23" x14ac:dyDescent="0.4">
      <c r="A19" s="1">
        <f t="shared" si="1"/>
        <v>19</v>
      </c>
      <c r="G19" s="67"/>
      <c r="H19" s="48"/>
      <c r="I19" s="10"/>
      <c r="J19" s="11"/>
      <c r="L19" s="12">
        <f t="shared" si="2"/>
        <v>9</v>
      </c>
      <c r="M19" s="44">
        <v>45914</v>
      </c>
      <c r="N19" s="13">
        <v>3.899302</v>
      </c>
      <c r="O19" s="44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7"/>
      <c r="H20" s="48"/>
      <c r="I20" s="10"/>
      <c r="J20" s="11"/>
      <c r="L20" s="12">
        <f t="shared" si="2"/>
        <v>10</v>
      </c>
      <c r="M20" s="44">
        <v>46281</v>
      </c>
      <c r="N20" s="13">
        <v>3.9023029999999999</v>
      </c>
      <c r="O20" s="44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7"/>
      <c r="H21" s="48"/>
      <c r="I21" s="10"/>
      <c r="J21" s="11"/>
      <c r="L21" s="12">
        <f t="shared" si="2"/>
        <v>11</v>
      </c>
      <c r="M21" s="44">
        <v>46645</v>
      </c>
      <c r="N21" s="13">
        <v>3.9025310000000002</v>
      </c>
      <c r="O21" s="44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7"/>
      <c r="H22" s="48"/>
      <c r="I22" s="10"/>
      <c r="J22" s="11"/>
      <c r="L22" s="12">
        <f t="shared" si="2"/>
        <v>12</v>
      </c>
      <c r="M22" s="44">
        <v>47010</v>
      </c>
      <c r="N22" s="13">
        <v>3.9081440000000001</v>
      </c>
      <c r="O22" s="44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8" t="s">
        <v>24</v>
      </c>
      <c r="C23" s="58"/>
      <c r="D23" s="60">
        <v>1</v>
      </c>
      <c r="E23" s="60"/>
      <c r="G23" s="67"/>
      <c r="H23" s="48"/>
      <c r="I23" s="10"/>
      <c r="J23" s="11"/>
      <c r="L23" s="12">
        <f t="shared" si="2"/>
        <v>13</v>
      </c>
      <c r="M23" s="44">
        <v>47375</v>
      </c>
      <c r="N23" s="13">
        <v>3.9137569999999999</v>
      </c>
      <c r="O23" s="44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8" t="s">
        <v>25</v>
      </c>
      <c r="C24" s="58"/>
      <c r="D24" s="60">
        <v>0</v>
      </c>
      <c r="E24" s="60"/>
      <c r="G24" s="67"/>
      <c r="H24" s="48"/>
      <c r="I24" s="10"/>
      <c r="J24" s="11"/>
      <c r="L24" s="12">
        <f t="shared" si="2"/>
        <v>14</v>
      </c>
      <c r="M24" s="44">
        <v>47740</v>
      </c>
      <c r="N24" s="13">
        <v>3.9222540000000001</v>
      </c>
      <c r="O24" s="44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8" t="s">
        <v>26</v>
      </c>
      <c r="C25" s="58"/>
      <c r="D25" s="60">
        <v>-0.1</v>
      </c>
      <c r="E25" s="60"/>
      <c r="G25" s="67"/>
      <c r="H25" s="48"/>
      <c r="I25" s="10"/>
      <c r="J25" s="11"/>
      <c r="L25" s="12">
        <f t="shared" si="2"/>
        <v>15</v>
      </c>
      <c r="M25" s="44">
        <v>48108</v>
      </c>
      <c r="N25" s="13">
        <v>3.9337179999999998</v>
      </c>
      <c r="O25" s="44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8" t="s">
        <v>27</v>
      </c>
      <c r="C26" s="58"/>
      <c r="D26" s="60">
        <v>0.15</v>
      </c>
      <c r="E26" s="60"/>
      <c r="G26" s="67"/>
      <c r="H26" s="48"/>
      <c r="I26" s="10"/>
      <c r="J26" s="11"/>
      <c r="L26" s="12">
        <f t="shared" si="2"/>
        <v>16</v>
      </c>
      <c r="M26" s="44">
        <v>48472</v>
      </c>
      <c r="N26" s="13">
        <v>3.9453279999999999</v>
      </c>
      <c r="O26" s="44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7"/>
      <c r="H27" s="48"/>
      <c r="I27" s="10"/>
      <c r="J27" s="11"/>
      <c r="L27" s="12">
        <f t="shared" si="2"/>
        <v>17</v>
      </c>
      <c r="M27" s="44">
        <v>49201</v>
      </c>
      <c r="N27" s="13">
        <v>3.9689730000000001</v>
      </c>
      <c r="O27" s="44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7"/>
      <c r="H28" s="48"/>
      <c r="I28" s="10"/>
      <c r="J28" s="11"/>
      <c r="L28" s="12">
        <f t="shared" si="2"/>
        <v>18</v>
      </c>
      <c r="M28" s="44">
        <v>50299</v>
      </c>
      <c r="N28" s="13">
        <v>3.9608210000000001</v>
      </c>
      <c r="O28" s="44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7"/>
      <c r="H29" s="48"/>
      <c r="I29" s="10"/>
      <c r="J29" s="11"/>
      <c r="L29" s="12">
        <f t="shared" si="2"/>
        <v>19</v>
      </c>
      <c r="M29" s="44">
        <v>52123</v>
      </c>
      <c r="N29" s="13">
        <v>3.8029289999999998</v>
      </c>
      <c r="O29" s="44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7"/>
      <c r="H30" s="48"/>
      <c r="I30" s="10"/>
      <c r="J30" s="11"/>
      <c r="L30" s="12">
        <f t="shared" si="2"/>
        <v>20</v>
      </c>
      <c r="M30" s="44">
        <v>53950</v>
      </c>
      <c r="N30" s="13">
        <v>3.6413120000000001</v>
      </c>
      <c r="O30" s="44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7"/>
      <c r="H31" s="48"/>
      <c r="I31" s="10"/>
      <c r="J31" s="11"/>
      <c r="L31" s="12">
        <f t="shared" si="2"/>
        <v>21</v>
      </c>
      <c r="M31" s="44">
        <v>55776</v>
      </c>
      <c r="N31" s="13">
        <v>3.552136</v>
      </c>
      <c r="O31" s="44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7"/>
      <c r="H32" s="48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7"/>
      <c r="H33" s="48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7"/>
      <c r="H34" s="48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7"/>
      <c r="H35" s="48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7"/>
      <c r="H36" s="48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7"/>
      <c r="H37" s="48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7"/>
      <c r="H38" s="48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7"/>
      <c r="H39" s="48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7"/>
      <c r="H40" s="48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8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8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8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8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8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8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8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8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8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8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8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8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8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E16" workbookViewId="0">
      <selection activeCell="J31" sqref="J31:K31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3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87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4" t="s">
        <v>30</v>
      </c>
      <c r="C3" s="74"/>
      <c r="D3" s="75">
        <v>44815</v>
      </c>
      <c r="E3" s="76"/>
      <c r="F3" s="77" t="s">
        <v>88</v>
      </c>
      <c r="G3" s="77"/>
      <c r="H3" s="76" t="s">
        <v>94</v>
      </c>
      <c r="I3" s="76"/>
      <c r="J3" s="77" t="s">
        <v>31</v>
      </c>
      <c r="K3" s="77"/>
      <c r="L3" s="78">
        <v>40000000000</v>
      </c>
      <c r="M3" s="78"/>
      <c r="O3" s="122" t="s">
        <v>49</v>
      </c>
      <c r="P3" s="123"/>
      <c r="Q3" s="123"/>
      <c r="R3" s="124"/>
      <c r="T3" s="110" t="s">
        <v>54</v>
      </c>
      <c r="U3" s="111"/>
      <c r="W3" s="137" t="s">
        <v>75</v>
      </c>
      <c r="X3" s="138"/>
      <c r="Y3" s="137" t="s">
        <v>76</v>
      </c>
      <c r="Z3" s="138"/>
      <c r="AB3" s="87" t="s">
        <v>64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9"/>
      <c r="AY3" s="77" t="s">
        <v>88</v>
      </c>
      <c r="AZ3" s="77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5" t="s">
        <v>48</v>
      </c>
      <c r="P4" s="126"/>
      <c r="Q4" s="127">
        <v>44039</v>
      </c>
      <c r="R4" s="128"/>
      <c r="T4" s="29" t="s">
        <v>55</v>
      </c>
      <c r="U4" s="30" t="s">
        <v>56</v>
      </c>
      <c r="W4" s="36" t="s">
        <v>58</v>
      </c>
      <c r="X4" s="37" t="s">
        <v>16</v>
      </c>
      <c r="Y4" s="36" t="s">
        <v>58</v>
      </c>
      <c r="Z4" s="37" t="s">
        <v>16</v>
      </c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  <c r="BA4" s="31" t="s">
        <v>97</v>
      </c>
      <c r="BB4" s="31" t="s">
        <v>98</v>
      </c>
      <c r="BC4" s="31" t="s">
        <v>99</v>
      </c>
    </row>
    <row r="5" spans="1:57" x14ac:dyDescent="0.4">
      <c r="A5" s="21">
        <f t="shared" si="1"/>
        <v>5</v>
      </c>
      <c r="B5" s="87" t="s">
        <v>47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9"/>
      <c r="O5" s="133" t="s">
        <v>50</v>
      </c>
      <c r="P5" s="134"/>
      <c r="Q5" s="135">
        <v>49517</v>
      </c>
      <c r="R5" s="136"/>
      <c r="T5" s="24">
        <v>45292</v>
      </c>
      <c r="U5" s="25">
        <v>45651</v>
      </c>
      <c r="W5" s="32">
        <v>45292</v>
      </c>
      <c r="X5" s="33">
        <v>1E-3</v>
      </c>
      <c r="Y5" s="32">
        <v>45292</v>
      </c>
      <c r="Z5" s="34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58" t="s">
        <v>34</v>
      </c>
      <c r="AZ5" s="58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  <c r="O6" s="131" t="s">
        <v>42</v>
      </c>
      <c r="P6" s="132"/>
      <c r="Q6" s="72">
        <v>0</v>
      </c>
      <c r="R6" s="73"/>
      <c r="W6" s="27">
        <v>44769</v>
      </c>
      <c r="X6" s="33">
        <v>1E-3</v>
      </c>
      <c r="Y6" s="27">
        <v>44769</v>
      </c>
      <c r="Z6" s="35">
        <v>0.03</v>
      </c>
      <c r="AB6" s="77" t="s">
        <v>65</v>
      </c>
      <c r="AC6" s="77"/>
      <c r="AD6" s="76">
        <v>1</v>
      </c>
      <c r="AE6" s="76"/>
      <c r="AF6" s="20"/>
      <c r="AG6" s="20"/>
      <c r="AH6" s="20"/>
      <c r="AI6" s="20"/>
      <c r="AJ6" s="20"/>
      <c r="AK6" s="20"/>
      <c r="BA6" s="31" t="s">
        <v>95</v>
      </c>
      <c r="BB6" s="31" t="s">
        <v>100</v>
      </c>
      <c r="BC6" s="31" t="s">
        <v>101</v>
      </c>
      <c r="BD6" s="31" t="s">
        <v>102</v>
      </c>
      <c r="BE6" s="31" t="s">
        <v>104</v>
      </c>
    </row>
    <row r="7" spans="1:57" x14ac:dyDescent="0.4">
      <c r="A7" s="21">
        <f t="shared" si="1"/>
        <v>7</v>
      </c>
      <c r="B7" s="77" t="s">
        <v>32</v>
      </c>
      <c r="C7" s="77"/>
      <c r="D7" s="79">
        <v>0</v>
      </c>
      <c r="E7" s="76"/>
      <c r="F7" s="77" t="s">
        <v>33</v>
      </c>
      <c r="G7" s="77"/>
      <c r="H7" s="79">
        <v>0.1</v>
      </c>
      <c r="I7" s="76"/>
      <c r="J7" s="77" t="s">
        <v>84</v>
      </c>
      <c r="K7" s="77"/>
      <c r="L7" s="98">
        <v>0</v>
      </c>
      <c r="M7" s="73"/>
      <c r="O7" s="110" t="str">
        <f>IF(Q6&gt;0,"Phase2날짜","")</f>
        <v/>
      </c>
      <c r="P7" s="111"/>
      <c r="Q7" s="129">
        <v>45865</v>
      </c>
      <c r="R7" s="130"/>
      <c r="W7" s="27">
        <v>44815</v>
      </c>
      <c r="X7" s="33">
        <v>1E-3</v>
      </c>
      <c r="Y7" s="27">
        <v>44815</v>
      </c>
      <c r="Z7" s="33">
        <v>0.03</v>
      </c>
      <c r="AB7" s="77" t="s">
        <v>78</v>
      </c>
      <c r="AC7" s="77"/>
      <c r="AD7" s="76">
        <v>0</v>
      </c>
      <c r="AE7" s="76"/>
      <c r="AF7" s="20"/>
      <c r="AG7" s="20"/>
      <c r="AH7" s="20"/>
      <c r="AI7" s="20"/>
      <c r="AJ7" s="20"/>
      <c r="AK7" s="20"/>
      <c r="AZ7" s="37" t="s">
        <v>62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96</v>
      </c>
      <c r="BB8" s="31" t="s">
        <v>103</v>
      </c>
    </row>
    <row r="9" spans="1:57" x14ac:dyDescent="0.4">
      <c r="A9" s="21">
        <f t="shared" si="1"/>
        <v>9</v>
      </c>
      <c r="B9" s="80" t="str">
        <f>"기초금리정보"</f>
        <v>기초금리정보</v>
      </c>
      <c r="C9" s="81"/>
      <c r="D9" s="58" t="s">
        <v>34</v>
      </c>
      <c r="E9" s="58"/>
      <c r="F9" s="98" t="s">
        <v>95</v>
      </c>
      <c r="G9" s="73"/>
      <c r="H9" s="23"/>
      <c r="I9" s="22"/>
      <c r="J9" s="93" t="str">
        <f>IF(F10=0,"금리결정조건이 = "&amp;F10&amp;" 이므로 Ref Swap 금리정보 사용안함", "사용")</f>
        <v>사용</v>
      </c>
      <c r="K9" s="94"/>
      <c r="L9" s="94"/>
      <c r="M9" s="95"/>
      <c r="O9" s="71" t="s">
        <v>51</v>
      </c>
      <c r="P9" s="71"/>
      <c r="Q9" s="71"/>
      <c r="R9" s="71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2"/>
      <c r="C10" s="83"/>
      <c r="D10" s="58" t="s">
        <v>35</v>
      </c>
      <c r="E10" s="86"/>
      <c r="F10" s="99">
        <v>1</v>
      </c>
      <c r="G10" s="100"/>
      <c r="H10" s="93" t="str">
        <f xml:space="preserve"> "Swap 레퍼런스금리정보"</f>
        <v>Swap 레퍼런스금리정보</v>
      </c>
      <c r="I10" s="94"/>
      <c r="J10" s="97" t="str">
        <f>IF(F10=0,"", "연 지급횟수")</f>
        <v>연 지급횟수</v>
      </c>
      <c r="K10" s="117"/>
      <c r="L10" s="76">
        <v>4</v>
      </c>
      <c r="M10" s="146"/>
      <c r="O10" s="71" t="s">
        <v>86</v>
      </c>
      <c r="P10" s="71"/>
      <c r="Q10" s="72">
        <v>4</v>
      </c>
      <c r="R10" s="73"/>
      <c r="AB10" s="133" t="s">
        <v>77</v>
      </c>
      <c r="AC10" s="74"/>
      <c r="AD10" s="149">
        <v>29350728.593394853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2"/>
      <c r="C11" s="83"/>
      <c r="D11" s="71" t="s">
        <v>36</v>
      </c>
      <c r="E11" s="71"/>
      <c r="F11" s="98">
        <v>1</v>
      </c>
      <c r="G11" s="73"/>
      <c r="H11" s="96"/>
      <c r="I11" s="97"/>
      <c r="J11" s="97" t="str">
        <f>IF(F10=0,"",IF(F11=0, "만기", "입력X, 아래만기2개입력"))</f>
        <v>입력X, 아래만기2개입력</v>
      </c>
      <c r="K11" s="117"/>
      <c r="L11" s="118">
        <v>0.25</v>
      </c>
      <c r="M11" s="119"/>
      <c r="O11" s="71" t="s">
        <v>52</v>
      </c>
      <c r="P11" s="71"/>
      <c r="Q11" s="72">
        <v>0</v>
      </c>
      <c r="R11" s="73"/>
      <c r="AB11" s="133" t="s">
        <v>92</v>
      </c>
      <c r="AC11" s="74"/>
      <c r="AD11" s="139">
        <v>27367520685.702679</v>
      </c>
      <c r="AE11" s="139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2"/>
      <c r="C12" s="83"/>
      <c r="D12" s="71" t="s">
        <v>37</v>
      </c>
      <c r="E12" s="71"/>
      <c r="F12" s="101">
        <v>0.8</v>
      </c>
      <c r="G12" s="102"/>
      <c r="H12" s="115" t="str">
        <f>"ex) Deposit 3M -&gt; 연 지급횟수= 4, 만기= 0.25 ||  ex2) CMT 5Y 연 지급횟수=2, 만기 5"</f>
        <v>ex) Deposit 3M -&gt; 연 지급횟수= 4, 만기= 0.25 ||  ex2) CMT 5Y 연 지급횟수=2, 만기 5</v>
      </c>
      <c r="I12" s="115"/>
      <c r="J12" s="115"/>
      <c r="K12" s="115"/>
      <c r="L12" s="115"/>
      <c r="M12" s="116"/>
      <c r="O12" s="110" t="s">
        <v>53</v>
      </c>
      <c r="P12" s="111"/>
      <c r="Q12" s="72">
        <v>4</v>
      </c>
      <c r="R12" s="73"/>
      <c r="AB12" s="133" t="s">
        <v>93</v>
      </c>
      <c r="AC12" s="74"/>
      <c r="AD12" s="139">
        <v>43098607823.924118</v>
      </c>
      <c r="AE12" s="139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2"/>
      <c r="C13" s="83"/>
      <c r="D13" s="71" t="s">
        <v>38</v>
      </c>
      <c r="E13" s="58"/>
      <c r="F13" s="103">
        <v>-0.8</v>
      </c>
      <c r="G13" s="104"/>
      <c r="H13" s="107" t="str">
        <f>IF(F11&gt;0,"PowerSpreadFlag 1일때 입력","입력필요X")</f>
        <v>PowerSpreadFlag 1일때 입력</v>
      </c>
      <c r="I13" s="107"/>
      <c r="J13" s="107" t="str">
        <f>IF(F11&gt;0,"만기1","")</f>
        <v>만기1</v>
      </c>
      <c r="K13" s="107"/>
      <c r="L13" s="108">
        <v>5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4"/>
      <c r="C14" s="85"/>
      <c r="D14" s="121" t="s">
        <v>39</v>
      </c>
      <c r="E14" s="121"/>
      <c r="F14" s="105">
        <v>12.5</v>
      </c>
      <c r="G14" s="106"/>
      <c r="H14" s="107"/>
      <c r="I14" s="107"/>
      <c r="J14" s="107" t="str">
        <f>IF(F11&gt;0,"만기2","")</f>
        <v>만기2</v>
      </c>
      <c r="K14" s="107"/>
      <c r="L14" s="108">
        <v>0.25</v>
      </c>
      <c r="M14" s="109"/>
      <c r="O14" s="71" t="s">
        <v>89</v>
      </c>
      <c r="P14" s="71"/>
      <c r="Q14" s="71"/>
      <c r="R14" s="71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71" t="s">
        <v>90</v>
      </c>
      <c r="P15" s="71"/>
      <c r="Q15" s="72">
        <v>0</v>
      </c>
      <c r="R15" s="73"/>
      <c r="AB15" s="147" t="s">
        <v>71</v>
      </c>
      <c r="AC15" s="148"/>
      <c r="AD15" s="148"/>
      <c r="AE15" s="148"/>
      <c r="AF15" s="148"/>
      <c r="AG15" s="147" t="s">
        <v>72</v>
      </c>
      <c r="AH15" s="148"/>
      <c r="AI15" s="148"/>
      <c r="AJ15" s="148"/>
      <c r="AK15" s="148"/>
    </row>
    <row r="16" spans="1:57" x14ac:dyDescent="0.4">
      <c r="A16" s="21">
        <f t="shared" si="1"/>
        <v>16</v>
      </c>
      <c r="B16" s="120" t="s">
        <v>40</v>
      </c>
      <c r="C16" s="120"/>
      <c r="D16" s="71" t="s">
        <v>79</v>
      </c>
      <c r="E16" s="71"/>
      <c r="F16" s="101">
        <v>1.2E-2</v>
      </c>
      <c r="G16" s="102"/>
      <c r="H16" s="112" t="s">
        <v>82</v>
      </c>
      <c r="I16" s="113"/>
      <c r="J16" s="114" t="str">
        <f>IF(F11&gt;0, F13&amp;" &lt; "&amp;F10&amp;" x Rate("&amp;L13&amp;"Y-"&amp;L14&amp;"Y) &lt; "&amp;F12,F13&amp;" &lt; "&amp;F10&amp;" x Rate("&amp;L11&amp;"Y) &lt; "&amp;F12)</f>
        <v>-0.8 &lt; 1 x Rate(5Y-0.25Y) &lt; 0.8</v>
      </c>
      <c r="K16" s="114"/>
      <c r="L16" s="114"/>
      <c r="M16" s="114"/>
      <c r="AB16" s="36" t="s">
        <v>66</v>
      </c>
      <c r="AC16" s="36" t="s">
        <v>67</v>
      </c>
      <c r="AD16" s="36" t="s">
        <v>68</v>
      </c>
      <c r="AE16" s="36" t="s">
        <v>69</v>
      </c>
      <c r="AF16" s="36" t="s">
        <v>70</v>
      </c>
      <c r="AG16" s="36" t="s">
        <v>66</v>
      </c>
      <c r="AH16" s="36" t="s">
        <v>67</v>
      </c>
      <c r="AI16" s="36" t="s">
        <v>68</v>
      </c>
      <c r="AJ16" s="36" t="s">
        <v>69</v>
      </c>
      <c r="AK16" s="36" t="s">
        <v>70</v>
      </c>
    </row>
    <row r="17" spans="1:37" x14ac:dyDescent="0.4">
      <c r="A17" s="21">
        <f t="shared" si="1"/>
        <v>17</v>
      </c>
      <c r="B17" s="120"/>
      <c r="C17" s="120"/>
      <c r="D17" s="71" t="s">
        <v>43</v>
      </c>
      <c r="E17" s="71"/>
      <c r="F17" s="101">
        <v>0</v>
      </c>
      <c r="G17" s="102"/>
      <c r="H17" s="112" t="s">
        <v>80</v>
      </c>
      <c r="I17" s="113"/>
      <c r="J17" s="11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12.5 x Rate(5Y-0.25Y) + 0.012(고정) + 0(Range충족시)</v>
      </c>
      <c r="K17" s="114"/>
      <c r="L17" s="114"/>
      <c r="M17" s="114"/>
      <c r="AB17" s="38">
        <v>20200727</v>
      </c>
      <c r="AC17" s="39">
        <v>20201027</v>
      </c>
      <c r="AD17" s="39">
        <v>20201027</v>
      </c>
      <c r="AE17" s="42">
        <v>0</v>
      </c>
      <c r="AF17" s="46">
        <v>0</v>
      </c>
      <c r="AG17" s="39">
        <v>20200727</v>
      </c>
      <c r="AH17" s="39">
        <v>20201027</v>
      </c>
      <c r="AI17" s="39">
        <v>20201027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20"/>
      <c r="C18" s="120"/>
      <c r="D18" s="71" t="s">
        <v>44</v>
      </c>
      <c r="E18" s="71"/>
      <c r="F18" s="98">
        <v>1</v>
      </c>
      <c r="G18" s="73"/>
      <c r="H18" s="112"/>
      <c r="I18" s="113"/>
      <c r="J18" s="114"/>
      <c r="K18" s="114"/>
      <c r="L18" s="114"/>
      <c r="M18" s="114"/>
      <c r="AB18" s="40">
        <v>20201027</v>
      </c>
      <c r="AC18" s="41">
        <v>20210127</v>
      </c>
      <c r="AD18" s="41">
        <v>20210127</v>
      </c>
      <c r="AE18" s="43">
        <v>0</v>
      </c>
      <c r="AF18" s="47">
        <v>0</v>
      </c>
      <c r="AG18" s="41">
        <v>20201027</v>
      </c>
      <c r="AH18" s="41">
        <v>20210127</v>
      </c>
      <c r="AI18" s="41">
        <v>20210127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AB19" s="40">
        <v>20210127</v>
      </c>
      <c r="AC19" s="41">
        <v>20210427</v>
      </c>
      <c r="AD19" s="41">
        <v>20210427</v>
      </c>
      <c r="AE19" s="43">
        <v>0</v>
      </c>
      <c r="AF19" s="47">
        <v>0</v>
      </c>
      <c r="AG19" s="41">
        <v>20210127</v>
      </c>
      <c r="AH19" s="41">
        <v>20210427</v>
      </c>
      <c r="AI19" s="41">
        <v>20210427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AB20" s="40">
        <v>20210427</v>
      </c>
      <c r="AC20" s="41">
        <v>20210727</v>
      </c>
      <c r="AD20" s="41">
        <v>20210727</v>
      </c>
      <c r="AE20" s="43">
        <v>0</v>
      </c>
      <c r="AF20" s="47">
        <v>0</v>
      </c>
      <c r="AG20" s="41">
        <v>20210427</v>
      </c>
      <c r="AH20" s="41">
        <v>20210727</v>
      </c>
      <c r="AI20" s="41">
        <v>20210727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20" t="s">
        <v>45</v>
      </c>
      <c r="C21" s="120"/>
      <c r="D21" s="71" t="s">
        <v>41</v>
      </c>
      <c r="E21" s="71"/>
      <c r="F21" s="101">
        <v>1.2E-2</v>
      </c>
      <c r="G21" s="102"/>
      <c r="H21" s="112" t="s">
        <v>81</v>
      </c>
      <c r="I21" s="113"/>
      <c r="J21" s="11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12.5 x Rate(5Y-0.25Y) + 0.012(고정) + 0(Range충족시)</v>
      </c>
      <c r="K21" s="114"/>
      <c r="L21" s="114"/>
      <c r="M21" s="114"/>
      <c r="AB21" s="40">
        <v>20210727</v>
      </c>
      <c r="AC21" s="41">
        <v>20211027</v>
      </c>
      <c r="AD21" s="41">
        <v>20211027</v>
      </c>
      <c r="AE21" s="43">
        <v>0</v>
      </c>
      <c r="AF21" s="47">
        <v>0</v>
      </c>
      <c r="AG21" s="41">
        <v>20210727</v>
      </c>
      <c r="AH21" s="41">
        <v>20211027</v>
      </c>
      <c r="AI21" s="41">
        <v>20211027</v>
      </c>
      <c r="AJ21" s="43">
        <v>0</v>
      </c>
      <c r="AK21" s="47">
        <v>0</v>
      </c>
    </row>
    <row r="22" spans="1:37" x14ac:dyDescent="0.4">
      <c r="A22" s="21">
        <f t="shared" si="1"/>
        <v>22</v>
      </c>
      <c r="B22" s="120"/>
      <c r="C22" s="120"/>
      <c r="D22" s="71" t="s">
        <v>43</v>
      </c>
      <c r="E22" s="71"/>
      <c r="F22" s="101">
        <v>0</v>
      </c>
      <c r="G22" s="102"/>
      <c r="H22" s="112"/>
      <c r="I22" s="113"/>
      <c r="J22" s="114"/>
      <c r="K22" s="114"/>
      <c r="L22" s="114"/>
      <c r="M22" s="114"/>
      <c r="AB22" s="40">
        <v>20211027</v>
      </c>
      <c r="AC22" s="41">
        <v>20220127</v>
      </c>
      <c r="AD22" s="41">
        <v>20220127</v>
      </c>
      <c r="AE22" s="43">
        <v>0</v>
      </c>
      <c r="AF22" s="47">
        <v>0</v>
      </c>
      <c r="AG22" s="41">
        <v>20211027</v>
      </c>
      <c r="AH22" s="41">
        <v>20220127</v>
      </c>
      <c r="AI22" s="41">
        <v>20220127</v>
      </c>
      <c r="AJ22" s="43">
        <v>0</v>
      </c>
      <c r="AK22" s="47">
        <v>0</v>
      </c>
    </row>
    <row r="23" spans="1:37" x14ac:dyDescent="0.4">
      <c r="A23" s="21">
        <f t="shared" si="1"/>
        <v>23</v>
      </c>
      <c r="B23" s="120"/>
      <c r="C23" s="120"/>
      <c r="D23" s="71" t="s">
        <v>44</v>
      </c>
      <c r="E23" s="71"/>
      <c r="F23" s="98">
        <v>1</v>
      </c>
      <c r="G23" s="73"/>
      <c r="AB23" s="40">
        <v>20220127</v>
      </c>
      <c r="AC23" s="41">
        <v>20220427</v>
      </c>
      <c r="AD23" s="41">
        <v>20220427</v>
      </c>
      <c r="AE23" s="43">
        <v>0</v>
      </c>
      <c r="AF23" s="47">
        <v>0</v>
      </c>
      <c r="AG23" s="41">
        <v>20220127</v>
      </c>
      <c r="AH23" s="41">
        <v>20220427</v>
      </c>
      <c r="AI23" s="41">
        <v>20220427</v>
      </c>
      <c r="AJ23" s="43">
        <v>0</v>
      </c>
      <c r="AK23" s="47">
        <v>0</v>
      </c>
    </row>
    <row r="24" spans="1:37" x14ac:dyDescent="0.4">
      <c r="A24" s="21">
        <f t="shared" si="1"/>
        <v>24</v>
      </c>
      <c r="B24" s="20"/>
      <c r="C24" s="20"/>
      <c r="AB24" s="40">
        <v>20220427</v>
      </c>
      <c r="AC24" s="41">
        <v>20220727</v>
      </c>
      <c r="AD24" s="41">
        <v>20220727</v>
      </c>
      <c r="AE24" s="43">
        <v>0</v>
      </c>
      <c r="AF24" s="47">
        <v>0</v>
      </c>
      <c r="AG24" s="41">
        <v>20220427</v>
      </c>
      <c r="AH24" s="41">
        <v>20220727</v>
      </c>
      <c r="AI24" s="41">
        <v>20220727</v>
      </c>
      <c r="AJ24" s="43">
        <v>0</v>
      </c>
      <c r="AK24" s="47">
        <v>0</v>
      </c>
    </row>
    <row r="25" spans="1:37" x14ac:dyDescent="0.4">
      <c r="A25" s="21">
        <f t="shared" si="1"/>
        <v>25</v>
      </c>
      <c r="B25" s="87" t="s">
        <v>46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9"/>
      <c r="AB25" s="40">
        <v>20220727</v>
      </c>
      <c r="AC25" s="41">
        <v>20221027</v>
      </c>
      <c r="AD25" s="41">
        <v>20221027</v>
      </c>
      <c r="AE25" s="43">
        <v>1E-3</v>
      </c>
      <c r="AF25" s="47">
        <v>247013698.63013703</v>
      </c>
      <c r="AG25" s="41">
        <v>20220727</v>
      </c>
      <c r="AH25" s="41">
        <v>20221027</v>
      </c>
      <c r="AI25" s="41">
        <v>20221027</v>
      </c>
      <c r="AJ25" s="43">
        <v>0.03</v>
      </c>
      <c r="AK25" s="47">
        <v>203660273.97260275</v>
      </c>
    </row>
    <row r="26" spans="1:37" x14ac:dyDescent="0.4">
      <c r="A26" s="21">
        <f t="shared" si="1"/>
        <v>26</v>
      </c>
      <c r="B26" s="90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  <c r="AB26" s="40">
        <v>20221027</v>
      </c>
      <c r="AC26" s="41">
        <v>20230127</v>
      </c>
      <c r="AD26" s="41">
        <v>20230127</v>
      </c>
      <c r="AE26" s="43">
        <v>-6.1045771591995701E-4</v>
      </c>
      <c r="AF26" s="47">
        <v>44051904.29501912</v>
      </c>
      <c r="AG26" s="41">
        <v>20221027</v>
      </c>
      <c r="AH26" s="41">
        <v>20230127</v>
      </c>
      <c r="AI26" s="41">
        <v>20230127</v>
      </c>
      <c r="AJ26" s="43">
        <v>3.8204826001014276E-2</v>
      </c>
      <c r="AK26" s="47">
        <v>203660273.97260275</v>
      </c>
    </row>
    <row r="27" spans="1:37" x14ac:dyDescent="0.4">
      <c r="A27" s="21">
        <f t="shared" si="1"/>
        <v>27</v>
      </c>
      <c r="B27" s="77" t="s">
        <v>32</v>
      </c>
      <c r="C27" s="77"/>
      <c r="D27" s="79">
        <v>1</v>
      </c>
      <c r="E27" s="76"/>
      <c r="F27" s="77" t="s">
        <v>33</v>
      </c>
      <c r="G27" s="77"/>
      <c r="H27" s="79">
        <v>1</v>
      </c>
      <c r="I27" s="76"/>
      <c r="J27" s="77" t="s">
        <v>84</v>
      </c>
      <c r="K27" s="77"/>
      <c r="L27" s="98">
        <v>0</v>
      </c>
      <c r="M27" s="73"/>
      <c r="AB27" s="40">
        <v>20230127</v>
      </c>
      <c r="AC27" s="41">
        <v>20230427</v>
      </c>
      <c r="AD27" s="41">
        <v>20230427</v>
      </c>
      <c r="AE27" s="43">
        <v>-1.0801349862173265E-3</v>
      </c>
      <c r="AF27" s="47">
        <v>0</v>
      </c>
      <c r="AG27" s="41">
        <v>20230127</v>
      </c>
      <c r="AH27" s="41">
        <v>20230427</v>
      </c>
      <c r="AI27" s="41">
        <v>20230427</v>
      </c>
      <c r="AJ27" s="43">
        <v>3.8237295574391518E-2</v>
      </c>
      <c r="AK27" s="47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0">
        <v>20230427</v>
      </c>
      <c r="AC28" s="41">
        <v>20230727</v>
      </c>
      <c r="AD28" s="41">
        <v>20230727</v>
      </c>
      <c r="AE28" s="43">
        <v>-1.0892399871886768E-3</v>
      </c>
      <c r="AF28" s="47">
        <v>0</v>
      </c>
      <c r="AG28" s="41">
        <v>20230427</v>
      </c>
      <c r="AH28" s="41">
        <v>20230727</v>
      </c>
      <c r="AI28" s="41">
        <v>20230727</v>
      </c>
      <c r="AJ28" s="43">
        <v>3.8256441107483954E-2</v>
      </c>
      <c r="AK28" s="47">
        <v>201446575.34246573</v>
      </c>
    </row>
    <row r="29" spans="1:37" x14ac:dyDescent="0.4">
      <c r="A29" s="21">
        <f t="shared" si="1"/>
        <v>29</v>
      </c>
      <c r="B29" s="80" t="str">
        <f>"기초금리정보"</f>
        <v>기초금리정보</v>
      </c>
      <c r="C29" s="81"/>
      <c r="D29" s="58" t="s">
        <v>34</v>
      </c>
      <c r="E29" s="58"/>
      <c r="F29" s="98" t="s">
        <v>95</v>
      </c>
      <c r="G29" s="73"/>
      <c r="H29" s="23"/>
      <c r="I29" s="22"/>
      <c r="J29" s="93" t="str">
        <f>IF(F30=0,"금리결정조건이 = "&amp;F30&amp;" 이므로 Ref Swap 금리정보 사용안함", "사용")</f>
        <v>사용</v>
      </c>
      <c r="K29" s="94"/>
      <c r="L29" s="94"/>
      <c r="M29" s="95"/>
      <c r="O29" s="71" t="s">
        <v>57</v>
      </c>
      <c r="P29" s="71"/>
      <c r="Q29" s="71"/>
      <c r="R29" s="71"/>
      <c r="AB29" s="40">
        <v>20230727</v>
      </c>
      <c r="AC29" s="41">
        <v>20231027</v>
      </c>
      <c r="AD29" s="41">
        <v>20231027</v>
      </c>
      <c r="AE29" s="43">
        <v>-9.8970993321902817E-4</v>
      </c>
      <c r="AF29" s="47">
        <v>0</v>
      </c>
      <c r="AG29" s="41">
        <v>20230727</v>
      </c>
      <c r="AH29" s="41">
        <v>20231027</v>
      </c>
      <c r="AI29" s="41">
        <v>20231027</v>
      </c>
      <c r="AJ29" s="43">
        <v>3.8277608726576894E-2</v>
      </c>
      <c r="AK29" s="47">
        <v>203660273.97260275</v>
      </c>
    </row>
    <row r="30" spans="1:37" x14ac:dyDescent="0.4">
      <c r="A30" s="21">
        <f t="shared" si="1"/>
        <v>30</v>
      </c>
      <c r="B30" s="82"/>
      <c r="C30" s="83"/>
      <c r="D30" s="58" t="s">
        <v>35</v>
      </c>
      <c r="E30" s="86"/>
      <c r="F30" s="99">
        <v>1</v>
      </c>
      <c r="G30" s="100"/>
      <c r="H30" s="93" t="str">
        <f xml:space="preserve"> "Swap 레퍼런스금리정보"</f>
        <v>Swap 레퍼런스금리정보</v>
      </c>
      <c r="I30" s="94"/>
      <c r="J30" s="97" t="str">
        <f>IF(F30=0,"", "연 지급횟수")</f>
        <v>연 지급횟수</v>
      </c>
      <c r="K30" s="117"/>
      <c r="L30" s="76">
        <v>4</v>
      </c>
      <c r="M30" s="146"/>
      <c r="O30" s="71" t="s">
        <v>85</v>
      </c>
      <c r="P30" s="71"/>
      <c r="Q30" s="72">
        <v>4</v>
      </c>
      <c r="R30" s="73"/>
      <c r="AB30" s="40">
        <v>20231027</v>
      </c>
      <c r="AC30" s="41">
        <v>20240129</v>
      </c>
      <c r="AD30" s="41">
        <v>20240129</v>
      </c>
      <c r="AE30" s="43">
        <v>-7.2627221416079329E-4</v>
      </c>
      <c r="AF30" s="47">
        <v>30096454.614911553</v>
      </c>
      <c r="AG30" s="41">
        <v>20231027</v>
      </c>
      <c r="AH30" s="41">
        <v>20240129</v>
      </c>
      <c r="AI30" s="41">
        <v>20240129</v>
      </c>
      <c r="AJ30" s="43">
        <v>3.8304153816675152E-2</v>
      </c>
      <c r="AK30" s="47">
        <v>208087671.23287672</v>
      </c>
    </row>
    <row r="31" spans="1:37" x14ac:dyDescent="0.4">
      <c r="A31" s="21">
        <f t="shared" si="1"/>
        <v>31</v>
      </c>
      <c r="B31" s="82"/>
      <c r="C31" s="83"/>
      <c r="D31" s="71" t="s">
        <v>36</v>
      </c>
      <c r="E31" s="71"/>
      <c r="F31" s="98">
        <v>0</v>
      </c>
      <c r="G31" s="73"/>
      <c r="H31" s="96"/>
      <c r="I31" s="97"/>
      <c r="J31" s="97" t="str">
        <f>IF(F30=0,"",IF(F31=0, "만기", "입력X, 아래만기2개입력"))</f>
        <v>만기</v>
      </c>
      <c r="K31" s="117"/>
      <c r="L31" s="118">
        <v>10</v>
      </c>
      <c r="M31" s="119"/>
      <c r="O31" s="71" t="s">
        <v>52</v>
      </c>
      <c r="P31" s="71"/>
      <c r="Q31" s="72">
        <v>0</v>
      </c>
      <c r="R31" s="73"/>
      <c r="AB31" s="40">
        <v>20240129</v>
      </c>
      <c r="AC31" s="41">
        <v>20240429</v>
      </c>
      <c r="AD31" s="41">
        <v>20240429</v>
      </c>
      <c r="AE31" s="43">
        <v>-4.9549108352390375E-4</v>
      </c>
      <c r="AF31" s="47">
        <v>57904536.163458571</v>
      </c>
      <c r="AG31" s="41">
        <v>20240129</v>
      </c>
      <c r="AH31" s="41">
        <v>20240429</v>
      </c>
      <c r="AI31" s="41">
        <v>20240429</v>
      </c>
      <c r="AJ31" s="43">
        <v>3.8341265318192846E-2</v>
      </c>
      <c r="AK31" s="47">
        <v>201446575.34246573</v>
      </c>
    </row>
    <row r="32" spans="1:37" x14ac:dyDescent="0.4">
      <c r="A32" s="21">
        <f t="shared" si="1"/>
        <v>32</v>
      </c>
      <c r="B32" s="82"/>
      <c r="C32" s="83"/>
      <c r="D32" s="71" t="s">
        <v>37</v>
      </c>
      <c r="E32" s="71"/>
      <c r="F32" s="101">
        <v>0.8</v>
      </c>
      <c r="G32" s="102"/>
      <c r="H32" s="115" t="str">
        <f>"ex) Deposit 3M -&gt; 연 지급횟수= 4, 만기= 0.25 ||  ex2) CMT 5Y 연 지급횟수=2, 만기 5"</f>
        <v>ex) Deposit 3M -&gt; 연 지급횟수= 4, 만기= 0.25 ||  ex2) CMT 5Y 연 지급횟수=2, 만기 5</v>
      </c>
      <c r="I32" s="115"/>
      <c r="J32" s="115"/>
      <c r="K32" s="115"/>
      <c r="L32" s="115"/>
      <c r="M32" s="116"/>
      <c r="O32" s="110" t="s">
        <v>53</v>
      </c>
      <c r="P32" s="111"/>
      <c r="Q32" s="72">
        <v>4</v>
      </c>
      <c r="R32" s="73"/>
      <c r="AB32" s="40">
        <v>20240429</v>
      </c>
      <c r="AC32" s="41">
        <v>20240729</v>
      </c>
      <c r="AD32" s="41">
        <v>20240729</v>
      </c>
      <c r="AE32" s="43">
        <v>-1.3325726901029789E-4</v>
      </c>
      <c r="AF32" s="47">
        <v>103059710.30145602</v>
      </c>
      <c r="AG32" s="41">
        <v>20240429</v>
      </c>
      <c r="AH32" s="41">
        <v>20240729</v>
      </c>
      <c r="AI32" s="41">
        <v>20240729</v>
      </c>
      <c r="AJ32" s="43">
        <v>3.8386494411641089E-2</v>
      </c>
      <c r="AK32" s="47">
        <v>201446575.34246573</v>
      </c>
    </row>
    <row r="33" spans="1:37" x14ac:dyDescent="0.4">
      <c r="A33" s="21">
        <f t="shared" si="1"/>
        <v>33</v>
      </c>
      <c r="B33" s="82"/>
      <c r="C33" s="83"/>
      <c r="D33" s="71" t="s">
        <v>38</v>
      </c>
      <c r="E33" s="58"/>
      <c r="F33" s="103">
        <v>-0.8</v>
      </c>
      <c r="G33" s="104"/>
      <c r="H33" s="107" t="str">
        <f>IF(F31&gt;0,"PowerSpreadFlag 1일때 입력","입력필요X")</f>
        <v>입력필요X</v>
      </c>
      <c r="I33" s="107"/>
      <c r="J33" s="107" t="str">
        <f>IF(F31&gt;0,"만기1","")</f>
        <v/>
      </c>
      <c r="K33" s="107"/>
      <c r="L33" s="108">
        <v>10</v>
      </c>
      <c r="M33" s="109"/>
      <c r="AB33" s="40">
        <v>20240729</v>
      </c>
      <c r="AC33" s="41">
        <v>20241028</v>
      </c>
      <c r="AD33" s="41">
        <v>20241028</v>
      </c>
      <c r="AE33" s="43">
        <v>-1.0187304678853371E-4</v>
      </c>
      <c r="AF33" s="47">
        <v>106971990.05786772</v>
      </c>
      <c r="AG33" s="41">
        <v>20240729</v>
      </c>
      <c r="AH33" s="41">
        <v>20241028</v>
      </c>
      <c r="AI33" s="41">
        <v>20241028</v>
      </c>
      <c r="AJ33" s="43">
        <v>3.8442269476619759E-2</v>
      </c>
      <c r="AK33" s="47">
        <v>201446575.34246573</v>
      </c>
    </row>
    <row r="34" spans="1:37" x14ac:dyDescent="0.4">
      <c r="A34" s="21">
        <f t="shared" si="1"/>
        <v>34</v>
      </c>
      <c r="B34" s="84"/>
      <c r="C34" s="85"/>
      <c r="D34" s="121" t="s">
        <v>39</v>
      </c>
      <c r="E34" s="121"/>
      <c r="F34" s="105">
        <v>1</v>
      </c>
      <c r="G34" s="106"/>
      <c r="H34" s="107"/>
      <c r="I34" s="107"/>
      <c r="J34" s="107" t="str">
        <f>IF(F31&gt;0,"만기2","")</f>
        <v/>
      </c>
      <c r="K34" s="107"/>
      <c r="L34" s="108">
        <v>5</v>
      </c>
      <c r="M34" s="109"/>
      <c r="O34" s="71" t="s">
        <v>91</v>
      </c>
      <c r="P34" s="71"/>
      <c r="Q34" s="71"/>
      <c r="R34" s="71"/>
      <c r="AB34" s="40">
        <v>20241028</v>
      </c>
      <c r="AC34" s="41">
        <v>20250131</v>
      </c>
      <c r="AD34" s="41">
        <v>20250131</v>
      </c>
      <c r="AE34" s="43">
        <v>-1.1927061981384379E-4</v>
      </c>
      <c r="AF34" s="47">
        <v>109409987.83244498</v>
      </c>
      <c r="AG34" s="41">
        <v>20241028</v>
      </c>
      <c r="AH34" s="41">
        <v>20250131</v>
      </c>
      <c r="AI34" s="41">
        <v>20250131</v>
      </c>
      <c r="AJ34" s="43">
        <v>3.8481894730526926E-2</v>
      </c>
      <c r="AK34" s="47">
        <v>210301369.86301368</v>
      </c>
    </row>
    <row r="35" spans="1:37" x14ac:dyDescent="0.4">
      <c r="A35" s="21">
        <f t="shared" si="1"/>
        <v>35</v>
      </c>
      <c r="B35" s="20"/>
      <c r="C35" s="20"/>
      <c r="O35" s="71" t="s">
        <v>90</v>
      </c>
      <c r="P35" s="71"/>
      <c r="Q35" s="72">
        <v>0</v>
      </c>
      <c r="R35" s="73"/>
      <c r="AB35" s="40">
        <v>20250131</v>
      </c>
      <c r="AC35" s="41">
        <v>20250428</v>
      </c>
      <c r="AD35" s="41">
        <v>20250428</v>
      </c>
      <c r="AE35" s="43">
        <v>5.5381289737754802E-6</v>
      </c>
      <c r="AF35" s="47">
        <v>115070982.49413489</v>
      </c>
      <c r="AG35" s="41">
        <v>20250131</v>
      </c>
      <c r="AH35" s="41">
        <v>20250428</v>
      </c>
      <c r="AI35" s="41">
        <v>20250428</v>
      </c>
      <c r="AJ35" s="43">
        <v>3.8504314723597999E-2</v>
      </c>
      <c r="AK35" s="47">
        <v>192591780.8219178</v>
      </c>
    </row>
    <row r="36" spans="1:37" x14ac:dyDescent="0.4">
      <c r="A36" s="21">
        <f t="shared" si="1"/>
        <v>36</v>
      </c>
      <c r="B36" s="120" t="s">
        <v>40</v>
      </c>
      <c r="C36" s="120"/>
      <c r="D36" s="71" t="s">
        <v>41</v>
      </c>
      <c r="E36" s="71"/>
      <c r="F36" s="101">
        <v>2.0199999999999999E-2</v>
      </c>
      <c r="G36" s="102"/>
      <c r="H36" s="112" t="s">
        <v>83</v>
      </c>
      <c r="I36" s="113"/>
      <c r="J36" s="114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4"/>
      <c r="L36" s="114"/>
      <c r="M36" s="114"/>
      <c r="AB36" s="40">
        <v>20250428</v>
      </c>
      <c r="AC36" s="41">
        <v>20250728</v>
      </c>
      <c r="AD36" s="41">
        <v>20250728</v>
      </c>
      <c r="AE36" s="43">
        <v>1.1268009994628431E-4</v>
      </c>
      <c r="AF36" s="47">
        <v>133717656.2946738</v>
      </c>
      <c r="AG36" s="41">
        <v>20250428</v>
      </c>
      <c r="AH36" s="41">
        <v>20250728</v>
      </c>
      <c r="AI36" s="41">
        <v>20250728</v>
      </c>
      <c r="AJ36" s="43">
        <v>3.8524129378869468E-2</v>
      </c>
      <c r="AK36" s="47">
        <v>201446575.34246573</v>
      </c>
    </row>
    <row r="37" spans="1:37" x14ac:dyDescent="0.4">
      <c r="A37" s="21">
        <f t="shared" si="1"/>
        <v>37</v>
      </c>
      <c r="B37" s="120"/>
      <c r="C37" s="120"/>
      <c r="D37" s="71" t="s">
        <v>43</v>
      </c>
      <c r="E37" s="71"/>
      <c r="F37" s="101">
        <v>0</v>
      </c>
      <c r="G37" s="102"/>
      <c r="H37" s="112" t="s">
        <v>80</v>
      </c>
      <c r="I37" s="113"/>
      <c r="J37" s="11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4"/>
      <c r="L37" s="114"/>
      <c r="M37" s="114"/>
      <c r="AB37" s="40">
        <v>20250728</v>
      </c>
      <c r="AC37" s="41">
        <v>20251027</v>
      </c>
      <c r="AD37" s="41">
        <v>20251027</v>
      </c>
      <c r="AE37" s="43">
        <v>1.0723461004169543E-6</v>
      </c>
      <c r="AF37" s="47">
        <v>119804908.89744924</v>
      </c>
      <c r="AG37" s="41">
        <v>20250728</v>
      </c>
      <c r="AH37" s="41">
        <v>20251027</v>
      </c>
      <c r="AI37" s="41">
        <v>20251027</v>
      </c>
      <c r="AJ37" s="43">
        <v>3.8547959558200562E-2</v>
      </c>
      <c r="AK37" s="47">
        <v>585870062.4434247</v>
      </c>
    </row>
    <row r="38" spans="1:37" x14ac:dyDescent="0.4">
      <c r="A38" s="21">
        <f t="shared" si="1"/>
        <v>38</v>
      </c>
      <c r="B38" s="120"/>
      <c r="C38" s="120"/>
      <c r="D38" s="71" t="s">
        <v>44</v>
      </c>
      <c r="E38" s="71"/>
      <c r="F38" s="98">
        <v>0</v>
      </c>
      <c r="G38" s="73"/>
      <c r="H38" s="112"/>
      <c r="I38" s="113"/>
      <c r="J38" s="114"/>
      <c r="K38" s="114"/>
      <c r="L38" s="114"/>
      <c r="M38" s="114"/>
      <c r="AB38" s="40">
        <v>20251027</v>
      </c>
      <c r="AC38" s="41">
        <v>20260127</v>
      </c>
      <c r="AD38" s="41">
        <v>20260127</v>
      </c>
      <c r="AE38" s="43">
        <v>-1.880346107401426E-4</v>
      </c>
      <c r="AF38" s="47">
        <v>97288788.783434093</v>
      </c>
      <c r="AG38" s="41">
        <v>20251027</v>
      </c>
      <c r="AH38" s="41">
        <v>20260127</v>
      </c>
      <c r="AI38" s="41">
        <v>20260127</v>
      </c>
      <c r="AJ38" s="43">
        <v>3.8566716343369105E-2</v>
      </c>
      <c r="AK38" s="47">
        <v>592497304.5030092</v>
      </c>
    </row>
    <row r="39" spans="1:37" x14ac:dyDescent="0.4">
      <c r="A39" s="21">
        <f t="shared" si="1"/>
        <v>39</v>
      </c>
      <c r="B39" s="20"/>
      <c r="C39" s="20"/>
      <c r="AB39" s="40">
        <v>20260127</v>
      </c>
      <c r="AC39" s="41">
        <v>20260427</v>
      </c>
      <c r="AD39" s="41">
        <v>20260427</v>
      </c>
      <c r="AE39" s="43">
        <v>-1.4569174305402444E-4</v>
      </c>
      <c r="AF39" s="47">
        <v>100394168.66457233</v>
      </c>
      <c r="AG39" s="41">
        <v>20260127</v>
      </c>
      <c r="AH39" s="41">
        <v>20260427</v>
      </c>
      <c r="AI39" s="41">
        <v>20260427</v>
      </c>
      <c r="AJ39" s="43">
        <v>3.8576568357655529E-2</v>
      </c>
      <c r="AK39" s="47">
        <v>579714098.87002718</v>
      </c>
    </row>
    <row r="40" spans="1:37" x14ac:dyDescent="0.4">
      <c r="A40" s="21">
        <f t="shared" si="1"/>
        <v>40</v>
      </c>
      <c r="B40" s="20"/>
      <c r="C40" s="20"/>
      <c r="AB40" s="40">
        <v>20260427</v>
      </c>
      <c r="AC40" s="41">
        <v>20260727</v>
      </c>
      <c r="AD40" s="41">
        <v>20260727</v>
      </c>
      <c r="AE40" s="43">
        <v>-1.0826178669961356E-4</v>
      </c>
      <c r="AF40" s="47">
        <v>106175585.49360982</v>
      </c>
      <c r="AG40" s="41">
        <v>20260427</v>
      </c>
      <c r="AH40" s="41">
        <v>20260727</v>
      </c>
      <c r="AI40" s="41">
        <v>20260727</v>
      </c>
      <c r="AJ40" s="43">
        <v>3.8588359373728238E-2</v>
      </c>
      <c r="AK40" s="47">
        <v>586272953.75444055</v>
      </c>
    </row>
    <row r="41" spans="1:37" x14ac:dyDescent="0.4">
      <c r="A41" s="21">
        <f t="shared" si="1"/>
        <v>41</v>
      </c>
      <c r="B41" s="120" t="s">
        <v>45</v>
      </c>
      <c r="C41" s="120"/>
      <c r="D41" s="71" t="s">
        <v>41</v>
      </c>
      <c r="E41" s="71"/>
      <c r="F41" s="101">
        <v>2.0199999999999999E-2</v>
      </c>
      <c r="G41" s="102"/>
      <c r="H41" s="112" t="s">
        <v>81</v>
      </c>
      <c r="I41" s="113"/>
      <c r="J41" s="11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4"/>
      <c r="L41" s="114"/>
      <c r="M41" s="114"/>
      <c r="AB41" s="40">
        <v>20260727</v>
      </c>
      <c r="AC41" s="41">
        <v>20261027</v>
      </c>
      <c r="AD41" s="41">
        <v>20261027</v>
      </c>
      <c r="AE41" s="43">
        <v>-1.6964434640054371E-5</v>
      </c>
      <c r="AF41" s="47">
        <v>118848317.82618494</v>
      </c>
      <c r="AG41" s="41">
        <v>20260727</v>
      </c>
      <c r="AH41" s="41">
        <v>20261027</v>
      </c>
      <c r="AI41" s="41">
        <v>20261027</v>
      </c>
      <c r="AJ41" s="43">
        <v>3.8598232095600871E-2</v>
      </c>
      <c r="AK41" s="47">
        <v>592815052.36112654</v>
      </c>
    </row>
    <row r="42" spans="1:37" x14ac:dyDescent="0.4">
      <c r="A42" s="21">
        <f t="shared" si="1"/>
        <v>42</v>
      </c>
      <c r="B42" s="120"/>
      <c r="C42" s="120"/>
      <c r="D42" s="71" t="s">
        <v>43</v>
      </c>
      <c r="E42" s="71"/>
      <c r="F42" s="101">
        <v>0</v>
      </c>
      <c r="G42" s="102"/>
      <c r="H42" s="112"/>
      <c r="I42" s="113"/>
      <c r="J42" s="114"/>
      <c r="K42" s="114"/>
      <c r="L42" s="114"/>
      <c r="M42" s="114"/>
      <c r="AB42" s="40">
        <v>20261027</v>
      </c>
      <c r="AC42" s="41">
        <v>20270127</v>
      </c>
      <c r="AD42" s="41">
        <v>20270127</v>
      </c>
      <c r="AE42" s="43">
        <v>1.0523219860538585E-4</v>
      </c>
      <c r="AF42" s="47">
        <v>134248441.46807605</v>
      </c>
      <c r="AG42" s="41">
        <v>20261027</v>
      </c>
      <c r="AH42" s="41">
        <v>20270127</v>
      </c>
      <c r="AI42" s="41">
        <v>20270127</v>
      </c>
      <c r="AJ42" s="43">
        <v>3.8609808436732257E-2</v>
      </c>
      <c r="AK42" s="47">
        <v>592931767.25253344</v>
      </c>
    </row>
    <row r="43" spans="1:37" x14ac:dyDescent="0.4">
      <c r="A43" s="21">
        <f t="shared" si="1"/>
        <v>43</v>
      </c>
      <c r="B43" s="120"/>
      <c r="C43" s="120"/>
      <c r="D43" s="71" t="s">
        <v>44</v>
      </c>
      <c r="E43" s="71"/>
      <c r="F43" s="98">
        <v>1</v>
      </c>
      <c r="G43" s="73"/>
      <c r="AB43" s="40">
        <v>20270127</v>
      </c>
      <c r="AC43" s="41">
        <v>20270427</v>
      </c>
      <c r="AD43" s="41">
        <v>20270427</v>
      </c>
      <c r="AE43" s="43">
        <v>1.7905976719941735E-4</v>
      </c>
      <c r="AF43" s="47">
        <v>140432026.09307885</v>
      </c>
      <c r="AG43" s="41">
        <v>20270127</v>
      </c>
      <c r="AH43" s="41">
        <v>20270427</v>
      </c>
      <c r="AI43" s="41">
        <v>20270427</v>
      </c>
      <c r="AJ43" s="43">
        <v>3.8622298477714714E-2</v>
      </c>
      <c r="AK43" s="47">
        <v>580165135.67061079</v>
      </c>
    </row>
    <row r="44" spans="1:37" x14ac:dyDescent="0.4">
      <c r="A44" s="21">
        <f t="shared" si="1"/>
        <v>44</v>
      </c>
      <c r="B44" s="20"/>
      <c r="C44" s="20"/>
      <c r="AB44" s="40">
        <v>20270427</v>
      </c>
      <c r="AC44" s="41">
        <v>20270727</v>
      </c>
      <c r="AD44" s="41">
        <v>20270727</v>
      </c>
      <c r="AE44" s="43">
        <v>2.4848198662427712E-4</v>
      </c>
      <c r="AF44" s="47">
        <v>150646384.63398522</v>
      </c>
      <c r="AG44" s="41">
        <v>20270427</v>
      </c>
      <c r="AH44" s="41">
        <v>20270727</v>
      </c>
      <c r="AI44" s="41">
        <v>20270727</v>
      </c>
      <c r="AJ44" s="43">
        <v>3.8634373070895484E-2</v>
      </c>
      <c r="AK44" s="47">
        <v>586731830.07687545</v>
      </c>
    </row>
    <row r="45" spans="1:37" ht="17.399999999999999" customHeight="1" x14ac:dyDescent="0.4">
      <c r="A45" s="21">
        <f t="shared" si="1"/>
        <v>45</v>
      </c>
      <c r="B45" s="140" t="s">
        <v>59</v>
      </c>
      <c r="C45" s="141"/>
      <c r="D45" s="141"/>
      <c r="E45" s="141"/>
      <c r="F45" s="141"/>
      <c r="G45" s="142"/>
      <c r="AB45" s="40">
        <v>20270727</v>
      </c>
      <c r="AC45" s="41">
        <v>20271027</v>
      </c>
      <c r="AD45" s="41">
        <v>20271027</v>
      </c>
      <c r="AE45" s="43">
        <v>1.9460185232129251E-4</v>
      </c>
      <c r="AF45" s="47">
        <v>145511466.31994373</v>
      </c>
      <c r="AG45" s="41">
        <v>20270727</v>
      </c>
      <c r="AH45" s="41">
        <v>20271027</v>
      </c>
      <c r="AI45" s="41">
        <v>20271027</v>
      </c>
      <c r="AJ45" s="43">
        <v>3.8646363411791347E-2</v>
      </c>
      <c r="AK45" s="47">
        <v>593300321.52162242</v>
      </c>
    </row>
    <row r="46" spans="1:37" ht="17.399999999999999" customHeight="1" x14ac:dyDescent="0.4">
      <c r="A46" s="21">
        <f t="shared" si="1"/>
        <v>46</v>
      </c>
      <c r="B46" s="143"/>
      <c r="C46" s="144"/>
      <c r="D46" s="144"/>
      <c r="E46" s="144"/>
      <c r="F46" s="144"/>
      <c r="G46" s="145"/>
      <c r="AB46" s="40">
        <v>20271027</v>
      </c>
      <c r="AC46" s="41">
        <v>20280131</v>
      </c>
      <c r="AD46" s="41">
        <v>20280131</v>
      </c>
      <c r="AE46" s="43">
        <v>8.7089139108847968E-5</v>
      </c>
      <c r="AF46" s="47">
        <v>137699393.63623205</v>
      </c>
      <c r="AG46" s="41">
        <v>20271027</v>
      </c>
      <c r="AH46" s="41">
        <v>20280131</v>
      </c>
      <c r="AI46" s="41">
        <v>20280131</v>
      </c>
      <c r="AJ46" s="43">
        <v>3.8613356575084863E-2</v>
      </c>
      <c r="AK46" s="47">
        <v>618748737.66664612</v>
      </c>
    </row>
    <row r="47" spans="1:37" x14ac:dyDescent="0.4">
      <c r="A47" s="21">
        <f t="shared" si="1"/>
        <v>47</v>
      </c>
      <c r="B47" s="36" t="s">
        <v>60</v>
      </c>
      <c r="C47" s="37" t="s">
        <v>61</v>
      </c>
      <c r="D47" s="37" t="s">
        <v>62</v>
      </c>
      <c r="E47" s="37" t="s">
        <v>63</v>
      </c>
      <c r="AB47" s="40">
        <v>20280131</v>
      </c>
      <c r="AC47" s="41">
        <v>20280427</v>
      </c>
      <c r="AD47" s="41">
        <v>20280427</v>
      </c>
      <c r="AE47" s="43">
        <v>1.4673468631915682E-4</v>
      </c>
      <c r="AF47" s="47">
        <v>131898517.41063923</v>
      </c>
      <c r="AG47" s="41">
        <v>20280131</v>
      </c>
      <c r="AH47" s="41">
        <v>20280427</v>
      </c>
      <c r="AI47" s="41">
        <v>20280427</v>
      </c>
      <c r="AJ47" s="43">
        <v>3.8520446951516046E-2</v>
      </c>
      <c r="AK47" s="47">
        <v>559855220.25007081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 t="s">
        <v>96</v>
      </c>
      <c r="E48" s="31">
        <f>COUNT(B48:B1048576)</f>
        <v>10</v>
      </c>
      <c r="AB48" s="40">
        <v>20280427</v>
      </c>
      <c r="AC48" s="41">
        <v>20280727</v>
      </c>
      <c r="AD48" s="41">
        <v>20280727</v>
      </c>
      <c r="AE48" s="43">
        <v>1.7967408954146225E-4</v>
      </c>
      <c r="AF48" s="47">
        <v>142068961.8469494</v>
      </c>
      <c r="AG48" s="41">
        <v>20280427</v>
      </c>
      <c r="AH48" s="41">
        <v>20280727</v>
      </c>
      <c r="AI48" s="41">
        <v>20280727</v>
      </c>
      <c r="AJ48" s="43">
        <v>3.8426504106982728E-2</v>
      </c>
      <c r="AK48" s="47">
        <v>584658835.47785521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0">
        <v>20280727</v>
      </c>
      <c r="AC49" s="41">
        <v>20281027</v>
      </c>
      <c r="AD49" s="41">
        <v>20281027</v>
      </c>
      <c r="AE49" s="43">
        <v>2.2064351652172076E-4</v>
      </c>
      <c r="AF49" s="47">
        <v>148793429.47944975</v>
      </c>
      <c r="AG49" s="41">
        <v>20280727</v>
      </c>
      <c r="AH49" s="41">
        <v>20281027</v>
      </c>
      <c r="AI49" s="41">
        <v>20281027</v>
      </c>
      <c r="AJ49" s="43">
        <v>3.8324952679468852E-2</v>
      </c>
      <c r="AK49" s="47">
        <v>590059796.87793255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0">
        <v>20281027</v>
      </c>
      <c r="AC50" s="41">
        <v>20290129</v>
      </c>
      <c r="AD50" s="41">
        <v>20290129</v>
      </c>
      <c r="AE50" s="43">
        <v>2.6167315111776807E-4</v>
      </c>
      <c r="AF50" s="47">
        <v>157311337.26721945</v>
      </c>
      <c r="AG50" s="41">
        <v>20281027</v>
      </c>
      <c r="AH50" s="41">
        <v>20290129</v>
      </c>
      <c r="AI50" s="41">
        <v>20290129</v>
      </c>
      <c r="AJ50" s="43">
        <v>3.8216910413866441E-2</v>
      </c>
      <c r="AK50" s="47">
        <v>601774200.42777491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0">
        <v>20290129</v>
      </c>
      <c r="AC51" s="41">
        <v>20290427</v>
      </c>
      <c r="AD51" s="41">
        <v>20290427</v>
      </c>
      <c r="AE51" s="43">
        <v>3.1699653243957848E-4</v>
      </c>
      <c r="AF51" s="47">
        <v>153939308.02011359</v>
      </c>
      <c r="AG51" s="41">
        <v>20290129</v>
      </c>
      <c r="AH51" s="41">
        <v>20290427</v>
      </c>
      <c r="AI51" s="41">
        <v>20290427</v>
      </c>
      <c r="AJ51" s="43">
        <v>3.8097283478995866E-2</v>
      </c>
      <c r="AK51" s="47">
        <v>562209418.75634372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0">
        <v>20290427</v>
      </c>
      <c r="AC52" s="41">
        <v>20290727</v>
      </c>
      <c r="AD52" s="41">
        <v>20290727</v>
      </c>
      <c r="AE52" s="43">
        <v>3.6429405909437634E-4</v>
      </c>
      <c r="AF52" s="47">
        <v>165083232.02409348</v>
      </c>
      <c r="AG52" s="41">
        <v>20290427</v>
      </c>
      <c r="AH52" s="41">
        <v>20290727</v>
      </c>
      <c r="AI52" s="41">
        <v>20290727</v>
      </c>
      <c r="AJ52" s="43">
        <v>3.7987173827836535E-2</v>
      </c>
      <c r="AK52" s="47">
        <v>580277569.13239717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0">
        <v>20290727</v>
      </c>
      <c r="AC53" s="41">
        <v>20291029</v>
      </c>
      <c r="AD53" s="41">
        <v>20291029</v>
      </c>
      <c r="AE53" s="43">
        <v>3.0869385023980789E-4</v>
      </c>
      <c r="AF53" s="47">
        <v>163366057.42813963</v>
      </c>
      <c r="AG53" s="41">
        <v>20290727</v>
      </c>
      <c r="AH53" s="41">
        <v>20291029</v>
      </c>
      <c r="AI53" s="41">
        <v>20291029</v>
      </c>
      <c r="AJ53" s="43">
        <v>3.7864210658969291E-2</v>
      </c>
      <c r="AK53" s="47">
        <v>598140909.80198503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0">
        <v>20291029</v>
      </c>
      <c r="AC54" s="41">
        <v>20300128</v>
      </c>
      <c r="AD54" s="41">
        <v>20300128</v>
      </c>
      <c r="AE54" s="43">
        <v>2.0195697824938047E-4</v>
      </c>
      <c r="AF54" s="47">
        <v>144846691.80916935</v>
      </c>
      <c r="AG54" s="41">
        <v>20291029</v>
      </c>
      <c r="AH54" s="41">
        <v>20300128</v>
      </c>
      <c r="AI54" s="41">
        <v>20300128</v>
      </c>
      <c r="AJ54" s="43">
        <v>3.7724637483319515E-2</v>
      </c>
      <c r="AK54" s="47">
        <v>577659398.46378911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0">
        <v>20300128</v>
      </c>
      <c r="AC55" s="41">
        <v>20300429</v>
      </c>
      <c r="AD55" s="41">
        <v>20300429</v>
      </c>
      <c r="AE55" s="43">
        <v>1.4876783135218952E-4</v>
      </c>
      <c r="AF55" s="47">
        <v>138216263.90828666</v>
      </c>
      <c r="AG55" s="41">
        <v>20300128</v>
      </c>
      <c r="AH55" s="41">
        <v>20300429</v>
      </c>
      <c r="AI55" s="41">
        <v>20300429</v>
      </c>
      <c r="AJ55" s="43">
        <v>3.7583808420153207E-2</v>
      </c>
      <c r="AK55" s="47">
        <v>576254966.16262376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0">
        <v>20300429</v>
      </c>
      <c r="AC56" s="41">
        <v>20300729</v>
      </c>
      <c r="AD56" s="41">
        <v>20300729</v>
      </c>
      <c r="AE56" s="43">
        <v>9.0141900128092034E-5</v>
      </c>
      <c r="AF56" s="47">
        <v>130908099.87898134</v>
      </c>
      <c r="AG56" s="41">
        <v>20300429</v>
      </c>
      <c r="AH56" s="41">
        <v>20300729</v>
      </c>
      <c r="AI56" s="41">
        <v>20300729</v>
      </c>
      <c r="AJ56" s="43">
        <v>3.7436981178136861E-2</v>
      </c>
      <c r="AK56" s="47">
        <v>574790716.40662503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0">
        <v>20300729</v>
      </c>
      <c r="AC57" s="41">
        <v>20301028</v>
      </c>
      <c r="AD57" s="41">
        <v>20301028</v>
      </c>
      <c r="AE57" s="43">
        <v>-8.9588947192374702E-5</v>
      </c>
      <c r="AF57" s="47">
        <v>108503295.62396425</v>
      </c>
      <c r="AG57" s="41">
        <v>20300729</v>
      </c>
      <c r="AH57" s="41">
        <v>20301028</v>
      </c>
      <c r="AI57" s="41">
        <v>20301028</v>
      </c>
      <c r="AJ57" s="43">
        <v>3.728399770841944E-2</v>
      </c>
      <c r="AK57" s="47">
        <v>573265073.03738844</v>
      </c>
    </row>
    <row r="58" spans="1:37" x14ac:dyDescent="0.4">
      <c r="A58" s="21">
        <f t="shared" si="1"/>
        <v>58</v>
      </c>
      <c r="AB58" s="40">
        <v>20301028</v>
      </c>
      <c r="AC58" s="41">
        <v>20310127</v>
      </c>
      <c r="AD58" s="41">
        <v>20310127</v>
      </c>
      <c r="AE58" s="43">
        <v>-2.9232525287103267E-4</v>
      </c>
      <c r="AF58" s="47">
        <v>83230687.655802771</v>
      </c>
      <c r="AG58" s="41">
        <v>20301028</v>
      </c>
      <c r="AH58" s="41">
        <v>20310127</v>
      </c>
      <c r="AI58" s="41">
        <v>20310127</v>
      </c>
      <c r="AJ58" s="43">
        <v>3.7121361485957474E-2</v>
      </c>
      <c r="AK58" s="47">
        <v>571643166.59968543</v>
      </c>
    </row>
    <row r="59" spans="1:37" x14ac:dyDescent="0.4">
      <c r="A59" s="21">
        <f t="shared" si="1"/>
        <v>59</v>
      </c>
      <c r="AB59" s="40">
        <v>20310127</v>
      </c>
      <c r="AC59" s="41">
        <v>20310428</v>
      </c>
      <c r="AD59" s="41">
        <v>20310428</v>
      </c>
      <c r="AE59" s="43">
        <v>-3.8881756843488907E-4</v>
      </c>
      <c r="AF59" s="47">
        <v>71202193.523869991</v>
      </c>
      <c r="AG59" s="41">
        <v>20310127</v>
      </c>
      <c r="AH59" s="41">
        <v>20310428</v>
      </c>
      <c r="AI59" s="41">
        <v>20310428</v>
      </c>
      <c r="AJ59" s="43">
        <v>3.6948471459666683E-2</v>
      </c>
      <c r="AK59" s="47">
        <v>569919003.04982674</v>
      </c>
    </row>
    <row r="60" spans="1:37" x14ac:dyDescent="0.4">
      <c r="A60" s="21">
        <f t="shared" si="1"/>
        <v>60</v>
      </c>
      <c r="AB60" s="40">
        <v>20310428</v>
      </c>
      <c r="AC60" s="41">
        <v>20310728</v>
      </c>
      <c r="AD60" s="41">
        <v>20310728</v>
      </c>
      <c r="AE60" s="43">
        <v>-4.8675176529244801E-4</v>
      </c>
      <c r="AF60" s="47">
        <v>58993958.025187992</v>
      </c>
      <c r="AG60" s="41">
        <v>20310428</v>
      </c>
      <c r="AH60" s="41">
        <v>20310728</v>
      </c>
      <c r="AI60" s="41">
        <v>20310728</v>
      </c>
      <c r="AJ60" s="43">
        <v>3.6768883383383098E-2</v>
      </c>
      <c r="AK60" s="47">
        <v>568128042.50825894</v>
      </c>
    </row>
    <row r="61" spans="1:37" x14ac:dyDescent="0.4">
      <c r="A61" s="21">
        <f t="shared" si="1"/>
        <v>61</v>
      </c>
      <c r="AB61" s="40">
        <v>20310728</v>
      </c>
      <c r="AC61" s="41">
        <v>20311027</v>
      </c>
      <c r="AD61" s="41">
        <v>20311027</v>
      </c>
      <c r="AE61" s="43">
        <v>-6.0523535547446494E-4</v>
      </c>
      <c r="AF61" s="47">
        <v>44224085.824416019</v>
      </c>
      <c r="AG61" s="41">
        <v>20310728</v>
      </c>
      <c r="AH61" s="41">
        <v>20311027</v>
      </c>
      <c r="AI61" s="41">
        <v>20311027</v>
      </c>
      <c r="AJ61" s="43">
        <v>3.6582445881297353E-2</v>
      </c>
      <c r="AK61" s="47">
        <v>566268775.36417091</v>
      </c>
    </row>
    <row r="62" spans="1:37" x14ac:dyDescent="0.4">
      <c r="AB62" s="40">
        <v>20311027</v>
      </c>
      <c r="AC62" s="41">
        <v>20320127</v>
      </c>
      <c r="AD62" s="41">
        <v>20320127</v>
      </c>
      <c r="AE62" s="43">
        <v>-7.2980916620789954E-4</v>
      </c>
      <c r="AF62" s="47">
        <v>29010351.65599075</v>
      </c>
      <c r="AG62" s="41">
        <v>20311027</v>
      </c>
      <c r="AH62" s="41">
        <v>20320127</v>
      </c>
      <c r="AI62" s="41">
        <v>20320127</v>
      </c>
      <c r="AJ62" s="43">
        <v>3.6388781512457107E-2</v>
      </c>
      <c r="AK62" s="47">
        <v>570538947.85162246</v>
      </c>
    </row>
    <row r="63" spans="1:37" x14ac:dyDescent="0.4">
      <c r="AB63" s="40">
        <v>20320127</v>
      </c>
      <c r="AC63" s="41">
        <v>20320427</v>
      </c>
      <c r="AD63" s="41">
        <v>20320427</v>
      </c>
      <c r="AE63" s="43">
        <v>-8.4477461256191044E-4</v>
      </c>
      <c r="AF63" s="47">
        <v>14363712.680638563</v>
      </c>
      <c r="AG63" s="41">
        <v>20320127</v>
      </c>
      <c r="AH63" s="41">
        <v>20320427</v>
      </c>
      <c r="AI63" s="41">
        <v>20320427</v>
      </c>
      <c r="AJ63" s="43">
        <v>3.6187348671031933E-2</v>
      </c>
      <c r="AK63" s="47">
        <v>562328627.84261978</v>
      </c>
    </row>
    <row r="64" spans="1:37" x14ac:dyDescent="0.4">
      <c r="AB64" s="40">
        <v>20320427</v>
      </c>
      <c r="AC64" s="41">
        <v>20320727</v>
      </c>
      <c r="AD64" s="41">
        <v>20320727</v>
      </c>
      <c r="AE64" s="43">
        <v>-9.6467088421910152E-4</v>
      </c>
      <c r="AF64" s="47">
        <v>0</v>
      </c>
      <c r="AG64" s="41">
        <v>20320427</v>
      </c>
      <c r="AH64" s="41">
        <v>20320727</v>
      </c>
      <c r="AI64" s="41">
        <v>20320727</v>
      </c>
      <c r="AJ64" s="43">
        <v>3.5979277536441624E-2</v>
      </c>
      <c r="AK64" s="47">
        <v>560253617.07574666</v>
      </c>
    </row>
    <row r="65" spans="28:37" x14ac:dyDescent="0.4">
      <c r="AB65" s="40">
        <v>20320727</v>
      </c>
      <c r="AC65" s="41">
        <v>20321027</v>
      </c>
      <c r="AD65" s="41">
        <v>20321027</v>
      </c>
      <c r="AE65" s="43">
        <v>-1.1016066459795457E-3</v>
      </c>
      <c r="AF65" s="47">
        <v>0</v>
      </c>
      <c r="AG65" s="41">
        <v>20320727</v>
      </c>
      <c r="AH65" s="41">
        <v>20321027</v>
      </c>
      <c r="AI65" s="41">
        <v>20321027</v>
      </c>
      <c r="AJ65" s="43">
        <v>3.576417068949235E-2</v>
      </c>
      <c r="AK65" s="47">
        <v>564241501.74611461</v>
      </c>
    </row>
    <row r="66" spans="28:37" x14ac:dyDescent="0.4">
      <c r="AB66" s="40">
        <v>20321027</v>
      </c>
      <c r="AC66" s="41">
        <v>20330127</v>
      </c>
      <c r="AD66" s="41">
        <v>20330127</v>
      </c>
      <c r="AE66" s="43">
        <v>-1.3352867461441098E-3</v>
      </c>
      <c r="AF66" s="47">
        <v>0</v>
      </c>
      <c r="AG66" s="41">
        <v>20321027</v>
      </c>
      <c r="AH66" s="41">
        <v>20330127</v>
      </c>
      <c r="AI66" s="41">
        <v>20330127</v>
      </c>
      <c r="AJ66" s="43">
        <v>3.5539597826480612E-2</v>
      </c>
      <c r="AK66" s="47">
        <v>561977315.07246208</v>
      </c>
    </row>
    <row r="67" spans="28:37" x14ac:dyDescent="0.4">
      <c r="AB67" s="40">
        <v>20330127</v>
      </c>
      <c r="AC67" s="41">
        <v>20330427</v>
      </c>
      <c r="AD67" s="41">
        <v>20330427</v>
      </c>
      <c r="AE67" s="43">
        <v>-1.6767340188683644E-3</v>
      </c>
      <c r="AF67" s="47">
        <v>0</v>
      </c>
      <c r="AG67" s="41">
        <v>20330127</v>
      </c>
      <c r="AH67" s="41">
        <v>20330427</v>
      </c>
      <c r="AI67" s="41">
        <v>20330427</v>
      </c>
      <c r="AJ67" s="43">
        <v>3.5303907688744397E-2</v>
      </c>
      <c r="AK67" s="47">
        <v>547435801.8615886</v>
      </c>
    </row>
    <row r="68" spans="28:37" x14ac:dyDescent="0.4">
      <c r="AB68" s="40">
        <v>20330427</v>
      </c>
      <c r="AC68" s="41">
        <v>20330727</v>
      </c>
      <c r="AD68" s="41">
        <v>20330727</v>
      </c>
      <c r="AE68" s="43">
        <v>-2.031703998038259E-3</v>
      </c>
      <c r="AF68" s="47">
        <v>0</v>
      </c>
      <c r="AG68" s="41">
        <v>20330427</v>
      </c>
      <c r="AH68" s="41">
        <v>20330727</v>
      </c>
      <c r="AI68" s="41">
        <v>20330727</v>
      </c>
      <c r="AJ68" s="43">
        <v>3.5066202621865307E-2</v>
      </c>
      <c r="AK68" s="47">
        <v>551147883.68106771</v>
      </c>
    </row>
    <row r="69" spans="28:37" x14ac:dyDescent="0.4">
      <c r="AB69" s="40">
        <v>20330727</v>
      </c>
      <c r="AC69" s="41">
        <v>20331027</v>
      </c>
      <c r="AD69" s="41">
        <v>20331027</v>
      </c>
      <c r="AE69" s="43">
        <v>-2.4041880259217385E-3</v>
      </c>
      <c r="AF69" s="47">
        <v>0</v>
      </c>
      <c r="AG69" s="41">
        <v>20330727</v>
      </c>
      <c r="AH69" s="41">
        <v>20331027</v>
      </c>
      <c r="AI69" s="41">
        <v>20331027</v>
      </c>
      <c r="AJ69" s="43">
        <v>3.4818557127676911E-2</v>
      </c>
      <c r="AK69" s="47">
        <v>554707644.46534526</v>
      </c>
    </row>
    <row r="70" spans="28:37" x14ac:dyDescent="0.4">
      <c r="AB70" s="40">
        <v>20331027</v>
      </c>
      <c r="AC70" s="41">
        <v>20340127</v>
      </c>
      <c r="AD70" s="41">
        <v>20340127</v>
      </c>
      <c r="AE70" s="43">
        <v>-2.7921102933798833E-3</v>
      </c>
      <c r="AF70" s="47">
        <v>0</v>
      </c>
      <c r="AG70" s="41">
        <v>20331027</v>
      </c>
      <c r="AH70" s="41">
        <v>20340127</v>
      </c>
      <c r="AI70" s="41">
        <v>20340127</v>
      </c>
      <c r="AJ70" s="43">
        <v>3.4560704861491674E-2</v>
      </c>
      <c r="AK70" s="47">
        <v>552107928.46654618</v>
      </c>
    </row>
    <row r="71" spans="28:37" x14ac:dyDescent="0.4">
      <c r="AB71" s="40">
        <v>20340127</v>
      </c>
      <c r="AC71" s="41">
        <v>20340427</v>
      </c>
      <c r="AD71" s="41">
        <v>20340427</v>
      </c>
      <c r="AE71" s="43">
        <v>-3.1888805874359105E-3</v>
      </c>
      <c r="AF71" s="47">
        <v>0</v>
      </c>
      <c r="AG71" s="41">
        <v>20340127</v>
      </c>
      <c r="AH71" s="41">
        <v>20340427</v>
      </c>
      <c r="AI71" s="41">
        <v>20340427</v>
      </c>
      <c r="AJ71" s="43">
        <v>3.4295336377193647E-2</v>
      </c>
      <c r="AK71" s="47">
        <v>537488249.19971812</v>
      </c>
    </row>
    <row r="72" spans="28:37" x14ac:dyDescent="0.4">
      <c r="AB72" s="40">
        <v>20340427</v>
      </c>
      <c r="AC72" s="41">
        <v>20340727</v>
      </c>
      <c r="AD72" s="41">
        <v>20340727</v>
      </c>
      <c r="AE72" s="43">
        <v>-3.5983430373345213E-3</v>
      </c>
      <c r="AF72" s="47">
        <v>0</v>
      </c>
      <c r="AG72" s="41">
        <v>20340427</v>
      </c>
      <c r="AH72" s="41">
        <v>20340727</v>
      </c>
      <c r="AI72" s="41">
        <v>20340727</v>
      </c>
      <c r="AJ72" s="43">
        <v>3.4026778136515549E-2</v>
      </c>
      <c r="AK72" s="47">
        <v>540782116.21073043</v>
      </c>
    </row>
    <row r="73" spans="28:37" x14ac:dyDescent="0.4">
      <c r="AB73" s="40">
        <v>20340727</v>
      </c>
      <c r="AC73" s="41">
        <v>20341027</v>
      </c>
      <c r="AD73" s="41">
        <v>20341027</v>
      </c>
      <c r="AE73" s="43">
        <v>-3.1925604913599359E-3</v>
      </c>
      <c r="AF73" s="47">
        <v>0</v>
      </c>
      <c r="AG73" s="41">
        <v>20340727</v>
      </c>
      <c r="AH73" s="41">
        <v>20341027</v>
      </c>
      <c r="AI73" s="41">
        <v>20341027</v>
      </c>
      <c r="AJ73" s="43">
        <v>3.3749634876060031E-2</v>
      </c>
      <c r="AK73" s="47">
        <v>543930565.32575595</v>
      </c>
    </row>
    <row r="74" spans="28:37" x14ac:dyDescent="0.4">
      <c r="AB74" s="40">
        <v>20341027</v>
      </c>
      <c r="AC74" s="41">
        <v>20350129</v>
      </c>
      <c r="AD74" s="41">
        <v>20350129</v>
      </c>
      <c r="AE74" s="43">
        <v>-2.5902924059412885E-3</v>
      </c>
      <c r="AF74" s="47">
        <v>0</v>
      </c>
      <c r="AG74" s="41">
        <v>20341027</v>
      </c>
      <c r="AH74" s="41">
        <v>20350129</v>
      </c>
      <c r="AI74" s="41">
        <v>20350129</v>
      </c>
      <c r="AJ74" s="43">
        <v>3.3486910053293628E-2</v>
      </c>
      <c r="AK74" s="47">
        <v>553048717.26132607</v>
      </c>
    </row>
    <row r="75" spans="28:37" x14ac:dyDescent="0.4">
      <c r="AB75" s="40">
        <v>20350129</v>
      </c>
      <c r="AC75" s="41">
        <v>20350427</v>
      </c>
      <c r="AD75" s="41">
        <v>20350427</v>
      </c>
      <c r="AE75" s="43">
        <v>-2.8745209064175159E-3</v>
      </c>
      <c r="AF75" s="47">
        <v>0</v>
      </c>
      <c r="AG75" s="41">
        <v>20350129</v>
      </c>
      <c r="AH75" s="41">
        <v>20350427</v>
      </c>
      <c r="AI75" s="41">
        <v>20350427</v>
      </c>
      <c r="AJ75" s="43">
        <v>3.3239888478898867E-2</v>
      </c>
      <c r="AK75" s="47">
        <v>515365499.85129869</v>
      </c>
    </row>
    <row r="76" spans="28:37" x14ac:dyDescent="0.4">
      <c r="AB76" s="40">
        <v>20350427</v>
      </c>
      <c r="AC76" s="41">
        <v>20350727</v>
      </c>
      <c r="AD76" s="41">
        <v>20350727</v>
      </c>
      <c r="AE76" s="43">
        <v>-3.1530530940285517E-3</v>
      </c>
      <c r="AF76" s="47">
        <v>40000000000</v>
      </c>
      <c r="AG76" s="41">
        <v>20350427</v>
      </c>
      <c r="AH76" s="41">
        <v>20350727</v>
      </c>
      <c r="AI76" s="41">
        <v>20350727</v>
      </c>
      <c r="AJ76" s="43">
        <v>3.3007136918541444E-2</v>
      </c>
      <c r="AK76" s="47">
        <v>40530613639.406822</v>
      </c>
    </row>
  </sheetData>
  <mergeCells count="158">
    <mergeCell ref="AY3:AZ3"/>
    <mergeCell ref="AY5:AZ5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J10:K10"/>
    <mergeCell ref="L10:M10"/>
    <mergeCell ref="AB6:AC6"/>
    <mergeCell ref="AD6:AE6"/>
    <mergeCell ref="AB3:AM4"/>
    <mergeCell ref="AB15:AF15"/>
    <mergeCell ref="AG15:AK15"/>
    <mergeCell ref="AB10:AC10"/>
    <mergeCell ref="AD10:AE10"/>
    <mergeCell ref="W3:X3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9:C34"/>
    <mergeCell ref="F31:G31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21:C23"/>
    <mergeCell ref="D18:E18"/>
    <mergeCell ref="F18:G18"/>
    <mergeCell ref="B16:C18"/>
    <mergeCell ref="D21:E21"/>
    <mergeCell ref="F21:G21"/>
    <mergeCell ref="D14:E14"/>
    <mergeCell ref="J14:K14"/>
    <mergeCell ref="L14:M14"/>
    <mergeCell ref="F16:G16"/>
    <mergeCell ref="D17:E17"/>
    <mergeCell ref="F17:G17"/>
    <mergeCell ref="J16:M16"/>
    <mergeCell ref="D22:E22"/>
    <mergeCell ref="F22:G22"/>
    <mergeCell ref="D16:E16"/>
    <mergeCell ref="H16:I16"/>
    <mergeCell ref="F36:G36"/>
    <mergeCell ref="D37:E37"/>
    <mergeCell ref="F37:G37"/>
    <mergeCell ref="D38:E38"/>
    <mergeCell ref="F38:G38"/>
    <mergeCell ref="L34:M34"/>
    <mergeCell ref="D23:E23"/>
    <mergeCell ref="F23:G23"/>
    <mergeCell ref="D29:E29"/>
    <mergeCell ref="F29:G29"/>
    <mergeCell ref="H37:I38"/>
    <mergeCell ref="J37:M38"/>
    <mergeCell ref="D32:E32"/>
    <mergeCell ref="F32:G32"/>
    <mergeCell ref="H32:M32"/>
    <mergeCell ref="J31:K31"/>
    <mergeCell ref="L31:M31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H13:I14"/>
    <mergeCell ref="H12:M12"/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  <mergeCell ref="F10:G10"/>
    <mergeCell ref="D13:E13"/>
  </mergeCells>
  <phoneticPr fontId="2" type="noConversion"/>
  <dataValidations count="3">
    <dataValidation type="list" allowBlank="1" showInputMessage="1" showErrorMessage="1" sqref="H3:I3" xr:uid="{0CB04459-C02A-4D36-89FF-2A85A8C886B1}">
      <formula1>$BA$4:$BC$4</formula1>
    </dataValidation>
    <dataValidation type="list" allowBlank="1" showInputMessage="1" showErrorMessage="1" sqref="D48" xr:uid="{B46D66B1-7BC3-43DD-9152-C6DD158C9A55}">
      <formula1>$BA$8:$BB$8</formula1>
    </dataValidation>
    <dataValidation type="list" allowBlank="1" showInputMessage="1" showErrorMessage="1" sqref="F9:G9 F29:G29" xr:uid="{17C9B613-1927-4753-B1F8-FC6812395E47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2026-05-25T12:39:14Z</dcterms:modified>
</cp:coreProperties>
</file>