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B271B7DD-DF18-4BCB-A84C-FBB4025E2EB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스케줄생성기" sheetId="2" r:id="rId1"/>
    <sheet name="IRSwap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9" i="1" l="1"/>
  <c r="AA8" i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W11" i="1" l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D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  <author>임대선</author>
  </authors>
  <commentList>
    <comment ref="P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AL10" authorId="2" shapeId="0" xr:uid="{F539D755-AAE1-4A6D-9D84-23CA185A3C85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P11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1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1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1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기입
</t>
        </r>
        <r>
          <rPr>
            <b/>
            <sz val="9"/>
            <color indexed="81"/>
            <rFont val="Tahoma"/>
            <family val="2"/>
          </rPr>
          <t>Bond Total Return Swap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 %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Z18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BF999804-C478-4BF3-B1DA-5E1BE3888A5C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기입
</t>
        </r>
        <r>
          <rPr>
            <b/>
            <sz val="9"/>
            <color indexed="81"/>
            <rFont val="Tahoma"/>
            <family val="2"/>
          </rPr>
          <t>Bond Total Return Swap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 %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<sst xmlns="http://schemas.openxmlformats.org/spreadsheetml/2006/main" count="149" uniqueCount="86">
  <si>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</si>
  <si>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</si>
  <si>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</si>
  <si>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</si>
  <si>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</si>
  <si>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</si>
  <si>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</si>
  <si>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</si>
  <si>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</si>
  <si>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</si>
  <si>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</si>
  <si>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</si>
  <si>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</si>
  <si>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</si>
  <si>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</si>
  <si>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</si>
  <si>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</si>
  <si>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</si>
  <si>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</si>
  <si>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</si>
  <si>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</si>
  <si>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</si>
  <si>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</si>
  <si>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</si>
  <si>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</si>
  <si>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</si>
  <si>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</si>
  <si>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</si>
  <si>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</si>
  <si>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</si>
  <si>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</si>
  <si>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</si>
  <si>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</si>
  <si>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</si>
  <si>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</si>
  <si>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</si>
  <si>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</si>
  <si>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</si>
  <si>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</si>
  <si>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</si>
  <si>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</si>
  <si>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</si>
  <si>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</si>
  <si>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</si>
  <si>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</si>
  <si>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</si>
  <si>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</si>
  <si>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</si>
  <si>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</si>
  <si>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</si>
  <si>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</si>
  <si>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</si>
  <si>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</si>
  <si>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</si>
  <si>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</si>
  <si>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</si>
  <si>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</si>
  <si>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</si>
  <si>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</si>
  <si>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</si>
  <si>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</si>
  <si>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</si>
  <si>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</si>
  <si>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</si>
  <si>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</si>
  <si>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</si>
  <si>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</si>
  <si>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</si>
  <si>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</si>
  <si>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</si>
  <si>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</si>
  <si>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</si>
  <si>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</si>
  <si>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</si>
  <si>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</si>
  <si>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</si>
  <si>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</si>
  <si>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</si>
  <si>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</si>
  <si>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</si>
  <si>
    <t>Debug</t>
    <phoneticPr fontId="2" type="noConversion"/>
  </si>
  <si>
    <t>기초채권 발행일</t>
    <phoneticPr fontId="2" type="noConversion"/>
  </si>
  <si>
    <t>기초채권쿠폰</t>
    <phoneticPr fontId="2" type="noConversion"/>
  </si>
  <si>
    <t>기초채권 만기일</t>
    <phoneticPr fontId="2" type="noConversion"/>
  </si>
  <si>
    <t>기초채권 DayCount</t>
    <phoneticPr fontId="2" type="noConversion"/>
  </si>
  <si>
    <t>기초채권정보(Bond Return Swap의 경우 입력)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</si>
</sst>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16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0" fontId="11" fillId="2" borderId="0" xfId="0" applyNumberFormat="1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"/>
  <sheetViews>
    <sheetView workbookViewId="0">
      <selection activeCell="C9" sqref="C9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2" spans="1:14" x14ac:dyDescent="0.4">
      <c r="B2" s="56" t="s">
        <v>80</v>
      </c>
      <c r="C2" s="57">
        <v>0</v>
      </c>
    </row>
    <row r="4" spans="1:14" x14ac:dyDescent="0.4">
      <c r="B4" s="58" t="s">
        <v>18</v>
      </c>
      <c r="C4" s="58"/>
      <c r="D4" s="58" t="s">
        <v>75</v>
      </c>
      <c r="E4" s="58"/>
    </row>
    <row r="5" spans="1:14" x14ac:dyDescent="0.4">
      <c r="B5" s="58"/>
      <c r="C5" s="58"/>
      <c r="D5" s="58"/>
      <c r="E5" s="58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U3443"/>
  <sheetViews>
    <sheetView tabSelected="1" zoomScale="85" zoomScaleNormal="85" workbookViewId="0">
      <selection activeCell="F19" sqref="F19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56" t="s">
        <v>80</v>
      </c>
      <c r="C2" s="57">
        <v>0</v>
      </c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6" t="s">
        <v>12</v>
      </c>
      <c r="C3" s="66"/>
      <c r="D3" s="61">
        <v>44848</v>
      </c>
      <c r="E3" s="62"/>
      <c r="F3" s="66" t="s">
        <v>39</v>
      </c>
      <c r="G3" s="66"/>
      <c r="H3" s="62">
        <v>0</v>
      </c>
      <c r="I3" s="62"/>
      <c r="J3" s="66" t="s">
        <v>44</v>
      </c>
      <c r="K3" s="66"/>
      <c r="L3" s="62">
        <v>0</v>
      </c>
      <c r="M3" s="62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8" t="s">
        <v>18</v>
      </c>
      <c r="C4" s="58"/>
      <c r="D4" s="58"/>
      <c r="E4" s="58"/>
      <c r="F4" s="58"/>
      <c r="G4" s="58"/>
      <c r="H4" s="58"/>
      <c r="I4" s="58"/>
      <c r="J4" s="58"/>
      <c r="K4" s="58"/>
      <c r="L4" s="3"/>
      <c r="M4" s="68" t="s">
        <v>70</v>
      </c>
      <c r="N4" s="68"/>
      <c r="P4" s="65" t="s">
        <v>65</v>
      </c>
      <c r="Q4" s="65"/>
      <c r="R4" s="3"/>
      <c r="S4" s="3"/>
      <c r="U4" s="58" t="s">
        <v>21</v>
      </c>
      <c r="V4" s="58"/>
      <c r="W4" s="58"/>
      <c r="X4" s="58"/>
      <c r="Y4" s="58"/>
      <c r="Z4" s="58"/>
      <c r="AA4" s="58"/>
      <c r="AB4" s="58"/>
      <c r="AC4" s="58"/>
      <c r="AD4" s="58"/>
      <c r="AE4" s="3"/>
      <c r="AF4" s="68" t="s">
        <v>70</v>
      </c>
      <c r="AG4" s="68"/>
      <c r="AI4" s="65" t="s">
        <v>65</v>
      </c>
      <c r="AJ4" s="65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8"/>
      <c r="V5" s="58"/>
      <c r="W5" s="58"/>
      <c r="X5" s="58"/>
      <c r="Y5" s="58"/>
      <c r="Z5" s="58"/>
      <c r="AA5" s="58"/>
      <c r="AB5" s="58"/>
      <c r="AC5" s="58"/>
      <c r="AD5" s="58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9" t="s">
        <v>10</v>
      </c>
      <c r="C6" s="60"/>
      <c r="D6" s="62">
        <v>-1</v>
      </c>
      <c r="E6" s="62"/>
      <c r="F6" s="59" t="s">
        <v>17</v>
      </c>
      <c r="G6" s="59"/>
      <c r="H6" s="59" t="s">
        <v>1</v>
      </c>
      <c r="I6" s="60"/>
      <c r="J6" s="62">
        <v>4</v>
      </c>
      <c r="K6" s="62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59" t="s">
        <v>10</v>
      </c>
      <c r="V6" s="60"/>
      <c r="W6" s="62">
        <v>0</v>
      </c>
      <c r="X6" s="62"/>
      <c r="Y6" s="59" t="s">
        <v>17</v>
      </c>
      <c r="Z6" s="59"/>
      <c r="AA6" s="59" t="s">
        <v>1</v>
      </c>
      <c r="AB6" s="60"/>
      <c r="AC6" s="62"/>
      <c r="AD6" s="62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59" t="s">
        <v>85</v>
      </c>
      <c r="AM6" s="59"/>
      <c r="AN6" s="59"/>
      <c r="AO6" s="59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9" t="s">
        <v>11</v>
      </c>
      <c r="C7" s="60"/>
      <c r="D7" s="62">
        <v>1</v>
      </c>
      <c r="E7" s="62"/>
      <c r="F7" s="59"/>
      <c r="G7" s="59"/>
      <c r="H7" s="59" t="s">
        <v>2</v>
      </c>
      <c r="I7" s="60"/>
      <c r="J7" s="62">
        <v>10</v>
      </c>
      <c r="K7" s="62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59" t="s">
        <v>11</v>
      </c>
      <c r="V7" s="60"/>
      <c r="W7" s="62">
        <v>1</v>
      </c>
      <c r="X7" s="62"/>
      <c r="Y7" s="59"/>
      <c r="Z7" s="59"/>
      <c r="AA7" s="59" t="s">
        <v>2</v>
      </c>
      <c r="AB7" s="60"/>
      <c r="AC7" s="62"/>
      <c r="AD7" s="62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59" t="s">
        <v>82</v>
      </c>
      <c r="AM7" s="60"/>
      <c r="AN7" s="64">
        <v>4.2000000000000003E-2</v>
      </c>
      <c r="AO7" s="62"/>
      <c r="AP7" s="3"/>
      <c r="AR7" s="73" t="s">
        <v>25</v>
      </c>
      <c r="AS7" s="73"/>
      <c r="AT7" s="73"/>
      <c r="AU7" s="73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9" t="s">
        <v>0</v>
      </c>
      <c r="C8" s="60"/>
      <c r="D8" s="62">
        <v>0</v>
      </c>
      <c r="E8" s="62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9" t="s">
        <v>0</v>
      </c>
      <c r="V8" s="60"/>
      <c r="W8" s="62">
        <v>3</v>
      </c>
      <c r="X8" s="62"/>
      <c r="Z8" s="3"/>
      <c r="AA8" s="59" t="str">
        <f>IF(W6&lt;0,기초채권 쿠폰,"")</f>
        <v/>
      </c>
      <c r="AB8" s="60"/>
      <c r="AC8" s="64">
        <v>3.5000000000000003E-2</v>
      </c>
      <c r="AD8" s="62"/>
      <c r="AE8" s="3"/>
      <c r="AF8" s="1">
        <v>0.25</v>
      </c>
      <c r="AG8" s="2">
        <v>8.261000000000001E-3</v>
      </c>
      <c r="AI8" s="3"/>
      <c r="AJ8" s="3"/>
      <c r="AK8" s="3"/>
      <c r="AL8" s="59" t="s">
        <v>81</v>
      </c>
      <c r="AM8" s="60"/>
      <c r="AN8" s="61">
        <v>44009</v>
      </c>
      <c r="AO8" s="62"/>
      <c r="AP8" s="3"/>
      <c r="AR8" s="75" t="s">
        <v>26</v>
      </c>
      <c r="AS8" s="76"/>
      <c r="AT8" s="77">
        <v>1</v>
      </c>
      <c r="AU8" s="77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59" t="str">
        <f>IF(W6&lt;0,기초채권 발행일,"")</f>
        <v/>
      </c>
      <c r="AB9" s="60"/>
      <c r="AC9" s="61">
        <v>44009</v>
      </c>
      <c r="AD9" s="62"/>
      <c r="AE9" s="3"/>
      <c r="AF9" s="1">
        <v>0.5</v>
      </c>
      <c r="AG9" s="2">
        <v>8.3499999999999998E-3</v>
      </c>
      <c r="AI9" s="3"/>
      <c r="AJ9" s="3"/>
      <c r="AK9" s="3"/>
      <c r="AL9" s="59" t="s">
        <v>83</v>
      </c>
      <c r="AM9" s="60"/>
      <c r="AN9" s="61">
        <v>47661</v>
      </c>
      <c r="AO9" s="62"/>
      <c r="AP9" s="3"/>
      <c r="AR9" s="78" t="s">
        <v>27</v>
      </c>
      <c r="AS9" s="78"/>
      <c r="AT9" s="79">
        <v>0</v>
      </c>
      <c r="AU9" s="79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66" t="s">
        <v>9</v>
      </c>
      <c r="C10" s="66"/>
      <c r="D10" s="62">
        <v>10000000000</v>
      </c>
      <c r="E10" s="62"/>
      <c r="F10" s="38" t="str">
        <f>IF(AP16=1,"x Rcv FX","원")</f>
        <v>원</v>
      </c>
      <c r="G10" s="3"/>
      <c r="H10" s="3"/>
      <c r="I10" s="3"/>
      <c r="J10" s="66" t="s">
        <v>69</v>
      </c>
      <c r="K10" s="66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66" t="s">
        <v>9</v>
      </c>
      <c r="V10" s="66"/>
      <c r="W10" s="62">
        <v>10000000000</v>
      </c>
      <c r="X10" s="62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59" t="s">
        <v>84</v>
      </c>
      <c r="AM10" s="60"/>
      <c r="AN10" s="63">
        <v>0</v>
      </c>
      <c r="AO10" s="63"/>
      <c r="AP10" s="3"/>
      <c r="AR10" s="78" t="s">
        <v>28</v>
      </c>
      <c r="AS10" s="78"/>
      <c r="AT10" s="80">
        <v>2024021761.575048</v>
      </c>
      <c r="AU10" s="80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66" t="s">
        <v>20</v>
      </c>
      <c r="C11" s="66"/>
      <c r="D11" s="61">
        <f>K59</f>
        <v>46825</v>
      </c>
      <c r="E11" s="62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5" t="s">
        <v>57</v>
      </c>
      <c r="Q11" s="65"/>
      <c r="R11" s="3"/>
      <c r="S11" s="3"/>
      <c r="U11" s="66" t="s">
        <v>20</v>
      </c>
      <c r="V11" s="66"/>
      <c r="W11" s="61">
        <f>AD59</f>
        <v>46822</v>
      </c>
      <c r="X11" s="62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5" t="s">
        <v>58</v>
      </c>
      <c r="AJ11" s="65"/>
      <c r="AK11" s="3"/>
      <c r="AL11" s="3"/>
      <c r="AN11" s="3"/>
      <c r="AO11" s="3"/>
      <c r="AP11" s="3"/>
      <c r="AR11" s="78" t="s">
        <v>29</v>
      </c>
      <c r="AS11" s="78"/>
      <c r="AT11" s="80">
        <v>1939264156.4362545</v>
      </c>
      <c r="AU11" s="80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8" t="s">
        <v>74</v>
      </c>
      <c r="AS12" s="78"/>
      <c r="AT12" s="80">
        <f>AT10-AT11</f>
        <v>84757605.138793468</v>
      </c>
      <c r="AU12" s="80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3" t="s">
        <v>45</v>
      </c>
      <c r="AS14" s="73"/>
      <c r="AT14" s="73"/>
      <c r="AU14" s="73"/>
      <c r="AV14" s="73" t="s">
        <v>46</v>
      </c>
      <c r="AW14" s="73"/>
      <c r="AX14" s="73"/>
      <c r="AY14" s="73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5" t="s">
        <v>51</v>
      </c>
      <c r="AO15" s="65"/>
      <c r="AP15" s="65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82" t="s">
        <v>36</v>
      </c>
      <c r="BB15" s="82"/>
      <c r="BC15" s="82"/>
      <c r="BD15" s="82"/>
      <c r="BE15" s="82"/>
      <c r="BF15" s="82"/>
      <c r="BG15" s="82"/>
      <c r="BH15" s="82"/>
      <c r="BJ15" s="82" t="s">
        <v>37</v>
      </c>
      <c r="BK15" s="82"/>
      <c r="BL15" s="82"/>
      <c r="BM15" s="82"/>
      <c r="BN15" s="82"/>
      <c r="BO15" s="82"/>
      <c r="BP15" s="82"/>
      <c r="BQ15" s="82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8" t="s">
        <v>63</v>
      </c>
      <c r="S16" s="68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8" t="s">
        <v>64</v>
      </c>
      <c r="AL16" s="68"/>
      <c r="AM16" s="22"/>
      <c r="AN16" s="74" t="s">
        <v>52</v>
      </c>
      <c r="AO16" s="74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82"/>
      <c r="BB16" s="82"/>
      <c r="BC16" s="82"/>
      <c r="BD16" s="82"/>
      <c r="BE16" s="82"/>
      <c r="BF16" s="82"/>
      <c r="BG16" s="82"/>
      <c r="BH16" s="82"/>
      <c r="BJ16" s="82"/>
      <c r="BK16" s="82"/>
      <c r="BL16" s="82"/>
      <c r="BM16" s="82"/>
      <c r="BN16" s="82"/>
      <c r="BO16" s="82"/>
      <c r="BP16" s="82"/>
      <c r="BQ16" s="82"/>
    </row>
    <row r="17" spans="1:69" ht="15.6" customHeight="1" x14ac:dyDescent="0.4">
      <c r="A17" s="3">
        <f t="shared" si="2"/>
        <v>17</v>
      </c>
      <c r="B17" s="65" t="s">
        <v>3</v>
      </c>
      <c r="C17" s="65"/>
      <c r="D17" s="65"/>
      <c r="E17" s="65"/>
      <c r="G17" s="65" t="s">
        <v>19</v>
      </c>
      <c r="H17" s="65"/>
      <c r="I17" s="65"/>
      <c r="J17" s="65"/>
      <c r="K17" s="3"/>
      <c r="L17" s="3"/>
      <c r="M17" s="3"/>
      <c r="N17" s="3"/>
      <c r="P17" s="23" t="s">
        <v>56</v>
      </c>
      <c r="Q17" s="26">
        <v>0</v>
      </c>
      <c r="R17" s="68"/>
      <c r="S17" s="68"/>
      <c r="U17" s="65" t="s">
        <v>24</v>
      </c>
      <c r="V17" s="65"/>
      <c r="W17" s="65"/>
      <c r="X17" s="65"/>
      <c r="Z17" s="65" t="s">
        <v>23</v>
      </c>
      <c r="AA17" s="65"/>
      <c r="AB17" s="65"/>
      <c r="AC17" s="65"/>
      <c r="AD17" s="3"/>
      <c r="AE17" s="3"/>
      <c r="AF17" s="3"/>
      <c r="AG17" s="3"/>
      <c r="AI17" s="23" t="s">
        <v>47</v>
      </c>
      <c r="AJ17" s="26">
        <v>0</v>
      </c>
      <c r="AK17" s="68"/>
      <c r="AL17" s="68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8" t="s">
        <v>4</v>
      </c>
      <c r="C18" s="68"/>
      <c r="D18" s="68" t="s">
        <v>5</v>
      </c>
      <c r="E18" s="68"/>
      <c r="G18" s="67" t="s">
        <v>13</v>
      </c>
      <c r="H18" s="67" t="s">
        <v>14</v>
      </c>
      <c r="I18" s="67" t="s">
        <v>6</v>
      </c>
      <c r="J18" s="67" t="s">
        <v>7</v>
      </c>
      <c r="K18" s="67" t="s">
        <v>8</v>
      </c>
      <c r="L18" s="67" t="s">
        <v>15</v>
      </c>
      <c r="M18" s="67" t="s">
        <v>22</v>
      </c>
      <c r="N18" s="67" t="s">
        <v>16</v>
      </c>
      <c r="P18" s="68" t="s">
        <v>60</v>
      </c>
      <c r="Q18" s="72"/>
      <c r="R18" s="71" t="s">
        <v>61</v>
      </c>
      <c r="S18" s="71" t="s">
        <v>62</v>
      </c>
      <c r="U18" s="68" t="s">
        <v>4</v>
      </c>
      <c r="V18" s="68"/>
      <c r="W18" s="68" t="s">
        <v>5</v>
      </c>
      <c r="X18" s="68"/>
      <c r="Z18" s="67" t="s">
        <v>13</v>
      </c>
      <c r="AA18" s="67" t="s">
        <v>14</v>
      </c>
      <c r="AB18" s="67" t="s">
        <v>6</v>
      </c>
      <c r="AC18" s="67" t="s">
        <v>7</v>
      </c>
      <c r="AD18" s="67" t="s">
        <v>8</v>
      </c>
      <c r="AE18" s="67" t="s">
        <v>15</v>
      </c>
      <c r="AF18" s="67" t="s">
        <v>22</v>
      </c>
      <c r="AG18" s="67" t="s">
        <v>16</v>
      </c>
      <c r="AI18" s="68" t="s">
        <v>60</v>
      </c>
      <c r="AJ18" s="39"/>
      <c r="AK18" s="71" t="s">
        <v>61</v>
      </c>
      <c r="AL18" s="71" t="s">
        <v>62</v>
      </c>
      <c r="AM18" s="22"/>
      <c r="AN18" s="74" t="s">
        <v>53</v>
      </c>
      <c r="AO18" s="74"/>
      <c r="AP18" s="74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9" t="s">
        <v>33</v>
      </c>
      <c r="BB18" s="69"/>
      <c r="BD18" s="69" t="s">
        <v>34</v>
      </c>
      <c r="BE18" s="69"/>
      <c r="BG18" s="69" t="s">
        <v>35</v>
      </c>
      <c r="BH18" s="69"/>
      <c r="BJ18" s="69" t="s">
        <v>33</v>
      </c>
      <c r="BK18" s="69"/>
      <c r="BM18" s="69" t="s">
        <v>34</v>
      </c>
      <c r="BN18" s="69"/>
      <c r="BP18" s="69" t="s">
        <v>35</v>
      </c>
      <c r="BQ18" s="69"/>
    </row>
    <row r="19" spans="1:69" ht="16.2" customHeight="1" thickBot="1" x14ac:dyDescent="0.45">
      <c r="A19" s="3">
        <f t="shared" si="2"/>
        <v>19</v>
      </c>
      <c r="B19" s="68"/>
      <c r="C19" s="68"/>
      <c r="D19" s="68"/>
      <c r="E19" s="68"/>
      <c r="G19" s="67"/>
      <c r="H19" s="67"/>
      <c r="I19" s="67"/>
      <c r="J19" s="67"/>
      <c r="K19" s="67"/>
      <c r="L19" s="67"/>
      <c r="M19" s="67"/>
      <c r="N19" s="67"/>
      <c r="O19" s="27"/>
      <c r="P19" s="68"/>
      <c r="Q19" s="72"/>
      <c r="R19" s="71"/>
      <c r="S19" s="71"/>
      <c r="U19" s="68"/>
      <c r="V19" s="68"/>
      <c r="W19" s="68"/>
      <c r="X19" s="68"/>
      <c r="Z19" s="67"/>
      <c r="AA19" s="67"/>
      <c r="AB19" s="67"/>
      <c r="AC19" s="67"/>
      <c r="AD19" s="67"/>
      <c r="AE19" s="67"/>
      <c r="AF19" s="67"/>
      <c r="AG19" s="67"/>
      <c r="AI19" s="68"/>
      <c r="AJ19" s="39"/>
      <c r="AK19" s="71"/>
      <c r="AL19" s="71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70"/>
      <c r="BB19" s="70"/>
      <c r="BD19" s="70"/>
      <c r="BE19" s="70"/>
      <c r="BG19" s="70"/>
      <c r="BH19" s="70"/>
      <c r="BJ19" s="70"/>
      <c r="BK19" s="70"/>
      <c r="BM19" s="70"/>
      <c r="BN19" s="70"/>
      <c r="BP19" s="70"/>
      <c r="BQ19" s="70"/>
    </row>
    <row r="20" spans="1:69" ht="15.6" customHeight="1" x14ac:dyDescent="0.35">
      <c r="A20" s="3">
        <f t="shared" si="2"/>
        <v>20</v>
      </c>
      <c r="B20" s="54">
        <v>44849</v>
      </c>
      <c r="C20" s="2">
        <v>3.1519999999999992E-2</v>
      </c>
      <c r="D20" s="54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4">
        <v>44939</v>
      </c>
      <c r="V20" s="2">
        <v>4.2140000000000004E-2</v>
      </c>
      <c r="W20" s="54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44939</v>
      </c>
      <c r="C21" s="2">
        <v>3.261E-2</v>
      </c>
      <c r="D21" s="54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4">
        <v>45030</v>
      </c>
      <c r="V21" s="2">
        <v>4.5100000000000001E-2</v>
      </c>
      <c r="W21" s="54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45030</v>
      </c>
      <c r="C22" s="2">
        <v>3.3500000000000002E-2</v>
      </c>
      <c r="D22" s="54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4">
        <v>45213</v>
      </c>
      <c r="V22" s="2">
        <v>4.8210000000000003E-2</v>
      </c>
      <c r="W22" s="54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81" t="s">
        <v>38</v>
      </c>
      <c r="BB22" s="81"/>
      <c r="BD22" s="81" t="s">
        <v>38</v>
      </c>
      <c r="BE22" s="81"/>
      <c r="BG22" s="81" t="s">
        <v>38</v>
      </c>
      <c r="BH22" s="81"/>
      <c r="BJ22" s="81" t="s">
        <v>38</v>
      </c>
      <c r="BK22" s="81"/>
      <c r="BM22" s="81" t="s">
        <v>38</v>
      </c>
      <c r="BN22" s="81"/>
      <c r="BP22" s="81" t="s">
        <v>38</v>
      </c>
      <c r="BQ22" s="81"/>
    </row>
    <row r="23" spans="1:69" x14ac:dyDescent="0.35">
      <c r="A23" s="3">
        <f t="shared" si="2"/>
        <v>23</v>
      </c>
      <c r="B23" s="54">
        <v>45213</v>
      </c>
      <c r="C23" s="2">
        <v>3.4509999999999999E-2</v>
      </c>
      <c r="D23" s="54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4">
        <v>45578</v>
      </c>
      <c r="V23" s="2">
        <v>4.7410000000000001E-2</v>
      </c>
      <c r="W23" s="54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45395</v>
      </c>
      <c r="C24" s="2">
        <v>3.9999999999999994E-2</v>
      </c>
      <c r="D24" s="54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4">
        <v>45943</v>
      </c>
      <c r="V24" s="2">
        <v>4.727E-2</v>
      </c>
      <c r="W24" s="54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4">
        <v>45578</v>
      </c>
      <c r="C25" s="2">
        <v>4.222999999999999E-2</v>
      </c>
      <c r="D25" s="54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4">
        <v>46673</v>
      </c>
      <c r="V25" s="2">
        <v>4.5089999999999998E-2</v>
      </c>
      <c r="W25" s="54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4">
        <v>45943</v>
      </c>
      <c r="C26" s="2">
        <v>4.2499999999999996E-2</v>
      </c>
      <c r="D26" s="54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4">
        <v>47403</v>
      </c>
      <c r="V26" s="2">
        <v>4.4120000000000006E-2</v>
      </c>
      <c r="W26" s="54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4">
        <v>46308</v>
      </c>
      <c r="C27" s="2">
        <v>4.3450000000000003E-2</v>
      </c>
      <c r="D27" s="54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4">
        <v>48498</v>
      </c>
      <c r="V27" s="2">
        <v>4.2840000000000003E-2</v>
      </c>
      <c r="W27" s="54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4">
        <v>46673</v>
      </c>
      <c r="C28" s="2">
        <v>4.2889999999999998E-2</v>
      </c>
      <c r="D28" s="54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4">
        <v>52148</v>
      </c>
      <c r="V28" s="52">
        <v>4.5839999999999999E-2</v>
      </c>
      <c r="W28" s="54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4">
        <v>48498</v>
      </c>
      <c r="C29" s="2">
        <v>4.274E-2</v>
      </c>
      <c r="D29" s="54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4">
        <v>55798</v>
      </c>
      <c r="V29" s="52">
        <v>4.684E-2</v>
      </c>
      <c r="W29" s="54">
        <v>55798</v>
      </c>
      <c r="X29" s="52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4">
        <v>52148</v>
      </c>
      <c r="C30" s="2">
        <v>4.1399999999999992E-2</v>
      </c>
      <c r="D30" s="54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4"/>
      <c r="V30" s="52"/>
      <c r="W30" s="54"/>
      <c r="X30" s="52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4">
        <v>55798</v>
      </c>
      <c r="C31" s="52">
        <v>4.0489999999999998E-2</v>
      </c>
      <c r="D31" s="54">
        <v>55798</v>
      </c>
      <c r="E31" s="52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4"/>
      <c r="V31" s="52"/>
      <c r="W31" s="54"/>
      <c r="X31" s="52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4"/>
      <c r="C32" s="52"/>
      <c r="D32" s="54"/>
      <c r="E32" s="52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4"/>
      <c r="V32" s="52"/>
      <c r="W32" s="54"/>
      <c r="X32" s="52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4"/>
      <c r="C33" s="52"/>
      <c r="D33" s="54"/>
      <c r="E33" s="52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4"/>
      <c r="V33" s="52"/>
      <c r="W33" s="54"/>
      <c r="X33" s="52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5.6935974641336706E-4</v>
      </c>
      <c r="AT34" s="18">
        <v>5693597.4641336706</v>
      </c>
      <c r="AU34" s="16">
        <v>0.99471518299141526</v>
      </c>
      <c r="AV34" s="13">
        <v>44907</v>
      </c>
      <c r="AW34" s="15">
        <v>4.2246080912810235E-2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8.0250339973988449E-3</v>
      </c>
      <c r="AT35" s="18">
        <v>80250339.973988444</v>
      </c>
      <c r="AU35" s="16">
        <v>0.9864540763575611</v>
      </c>
      <c r="AV35" s="13">
        <v>44995</v>
      </c>
      <c r="AW35" s="15">
        <v>4.3811742774280127E-2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8.891718360041212E-3</v>
      </c>
      <c r="AT36" s="18">
        <v>88917183.600412115</v>
      </c>
      <c r="AU36" s="16">
        <v>0.97781917932201756</v>
      </c>
      <c r="AV36" s="13">
        <v>45089</v>
      </c>
      <c r="AW36" s="15">
        <v>5.1267119703966912E-2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8.8136531323994571E-3</v>
      </c>
      <c r="AT37" s="18">
        <v>88136531.323994577</v>
      </c>
      <c r="AU37" s="16">
        <v>0.96916215591591881</v>
      </c>
      <c r="AV37" s="13">
        <v>45180</v>
      </c>
      <c r="AW37" s="15">
        <v>5.1937392598908616E-2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>
        <v>1</v>
      </c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1.0929170475484584E-2</v>
      </c>
      <c r="AT38" s="18">
        <v>109291704.75484584</v>
      </c>
      <c r="AU38" s="16">
        <v>0.95872046198023675</v>
      </c>
      <c r="AV38" s="13">
        <v>45271</v>
      </c>
      <c r="AW38" s="15">
        <v>4.9836995562599462E-2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1.3225817274283846E-2</v>
      </c>
      <c r="AT39" s="18">
        <v>132258172.74283846</v>
      </c>
      <c r="AU39" s="16">
        <v>0.94641284568994732</v>
      </c>
      <c r="AV39" s="13">
        <v>45362</v>
      </c>
      <c r="AW39" s="15">
        <v>4.710283038965013E-2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1.2783302879969316E-2</v>
      </c>
      <c r="AT40" s="18">
        <v>127833028.79969317</v>
      </c>
      <c r="AU40" s="16">
        <v>0.93462992294396896</v>
      </c>
      <c r="AV40" s="13">
        <v>45453</v>
      </c>
      <c r="AW40" s="15">
        <v>4.6700354673409272E-2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1.2571234404374909E-2</v>
      </c>
      <c r="AT41" s="18">
        <v>125712344.04374909</v>
      </c>
      <c r="AU41" s="16">
        <v>0.92310532433684722</v>
      </c>
      <c r="AV41" s="13">
        <v>45545</v>
      </c>
      <c r="AW41" s="15">
        <v>4.6807417094750114E-2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1.1466339564527583E-2</v>
      </c>
      <c r="AT42" s="18">
        <v>114663395.64527583</v>
      </c>
      <c r="AU42" s="16">
        <v>0.91267031751910499</v>
      </c>
      <c r="AV42" s="13">
        <v>45636</v>
      </c>
      <c r="AW42" s="15">
        <v>4.6807270987462068E-2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1.0607584285031946E-2</v>
      </c>
      <c r="AT43" s="18">
        <v>106075842.85031946</v>
      </c>
      <c r="AU43" s="16">
        <v>0.90306158465581365</v>
      </c>
      <c r="AV43" s="13">
        <v>45726</v>
      </c>
      <c r="AW43" s="15">
        <v>4.6676691151594341E-2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1.0880521845139768E-2</v>
      </c>
      <c r="AT44" s="18">
        <v>108805218.45139767</v>
      </c>
      <c r="AU44" s="16">
        <v>0.89331356111338067</v>
      </c>
      <c r="AV44" s="13">
        <v>45818</v>
      </c>
      <c r="AW44" s="15">
        <v>4.7648893013422011E-2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1.0935206077309356E-2</v>
      </c>
      <c r="AT45" s="18">
        <v>109352060.77309357</v>
      </c>
      <c r="AU45" s="16">
        <v>0.88364044616574222</v>
      </c>
      <c r="AV45" s="13">
        <v>45910</v>
      </c>
      <c r="AW45" s="15">
        <v>4.757689062089554E-2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1.1208987073500376E-2</v>
      </c>
      <c r="AT46" s="18">
        <v>112089870.73500375</v>
      </c>
      <c r="AU46" s="16">
        <v>0.87384228615065296</v>
      </c>
      <c r="AV46" s="13">
        <v>46001</v>
      </c>
      <c r="AW46" s="15">
        <v>4.505649356562369E-2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1.1385058497758394E-2</v>
      </c>
      <c r="AT47" s="18">
        <v>113850584.97758393</v>
      </c>
      <c r="AU47" s="16">
        <v>0.86400990123715893</v>
      </c>
      <c r="AV47" s="13">
        <v>46091</v>
      </c>
      <c r="AW47" s="15">
        <v>4.3020206089005697E-2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1.1755171157074695E-2</v>
      </c>
      <c r="AT48" s="18">
        <v>117551711.57074696</v>
      </c>
      <c r="AU48" s="16">
        <v>0.85397138883451529</v>
      </c>
      <c r="AV48" s="13">
        <v>46183</v>
      </c>
      <c r="AW48" s="15">
        <v>4.3427486270959825E-2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1.1895960428637942E-2</v>
      </c>
      <c r="AT49" s="18">
        <v>118959604.28637941</v>
      </c>
      <c r="AU49" s="16">
        <v>0.84394762991137162</v>
      </c>
      <c r="AV49" s="13">
        <v>46275</v>
      </c>
      <c r="AW49" s="15">
        <v>4.2867514667667805E-2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1.0868791495505459E-2</v>
      </c>
      <c r="AT50" s="18">
        <v>108687914.95505458</v>
      </c>
      <c r="AU50" s="16">
        <v>0.83489717086682858</v>
      </c>
      <c r="AV50" s="13">
        <v>46366</v>
      </c>
      <c r="AW50" s="15">
        <v>4.1848367434877076E-2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13">
        <v>46457</v>
      </c>
      <c r="AS51" s="15">
        <v>1.0124666095026713E-2</v>
      </c>
      <c r="AT51" s="29">
        <v>101246660.95026714</v>
      </c>
      <c r="AU51" s="30">
        <v>0.82652146400004256</v>
      </c>
      <c r="AV51" s="13">
        <v>46456</v>
      </c>
      <c r="AW51" s="15">
        <v>4.0847528265320676E-2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13">
        <v>46549</v>
      </c>
      <c r="AS52" s="15">
        <v>1.0274532584487073E-2</v>
      </c>
      <c r="AT52" s="29">
        <v>102745325.84487073</v>
      </c>
      <c r="AU52" s="30">
        <v>0.81810404847121865</v>
      </c>
      <c r="AV52" s="13">
        <v>46548</v>
      </c>
      <c r="AW52" s="15">
        <v>4.1206316250909758E-2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13">
        <v>46643</v>
      </c>
      <c r="AS53" s="15">
        <v>1.021866397863791E-2</v>
      </c>
      <c r="AT53" s="29">
        <v>102186639.7863791</v>
      </c>
      <c r="AU53" s="30">
        <v>0.80965168004942256</v>
      </c>
      <c r="AV53" s="13">
        <v>46640</v>
      </c>
      <c r="AW53" s="15">
        <v>4.0646652255987625E-2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13">
        <v>46734</v>
      </c>
      <c r="AS54" s="15">
        <v>1.0469089677194843E-2</v>
      </c>
      <c r="AT54" s="29">
        <v>104690896.77194843</v>
      </c>
      <c r="AU54" s="30">
        <v>0.80124219533257368</v>
      </c>
      <c r="AV54" s="13">
        <v>46731</v>
      </c>
      <c r="AW54" s="15">
        <v>4.1656200885308969E-2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13">
        <v>46825</v>
      </c>
      <c r="AS55" s="15">
        <v>1.0708413260979599E-2</v>
      </c>
      <c r="AT55" s="29">
        <v>107084132.60979599</v>
      </c>
      <c r="AU55" s="30">
        <v>0.79275316533684814</v>
      </c>
      <c r="AV55" s="13">
        <v>46822</v>
      </c>
      <c r="AW55" s="15">
        <v>4.2497981754448411E-2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21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AN7:AO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AL8:AM8"/>
    <mergeCell ref="AN8:AO8"/>
    <mergeCell ref="AL9:AM9"/>
    <mergeCell ref="AL10:AM10"/>
    <mergeCell ref="AL6:AO6"/>
    <mergeCell ref="AN9:AO9"/>
    <mergeCell ref="AN10:AO10"/>
    <mergeCell ref="AA8:AB8"/>
    <mergeCell ref="AC8:AD8"/>
    <mergeCell ref="AA9:AB9"/>
    <mergeCell ref="AC9:AD9"/>
    <mergeCell ref="AL7:A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2026-05-13T21:36:36Z</dcterms:modified>
</cp:coreProperties>
</file>