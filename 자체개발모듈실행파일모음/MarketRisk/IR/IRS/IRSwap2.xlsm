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22DE198A-9A02-4E08-A0BE-1D450E52AD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RSwapInfo" sheetId="1" r:id="rId1"/>
    <sheet name="스케줄생성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  <author>임대선</author>
  </authors>
  <commentList>
    <comment ref="P4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AL10" authorId="2" shapeId="0" xr:uid="{240C1468-8C3D-4B91-A6A2-9F166A2E3D54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P11" authorId="0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0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<sst xmlns="http://schemas.openxmlformats.org/spreadsheetml/2006/main" count="149" uniqueCount="86">
  <si>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</si>
  <si>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</si>
  <si>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</si>
  <si>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</si>
  <si>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</si>
  <si>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</si>
  <si>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</si>
  <si>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</si>
  <si>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</si>
  <si>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</si>
  <si>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</si>
  <si>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</si>
  <si>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</si>
  <si>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</si>
  <si>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</si>
  <si>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</si>
  <si>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</si>
  <si>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</si>
  <si>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</si>
  <si>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</si>
  <si>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</si>
  <si>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</si>
  <si>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</si>
  <si>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</si>
  <si>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</si>
  <si>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</si>
  <si>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</si>
  <si>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</si>
  <si>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</si>
  <si>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</si>
  <si>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</si>
  <si>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</si>
  <si>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</si>
  <si>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</si>
  <si>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</si>
  <si>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</si>
  <si>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</si>
  <si>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</si>
  <si>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</si>
  <si>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</si>
  <si>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</si>
  <si>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</si>
  <si>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</si>
  <si>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</si>
  <si>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</si>
  <si>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</si>
  <si>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</si>
  <si>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</si>
  <si>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</si>
  <si>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</si>
  <si>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</si>
  <si>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</si>
  <si>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</si>
  <si>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</si>
  <si>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</si>
  <si>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</si>
  <si>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</si>
  <si>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</si>
  <si>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</si>
  <si>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</si>
  <si>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</si>
  <si>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</si>
  <si>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</si>
  <si>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</si>
  <si>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</si>
  <si>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</si>
  <si>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</si>
  <si>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</si>
  <si>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</si>
  <si>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</si>
  <si>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</si>
  <si>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</si>
  <si>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</si>
  <si>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</si>
  <si>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</si>
  <si>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</si>
  <si>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</si>
  <si>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</si>
  <si>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</si>
  <si>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</si>
  <si>
    <t>Debug</t>
    <phoneticPr fontId="2" type="noConversion"/>
  </si>
  <si>
    <t>기초채권정보(Bond Return Swap의 경우 입력)</t>
    <phoneticPr fontId="2" type="noConversion"/>
  </si>
  <si>
    <t>기초채권쿠폰</t>
    <phoneticPr fontId="2" type="noConversion"/>
  </si>
  <si>
    <t>기초채권 발행일</t>
    <phoneticPr fontId="2" type="noConversion"/>
  </si>
  <si>
    <t>기초채권 만기일</t>
    <phoneticPr fontId="2" type="noConversion"/>
  </si>
  <si>
    <t>기초채권 DayCount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</si>
</sst>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0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3443"/>
  <sheetViews>
    <sheetView tabSelected="1" topLeftCell="AI1" zoomScale="85" zoomScaleNormal="85" workbookViewId="0">
      <selection activeCell="AQ23" sqref="AQ23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56" t="s">
        <v>80</v>
      </c>
      <c r="C2" s="57">
        <v>0</v>
      </c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5" t="s">
        <v>12</v>
      </c>
      <c r="C3" s="65"/>
      <c r="D3" s="62">
        <v>45050</v>
      </c>
      <c r="E3" s="61"/>
      <c r="F3" s="65" t="s">
        <v>39</v>
      </c>
      <c r="G3" s="65"/>
      <c r="H3" s="61">
        <v>0</v>
      </c>
      <c r="I3" s="61"/>
      <c r="J3" s="65" t="s">
        <v>44</v>
      </c>
      <c r="K3" s="65"/>
      <c r="L3" s="61">
        <v>0</v>
      </c>
      <c r="M3" s="6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8" t="s">
        <v>18</v>
      </c>
      <c r="C4" s="68"/>
      <c r="D4" s="68"/>
      <c r="E4" s="68"/>
      <c r="F4" s="68"/>
      <c r="G4" s="68"/>
      <c r="H4" s="68"/>
      <c r="I4" s="68"/>
      <c r="J4" s="68"/>
      <c r="K4" s="68"/>
      <c r="L4" s="3"/>
      <c r="M4" s="67" t="s">
        <v>70</v>
      </c>
      <c r="N4" s="67"/>
      <c r="P4" s="64" t="s">
        <v>65</v>
      </c>
      <c r="Q4" s="64"/>
      <c r="R4" s="3"/>
      <c r="S4" s="3"/>
      <c r="U4" s="68" t="s">
        <v>21</v>
      </c>
      <c r="V4" s="68"/>
      <c r="W4" s="68"/>
      <c r="X4" s="68"/>
      <c r="Y4" s="68"/>
      <c r="Z4" s="68"/>
      <c r="AA4" s="68"/>
      <c r="AB4" s="68"/>
      <c r="AC4" s="68"/>
      <c r="AD4" s="68"/>
      <c r="AE4" s="3"/>
      <c r="AF4" s="67" t="s">
        <v>70</v>
      </c>
      <c r="AG4" s="67"/>
      <c r="AI4" s="64" t="s">
        <v>65</v>
      </c>
      <c r="AJ4" s="6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8"/>
      <c r="V5" s="68"/>
      <c r="W5" s="68"/>
      <c r="X5" s="68"/>
      <c r="Y5" s="68"/>
      <c r="Z5" s="68"/>
      <c r="AA5" s="68"/>
      <c r="AB5" s="68"/>
      <c r="AC5" s="68"/>
      <c r="AD5" s="6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8" t="s">
        <v>10</v>
      </c>
      <c r="C6" s="59"/>
      <c r="D6" s="61">
        <v>2</v>
      </c>
      <c r="E6" s="61"/>
      <c r="F6" s="58" t="s">
        <v>17</v>
      </c>
      <c r="G6" s="58"/>
      <c r="H6" s="58" t="s">
        <v>1</v>
      </c>
      <c r="I6" s="59"/>
      <c r="J6" s="61">
        <v>4</v>
      </c>
      <c r="K6" s="61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58" t="s">
        <v>10</v>
      </c>
      <c r="V6" s="59"/>
      <c r="W6" s="61">
        <v>0</v>
      </c>
      <c r="X6" s="61"/>
      <c r="Y6" s="58" t="s">
        <v>17</v>
      </c>
      <c r="Z6" s="58"/>
      <c r="AA6" s="58" t="s">
        <v>1</v>
      </c>
      <c r="AB6" s="59"/>
      <c r="AC6" s="61"/>
      <c r="AD6" s="61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58" t="s">
        <v>81</v>
      </c>
      <c r="AM6" s="58"/>
      <c r="AN6" s="58"/>
      <c r="AO6" s="58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8" t="s">
        <v>11</v>
      </c>
      <c r="C7" s="59"/>
      <c r="D7" s="61">
        <v>1</v>
      </c>
      <c r="E7" s="61"/>
      <c r="F7" s="58"/>
      <c r="G7" s="58"/>
      <c r="H7" s="58" t="s">
        <v>2</v>
      </c>
      <c r="I7" s="59"/>
      <c r="J7" s="61">
        <v>10</v>
      </c>
      <c r="K7" s="61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58" t="s">
        <v>11</v>
      </c>
      <c r="V7" s="59"/>
      <c r="W7" s="61">
        <v>0</v>
      </c>
      <c r="X7" s="61"/>
      <c r="Y7" s="58"/>
      <c r="Z7" s="58"/>
      <c r="AA7" s="58" t="s">
        <v>2</v>
      </c>
      <c r="AB7" s="59"/>
      <c r="AC7" s="61"/>
      <c r="AD7" s="61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58" t="s">
        <v>82</v>
      </c>
      <c r="AM7" s="59"/>
      <c r="AN7" s="60">
        <v>0.03</v>
      </c>
      <c r="AO7" s="61"/>
      <c r="AP7" s="3"/>
      <c r="AR7" s="73" t="s">
        <v>25</v>
      </c>
      <c r="AS7" s="73"/>
      <c r="AT7" s="73"/>
      <c r="AU7" s="7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8" t="s">
        <v>0</v>
      </c>
      <c r="C8" s="59"/>
      <c r="D8" s="61">
        <v>1</v>
      </c>
      <c r="E8" s="61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8" t="s">
        <v>0</v>
      </c>
      <c r="V8" s="59"/>
      <c r="W8" s="61">
        <v>1</v>
      </c>
      <c r="X8" s="61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58" t="s">
        <v>83</v>
      </c>
      <c r="AM8" s="59"/>
      <c r="AN8" s="62">
        <v>44009</v>
      </c>
      <c r="AO8" s="61"/>
      <c r="AP8" s="3"/>
      <c r="AR8" s="75" t="s">
        <v>26</v>
      </c>
      <c r="AS8" s="76"/>
      <c r="AT8" s="77">
        <v>1</v>
      </c>
      <c r="AU8" s="77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58" t="s">
        <v>84</v>
      </c>
      <c r="AM9" s="59"/>
      <c r="AN9" s="62">
        <v>47661</v>
      </c>
      <c r="AO9" s="61"/>
      <c r="AP9" s="3"/>
      <c r="AR9" s="78" t="s">
        <v>27</v>
      </c>
      <c r="AS9" s="78"/>
      <c r="AT9" s="79">
        <v>5.03950008072062E-2</v>
      </c>
      <c r="AU9" s="79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65" t="s">
        <v>9</v>
      </c>
      <c r="C10" s="65"/>
      <c r="D10" s="61">
        <v>10000000000</v>
      </c>
      <c r="E10" s="61"/>
      <c r="F10" s="38" t="str">
        <f>IF(AP16=1,"x Rcv FX","원")</f>
        <v>원</v>
      </c>
      <c r="G10" s="3"/>
      <c r="H10" s="3"/>
      <c r="I10" s="3"/>
      <c r="J10" s="65" t="s">
        <v>69</v>
      </c>
      <c r="K10" s="65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65" t="s">
        <v>9</v>
      </c>
      <c r="V10" s="65"/>
      <c r="W10" s="61">
        <v>10000000000</v>
      </c>
      <c r="X10" s="61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58" t="s">
        <v>85</v>
      </c>
      <c r="AM10" s="59"/>
      <c r="AN10" s="63">
        <v>0</v>
      </c>
      <c r="AO10" s="63"/>
      <c r="AP10" s="3"/>
      <c r="AR10" s="78" t="s">
        <v>28</v>
      </c>
      <c r="AS10" s="78"/>
      <c r="AT10" s="80">
        <v>43160792.07185895</v>
      </c>
      <c r="AU10" s="80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65" t="s">
        <v>20</v>
      </c>
      <c r="C11" s="65"/>
      <c r="D11" s="62">
        <f>K20</f>
        <v>45089</v>
      </c>
      <c r="E11" s="61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4" t="s">
        <v>57</v>
      </c>
      <c r="Q11" s="64"/>
      <c r="R11" s="3"/>
      <c r="S11" s="3"/>
      <c r="U11" s="65" t="s">
        <v>20</v>
      </c>
      <c r="V11" s="65"/>
      <c r="W11" s="62">
        <f>AD20</f>
        <v>45089</v>
      </c>
      <c r="X11" s="61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4" t="s">
        <v>58</v>
      </c>
      <c r="AJ11" s="64"/>
      <c r="AK11" s="3"/>
      <c r="AL11" s="3"/>
      <c r="AN11" s="3"/>
      <c r="AO11" s="3"/>
      <c r="AP11" s="3"/>
      <c r="AR11" s="78" t="s">
        <v>29</v>
      </c>
      <c r="AS11" s="78"/>
      <c r="AT11" s="80">
        <v>43165073.629895352</v>
      </c>
      <c r="AU11" s="80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78" t="s">
        <v>74</v>
      </c>
      <c r="AS12" s="78"/>
      <c r="AT12" s="80">
        <f>AT10-AT11</f>
        <v>-4281.5580364018679</v>
      </c>
      <c r="AU12" s="80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3" t="s">
        <v>45</v>
      </c>
      <c r="AS14" s="73"/>
      <c r="AT14" s="73"/>
      <c r="AU14" s="73"/>
      <c r="AV14" s="73" t="s">
        <v>46</v>
      </c>
      <c r="AW14" s="73"/>
      <c r="AX14" s="73"/>
      <c r="AY14" s="7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4" t="s">
        <v>51</v>
      </c>
      <c r="AO15" s="64"/>
      <c r="AP15" s="64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82" t="s">
        <v>36</v>
      </c>
      <c r="BB15" s="82"/>
      <c r="BC15" s="82"/>
      <c r="BD15" s="82"/>
      <c r="BE15" s="82"/>
      <c r="BF15" s="82"/>
      <c r="BG15" s="82"/>
      <c r="BH15" s="82"/>
      <c r="BJ15" s="82" t="s">
        <v>37</v>
      </c>
      <c r="BK15" s="82"/>
      <c r="BL15" s="82"/>
      <c r="BM15" s="82"/>
      <c r="BN15" s="82"/>
      <c r="BO15" s="82"/>
      <c r="BP15" s="82"/>
      <c r="BQ15" s="82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67" t="s">
        <v>63</v>
      </c>
      <c r="S16" s="67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67" t="s">
        <v>64</v>
      </c>
      <c r="AL16" s="67"/>
      <c r="AM16" s="22"/>
      <c r="AN16" s="74" t="s">
        <v>52</v>
      </c>
      <c r="AO16" s="74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82"/>
      <c r="BB16" s="82"/>
      <c r="BC16" s="82"/>
      <c r="BD16" s="82"/>
      <c r="BE16" s="82"/>
      <c r="BF16" s="82"/>
      <c r="BG16" s="82"/>
      <c r="BH16" s="82"/>
      <c r="BJ16" s="82"/>
      <c r="BK16" s="82"/>
      <c r="BL16" s="82"/>
      <c r="BM16" s="82"/>
      <c r="BN16" s="82"/>
      <c r="BO16" s="82"/>
      <c r="BP16" s="82"/>
      <c r="BQ16" s="82"/>
    </row>
    <row r="17" spans="1:69" ht="15.6" customHeight="1" x14ac:dyDescent="0.4">
      <c r="A17" s="3">
        <f t="shared" si="2"/>
        <v>17</v>
      </c>
      <c r="B17" s="64" t="s">
        <v>3</v>
      </c>
      <c r="C17" s="64"/>
      <c r="D17" s="64"/>
      <c r="E17" s="64"/>
      <c r="G17" s="64" t="s">
        <v>19</v>
      </c>
      <c r="H17" s="64"/>
      <c r="I17" s="64"/>
      <c r="J17" s="64"/>
      <c r="K17" s="3"/>
      <c r="L17" s="3"/>
      <c r="M17" s="3"/>
      <c r="N17" s="3"/>
      <c r="P17" s="23" t="s">
        <v>56</v>
      </c>
      <c r="Q17" s="26">
        <v>0</v>
      </c>
      <c r="R17" s="67"/>
      <c r="S17" s="67"/>
      <c r="U17" s="64" t="s">
        <v>24</v>
      </c>
      <c r="V17" s="64"/>
      <c r="W17" s="64"/>
      <c r="X17" s="64"/>
      <c r="Z17" s="64" t="s">
        <v>23</v>
      </c>
      <c r="AA17" s="64"/>
      <c r="AB17" s="64"/>
      <c r="AC17" s="64"/>
      <c r="AD17" s="3"/>
      <c r="AE17" s="3"/>
      <c r="AF17" s="3"/>
      <c r="AG17" s="3"/>
      <c r="AI17" s="23" t="s">
        <v>47</v>
      </c>
      <c r="AJ17" s="26">
        <v>0</v>
      </c>
      <c r="AK17" s="67"/>
      <c r="AL17" s="67"/>
      <c r="AM17" s="22"/>
      <c r="AN17" s="22"/>
      <c r="AO17" s="22"/>
      <c r="AP17" s="22"/>
      <c r="AS17" s="15">
        <v>0</v>
      </c>
      <c r="AT17" s="17">
        <v>0</v>
      </c>
      <c r="AU17" s="16">
        <v>0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7" t="s">
        <v>4</v>
      </c>
      <c r="C18" s="67"/>
      <c r="D18" s="67" t="s">
        <v>5</v>
      </c>
      <c r="E18" s="67"/>
      <c r="G18" s="66" t="s">
        <v>13</v>
      </c>
      <c r="H18" s="66" t="s">
        <v>14</v>
      </c>
      <c r="I18" s="66" t="s">
        <v>6</v>
      </c>
      <c r="J18" s="66" t="s">
        <v>7</v>
      </c>
      <c r="K18" s="66" t="s">
        <v>8</v>
      </c>
      <c r="L18" s="66" t="s">
        <v>15</v>
      </c>
      <c r="M18" s="66" t="s">
        <v>22</v>
      </c>
      <c r="N18" s="66" t="s">
        <v>16</v>
      </c>
      <c r="P18" s="67" t="s">
        <v>60</v>
      </c>
      <c r="Q18" s="72"/>
      <c r="R18" s="71" t="s">
        <v>61</v>
      </c>
      <c r="S18" s="71" t="s">
        <v>62</v>
      </c>
      <c r="U18" s="67" t="s">
        <v>4</v>
      </c>
      <c r="V18" s="67"/>
      <c r="W18" s="67" t="s">
        <v>5</v>
      </c>
      <c r="X18" s="67"/>
      <c r="Z18" s="66" t="s">
        <v>13</v>
      </c>
      <c r="AA18" s="66" t="s">
        <v>14</v>
      </c>
      <c r="AB18" s="66" t="s">
        <v>6</v>
      </c>
      <c r="AC18" s="66" t="s">
        <v>7</v>
      </c>
      <c r="AD18" s="66" t="s">
        <v>8</v>
      </c>
      <c r="AE18" s="66" t="s">
        <v>15</v>
      </c>
      <c r="AF18" s="66" t="s">
        <v>22</v>
      </c>
      <c r="AG18" s="66" t="s">
        <v>16</v>
      </c>
      <c r="AI18" s="67" t="s">
        <v>60</v>
      </c>
      <c r="AJ18" s="39"/>
      <c r="AK18" s="71" t="s">
        <v>61</v>
      </c>
      <c r="AL18" s="71" t="s">
        <v>62</v>
      </c>
      <c r="AM18" s="22"/>
      <c r="AN18" s="74" t="s">
        <v>53</v>
      </c>
      <c r="AO18" s="74"/>
      <c r="AP18" s="74"/>
      <c r="AT18" s="17"/>
      <c r="AU18" s="16"/>
      <c r="AX18" s="17"/>
      <c r="AY18" s="16"/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67"/>
      <c r="C19" s="67"/>
      <c r="D19" s="67"/>
      <c r="E19" s="67"/>
      <c r="G19" s="66"/>
      <c r="H19" s="66"/>
      <c r="I19" s="66"/>
      <c r="J19" s="66"/>
      <c r="K19" s="66"/>
      <c r="L19" s="66"/>
      <c r="M19" s="66"/>
      <c r="N19" s="66"/>
      <c r="O19" s="27"/>
      <c r="P19" s="67"/>
      <c r="Q19" s="72"/>
      <c r="R19" s="71"/>
      <c r="S19" s="71"/>
      <c r="U19" s="67"/>
      <c r="V19" s="67"/>
      <c r="W19" s="67"/>
      <c r="X19" s="67"/>
      <c r="Z19" s="66"/>
      <c r="AA19" s="66"/>
      <c r="AB19" s="66"/>
      <c r="AC19" s="66"/>
      <c r="AD19" s="66"/>
      <c r="AE19" s="66"/>
      <c r="AF19" s="66"/>
      <c r="AG19" s="66"/>
      <c r="AI19" s="67"/>
      <c r="AJ19" s="39"/>
      <c r="AK19" s="71"/>
      <c r="AL19" s="71"/>
      <c r="AM19" s="22"/>
      <c r="AN19" s="37" t="s">
        <v>48</v>
      </c>
      <c r="AO19" s="37" t="s">
        <v>49</v>
      </c>
      <c r="AP19" s="37" t="s">
        <v>50</v>
      </c>
      <c r="AT19" s="17"/>
      <c r="AU19" s="16"/>
      <c r="AX19" s="17"/>
      <c r="AY19" s="16"/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4">
        <v>45051</v>
      </c>
      <c r="C20" s="2">
        <v>4.876479786873706E-2</v>
      </c>
      <c r="D20" s="54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54">
        <v>45051</v>
      </c>
      <c r="V20" s="2">
        <v>4.876479786873706E-2</v>
      </c>
      <c r="W20" s="54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T20" s="17"/>
      <c r="AU20" s="16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45063</v>
      </c>
      <c r="C21" s="2">
        <v>5.0723244607448578E-2</v>
      </c>
      <c r="D21" s="54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54">
        <v>45063</v>
      </c>
      <c r="V21" s="2">
        <v>5.0723244607448578E-2</v>
      </c>
      <c r="W21" s="54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T21" s="17"/>
      <c r="AU21" s="16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45089</v>
      </c>
      <c r="C22" s="2">
        <v>5.079820716798307E-2</v>
      </c>
      <c r="D22" s="54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54">
        <v>45089</v>
      </c>
      <c r="V22" s="2">
        <v>5.079820716798307E-2</v>
      </c>
      <c r="W22" s="54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T22" s="17"/>
      <c r="AU22" s="16"/>
      <c r="AX22" s="17"/>
      <c r="AY22" s="16"/>
      <c r="BA22" s="81" t="s">
        <v>38</v>
      </c>
      <c r="BB22" s="81"/>
      <c r="BD22" s="81" t="s">
        <v>38</v>
      </c>
      <c r="BE22" s="81"/>
      <c r="BG22" s="81" t="s">
        <v>38</v>
      </c>
      <c r="BH22" s="81"/>
      <c r="BJ22" s="81" t="s">
        <v>38</v>
      </c>
      <c r="BK22" s="81"/>
      <c r="BM22" s="81" t="s">
        <v>38</v>
      </c>
      <c r="BN22" s="81"/>
      <c r="BP22" s="81" t="s">
        <v>38</v>
      </c>
      <c r="BQ22" s="81"/>
    </row>
    <row r="23" spans="1:69" x14ac:dyDescent="0.35">
      <c r="A23" s="3">
        <f t="shared" si="2"/>
        <v>23</v>
      </c>
      <c r="B23" s="54">
        <v>45119</v>
      </c>
      <c r="C23" s="2">
        <v>5.0924610061645524E-2</v>
      </c>
      <c r="D23" s="54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54">
        <v>45119</v>
      </c>
      <c r="V23" s="2">
        <v>5.0924610061645524E-2</v>
      </c>
      <c r="W23" s="54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T23" s="17"/>
      <c r="AU23" s="16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45148</v>
      </c>
      <c r="C24" s="2">
        <v>5.0890304591655749E-2</v>
      </c>
      <c r="D24" s="54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54">
        <v>45148</v>
      </c>
      <c r="V24" s="2">
        <v>5.0890304591655749E-2</v>
      </c>
      <c r="W24" s="54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T24" s="18"/>
      <c r="AU24" s="16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4">
        <v>45243</v>
      </c>
      <c r="C25" s="2">
        <v>5.0171935483068253E-2</v>
      </c>
      <c r="D25" s="54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54">
        <v>45243</v>
      </c>
      <c r="V25" s="2">
        <v>5.0171935483068253E-2</v>
      </c>
      <c r="W25" s="54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T25" s="18"/>
      <c r="AU25" s="16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54">
        <v>45334</v>
      </c>
      <c r="C26" s="2">
        <v>4.8627264910340307E-2</v>
      </c>
      <c r="D26" s="54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54">
        <v>45334</v>
      </c>
      <c r="V26" s="2">
        <v>4.8627264910340307E-2</v>
      </c>
      <c r="W26" s="54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T26" s="18"/>
      <c r="AU26" s="16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54">
        <v>45422</v>
      </c>
      <c r="C27" s="2">
        <v>4.6780617901235819E-2</v>
      </c>
      <c r="D27" s="54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54">
        <v>45422</v>
      </c>
      <c r="V27" s="2">
        <v>4.6780617901235819E-2</v>
      </c>
      <c r="W27" s="54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T27" s="18"/>
      <c r="AU27" s="16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54">
        <v>45609</v>
      </c>
      <c r="C28" s="2">
        <v>4.1904435415640477E-2</v>
      </c>
      <c r="D28" s="54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54">
        <v>45609</v>
      </c>
      <c r="V28" s="52">
        <v>4.1904435415640477E-2</v>
      </c>
      <c r="W28" s="54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T28" s="18"/>
      <c r="AU28" s="16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54">
        <v>45789</v>
      </c>
      <c r="C29" s="2">
        <v>3.912374659009276E-2</v>
      </c>
      <c r="D29" s="54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54">
        <v>45789</v>
      </c>
      <c r="V29" s="52">
        <v>3.912374659009276E-2</v>
      </c>
      <c r="W29" s="54">
        <v>45789</v>
      </c>
      <c r="X29" s="52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T29" s="18"/>
      <c r="AU29" s="16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54">
        <v>46154</v>
      </c>
      <c r="C30" s="2">
        <v>3.516081169722602E-2</v>
      </c>
      <c r="D30" s="54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54">
        <v>46154</v>
      </c>
      <c r="V30" s="52">
        <v>3.516081169722602E-2</v>
      </c>
      <c r="W30" s="54">
        <v>46154</v>
      </c>
      <c r="X30" s="52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T30" s="18"/>
      <c r="AU30" s="16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54">
        <v>46519</v>
      </c>
      <c r="C31" s="52">
        <v>3.3193220925377673E-2</v>
      </c>
      <c r="D31" s="54">
        <v>46519</v>
      </c>
      <c r="E31" s="52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54">
        <v>46519</v>
      </c>
      <c r="V31" s="52">
        <v>3.3193220925377673E-2</v>
      </c>
      <c r="W31" s="54">
        <v>46519</v>
      </c>
      <c r="X31" s="52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T31" s="18"/>
      <c r="AU31" s="16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54">
        <v>46883</v>
      </c>
      <c r="C32" s="52">
        <v>3.2147101662382487E-2</v>
      </c>
      <c r="D32" s="54">
        <v>46883</v>
      </c>
      <c r="E32" s="52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54">
        <v>46883</v>
      </c>
      <c r="V32" s="52">
        <v>3.2147101662382487E-2</v>
      </c>
      <c r="W32" s="54">
        <v>46883</v>
      </c>
      <c r="X32" s="52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T32" s="18"/>
      <c r="AU32" s="16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54">
        <v>47248</v>
      </c>
      <c r="C33" s="52">
        <v>3.1625296925837168E-2</v>
      </c>
      <c r="D33" s="54">
        <v>47248</v>
      </c>
      <c r="E33" s="52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54">
        <v>47248</v>
      </c>
      <c r="V33" s="52">
        <v>3.1625296925837168E-2</v>
      </c>
      <c r="W33" s="54">
        <v>47248</v>
      </c>
      <c r="X33" s="52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T33" s="18"/>
      <c r="AU33" s="16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5">
        <v>47613</v>
      </c>
      <c r="C34" s="53">
        <v>3.1360458764219654E-2</v>
      </c>
      <c r="D34" s="55">
        <v>47613</v>
      </c>
      <c r="E34" s="53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5">
        <v>47613</v>
      </c>
      <c r="V34" s="6">
        <v>3.1360458764219654E-2</v>
      </c>
      <c r="W34" s="55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T34" s="18"/>
      <c r="AU34" s="16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5">
        <v>47980</v>
      </c>
      <c r="C35" s="53">
        <v>3.1225544571755463E-2</v>
      </c>
      <c r="D35" s="55">
        <v>47980</v>
      </c>
      <c r="E35" s="53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5">
        <v>47980</v>
      </c>
      <c r="V35" s="6">
        <v>3.1225544571755463E-2</v>
      </c>
      <c r="W35" s="55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T35" s="18"/>
      <c r="AU35" s="16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5">
        <v>48346</v>
      </c>
      <c r="C36" s="53">
        <v>3.1228560526985673E-2</v>
      </c>
      <c r="D36" s="55">
        <v>48346</v>
      </c>
      <c r="E36" s="53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5">
        <v>48346</v>
      </c>
      <c r="V36" s="6">
        <v>3.1228560526985673E-2</v>
      </c>
      <c r="W36" s="55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T36" s="18"/>
      <c r="AU36" s="16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5">
        <v>48710</v>
      </c>
      <c r="C37" s="53">
        <v>3.128784881728236E-2</v>
      </c>
      <c r="D37" s="55">
        <v>48710</v>
      </c>
      <c r="E37" s="53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5">
        <v>48710</v>
      </c>
      <c r="V37" s="6">
        <v>3.128784881728236E-2</v>
      </c>
      <c r="W37" s="55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T37" s="18"/>
      <c r="AU37" s="16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5">
        <v>49439</v>
      </c>
      <c r="C38" s="53">
        <v>3.152962986372411E-2</v>
      </c>
      <c r="D38" s="55">
        <v>49439</v>
      </c>
      <c r="E38" s="53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5">
        <v>49439</v>
      </c>
      <c r="V38" s="6">
        <v>3.152962986372411E-2</v>
      </c>
      <c r="W38" s="55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T38" s="18"/>
      <c r="AU38" s="16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5">
        <v>50537</v>
      </c>
      <c r="C39" s="53">
        <v>3.1869084639037037E-2</v>
      </c>
      <c r="D39" s="55">
        <v>50537</v>
      </c>
      <c r="E39" s="53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5">
        <v>50537</v>
      </c>
      <c r="V39" s="6">
        <v>3.1869084639037037E-2</v>
      </c>
      <c r="W39" s="55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T39" s="18"/>
      <c r="AU39" s="16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5">
        <v>52363</v>
      </c>
      <c r="C40" s="53">
        <v>3.1647051987783052E-2</v>
      </c>
      <c r="D40" s="55">
        <v>52363</v>
      </c>
      <c r="E40" s="53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5">
        <v>52363</v>
      </c>
      <c r="V40" s="6">
        <v>3.1647051987783052E-2</v>
      </c>
      <c r="W40" s="55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T40" s="18"/>
      <c r="AU40" s="16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5">
        <v>54190</v>
      </c>
      <c r="C41" s="53">
        <v>3.0523309480436148E-2</v>
      </c>
      <c r="D41" s="55">
        <v>54190</v>
      </c>
      <c r="E41" s="53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5">
        <v>54190</v>
      </c>
      <c r="V41" s="6">
        <v>3.0523309480436148E-2</v>
      </c>
      <c r="W41" s="55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T41" s="18"/>
      <c r="AU41" s="16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5">
        <v>56016</v>
      </c>
      <c r="C42" s="53">
        <v>2.939226995546837E-2</v>
      </c>
      <c r="D42" s="55">
        <v>56016</v>
      </c>
      <c r="E42" s="53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5">
        <v>56016</v>
      </c>
      <c r="V42" s="6">
        <v>2.939226995546837E-2</v>
      </c>
      <c r="W42" s="55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T42" s="18"/>
      <c r="AU42" s="16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5">
        <v>59666</v>
      </c>
      <c r="C43" s="53">
        <v>2.6487076035356161E-2</v>
      </c>
      <c r="D43" s="55">
        <v>59666</v>
      </c>
      <c r="E43" s="53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5">
        <v>59666</v>
      </c>
      <c r="V43" s="6">
        <v>2.6487076035356161E-2</v>
      </c>
      <c r="W43" s="55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T43" s="18"/>
      <c r="AU43" s="16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5">
        <v>63319</v>
      </c>
      <c r="C44" s="53">
        <v>2.2898720758468848E-2</v>
      </c>
      <c r="D44" s="55">
        <v>63319</v>
      </c>
      <c r="E44" s="53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5">
        <v>63319</v>
      </c>
      <c r="V44" s="6">
        <v>2.2898720758468848E-2</v>
      </c>
      <c r="W44" s="55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T44" s="18"/>
      <c r="AU44" s="16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T45" s="18"/>
      <c r="AU45" s="16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T46" s="18"/>
      <c r="AU46" s="16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T47" s="18"/>
      <c r="AU47" s="16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T48" s="18"/>
      <c r="AU48" s="16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T49" s="18"/>
      <c r="AU49" s="16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T50" s="18"/>
      <c r="AU50" s="16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17"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AL6:AO6"/>
    <mergeCell ref="AL7:AM7"/>
    <mergeCell ref="AN7:AO7"/>
    <mergeCell ref="AL8:AM8"/>
    <mergeCell ref="AN8:AO8"/>
    <mergeCell ref="AL9:AM9"/>
    <mergeCell ref="AN9:AO9"/>
    <mergeCell ref="AL10:AM10"/>
    <mergeCell ref="AN10:AO10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"/>
  <sheetViews>
    <sheetView workbookViewId="0">
      <selection activeCell="B2" sqref="B2:C2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2" spans="1:14" x14ac:dyDescent="0.4">
      <c r="B2" s="56" t="s">
        <v>80</v>
      </c>
      <c r="C2" s="57">
        <v>0</v>
      </c>
    </row>
    <row r="4" spans="1:14" x14ac:dyDescent="0.4">
      <c r="B4" s="68" t="s">
        <v>18</v>
      </c>
      <c r="C4" s="68"/>
      <c r="D4" s="68" t="s">
        <v>75</v>
      </c>
      <c r="E4" s="68"/>
    </row>
    <row r="5" spans="1:14" x14ac:dyDescent="0.4">
      <c r="B5" s="68"/>
      <c r="C5" s="68"/>
      <c r="D5" s="68"/>
      <c r="E5" s="68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2026-05-13T21:36:58Z</dcterms:modified>
</cp:coreProperties>
</file>