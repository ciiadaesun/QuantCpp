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모듈실행파일모음\IR\IRSwaption\"/>
    </mc:Choice>
  </mc:AlternateContent>
  <xr:revisionPtr revIDLastSave="0" documentId="13_ncr:1_{A3BD5541-D443-4EB4-8A62-8E6CEE32B47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1" l="1"/>
  <c r="G12" i="1"/>
  <c r="E34" i="1"/>
  <c r="E35" i="1" s="1"/>
  <c r="E36" i="1" s="1"/>
  <c r="E37" i="1" s="1"/>
  <c r="E38" i="1" s="1"/>
  <c r="E39" i="1" s="1"/>
  <c r="E40" i="1" s="1"/>
  <c r="E41" i="1" s="1"/>
  <c r="E42" i="1" s="1"/>
  <c r="I14" i="1"/>
  <c r="J14" i="1" s="1"/>
  <c r="K14" i="1" s="1"/>
  <c r="L14" i="1" s="1"/>
  <c r="M14" i="1" s="1"/>
  <c r="N14" i="1" s="1"/>
  <c r="O14" i="1" s="1"/>
  <c r="P14" i="1" s="1"/>
  <c r="Q14" i="1" s="1"/>
  <c r="E16" i="1"/>
  <c r="E17" i="1" s="1"/>
  <c r="E18" i="1" s="1"/>
  <c r="E19" i="1" s="1"/>
  <c r="E20" i="1" s="1"/>
  <c r="E21" i="1" s="1"/>
  <c r="E22" i="1" s="1"/>
  <c r="E23" i="1" s="1"/>
  <c r="E24" i="1" s="1"/>
  <c r="I12" i="1" l="1"/>
  <c r="J12" i="1"/>
  <c r="K12" i="1"/>
  <c r="L12" i="1"/>
  <c r="L6" i="1"/>
  <c r="I11" i="1" l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F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J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<sst xmlns="http://schemas.openxmlformats.org/spreadsheetml/2006/main" count="25" uniqueCount="24">
  <si>
    <t>가격평가일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</si>
  <si>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</si>
  <si>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</si>
  <si>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</si>
  <si>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</si>
  <si>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</si>
  <si>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</si>
  <si>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</si>
  <si>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</si>
  <si>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명목원금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</si>
  <si>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</si>
  <si>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</si>
  <si>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</si>
  <si>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</si>
  <si>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</si>
  <si>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</si>
  <si>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</si>
  <si>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</si>
  <si>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스왑션가격</t>
    <phoneticPr fontId="2" type="noConversion"/>
  </si>
  <si>
    <t>옵션만기(-&gt;)</t>
    <phoneticPr fontId="2" type="noConversion"/>
  </si>
  <si>
    <t>스왑만기(월)</t>
    <phoneticPr fontId="2" type="noConversion"/>
  </si>
  <si>
    <t>스왑션볼</t>
    <phoneticPr fontId="2" type="noConversion"/>
  </si>
  <si>
    <t>옵션만기(-&gt;) 해당 날짜가 휴일일 경우 익영업일이 옵션만기임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</si>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</sst>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_);[Red]\(0.00\)"/>
    <numFmt numFmtId="177" formatCode="0.0000%"/>
    <numFmt numFmtId="178" formatCode="0.0_);[Red]\(0.0\)"/>
    <numFmt numFmtId="179" formatCode="[$-F400]h:mm:ss\ AM/PM"/>
    <numFmt numFmtId="180" formatCode="0.0000_);[Red]\(0.0000\)"/>
    <numFmt numFmtId="181" formatCode="0.00000000_);[Red]\(0.00000000\)"/>
    <numFmt numFmtId="182" formatCode="0.00000_);[Red]\(0.00000\)"/>
    <numFmt numFmtId="183" formatCode="0_);[Red]\(0\)"/>
    <numFmt numFmtId="184" formatCode="0.000%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9" borderId="0" xfId="0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1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6" fontId="0" fillId="2" borderId="0" xfId="0" applyNumberFormat="1" applyFill="1">
      <alignment vertical="center"/>
    </xf>
    <xf numFmtId="14" fontId="8" fillId="5" borderId="0" xfId="0" applyNumberFormat="1" applyFont="1" applyFill="1">
      <alignment vertical="center"/>
    </xf>
    <xf numFmtId="14" fontId="11" fillId="5" borderId="0" xfId="0" applyNumberFormat="1" applyFont="1" applyFill="1">
      <alignment vertical="center"/>
    </xf>
    <xf numFmtId="182" fontId="9" fillId="5" borderId="0" xfId="0" applyNumberFormat="1" applyFont="1" applyFill="1" applyAlignment="1"/>
    <xf numFmtId="182" fontId="0" fillId="5" borderId="0" xfId="1" applyNumberFormat="1" applyFont="1" applyFill="1">
      <alignment vertical="center"/>
    </xf>
    <xf numFmtId="0" fontId="10" fillId="6" borderId="0" xfId="0" applyFont="1" applyFill="1">
      <alignment vertical="center"/>
    </xf>
    <xf numFmtId="181" fontId="8" fillId="5" borderId="0" xfId="0" applyNumberFormat="1" applyFont="1" applyFill="1">
      <alignment vertical="center"/>
    </xf>
    <xf numFmtId="183" fontId="8" fillId="5" borderId="0" xfId="0" applyNumberFormat="1" applyFont="1" applyFill="1">
      <alignment vertical="center"/>
    </xf>
    <xf numFmtId="0" fontId="10" fillId="6" borderId="0" xfId="0" applyFont="1" applyFill="1" applyAlignment="1">
      <alignment horizontal="left" vertical="center"/>
    </xf>
    <xf numFmtId="0" fontId="10" fillId="7" borderId="0" xfId="0" applyFont="1" applyFill="1" applyAlignment="1">
      <alignment horizontal="left" vertical="center"/>
    </xf>
    <xf numFmtId="182" fontId="0" fillId="2" borderId="0" xfId="1" applyNumberFormat="1" applyFont="1" applyFill="1">
      <alignment vertical="center"/>
    </xf>
    <xf numFmtId="183" fontId="8" fillId="8" borderId="0" xfId="0" applyNumberFormat="1" applyFont="1" applyFill="1">
      <alignment vertical="center"/>
    </xf>
    <xf numFmtId="184" fontId="8" fillId="8" borderId="0" xfId="1" applyNumberFormat="1" applyFont="1" applyFill="1" applyBorder="1" applyAlignment="1">
      <alignment vertical="center"/>
    </xf>
    <xf numFmtId="14" fontId="8" fillId="8" borderId="0" xfId="0" applyNumberFormat="1" applyFont="1" applyFill="1">
      <alignment vertical="center"/>
    </xf>
    <xf numFmtId="0" fontId="13" fillId="2" borderId="0" xfId="0" applyFont="1" applyFill="1">
      <alignment vertical="center"/>
    </xf>
    <xf numFmtId="0" fontId="14" fillId="2" borderId="0" xfId="0" applyFont="1" applyFill="1">
      <alignment vertical="center"/>
    </xf>
    <xf numFmtId="0" fontId="3" fillId="3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179" fontId="0" fillId="8" borderId="0" xfId="0" applyNumberForma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180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5"/>
  <sheetViews>
    <sheetView tabSelected="1" topLeftCell="A4" zoomScale="85" zoomScaleNormal="85" workbookViewId="0">
      <selection activeCell="B6" sqref="B6:C6"/>
    </sheetView>
  </sheetViews>
  <sheetFormatPr defaultColWidth="10.8984375" defaultRowHeight="17.399999999999999" x14ac:dyDescent="0.4"/>
  <cols>
    <col min="1" max="1" width="10.8984375" style="1"/>
    <col min="2" max="2" width="10.8984375" style="9"/>
    <col min="3" max="3" width="10.8984375" style="11"/>
    <col min="4" max="4" width="10.8984375" style="1"/>
    <col min="5" max="5" width="13" style="1" bestFit="1" customWidth="1"/>
    <col min="6" max="6" width="11.5" style="5" bestFit="1" customWidth="1"/>
    <col min="7" max="7" width="12.59765625" style="6" bestFit="1" customWidth="1"/>
    <col min="8" max="8" width="11.5" style="1" bestFit="1" customWidth="1"/>
    <col min="9" max="9" width="11.5" style="3" bestFit="1" customWidth="1"/>
    <col min="10" max="10" width="11.5" style="1" bestFit="1" customWidth="1"/>
    <col min="11" max="13" width="10.8984375" style="1"/>
    <col min="14" max="15" width="10.8984375" style="7"/>
    <col min="16" max="18" width="10.8984375" style="1"/>
    <col min="19" max="19" width="11.5" style="1" bestFit="1" customWidth="1"/>
    <col min="20" max="16384" width="10.8984375" style="1"/>
  </cols>
  <sheetData>
    <row r="1" spans="1:21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21" x14ac:dyDescent="0.4">
      <c r="B2" s="1"/>
      <c r="C2" s="21" t="s">
        <v>23</v>
      </c>
      <c r="D2" s="22">
        <v>0</v>
      </c>
      <c r="F2" s="1"/>
      <c r="G2" s="1"/>
      <c r="I2" s="1"/>
      <c r="J2" s="33" t="s">
        <v>10</v>
      </c>
      <c r="K2" s="33"/>
      <c r="L2" s="33"/>
      <c r="M2" s="33"/>
      <c r="N2" s="1"/>
      <c r="O2" s="1"/>
    </row>
    <row r="3" spans="1:21" x14ac:dyDescent="0.4">
      <c r="B3" s="23" t="s">
        <v>0</v>
      </c>
      <c r="C3" s="23"/>
      <c r="D3" s="24">
        <v>45205</v>
      </c>
      <c r="E3" s="25"/>
      <c r="F3" s="1"/>
      <c r="G3" s="1"/>
      <c r="I3" s="1"/>
      <c r="J3" s="23" t="s">
        <v>11</v>
      </c>
      <c r="K3" s="23"/>
      <c r="L3" s="25">
        <v>0</v>
      </c>
      <c r="M3" s="25"/>
      <c r="N3" s="1"/>
      <c r="O3" s="1"/>
    </row>
    <row r="4" spans="1:21" x14ac:dyDescent="0.4">
      <c r="B4" s="23" t="s">
        <v>2</v>
      </c>
      <c r="C4" s="23"/>
      <c r="D4" s="24">
        <v>47505</v>
      </c>
      <c r="E4" s="25"/>
      <c r="F4" s="23" t="s">
        <v>5</v>
      </c>
      <c r="G4" s="23"/>
      <c r="H4" s="25">
        <v>0</v>
      </c>
      <c r="I4" s="25"/>
      <c r="J4" s="26" t="s">
        <v>12</v>
      </c>
      <c r="K4" s="27"/>
      <c r="L4" s="34">
        <v>2.63E-2</v>
      </c>
      <c r="M4" s="34"/>
      <c r="N4" s="1"/>
      <c r="O4" s="1"/>
    </row>
    <row r="5" spans="1:21" x14ac:dyDescent="0.4">
      <c r="B5" s="23" t="s">
        <v>3</v>
      </c>
      <c r="C5" s="23"/>
      <c r="D5" s="24">
        <v>51158</v>
      </c>
      <c r="E5" s="25"/>
      <c r="F5" s="23" t="s">
        <v>7</v>
      </c>
      <c r="G5" s="23"/>
      <c r="H5" s="25">
        <v>1</v>
      </c>
      <c r="I5" s="25"/>
      <c r="N5" s="1"/>
      <c r="O5" s="1"/>
    </row>
    <row r="6" spans="1:21" x14ac:dyDescent="0.4">
      <c r="B6" s="26" t="s">
        <v>1</v>
      </c>
      <c r="C6" s="27"/>
      <c r="D6" s="25">
        <v>0</v>
      </c>
      <c r="E6" s="25"/>
      <c r="F6" s="23" t="str">
        <f>IF(H5 = 1, "HolidayNation","Not Used")</f>
        <v>HolidayNation</v>
      </c>
      <c r="G6" s="23"/>
      <c r="H6" s="25">
        <v>0</v>
      </c>
      <c r="I6" s="25"/>
      <c r="J6" s="23" t="s">
        <v>16</v>
      </c>
      <c r="K6" s="23"/>
      <c r="L6" s="2">
        <f>COUNT(L8:XFD8)</f>
        <v>10</v>
      </c>
      <c r="N6" s="30" t="s">
        <v>13</v>
      </c>
      <c r="O6" s="30"/>
      <c r="P6" s="31">
        <v>45986.905219907407</v>
      </c>
      <c r="Q6" s="31"/>
    </row>
    <row r="7" spans="1:21" x14ac:dyDescent="0.4">
      <c r="B7" s="26" t="s">
        <v>4</v>
      </c>
      <c r="C7" s="27"/>
      <c r="D7" s="25">
        <v>4</v>
      </c>
      <c r="E7" s="25"/>
      <c r="F7" s="1"/>
      <c r="G7" s="1"/>
      <c r="I7" s="1"/>
      <c r="J7" s="3"/>
      <c r="K7" s="3"/>
      <c r="L7" s="3"/>
      <c r="N7" s="30" t="s">
        <v>14</v>
      </c>
      <c r="O7" s="30"/>
      <c r="P7" s="31">
        <v>45986.905231481483</v>
      </c>
      <c r="Q7" s="31"/>
    </row>
    <row r="8" spans="1:21" s="4" customFormat="1" x14ac:dyDescent="0.4">
      <c r="A8" s="1"/>
      <c r="B8" s="1"/>
      <c r="C8" s="1"/>
      <c r="D8" s="1"/>
      <c r="E8" s="1"/>
      <c r="F8" s="1"/>
      <c r="G8" s="1"/>
      <c r="H8" s="1"/>
      <c r="I8" s="1"/>
      <c r="J8" s="23" t="s">
        <v>15</v>
      </c>
      <c r="K8" s="23"/>
      <c r="L8" s="4">
        <v>47505</v>
      </c>
      <c r="M8" s="4">
        <v>47875</v>
      </c>
      <c r="N8" s="4">
        <v>48235</v>
      </c>
      <c r="O8" s="4">
        <v>48603</v>
      </c>
      <c r="P8" s="4">
        <v>48967</v>
      </c>
      <c r="Q8" s="4">
        <v>49331</v>
      </c>
      <c r="R8" s="4">
        <v>49696</v>
      </c>
      <c r="S8" s="4">
        <v>50062</v>
      </c>
      <c r="T8" s="4">
        <v>50427</v>
      </c>
      <c r="U8" s="4">
        <v>50794</v>
      </c>
    </row>
    <row r="9" spans="1:21" x14ac:dyDescent="0.4">
      <c r="B9" s="26" t="s">
        <v>6</v>
      </c>
      <c r="C9" s="27"/>
      <c r="D9" s="25">
        <v>1</v>
      </c>
      <c r="E9" s="25"/>
      <c r="F9" s="26" t="s">
        <v>9</v>
      </c>
      <c r="G9" s="27"/>
      <c r="H9" s="29">
        <v>1</v>
      </c>
      <c r="I9" s="29"/>
      <c r="L9" s="3"/>
      <c r="N9" s="1"/>
      <c r="O9" s="1"/>
    </row>
    <row r="10" spans="1:21" x14ac:dyDescent="0.4">
      <c r="B10" s="26" t="s">
        <v>17</v>
      </c>
      <c r="C10" s="27"/>
      <c r="D10" s="25">
        <v>0</v>
      </c>
      <c r="E10" s="25"/>
      <c r="F10" s="1"/>
      <c r="G10" s="1"/>
      <c r="I10" s="1"/>
      <c r="L10" s="3"/>
      <c r="N10" s="1"/>
      <c r="O10" s="1"/>
    </row>
    <row r="11" spans="1:21" s="4" customFormat="1" x14ac:dyDescent="0.4">
      <c r="A11" s="1"/>
      <c r="B11" s="28" t="s">
        <v>8</v>
      </c>
      <c r="C11" s="28"/>
      <c r="D11" s="1"/>
      <c r="E11" s="1"/>
      <c r="F11" s="1"/>
      <c r="G11" s="1"/>
      <c r="H11" s="1"/>
      <c r="I11" s="12" t="str">
        <f>IF(H5=1,"NotUsed","Holiday")</f>
        <v>NotUsed</v>
      </c>
      <c r="J11" s="4">
        <v>43101</v>
      </c>
      <c r="K11" s="4">
        <v>43146</v>
      </c>
      <c r="L11" s="4">
        <v>43147</v>
      </c>
      <c r="M11" s="4">
        <v>43148</v>
      </c>
      <c r="N11" s="4">
        <v>43160</v>
      </c>
      <c r="O11" s="4">
        <v>43221</v>
      </c>
      <c r="P11" s="4">
        <v>43227</v>
      </c>
      <c r="Q11" s="4">
        <v>43242</v>
      </c>
      <c r="R11" s="4">
        <v>43257</v>
      </c>
    </row>
    <row r="12" spans="1:21" x14ac:dyDescent="0.4">
      <c r="B12" s="28"/>
      <c r="C12" s="28"/>
      <c r="E12" s="28" t="s">
        <v>18</v>
      </c>
      <c r="F12" s="28"/>
      <c r="G12" s="17">
        <f t="shared" ref="G12:L12" si="1">LOG(($E15+G$14)/12,1.5)</f>
        <v>1</v>
      </c>
      <c r="H12" s="17">
        <f t="shared" si="1"/>
        <v>1.7095112913514547</v>
      </c>
      <c r="I12" s="17">
        <f t="shared" si="1"/>
        <v>2.709511291351455</v>
      </c>
      <c r="J12" s="17">
        <f t="shared" si="1"/>
        <v>3.4190225827029095</v>
      </c>
      <c r="K12" s="17">
        <f t="shared" si="1"/>
        <v>3.9693622959161177</v>
      </c>
      <c r="L12" s="17">
        <f t="shared" si="1"/>
        <v>4.419022582702909</v>
      </c>
    </row>
    <row r="13" spans="1:21" x14ac:dyDescent="0.35">
      <c r="A13" s="3"/>
      <c r="B13" s="8">
        <v>45209</v>
      </c>
      <c r="C13" s="10">
        <v>3.5263</v>
      </c>
      <c r="E13" s="28" t="s">
        <v>20</v>
      </c>
      <c r="F13" s="15" t="s">
        <v>19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</row>
    <row r="14" spans="1:21" x14ac:dyDescent="0.35">
      <c r="A14" s="3"/>
      <c r="B14" s="8">
        <v>45210</v>
      </c>
      <c r="C14" s="10">
        <v>3.5270999999999999</v>
      </c>
      <c r="E14" s="28"/>
      <c r="F14" s="14">
        <v>3</v>
      </c>
      <c r="G14" s="14">
        <v>6</v>
      </c>
      <c r="H14" s="14">
        <v>12</v>
      </c>
      <c r="I14" s="14">
        <f>H14+12</f>
        <v>24</v>
      </c>
      <c r="J14" s="14">
        <f t="shared" ref="J14:N14" si="2">I14+12</f>
        <v>36</v>
      </c>
      <c r="K14" s="14">
        <f t="shared" si="2"/>
        <v>48</v>
      </c>
      <c r="L14" s="14">
        <f t="shared" si="2"/>
        <v>60</v>
      </c>
      <c r="M14" s="14">
        <f t="shared" si="2"/>
        <v>72</v>
      </c>
      <c r="N14" s="14">
        <f t="shared" si="2"/>
        <v>84</v>
      </c>
      <c r="O14" s="14">
        <f>N14+12</f>
        <v>96</v>
      </c>
      <c r="P14" s="14">
        <f>O14+12</f>
        <v>108</v>
      </c>
      <c r="Q14" s="14">
        <f>P14+12</f>
        <v>120</v>
      </c>
      <c r="R14" s="14"/>
      <c r="S14" s="14"/>
      <c r="T14" s="14"/>
      <c r="U14" s="14"/>
    </row>
    <row r="15" spans="1:21" x14ac:dyDescent="0.35">
      <c r="A15" s="3"/>
      <c r="B15" s="8">
        <v>45301</v>
      </c>
      <c r="C15" s="10">
        <v>3.7902999999999998</v>
      </c>
      <c r="E15" s="14">
        <v>12</v>
      </c>
      <c r="F15" s="13">
        <v>2.5000000000000001E-3</v>
      </c>
      <c r="G15" s="13">
        <v>2.66E-3</v>
      </c>
      <c r="H15" s="13">
        <v>2.9299999999999999E-3</v>
      </c>
      <c r="I15" s="13">
        <v>4.273778228378637E-3</v>
      </c>
      <c r="J15" s="13">
        <v>5.6496275114116578E-3</v>
      </c>
      <c r="K15" s="13">
        <v>6.7737782283786374E-3</v>
      </c>
      <c r="L15" s="13">
        <v>7.7242341168427577E-3</v>
      </c>
      <c r="M15" s="13">
        <v>8.5475564567572739E-3</v>
      </c>
      <c r="N15" s="13">
        <v>9.2737782283786371E-3</v>
      </c>
      <c r="O15" s="13">
        <v>9.9234057397902947E-3</v>
      </c>
      <c r="P15" s="13">
        <v>1.0511065305918112E-2</v>
      </c>
      <c r="Q15" s="13">
        <v>1.1047556456757273E-2</v>
      </c>
      <c r="R15" s="13"/>
      <c r="S15" s="13"/>
      <c r="T15" s="13"/>
      <c r="U15" s="13"/>
    </row>
    <row r="16" spans="1:21" x14ac:dyDescent="0.35">
      <c r="A16" s="3"/>
      <c r="B16" s="8">
        <v>45393</v>
      </c>
      <c r="C16" s="10">
        <v>3.8933</v>
      </c>
      <c r="E16" s="14">
        <f>E15+12</f>
        <v>24</v>
      </c>
      <c r="F16" s="13">
        <v>5.0000000000000001E-3</v>
      </c>
      <c r="G16" s="13">
        <v>4.2100000000000002E-3</v>
      </c>
      <c r="H16" s="13">
        <v>5.6496275114116578E-3</v>
      </c>
      <c r="I16" s="13">
        <v>6.7737782283786374E-3</v>
      </c>
      <c r="J16" s="13">
        <v>7.7242341168427577E-3</v>
      </c>
      <c r="K16" s="13">
        <v>8.5475564567572739E-3</v>
      </c>
      <c r="L16" s="13">
        <v>9.2737782283786371E-3</v>
      </c>
      <c r="M16" s="13">
        <v>9.9234057397902947E-3</v>
      </c>
      <c r="N16" s="13">
        <v>1.0511065305918112E-2</v>
      </c>
      <c r="O16" s="13">
        <v>1.1047556456757273E-2</v>
      </c>
      <c r="P16" s="13">
        <v>1.1541080474440342E-2</v>
      </c>
      <c r="Q16" s="13">
        <v>1.1998012345221394E-2</v>
      </c>
      <c r="R16" s="13"/>
      <c r="S16" s="13"/>
      <c r="T16" s="13"/>
      <c r="U16" s="13"/>
    </row>
    <row r="17" spans="1:21" x14ac:dyDescent="0.35">
      <c r="A17" s="3"/>
      <c r="B17" s="8">
        <v>45483</v>
      </c>
      <c r="C17" s="10">
        <v>3.9302999999999999</v>
      </c>
      <c r="E17" s="14">
        <f t="shared" ref="E17:E24" si="3">E16+12</f>
        <v>36</v>
      </c>
      <c r="F17" s="13">
        <v>7.2673022460617055E-3</v>
      </c>
      <c r="G17" s="13">
        <v>7.2673022460617055E-3</v>
      </c>
      <c r="H17" s="13">
        <v>7.7242341168427577E-3</v>
      </c>
      <c r="I17" s="13">
        <v>8.5475564567572739E-3</v>
      </c>
      <c r="J17" s="13">
        <v>9.2737782283786371E-3</v>
      </c>
      <c r="K17" s="13">
        <v>9.9234057397902947E-3</v>
      </c>
      <c r="L17" s="13">
        <v>1.0511065305918112E-2</v>
      </c>
      <c r="M17" s="13">
        <v>1.1047556456757273E-2</v>
      </c>
      <c r="N17" s="13">
        <v>1.1541080474440342E-2</v>
      </c>
      <c r="O17" s="13">
        <v>1.1998012345221394E-2</v>
      </c>
      <c r="P17" s="13">
        <v>1.2423405739790295E-2</v>
      </c>
      <c r="Q17" s="13">
        <v>1.282133468513591E-2</v>
      </c>
      <c r="R17" s="13"/>
      <c r="S17" s="13"/>
      <c r="T17" s="13"/>
      <c r="U17" s="13"/>
    </row>
    <row r="18" spans="1:21" x14ac:dyDescent="0.35">
      <c r="A18" s="3"/>
      <c r="B18" s="8">
        <v>45575</v>
      </c>
      <c r="C18" s="10">
        <v>3.9365999999999999</v>
      </c>
      <c r="E18" s="14">
        <f t="shared" si="3"/>
        <v>48</v>
      </c>
      <c r="F18" s="13">
        <v>8.9213532434851105E-3</v>
      </c>
      <c r="G18" s="13">
        <v>8.9213532434851105E-3</v>
      </c>
      <c r="H18" s="13">
        <v>9.2737782283786371E-3</v>
      </c>
      <c r="I18" s="13">
        <v>1.1958177653792144E-2</v>
      </c>
      <c r="J18" s="13">
        <v>1.2666335485485859E-2</v>
      </c>
      <c r="K18" s="13">
        <v>1.3312832934007769E-2</v>
      </c>
      <c r="L18" s="13">
        <v>1.3907552935851821E-2</v>
      </c>
      <c r="M18" s="13">
        <v>1.4458177653792145E-2</v>
      </c>
      <c r="N18" s="13">
        <v>1.4970797002269186E-2</v>
      </c>
      <c r="O18" s="13">
        <v>1.5450320378296091E-2</v>
      </c>
      <c r="P18" s="13">
        <v>1.5900763351134023E-2</v>
      </c>
      <c r="Q18" s="13">
        <v>1.6325452282484811E-2</v>
      </c>
      <c r="R18" s="13"/>
      <c r="S18" s="13"/>
      <c r="T18" s="13"/>
      <c r="U18" s="13"/>
    </row>
    <row r="19" spans="1:21" x14ac:dyDescent="0.35">
      <c r="A19" s="3"/>
      <c r="B19" s="8">
        <v>45757</v>
      </c>
      <c r="C19" s="10">
        <v>3.9529000000000001</v>
      </c>
      <c r="E19" s="14">
        <f t="shared" si="3"/>
        <v>60</v>
      </c>
      <c r="F19" s="13">
        <v>1.0224234116842756E-2</v>
      </c>
      <c r="G19" s="13">
        <v>1.0224234116842756E-2</v>
      </c>
      <c r="H19" s="13">
        <v>1.0511065305918112E-2</v>
      </c>
      <c r="I19" s="13">
        <v>1.3312832934007769E-2</v>
      </c>
      <c r="J19" s="13">
        <v>1.3907552935851821E-2</v>
      </c>
      <c r="K19" s="13">
        <v>1.4458177653792145E-2</v>
      </c>
      <c r="L19" s="13">
        <v>1.4970797002269186E-2</v>
      </c>
      <c r="M19" s="13">
        <v>1.5450320378296091E-2</v>
      </c>
      <c r="N19" s="13">
        <v>1.5900763351134023E-2</v>
      </c>
      <c r="O19" s="13">
        <v>1.6325452282484811E-2</v>
      </c>
      <c r="P19" s="13">
        <v>1.6727173549395329E-2</v>
      </c>
      <c r="Q19" s="13">
        <v>1.7108284446557511E-2</v>
      </c>
      <c r="R19" s="13"/>
      <c r="S19" s="13"/>
      <c r="T19" s="13"/>
      <c r="U19" s="13"/>
    </row>
    <row r="20" spans="1:21" x14ac:dyDescent="0.35">
      <c r="A20" s="3"/>
      <c r="B20" s="8">
        <v>45940</v>
      </c>
      <c r="C20" s="10">
        <v>3.9586000000000001</v>
      </c>
      <c r="E20" s="14">
        <f t="shared" si="3"/>
        <v>72</v>
      </c>
      <c r="F20" s="13">
        <v>1.1299255022823316E-2</v>
      </c>
      <c r="G20" s="13">
        <v>1.1299255022823316E-2</v>
      </c>
      <c r="H20" s="13">
        <v>1.1541080474440342E-2</v>
      </c>
      <c r="I20" s="13">
        <v>1.4458177653792145E-2</v>
      </c>
      <c r="J20" s="13">
        <v>2.0142007865564679E-2</v>
      </c>
      <c r="K20" s="13">
        <v>2.0787168147291302E-2</v>
      </c>
      <c r="L20" s="13">
        <v>2.139320307652819E-2</v>
      </c>
      <c r="M20" s="13">
        <v>2.1964588006427994E-2</v>
      </c>
      <c r="N20" s="13">
        <v>2.250507178405518E-2</v>
      </c>
      <c r="O20" s="13">
        <v>2.3017825960544889E-2</v>
      </c>
      <c r="P20" s="13">
        <v>2.3505557558762661E-2</v>
      </c>
      <c r="Q20" s="13">
        <v>2.3970595583556544E-2</v>
      </c>
      <c r="R20" s="13"/>
      <c r="S20" s="13"/>
      <c r="T20" s="13"/>
      <c r="U20" s="13"/>
    </row>
    <row r="21" spans="1:21" x14ac:dyDescent="0.35">
      <c r="A21" s="3"/>
      <c r="B21" s="8">
        <v>46307</v>
      </c>
      <c r="C21" s="10">
        <v>3.9590999999999998</v>
      </c>
      <c r="E21" s="14">
        <f t="shared" si="3"/>
        <v>84</v>
      </c>
      <c r="F21" s="13">
        <v>1.2214376954096129E-2</v>
      </c>
      <c r="G21" s="13">
        <v>1.2214376954096129E-2</v>
      </c>
      <c r="H21" s="13">
        <v>1.2423405739790295E-2</v>
      </c>
      <c r="I21" s="13">
        <v>1.5450320378296091E-2</v>
      </c>
      <c r="J21" s="13">
        <v>2.139320307652819E-2</v>
      </c>
      <c r="K21" s="13">
        <v>2.1964588006427994E-2</v>
      </c>
      <c r="L21" s="13">
        <v>2.250507178405518E-2</v>
      </c>
      <c r="M21" s="13">
        <v>2.3017825960544889E-2</v>
      </c>
      <c r="N21" s="13">
        <v>2.3505557558762661E-2</v>
      </c>
      <c r="O21" s="13">
        <v>2.3970595583556544E-2</v>
      </c>
      <c r="P21" s="13">
        <v>2.4414958285985257E-2</v>
      </c>
      <c r="Q21" s="13">
        <v>2.48404061014082E-2</v>
      </c>
      <c r="R21" s="13"/>
      <c r="S21" s="13"/>
      <c r="T21" s="13"/>
      <c r="U21" s="13"/>
    </row>
    <row r="22" spans="1:21" x14ac:dyDescent="0.35">
      <c r="A22" s="3"/>
      <c r="B22" s="8">
        <v>46671</v>
      </c>
      <c r="C22" s="10">
        <v>3.9672999999999998</v>
      </c>
      <c r="E22" s="14">
        <f t="shared" si="3"/>
        <v>96</v>
      </c>
      <c r="F22" s="13">
        <v>1.3011065305918111E-2</v>
      </c>
      <c r="G22" s="13">
        <v>1.3011065305918111E-2</v>
      </c>
      <c r="H22" s="13">
        <v>1.3195131471863748E-2</v>
      </c>
      <c r="I22" s="13">
        <v>1.6325452282484811E-2</v>
      </c>
      <c r="J22" s="13">
        <v>2.250507178405518E-2</v>
      </c>
      <c r="K22" s="13">
        <v>2.3017825960544889E-2</v>
      </c>
      <c r="L22" s="13">
        <v>2.3505557558762661E-2</v>
      </c>
      <c r="M22" s="13">
        <v>2.3970595583556544E-2</v>
      </c>
      <c r="N22" s="13">
        <v>2.4414958285985257E-2</v>
      </c>
      <c r="O22" s="13">
        <v>2.48404061014082E-2</v>
      </c>
      <c r="P22" s="13">
        <v>2.5248483773798475E-2</v>
      </c>
      <c r="Q22" s="13">
        <v>2.5640554213304707E-2</v>
      </c>
      <c r="R22" s="13"/>
      <c r="S22" s="13"/>
      <c r="T22" s="13"/>
      <c r="U22" s="13"/>
    </row>
    <row r="23" spans="1:21" x14ac:dyDescent="0.35">
      <c r="A23" s="3"/>
      <c r="B23" s="8">
        <v>47036</v>
      </c>
      <c r="C23" s="10">
        <v>3.9701</v>
      </c>
      <c r="E23" s="14">
        <f t="shared" si="3"/>
        <v>108</v>
      </c>
      <c r="F23" s="13">
        <v>1.3716491919021547E-2</v>
      </c>
      <c r="G23" s="13">
        <v>1.3716491919021547E-2</v>
      </c>
      <c r="H23" s="13">
        <v>1.3880921894307159E-2</v>
      </c>
      <c r="I23" s="13">
        <v>1.7108284446557511E-2</v>
      </c>
      <c r="J23" s="13">
        <v>2.3505557558762661E-2</v>
      </c>
      <c r="K23" s="13">
        <v>2.3970595583556544E-2</v>
      </c>
      <c r="L23" s="13">
        <v>2.4414958285985257E-2</v>
      </c>
      <c r="M23" s="13">
        <v>2.48404061014082E-2</v>
      </c>
      <c r="N23" s="13">
        <v>2.5248483773798475E-2</v>
      </c>
      <c r="O23" s="13">
        <v>2.5640554213304707E-2</v>
      </c>
      <c r="P23" s="13">
        <v>2.6017825960544885E-2</v>
      </c>
      <c r="Q23" s="13">
        <v>2.6381375653742864E-2</v>
      </c>
      <c r="R23" s="13"/>
      <c r="S23" s="13"/>
      <c r="T23" s="13"/>
      <c r="U23" s="13"/>
    </row>
    <row r="24" spans="1:21" x14ac:dyDescent="0.35">
      <c r="A24" s="3"/>
      <c r="B24" s="8">
        <v>47401</v>
      </c>
      <c r="C24" s="10">
        <v>3.9782999999999999</v>
      </c>
      <c r="E24" s="14">
        <f t="shared" si="3"/>
        <v>120</v>
      </c>
      <c r="F24" s="13">
        <v>1.4349432657985814E-2</v>
      </c>
      <c r="G24" s="13">
        <v>1.4349432657985814E-2</v>
      </c>
      <c r="H24" s="13">
        <v>1.4498012345221394E-2</v>
      </c>
      <c r="I24" s="13">
        <v>1.7816442278251222E-2</v>
      </c>
      <c r="J24" s="13">
        <v>2.4414958285985257E-2</v>
      </c>
      <c r="K24" s="13">
        <v>2.48404061014082E-2</v>
      </c>
      <c r="L24" s="13">
        <v>2.5248483773798475E-2</v>
      </c>
      <c r="M24" s="13">
        <v>2.5640554213304707E-2</v>
      </c>
      <c r="N24" s="13">
        <v>2.6017825960544885E-2</v>
      </c>
      <c r="O24" s="13">
        <v>2.6381375653742864E-2</v>
      </c>
      <c r="P24" s="13">
        <v>2.6732166551590355E-2</v>
      </c>
      <c r="Q24" s="13">
        <v>2.707106391466178E-2</v>
      </c>
      <c r="R24" s="13"/>
      <c r="S24" s="13"/>
      <c r="T24" s="13"/>
      <c r="U24" s="13"/>
    </row>
    <row r="25" spans="1:21" x14ac:dyDescent="0.35">
      <c r="A25" s="3"/>
      <c r="B25" s="8">
        <v>47766</v>
      </c>
      <c r="C25" s="10">
        <v>3.9838</v>
      </c>
      <c r="E25" s="14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</row>
    <row r="26" spans="1:21" x14ac:dyDescent="0.35">
      <c r="A26" s="3"/>
      <c r="B26" s="8">
        <v>48131</v>
      </c>
      <c r="C26" s="10">
        <v>3.9923000000000002</v>
      </c>
      <c r="E26" s="14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</row>
    <row r="27" spans="1:21" x14ac:dyDescent="0.35">
      <c r="A27" s="3"/>
      <c r="B27" s="8">
        <v>48498</v>
      </c>
      <c r="C27" s="10">
        <v>4.0037000000000003</v>
      </c>
      <c r="E27" s="14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</row>
    <row r="28" spans="1:21" x14ac:dyDescent="0.35">
      <c r="A28" s="3"/>
      <c r="B28" s="8">
        <v>48862</v>
      </c>
      <c r="C28" s="10">
        <v>4.0152999999999999</v>
      </c>
      <c r="F28" s="1"/>
      <c r="G28" s="1"/>
      <c r="N28" s="1"/>
      <c r="O28" s="1"/>
    </row>
    <row r="29" spans="1:21" x14ac:dyDescent="0.35">
      <c r="A29" s="3"/>
      <c r="B29" s="8">
        <v>49592</v>
      </c>
      <c r="C29" s="10">
        <v>4.0266000000000002</v>
      </c>
      <c r="F29" s="1"/>
      <c r="G29" s="1"/>
      <c r="N29" s="1"/>
      <c r="O29" s="1"/>
    </row>
    <row r="30" spans="1:21" x14ac:dyDescent="0.35">
      <c r="A30" s="3"/>
      <c r="B30" s="8">
        <v>50689</v>
      </c>
      <c r="C30" s="10">
        <v>4.0156000000000001</v>
      </c>
      <c r="E30" s="32" t="s">
        <v>21</v>
      </c>
      <c r="F30" s="32"/>
    </row>
    <row r="31" spans="1:21" x14ac:dyDescent="0.35">
      <c r="A31" s="3"/>
      <c r="B31" s="8">
        <v>52516</v>
      </c>
      <c r="C31" s="10">
        <v>3.8306</v>
      </c>
      <c r="E31" s="32" t="s">
        <v>20</v>
      </c>
      <c r="F31" s="16" t="s">
        <v>22</v>
      </c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</row>
    <row r="32" spans="1:21" x14ac:dyDescent="0.35">
      <c r="A32" s="3"/>
      <c r="B32" s="8">
        <v>54343</v>
      </c>
      <c r="C32" s="10">
        <v>3.6707000000000001</v>
      </c>
      <c r="E32" s="32"/>
      <c r="F32" s="20">
        <v>45298</v>
      </c>
      <c r="G32" s="20">
        <v>45389</v>
      </c>
      <c r="H32" s="20">
        <v>45572</v>
      </c>
      <c r="I32" s="20">
        <v>45937</v>
      </c>
      <c r="J32" s="20">
        <v>46302</v>
      </c>
      <c r="K32" s="20">
        <v>46667</v>
      </c>
      <c r="L32" s="20">
        <v>47033</v>
      </c>
      <c r="M32" s="20">
        <v>47398</v>
      </c>
      <c r="N32" s="20">
        <v>47763</v>
      </c>
      <c r="O32" s="20">
        <v>48128</v>
      </c>
      <c r="P32" s="20">
        <v>48494</v>
      </c>
      <c r="Q32" s="20">
        <v>48859</v>
      </c>
      <c r="R32" s="20"/>
      <c r="S32" s="20"/>
      <c r="T32" s="20"/>
      <c r="U32" s="20"/>
    </row>
    <row r="33" spans="1:21" x14ac:dyDescent="0.35">
      <c r="A33" s="3"/>
      <c r="B33" s="8">
        <v>56167</v>
      </c>
      <c r="C33" s="10">
        <v>3.5825</v>
      </c>
      <c r="E33" s="18">
        <v>12</v>
      </c>
      <c r="F33" s="19">
        <v>1.2755579042434694E-2</v>
      </c>
      <c r="G33" s="19">
        <v>9.7988596677780152E-3</v>
      </c>
      <c r="H33" s="19">
        <v>7.8124553918838503E-3</v>
      </c>
      <c r="I33" s="19">
        <v>8.3951212644577024E-3</v>
      </c>
      <c r="J33" s="19">
        <v>9.4331438541412384E-3</v>
      </c>
      <c r="K33" s="19">
        <v>1.0114033269882201E-2</v>
      </c>
      <c r="L33" s="19">
        <v>1.0818048131465915E-2</v>
      </c>
      <c r="M33" s="19">
        <v>1.1381641471385959E-2</v>
      </c>
      <c r="N33" s="19">
        <v>1.1906136119365696E-2</v>
      </c>
      <c r="O33" s="19">
        <v>1.23812805891037E-2</v>
      </c>
      <c r="P33" s="19">
        <v>1.2918649196624755E-2</v>
      </c>
      <c r="Q33" s="19">
        <v>1.3347781181335451E-2</v>
      </c>
      <c r="R33" s="19"/>
      <c r="S33" s="19"/>
      <c r="T33" s="19"/>
      <c r="U33" s="19"/>
    </row>
    <row r="34" spans="1:21" x14ac:dyDescent="0.4">
      <c r="E34" s="18">
        <f>E33+12</f>
        <v>24</v>
      </c>
      <c r="F34" s="19">
        <v>1.3024024939537051E-2</v>
      </c>
      <c r="G34" s="19">
        <v>7.9068644285202033E-3</v>
      </c>
      <c r="H34" s="19">
        <v>7.6808549165725722E-3</v>
      </c>
      <c r="I34" s="19">
        <v>6.7853995084762569E-3</v>
      </c>
      <c r="J34" s="19">
        <v>6.5510457634925853E-3</v>
      </c>
      <c r="K34" s="19">
        <v>6.5438935637474067E-3</v>
      </c>
      <c r="L34" s="19">
        <v>6.6247134208679203E-3</v>
      </c>
      <c r="M34" s="19">
        <v>6.7399830400943772E-3</v>
      </c>
      <c r="N34" s="19">
        <v>6.8759940385818485E-3</v>
      </c>
      <c r="O34" s="19">
        <v>7.0437131226062776E-3</v>
      </c>
      <c r="P34" s="19">
        <v>7.2179883897304543E-3</v>
      </c>
      <c r="Q34" s="19">
        <v>7.4258789956569669E-3</v>
      </c>
      <c r="R34" s="19"/>
      <c r="S34" s="19"/>
      <c r="T34" s="19"/>
      <c r="U34" s="19"/>
    </row>
    <row r="35" spans="1:21" x14ac:dyDescent="0.4">
      <c r="E35" s="18">
        <f t="shared" ref="E35:E42" si="4">E34+12</f>
        <v>36</v>
      </c>
      <c r="F35" s="19">
        <v>1.2873828744888306E-2</v>
      </c>
      <c r="G35" s="19">
        <v>9.2767490863800064E-3</v>
      </c>
      <c r="H35" s="19">
        <v>7.1393141925334917E-3</v>
      </c>
      <c r="I35" s="19">
        <v>5.8056673467159273E-3</v>
      </c>
      <c r="J35" s="19">
        <v>5.3593700826168062E-3</v>
      </c>
      <c r="K35" s="19">
        <v>5.1750817358493795E-3</v>
      </c>
      <c r="L35" s="19">
        <v>5.1057053983211507E-3</v>
      </c>
      <c r="M35" s="19">
        <v>5.0988512068986889E-3</v>
      </c>
      <c r="N35" s="19">
        <v>5.1385459154844292E-3</v>
      </c>
      <c r="O35" s="19">
        <v>5.1964787334203705E-3</v>
      </c>
      <c r="P35" s="19">
        <v>5.2942850649356846E-3</v>
      </c>
      <c r="Q35" s="19">
        <v>5.3988263845443727E-3</v>
      </c>
      <c r="R35" s="19"/>
      <c r="S35" s="19"/>
      <c r="T35" s="19"/>
      <c r="U35" s="19"/>
    </row>
    <row r="36" spans="1:21" x14ac:dyDescent="0.4">
      <c r="E36" s="18">
        <f t="shared" si="4"/>
        <v>48</v>
      </c>
      <c r="F36" s="19">
        <v>1.2072543966770172E-2</v>
      </c>
      <c r="G36" s="19">
        <v>8.6918183505535138E-3</v>
      </c>
      <c r="H36" s="19">
        <v>6.5421055138111112E-3</v>
      </c>
      <c r="I36" s="19">
        <v>6.2197797119617464E-3</v>
      </c>
      <c r="J36" s="19">
        <v>5.6046905338764195E-3</v>
      </c>
      <c r="K36" s="19">
        <v>5.3116291493177405E-3</v>
      </c>
      <c r="L36" s="19">
        <v>5.1575588464736937E-3</v>
      </c>
      <c r="M36" s="19">
        <v>5.1002816468477246E-3</v>
      </c>
      <c r="N36" s="19">
        <v>5.0941426753997798E-3</v>
      </c>
      <c r="O36" s="19">
        <v>5.1267447859048836E-3</v>
      </c>
      <c r="P36" s="19">
        <v>5.1847372055053697E-3</v>
      </c>
      <c r="Q36" s="19">
        <v>5.2589412778615945E-3</v>
      </c>
      <c r="R36" s="19"/>
      <c r="S36" s="19"/>
      <c r="T36" s="19"/>
      <c r="U36" s="19"/>
    </row>
    <row r="37" spans="1:21" x14ac:dyDescent="0.4">
      <c r="E37" s="18">
        <f t="shared" si="4"/>
        <v>60</v>
      </c>
      <c r="F37" s="19">
        <v>1.129414622783661E-2</v>
      </c>
      <c r="G37" s="19">
        <v>8.1314435005187986E-3</v>
      </c>
      <c r="H37" s="19">
        <v>6.0532526612281793E-3</v>
      </c>
      <c r="I37" s="19">
        <v>5.6526102721691143E-3</v>
      </c>
      <c r="J37" s="19">
        <v>5.0208326280117045E-3</v>
      </c>
      <c r="K37" s="19">
        <v>4.7047053992748267E-3</v>
      </c>
      <c r="L37" s="19">
        <v>4.5349002569913862E-3</v>
      </c>
      <c r="M37" s="19">
        <v>4.451517528295517E-3</v>
      </c>
      <c r="N37" s="19">
        <v>4.4190942227840414E-3</v>
      </c>
      <c r="O37" s="19">
        <v>4.4209418743848799E-3</v>
      </c>
      <c r="P37" s="19">
        <v>4.4499678850173953E-3</v>
      </c>
      <c r="Q37" s="19">
        <v>4.4957419633865356E-3</v>
      </c>
      <c r="R37" s="19"/>
      <c r="S37" s="19"/>
      <c r="T37" s="19"/>
      <c r="U37" s="19"/>
    </row>
    <row r="38" spans="1:21" x14ac:dyDescent="0.4">
      <c r="E38" s="18">
        <f t="shared" si="4"/>
        <v>72</v>
      </c>
      <c r="F38" s="19">
        <v>1.06049125790596E-2</v>
      </c>
      <c r="G38" s="19">
        <v>7.6384185314178465E-3</v>
      </c>
      <c r="H38" s="19">
        <v>5.6499877989292149E-3</v>
      </c>
      <c r="I38" s="19">
        <v>5.2162068843841546E-3</v>
      </c>
      <c r="J38" s="19">
        <v>6.1766877084970459E-3</v>
      </c>
      <c r="K38" s="19">
        <v>5.7497609853744518E-3</v>
      </c>
      <c r="L38" s="19">
        <v>5.5107583105564115E-3</v>
      </c>
      <c r="M38" s="19">
        <v>5.3816015034914011E-3</v>
      </c>
      <c r="N38" s="19">
        <v>5.3160694733262051E-3</v>
      </c>
      <c r="O38" s="19">
        <v>5.2973545506596565E-3</v>
      </c>
      <c r="P38" s="19">
        <v>5.3130595892667762E-3</v>
      </c>
      <c r="Q38" s="19">
        <v>5.3463173180818557E-3</v>
      </c>
      <c r="R38" s="19"/>
      <c r="S38" s="19"/>
      <c r="T38" s="19"/>
      <c r="U38" s="19"/>
    </row>
    <row r="39" spans="1:21" x14ac:dyDescent="0.4">
      <c r="E39" s="18">
        <f t="shared" si="4"/>
        <v>84</v>
      </c>
      <c r="F39" s="19">
        <v>1.0017120963335038E-2</v>
      </c>
      <c r="G39" s="19">
        <v>7.2145314931869511E-3</v>
      </c>
      <c r="H39" s="19">
        <v>5.3144900292158119E-3</v>
      </c>
      <c r="I39" s="19">
        <v>4.8695636034011844E-3</v>
      </c>
      <c r="J39" s="19">
        <v>5.7346817642450337E-3</v>
      </c>
      <c r="K39" s="19">
        <v>5.3062649995088557E-3</v>
      </c>
      <c r="L39" s="19">
        <v>5.0671431213617311E-3</v>
      </c>
      <c r="M39" s="19">
        <v>4.9276156246662144E-3</v>
      </c>
      <c r="N39" s="19">
        <v>4.8527559340000147E-3</v>
      </c>
      <c r="O39" s="19">
        <v>4.8208988443017003E-3</v>
      </c>
      <c r="P39" s="19">
        <v>4.8175313502550124E-3</v>
      </c>
      <c r="Q39" s="19">
        <v>4.8341304138302807E-3</v>
      </c>
      <c r="R39" s="19"/>
      <c r="S39" s="19"/>
      <c r="T39" s="19"/>
      <c r="U39" s="19"/>
    </row>
    <row r="40" spans="1:21" x14ac:dyDescent="0.4">
      <c r="E40" s="18">
        <f t="shared" si="4"/>
        <v>96</v>
      </c>
      <c r="F40" s="19">
        <v>9.5170629978179946E-3</v>
      </c>
      <c r="G40" s="19">
        <v>6.852153372764588E-3</v>
      </c>
      <c r="H40" s="19">
        <v>5.0332297742366784E-3</v>
      </c>
      <c r="I40" s="19">
        <v>4.5908066183328634E-3</v>
      </c>
      <c r="J40" s="19">
        <v>5.3780850052833557E-3</v>
      </c>
      <c r="K40" s="19">
        <v>4.9630488142371173E-3</v>
      </c>
      <c r="L40" s="19">
        <v>4.7202614337205889E-3</v>
      </c>
      <c r="M40" s="19">
        <v>4.5777240529656415E-3</v>
      </c>
      <c r="N40" s="19">
        <v>4.4959803700447085E-3</v>
      </c>
      <c r="O40" s="19">
        <v>4.4519943416118628E-3</v>
      </c>
      <c r="P40" s="19">
        <v>4.4382263571023945E-3</v>
      </c>
      <c r="Q40" s="19">
        <v>4.4438289135694514E-3</v>
      </c>
      <c r="R40" s="19"/>
      <c r="S40" s="19"/>
      <c r="T40" s="19"/>
      <c r="U40" s="19"/>
    </row>
    <row r="41" spans="1:21" x14ac:dyDescent="0.4">
      <c r="E41" s="18">
        <f t="shared" si="4"/>
        <v>108</v>
      </c>
      <c r="F41" s="19">
        <v>9.0829244732856772E-3</v>
      </c>
      <c r="G41" s="19">
        <v>6.5447279870510106E-3</v>
      </c>
      <c r="H41" s="19">
        <v>4.798339614272118E-3</v>
      </c>
      <c r="I41" s="19">
        <v>4.3561846658587448E-3</v>
      </c>
      <c r="J41" s="19">
        <v>5.0918182104825963E-3</v>
      </c>
      <c r="K41" s="19">
        <v>4.6835170075297363E-3</v>
      </c>
      <c r="L41" s="19">
        <v>4.4424580752849586E-3</v>
      </c>
      <c r="M41" s="19">
        <v>4.2979836404323582E-3</v>
      </c>
      <c r="N41" s="19">
        <v>4.2088195502758014E-3</v>
      </c>
      <c r="O41" s="19">
        <v>4.1593799695372581E-3</v>
      </c>
      <c r="P41" s="19">
        <v>4.1376551628112788E-3</v>
      </c>
      <c r="Q41" s="19">
        <v>4.1335724487900731E-3</v>
      </c>
      <c r="R41" s="19"/>
      <c r="S41" s="19"/>
      <c r="T41" s="19"/>
      <c r="U41" s="19"/>
    </row>
    <row r="42" spans="1:21" x14ac:dyDescent="0.4">
      <c r="E42" s="18">
        <f t="shared" si="4"/>
        <v>120</v>
      </c>
      <c r="F42" s="19">
        <v>8.7184006929397588E-3</v>
      </c>
      <c r="G42" s="19">
        <v>6.2774145215749727E-3</v>
      </c>
      <c r="H42" s="19">
        <v>4.5939059048891069E-3</v>
      </c>
      <c r="I42" s="19">
        <v>4.1626580610871315E-3</v>
      </c>
      <c r="J42" s="19">
        <v>4.8516235023736958E-3</v>
      </c>
      <c r="K42" s="19">
        <v>4.4520837441086774E-3</v>
      </c>
      <c r="L42" s="19">
        <v>4.2120678409934033E-3</v>
      </c>
      <c r="M42" s="19">
        <v>4.0660139620304105E-3</v>
      </c>
      <c r="N42" s="19">
        <v>3.9747936144471164E-3</v>
      </c>
      <c r="O42" s="19">
        <v>3.9202282905578621E-3</v>
      </c>
      <c r="P42" s="19">
        <v>3.8917386949062346E-3</v>
      </c>
      <c r="Q42" s="19">
        <v>3.8808911919593811E-3</v>
      </c>
      <c r="R42" s="19"/>
      <c r="S42" s="19"/>
      <c r="T42" s="19"/>
      <c r="U42" s="19"/>
    </row>
    <row r="43" spans="1:21" x14ac:dyDescent="0.4">
      <c r="E43" s="18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</row>
    <row r="44" spans="1:21" x14ac:dyDescent="0.4">
      <c r="E44" s="18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</row>
    <row r="45" spans="1:21" x14ac:dyDescent="0.4">
      <c r="E45" s="18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</row>
  </sheetData>
  <mergeCells count="38">
    <mergeCell ref="E13:E14"/>
    <mergeCell ref="E30:F30"/>
    <mergeCell ref="E31:E32"/>
    <mergeCell ref="L3:M3"/>
    <mergeCell ref="J2:M2"/>
    <mergeCell ref="J4:K4"/>
    <mergeCell ref="L4:M4"/>
    <mergeCell ref="J8:K8"/>
    <mergeCell ref="D5:E5"/>
    <mergeCell ref="D4:E4"/>
    <mergeCell ref="F5:G5"/>
    <mergeCell ref="F4:G4"/>
    <mergeCell ref="H6:I6"/>
    <mergeCell ref="J3:K3"/>
    <mergeCell ref="H4:I4"/>
    <mergeCell ref="H5:I5"/>
    <mergeCell ref="N6:O6"/>
    <mergeCell ref="J6:K6"/>
    <mergeCell ref="P6:Q6"/>
    <mergeCell ref="N7:O7"/>
    <mergeCell ref="P7:Q7"/>
    <mergeCell ref="B11:C12"/>
    <mergeCell ref="F9:G9"/>
    <mergeCell ref="H9:I9"/>
    <mergeCell ref="B9:C9"/>
    <mergeCell ref="D9:E9"/>
    <mergeCell ref="E12:F12"/>
    <mergeCell ref="B10:C10"/>
    <mergeCell ref="D10:E10"/>
    <mergeCell ref="B3:C3"/>
    <mergeCell ref="D3:E3"/>
    <mergeCell ref="B7:C7"/>
    <mergeCell ref="D7:E7"/>
    <mergeCell ref="F6:G6"/>
    <mergeCell ref="B4:C4"/>
    <mergeCell ref="B5:C5"/>
    <mergeCell ref="B6:C6"/>
    <mergeCell ref="D6:E6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2023-09-24T11:01:11Z</dcterms:created>
  <dcterms:modified xsi:type="dcterms:W3CDTF">2025-11-25T12:43:33Z</dcterms:modified>
</cp:coreProperties>
</file>