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39195963-4754-49A1-910E-66E5DF180B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K11" i="1" l="1"/>
  <c r="AK12" i="1" s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10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<sst xmlns="http://schemas.openxmlformats.org/spreadsheetml/2006/main" count="68" uniqueCount="49">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</sst>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X4" zoomScale="80" zoomScaleNormal="80" workbookViewId="0">
      <selection activeCell="AH13" sqref="AH13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2" t="s">
        <v>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</row>
    <row r="2" spans="1:49" s="1" customFormat="1" ht="16.5" customHeight="1" x14ac:dyDescent="0.4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</row>
    <row r="3" spans="1:49" s="1" customFormat="1" ht="16.5" customHeight="1" x14ac:dyDescent="0.4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47</v>
      </c>
      <c r="G6" s="67"/>
      <c r="H6" s="67"/>
      <c r="I6" s="67"/>
      <c r="N6" s="66" t="s">
        <v>48</v>
      </c>
      <c r="O6" s="67"/>
      <c r="P6" s="67"/>
      <c r="Q6" s="67"/>
      <c r="S6" s="60" t="s">
        <v>5</v>
      </c>
      <c r="T6" s="60"/>
      <c r="U6" s="60"/>
      <c r="V6" s="60"/>
      <c r="W6" s="60"/>
      <c r="X6" s="60"/>
      <c r="Y6" s="60"/>
      <c r="Z6" s="60"/>
      <c r="AE6" s="60" t="s">
        <v>15</v>
      </c>
      <c r="AF6" s="60"/>
      <c r="AG6" s="60"/>
      <c r="AH6" s="60"/>
      <c r="AI6" s="60"/>
      <c r="AJ6" s="60"/>
      <c r="AK6" s="60"/>
      <c r="AL6" s="60"/>
      <c r="AN6" s="58" t="s">
        <v>21</v>
      </c>
      <c r="AO6" s="58"/>
      <c r="AP6" s="58"/>
      <c r="AQ6" s="58"/>
      <c r="AR6" s="58"/>
      <c r="AS6" s="58"/>
      <c r="AT6" s="58"/>
      <c r="AU6" s="58"/>
    </row>
    <row r="7" spans="1:49" s="1" customFormat="1" ht="16.5" customHeight="1" x14ac:dyDescent="0.4">
      <c r="A7" s="26">
        <f t="shared" ref="A7:A70" si="3">A6+1</f>
        <v>7</v>
      </c>
      <c r="F7" s="68"/>
      <c r="G7" s="68"/>
      <c r="H7" s="68"/>
      <c r="I7" s="68"/>
      <c r="N7" s="68"/>
      <c r="O7" s="68"/>
      <c r="P7" s="68"/>
      <c r="Q7" s="68"/>
      <c r="S7" s="58"/>
      <c r="T7" s="58"/>
      <c r="U7" s="58"/>
      <c r="V7" s="58"/>
      <c r="W7" s="58"/>
      <c r="X7" s="58"/>
      <c r="Y7" s="58"/>
      <c r="Z7" s="58"/>
      <c r="AE7" s="58"/>
      <c r="AF7" s="58"/>
      <c r="AG7" s="58"/>
      <c r="AH7" s="58"/>
      <c r="AI7" s="58"/>
      <c r="AJ7" s="58"/>
      <c r="AK7" s="58"/>
      <c r="AL7" s="58"/>
      <c r="AN7" s="58"/>
      <c r="AO7" s="58"/>
      <c r="AP7" s="58"/>
      <c r="AQ7" s="58"/>
      <c r="AR7" s="58"/>
      <c r="AS7" s="58"/>
      <c r="AT7" s="58"/>
      <c r="AU7" s="58"/>
    </row>
    <row r="8" spans="1:49" s="1" customFormat="1" ht="17.25" customHeight="1" thickBot="1" x14ac:dyDescent="0.45">
      <c r="A8" s="26">
        <f t="shared" si="3"/>
        <v>8</v>
      </c>
      <c r="F8" s="69"/>
      <c r="G8" s="69"/>
      <c r="H8" s="69"/>
      <c r="I8" s="69"/>
      <c r="N8" s="69"/>
      <c r="O8" s="69"/>
      <c r="P8" s="69"/>
      <c r="Q8" s="69"/>
      <c r="S8" s="61"/>
      <c r="T8" s="61"/>
      <c r="U8" s="61"/>
      <c r="V8" s="61"/>
      <c r="W8" s="61"/>
      <c r="X8" s="61"/>
      <c r="Y8" s="61"/>
      <c r="Z8" s="61"/>
      <c r="AE8" s="61"/>
      <c r="AF8" s="61"/>
      <c r="AG8" s="61"/>
      <c r="AH8" s="61"/>
      <c r="AI8" s="61"/>
      <c r="AJ8" s="61"/>
      <c r="AK8" s="61"/>
      <c r="AL8" s="61"/>
      <c r="AN8" s="58"/>
      <c r="AO8" s="58"/>
      <c r="AP8" s="58"/>
      <c r="AQ8" s="58"/>
      <c r="AR8" s="58"/>
      <c r="AS8" s="58"/>
      <c r="AT8" s="58"/>
      <c r="AU8" s="58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7" t="s">
        <v>0</v>
      </c>
      <c r="H10" s="57"/>
      <c r="I10" s="57"/>
      <c r="O10" s="57" t="s">
        <v>0</v>
      </c>
      <c r="P10" s="57"/>
      <c r="Q10" s="57"/>
      <c r="R10" s="12"/>
      <c r="S10" s="70" t="s">
        <v>6</v>
      </c>
      <c r="T10" s="71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7" t="s">
        <v>18</v>
      </c>
      <c r="AF10" s="57"/>
      <c r="AG10" s="38">
        <v>1</v>
      </c>
      <c r="AH10" s="12"/>
      <c r="AI10" s="57" t="str">
        <f>IF(AG10=1,"지급스케줄 입력방식 = 1일때 아래입력", "지급스케줄입력방식 0이므로 아래 입력 X")</f>
        <v>지급스케줄 입력방식 = 1일때 아래입력</v>
      </c>
      <c r="AJ10" s="57"/>
      <c r="AK10" s="57"/>
      <c r="AL10" s="12"/>
      <c r="AM10" s="12"/>
      <c r="AN10" s="54" t="s">
        <v>35</v>
      </c>
      <c r="AO10" s="54"/>
      <c r="AP10" s="54"/>
      <c r="AQ10" s="54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70" t="s">
        <v>11</v>
      </c>
      <c r="T11" s="72"/>
      <c r="U11" s="72"/>
      <c r="V11" s="12"/>
      <c r="W11" s="70" t="str">
        <f>IF(U10=1,"데이터유형 = 1일때 입력","아래정보 입력 X (데이터유형 = 0)")</f>
        <v>아래정보 입력 X (데이터유형 = 0)</v>
      </c>
      <c r="X11" s="72"/>
      <c r="Y11" s="72"/>
      <c r="Z11" s="12"/>
      <c r="AA11" s="12"/>
      <c r="AB11" s="12"/>
      <c r="AC11" s="12"/>
      <c r="AD11" s="12"/>
      <c r="AE11" s="57" t="s">
        <v>16</v>
      </c>
      <c r="AF11" s="57"/>
      <c r="AG11" s="10">
        <v>1000000</v>
      </c>
      <c r="AH11" s="12"/>
      <c r="AI11" s="64" t="s">
        <v>43</v>
      </c>
      <c r="AJ11" s="65"/>
      <c r="AK11" s="16">
        <f>AG13</f>
        <v>45180</v>
      </c>
      <c r="AL11" s="12"/>
      <c r="AM11" s="12"/>
      <c r="AN11" s="54"/>
      <c r="AO11" s="54"/>
      <c r="AP11" s="54"/>
      <c r="AQ11" s="54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70" t="s">
        <v>7</v>
      </c>
      <c r="T12" s="71"/>
      <c r="U12" s="2">
        <v>0</v>
      </c>
      <c r="V12" s="12"/>
      <c r="W12" s="73" t="s">
        <v>8</v>
      </c>
      <c r="X12" s="74"/>
      <c r="Y12" s="2">
        <v>1</v>
      </c>
      <c r="Z12" s="12"/>
      <c r="AA12" s="12"/>
      <c r="AB12" s="12"/>
      <c r="AC12" s="12"/>
      <c r="AD12" s="12"/>
      <c r="AE12" s="64" t="s">
        <v>41</v>
      </c>
      <c r="AF12" s="65"/>
      <c r="AG12" s="10">
        <v>0.4</v>
      </c>
      <c r="AH12" s="12"/>
      <c r="AI12" s="64" t="s">
        <v>44</v>
      </c>
      <c r="AJ12" s="65"/>
      <c r="AK12" s="16">
        <f>EDATE(AK11,120)+AL12</f>
        <v>48833</v>
      </c>
      <c r="AL12" s="12"/>
      <c r="AM12" s="12"/>
      <c r="AN12" s="55" t="s">
        <v>33</v>
      </c>
      <c r="AO12" s="56"/>
      <c r="AP12" s="59">
        <v>1.4999999999999999E-2</v>
      </c>
      <c r="AQ12" s="59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64" t="s">
        <v>40</v>
      </c>
      <c r="AF13" s="65"/>
      <c r="AG13" s="36">
        <v>45180</v>
      </c>
      <c r="AH13" s="12"/>
      <c r="AI13" s="64" t="s">
        <v>45</v>
      </c>
      <c r="AJ13" s="65"/>
      <c r="AK13" s="9">
        <v>2</v>
      </c>
      <c r="AL13" s="12"/>
      <c r="AM13" s="12"/>
      <c r="AN13" s="62" t="s">
        <v>34</v>
      </c>
      <c r="AO13" s="62"/>
      <c r="AP13" s="63">
        <v>1</v>
      </c>
      <c r="AQ13" s="63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2" t="s">
        <v>17</v>
      </c>
      <c r="AO14" s="62"/>
      <c r="AP14" s="63">
        <v>2</v>
      </c>
      <c r="AQ14" s="63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5" t="s">
        <v>9</v>
      </c>
      <c r="T15" s="76"/>
      <c r="U15" s="77"/>
      <c r="V15" s="12"/>
      <c r="W15" s="78" t="s">
        <v>10</v>
      </c>
      <c r="X15" s="79"/>
      <c r="Y15" s="79"/>
      <c r="Z15" s="79"/>
      <c r="AA15" s="12"/>
      <c r="AB15" s="12"/>
      <c r="AC15" s="12"/>
      <c r="AD15" s="12"/>
      <c r="AE15" s="57" t="str">
        <f>IF(AG10=1, "아래 입력 X (지급스케줄 방식 1이므로)","지급스케줄 입력방식 = 0일때")</f>
        <v>아래 입력 X (지급스케줄 방식 1이므로)</v>
      </c>
      <c r="AF15" s="57"/>
      <c r="AG15" s="57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1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7" t="s">
        <v>11</v>
      </c>
      <c r="T16" s="57"/>
      <c r="U16" s="57"/>
      <c r="V16" s="12"/>
      <c r="W16" s="57" t="s">
        <v>12</v>
      </c>
      <c r="X16" s="57"/>
      <c r="Y16" s="57"/>
      <c r="Z16" s="57"/>
      <c r="AA16" s="12"/>
      <c r="AB16" s="12"/>
      <c r="AC16" s="12"/>
      <c r="AD16" s="12"/>
      <c r="AE16" s="64" t="str">
        <f>IF(AG10=1, "입력 X (지급스케줄 방식 1)","연 이자지급횟수")</f>
        <v>입력 X (지급스케줄 방식 1)</v>
      </c>
      <c r="AF16" s="65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64" t="str">
        <f>IF(AG10=1, "입력 X (지급스케줄 방식 1)","만기(년)")</f>
        <v>입력 X (지급스케줄 방식 1)</v>
      </c>
      <c r="AF17" s="65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3" t="s">
        <v>36</v>
      </c>
      <c r="AO21" s="53"/>
      <c r="AP21" s="53"/>
      <c r="AQ21" s="53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4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3" t="s">
        <v>22</v>
      </c>
      <c r="AO22" s="43"/>
      <c r="AP22" s="46">
        <v>1</v>
      </c>
      <c r="AQ22" s="46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5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3" t="s">
        <v>23</v>
      </c>
      <c r="AO23" s="43"/>
      <c r="AP23" s="47">
        <v>1.6974176712413542E-2</v>
      </c>
      <c r="AQ23" s="47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3" t="s">
        <v>24</v>
      </c>
      <c r="AO24" s="43"/>
      <c r="AP24" s="48">
        <v>107608.85850871319</v>
      </c>
      <c r="AQ24" s="48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3" t="s">
        <v>25</v>
      </c>
      <c r="AO25" s="43"/>
      <c r="AP25" s="48">
        <v>121771.4520098669</v>
      </c>
      <c r="AQ25" s="48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3" t="s">
        <v>26</v>
      </c>
      <c r="AO26" s="43"/>
      <c r="AP26" s="48">
        <v>14162.593501153708</v>
      </c>
      <c r="AQ26" s="48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3" t="s">
        <v>27</v>
      </c>
      <c r="AO28" s="43"/>
      <c r="AP28" s="49">
        <v>-9.8776615512178978</v>
      </c>
      <c r="AQ28" s="49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3" t="s">
        <v>28</v>
      </c>
      <c r="AO29" s="43"/>
      <c r="AP29" s="49">
        <v>422.22800436562102</v>
      </c>
      <c r="AQ29" s="49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3" t="s">
        <v>29</v>
      </c>
      <c r="AO30" s="43"/>
      <c r="AP30" s="49">
        <v>-50.131138472643215</v>
      </c>
      <c r="AQ30" s="49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3" t="s">
        <v>30</v>
      </c>
      <c r="AO31" s="43"/>
      <c r="AP31" s="49">
        <v>-47.418755668215454</v>
      </c>
      <c r="AQ31" s="49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3" t="s">
        <v>31</v>
      </c>
      <c r="AO32" s="43"/>
      <c r="AP32" s="49">
        <v>-60.008800023861113</v>
      </c>
      <c r="AQ32" s="49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3" t="s">
        <v>32</v>
      </c>
      <c r="AO33" s="43"/>
      <c r="AP33" s="49">
        <v>374.80924869740556</v>
      </c>
      <c r="AQ33" s="49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0" t="s">
        <v>37</v>
      </c>
      <c r="AO36" s="51"/>
      <c r="AP36" s="50" t="s">
        <v>38</v>
      </c>
      <c r="AQ36" s="51"/>
      <c r="AV36" s="43" t="s">
        <v>27</v>
      </c>
      <c r="AW36" s="43"/>
      <c r="AX36" s="43" t="s">
        <v>28</v>
      </c>
      <c r="AY36" s="43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3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E16:AF16"/>
    <mergeCell ref="AI13:AJ13"/>
    <mergeCell ref="AI10:AK10"/>
    <mergeCell ref="AE10:AF10"/>
    <mergeCell ref="AE11:AF11"/>
    <mergeCell ref="AE12:AF12"/>
    <mergeCell ref="AI11:AJ11"/>
    <mergeCell ref="AI12:AJ12"/>
    <mergeCell ref="AN6:AU8"/>
    <mergeCell ref="AP12:AQ12"/>
    <mergeCell ref="AE6:AL8"/>
    <mergeCell ref="AN14:AO14"/>
    <mergeCell ref="AP14:AQ14"/>
    <mergeCell ref="AN13:AO13"/>
    <mergeCell ref="AP13:AQ1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2025-11-24T13:08:17Z</dcterms:modified>
</cp:coreProperties>
</file>