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CreditDerivatives\"/>
    </mc:Choice>
  </mc:AlternateContent>
  <xr:revisionPtr revIDLastSave="0" documentId="13_ncr:1_{7EF00F32-4ED4-4F03-B8B9-56C0143EF4F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RiskyBond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5" i="1" l="1"/>
  <c r="E16" i="1" s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H9" i="1" l="1"/>
  <c r="B13" i="1" l="1"/>
  <c r="B14" i="1"/>
  <c r="F15" i="1"/>
  <c r="E15" i="1"/>
  <c r="D15" i="1"/>
  <c r="C15" i="1"/>
  <c r="B15" i="1"/>
  <c r="E13" i="1"/>
  <c r="B12" i="1"/>
  <c r="H8" i="1"/>
  <c r="H7" i="1"/>
  <c r="H6" i="1"/>
  <c r="F6" i="1"/>
  <c r="H15" i="1" l="1"/>
  <c r="H14" i="1" l="1"/>
  <c r="J13" i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C1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B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스케줄러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스케줄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0: Q = exp( - lambda * T)
1: Q = 1  -  lambda * T 
(KIS CreditBasic방식)</t>
        </r>
      </text>
    </comment>
    <comment ref="O8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G13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0 : HazardRate/y
1 : CDS Spread</t>
        </r>
      </text>
    </comment>
  </commentList>
</comments>
</file>

<file path=xl/sharedStrings.xml><?xml version="1.0" encoding="utf-8"?>
<sst xmlns="http://schemas.openxmlformats.org/spreadsheetml/2006/main" count="35" uniqueCount="28">
  <si>
    <t>발행일</t>
  </si>
  <si>
    <t>쿠폰입력Flag</t>
    <phoneticPr fontId="2" type="noConversion"/>
  </si>
  <si>
    <t>가격계산일</t>
    <phoneticPr fontId="2" type="noConversion"/>
  </si>
  <si>
    <t>RecoveryRate</t>
    <phoneticPr fontId="2" type="noConversion"/>
  </si>
  <si>
    <t>생존율계산방식</t>
  </si>
  <si>
    <t>GreekFlag</t>
    <phoneticPr fontId="2" type="noConversion"/>
  </si>
  <si>
    <t>HazardRate(or CDS Spread)</t>
    <phoneticPr fontId="2" type="noConversion"/>
  </si>
  <si>
    <t>무위험금리</t>
    <phoneticPr fontId="2" type="noConversion"/>
  </si>
  <si>
    <t>입력데이터유형</t>
    <phoneticPr fontId="2" type="noConversion"/>
  </si>
  <si>
    <t>무위험 개수</t>
    <phoneticPr fontId="2" type="noConversion"/>
  </si>
  <si>
    <t>입력 개수</t>
    <phoneticPr fontId="2" type="noConversion"/>
  </si>
  <si>
    <t>Term</t>
    <phoneticPr fontId="2" type="noConversion"/>
  </si>
  <si>
    <t>ResultCode</t>
    <phoneticPr fontId="2" type="noConversion"/>
  </si>
  <si>
    <t>CleanPrice</t>
    <phoneticPr fontId="2" type="noConversion"/>
  </si>
  <si>
    <t>Accrued Interest</t>
    <phoneticPr fontId="2" type="noConversion"/>
  </si>
  <si>
    <t>Dirty Price</t>
    <phoneticPr fontId="2" type="noConversion"/>
  </si>
  <si>
    <t>PV01</t>
    <phoneticPr fontId="2" type="noConversion"/>
  </si>
  <si>
    <t>Hazard Delta</t>
    <phoneticPr fontId="2" type="noConversion"/>
  </si>
  <si>
    <t>Recovery Delta</t>
    <phoneticPr fontId="2" type="noConversion"/>
  </si>
  <si>
    <t>KeyRate PV01</t>
    <phoneticPr fontId="2" type="noConversion"/>
  </si>
  <si>
    <t>KeyRate Convexity</t>
    <phoneticPr fontId="2" type="noConversion"/>
  </si>
  <si>
    <t>KeyRate HazardDelta</t>
    <phoneticPr fontId="2" type="noConversion"/>
  </si>
  <si>
    <t>KeyRate HazardGamma</t>
    <phoneticPr fontId="2" type="noConversion"/>
  </si>
  <si>
    <t>Convexity</t>
    <phoneticPr fontId="2" type="noConversion"/>
  </si>
  <si>
    <t>HazardDelta</t>
    <phoneticPr fontId="2" type="noConversion"/>
  </si>
  <si>
    <t>HazardGamma</t>
    <phoneticPr fontId="2" type="noConversion"/>
  </si>
  <si>
    <t>DayCount</t>
    <phoneticPr fontId="2" type="noConversion"/>
  </si>
  <si>
    <t>Holiday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</si>
</sst>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0_);[Red]\(0\)"/>
    <numFmt numFmtId="177" formatCode="0.00_);[Red]\(0.00\)"/>
    <numFmt numFmtId="178" formatCode="0.0000_);[Red]\(0.0000\)"/>
    <numFmt numFmtId="179" formatCode="0.0_);[Red]\(0.0\)"/>
    <numFmt numFmtId="180" formatCode="0_ ;[Red]\-0\ "/>
    <numFmt numFmtId="181" formatCode="0.000_ ;[Red]\-0.000\ "/>
    <numFmt numFmtId="182" formatCode="0.0000000_);[Red]\(0.0000000\)"/>
    <numFmt numFmtId="183" formatCode="0.000000_);[Red]\(0.000000\)"/>
    <numFmt numFmtId="184" formatCode="0.000_);[Red]\(0.000\)"/>
    <numFmt numFmtId="185" formatCode="0.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u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u/>
      <sz val="14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0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ck">
        <color theme="0"/>
      </top>
      <bottom style="thin">
        <color theme="1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 style="thin">
        <color theme="1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n">
        <color theme="1"/>
      </right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ck">
        <color theme="0"/>
      </top>
      <bottom/>
      <diagonal/>
    </border>
    <border>
      <left/>
      <right style="thin">
        <color theme="1"/>
      </right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n">
        <color theme="1"/>
      </top>
      <bottom style="thick">
        <color theme="0"/>
      </bottom>
      <diagonal/>
    </border>
    <border>
      <left/>
      <right style="thin">
        <color theme="1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n">
        <color theme="1"/>
      </top>
      <bottom style="thin">
        <color theme="1"/>
      </bottom>
      <diagonal/>
    </border>
    <border>
      <left style="thick">
        <color theme="0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/>
      <diagonal/>
    </border>
    <border>
      <left style="thin">
        <color theme="0"/>
      </left>
      <right style="thin">
        <color theme="1"/>
      </right>
      <top style="thin">
        <color theme="1"/>
      </top>
      <bottom/>
      <diagonal/>
    </border>
    <border>
      <left/>
      <right style="thin">
        <color theme="0"/>
      </right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ck">
        <color theme="0"/>
      </top>
      <bottom style="thick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00">
    <xf numFmtId="0" fontId="0" fillId="0" borderId="0" xfId="0">
      <alignment vertical="center"/>
    </xf>
    <xf numFmtId="10" fontId="6" fillId="3" borderId="9" xfId="0" applyNumberFormat="1" applyFont="1" applyFill="1" applyBorder="1" applyAlignment="1"/>
    <xf numFmtId="0" fontId="0" fillId="5" borderId="0" xfId="0" applyFill="1">
      <alignment vertical="center"/>
    </xf>
    <xf numFmtId="14" fontId="0" fillId="3" borderId="9" xfId="0" applyNumberFormat="1" applyFill="1" applyBorder="1">
      <alignment vertical="center"/>
    </xf>
    <xf numFmtId="0" fontId="0" fillId="3" borderId="9" xfId="0" applyFill="1" applyBorder="1">
      <alignment vertical="center"/>
    </xf>
    <xf numFmtId="177" fontId="10" fillId="3" borderId="9" xfId="0" applyNumberFormat="1" applyFont="1" applyFill="1" applyBorder="1">
      <alignment vertical="center"/>
    </xf>
    <xf numFmtId="0" fontId="0" fillId="5" borderId="15" xfId="0" applyFill="1" applyBorder="1">
      <alignment vertical="center"/>
    </xf>
    <xf numFmtId="14" fontId="0" fillId="3" borderId="41" xfId="0" applyNumberFormat="1" applyFill="1" applyBorder="1">
      <alignment vertical="center"/>
    </xf>
    <xf numFmtId="10" fontId="0" fillId="3" borderId="41" xfId="0" applyNumberFormat="1" applyFill="1" applyBorder="1">
      <alignment vertical="center"/>
    </xf>
    <xf numFmtId="0" fontId="0" fillId="5" borderId="40" xfId="0" applyFill="1" applyBorder="1">
      <alignment vertical="center"/>
    </xf>
    <xf numFmtId="0" fontId="0" fillId="5" borderId="1" xfId="0" applyFill="1" applyBorder="1">
      <alignment vertical="center"/>
    </xf>
    <xf numFmtId="177" fontId="10" fillId="3" borderId="41" xfId="0" applyNumberFormat="1" applyFont="1" applyFill="1" applyBorder="1">
      <alignment vertical="center"/>
    </xf>
    <xf numFmtId="10" fontId="6" fillId="3" borderId="41" xfId="0" applyNumberFormat="1" applyFont="1" applyFill="1" applyBorder="1" applyAlignment="1"/>
    <xf numFmtId="0" fontId="3" fillId="9" borderId="40" xfId="0" applyFont="1" applyFill="1" applyBorder="1" applyAlignment="1">
      <alignment horizontal="center" vertical="center"/>
    </xf>
    <xf numFmtId="0" fontId="9" fillId="4" borderId="40" xfId="0" applyFont="1" applyFill="1" applyBorder="1" applyAlignment="1">
      <alignment horizontal="center" vertical="center"/>
    </xf>
    <xf numFmtId="176" fontId="6" fillId="4" borderId="40" xfId="0" applyNumberFormat="1" applyFont="1" applyFill="1" applyBorder="1" applyAlignment="1"/>
    <xf numFmtId="0" fontId="3" fillId="8" borderId="40" xfId="0" applyFont="1" applyFill="1" applyBorder="1" applyAlignment="1">
      <alignment horizontal="center" vertical="center"/>
    </xf>
    <xf numFmtId="0" fontId="3" fillId="8" borderId="43" xfId="0" applyFont="1" applyFill="1" applyBorder="1" applyAlignment="1">
      <alignment horizontal="center" vertical="center"/>
    </xf>
    <xf numFmtId="177" fontId="10" fillId="2" borderId="40" xfId="0" applyNumberFormat="1" applyFont="1" applyFill="1" applyBorder="1">
      <alignment vertical="center"/>
    </xf>
    <xf numFmtId="178" fontId="6" fillId="2" borderId="40" xfId="0" applyNumberFormat="1" applyFont="1" applyFill="1" applyBorder="1" applyAlignment="1"/>
    <xf numFmtId="182" fontId="6" fillId="2" borderId="40" xfId="0" applyNumberFormat="1" applyFont="1" applyFill="1" applyBorder="1" applyAlignment="1"/>
    <xf numFmtId="183" fontId="6" fillId="2" borderId="40" xfId="0" applyNumberFormat="1" applyFont="1" applyFill="1" applyBorder="1" applyAlignment="1"/>
    <xf numFmtId="0" fontId="3" fillId="6" borderId="40" xfId="0" applyFont="1" applyFill="1" applyBorder="1" applyAlignment="1">
      <alignment horizontal="center" vertical="center"/>
    </xf>
    <xf numFmtId="184" fontId="10" fillId="3" borderId="41" xfId="0" applyNumberFormat="1" applyFont="1" applyFill="1" applyBorder="1">
      <alignment vertical="center"/>
    </xf>
    <xf numFmtId="184" fontId="10" fillId="3" borderId="9" xfId="0" applyNumberFormat="1" applyFont="1" applyFill="1" applyBorder="1">
      <alignment vertical="center"/>
    </xf>
    <xf numFmtId="184" fontId="9" fillId="3" borderId="9" xfId="0" applyNumberFormat="1" applyFont="1" applyFill="1" applyBorder="1">
      <alignment vertical="center"/>
    </xf>
    <xf numFmtId="185" fontId="6" fillId="3" borderId="41" xfId="1" applyNumberFormat="1" applyFont="1" applyFill="1" applyBorder="1" applyAlignment="1"/>
    <xf numFmtId="185" fontId="6" fillId="3" borderId="9" xfId="1" applyNumberFormat="1" applyFont="1" applyFill="1" applyBorder="1" applyAlignment="1"/>
    <xf numFmtId="185" fontId="4" fillId="3" borderId="9" xfId="1" applyNumberFormat="1" applyFont="1" applyFill="1" applyBorder="1">
      <alignment vertical="center"/>
    </xf>
    <xf numFmtId="178" fontId="4" fillId="2" borderId="40" xfId="0" applyNumberFormat="1" applyFont="1" applyFill="1" applyBorder="1">
      <alignment vertical="center"/>
    </xf>
    <xf numFmtId="183" fontId="4" fillId="2" borderId="40" xfId="0" applyNumberFormat="1" applyFont="1" applyFill="1" applyBorder="1">
      <alignment vertical="center"/>
    </xf>
    <xf numFmtId="182" fontId="4" fillId="2" borderId="40" xfId="0" applyNumberFormat="1" applyFont="1" applyFill="1" applyBorder="1">
      <alignment vertical="center"/>
    </xf>
    <xf numFmtId="177" fontId="9" fillId="2" borderId="40" xfId="0" applyNumberFormat="1" applyFont="1" applyFill="1" applyBorder="1" applyAlignment="1">
      <alignment horizontal="right" vertical="center"/>
    </xf>
    <xf numFmtId="177" fontId="9" fillId="2" borderId="40" xfId="0" applyNumberFormat="1" applyFont="1" applyFill="1" applyBorder="1">
      <alignment vertical="center"/>
    </xf>
    <xf numFmtId="14" fontId="7" fillId="3" borderId="9" xfId="0" applyNumberFormat="1" applyFont="1" applyFill="1" applyBorder="1">
      <alignment vertical="center"/>
    </xf>
    <xf numFmtId="0" fontId="3" fillId="8" borderId="4" xfId="0" applyFont="1" applyFill="1" applyBorder="1" applyAlignment="1">
      <alignment horizontal="center" vertical="center"/>
    </xf>
    <xf numFmtId="0" fontId="3" fillId="8" borderId="44" xfId="0" applyFont="1" applyFill="1" applyBorder="1" applyAlignment="1">
      <alignment horizontal="center" vertical="center"/>
    </xf>
    <xf numFmtId="179" fontId="0" fillId="5" borderId="0" xfId="0" applyNumberFormat="1" applyFill="1" applyAlignment="1">
      <alignment horizontal="center" vertical="center"/>
    </xf>
    <xf numFmtId="0" fontId="3" fillId="7" borderId="28" xfId="0" applyFont="1" applyFill="1" applyBorder="1" applyAlignment="1">
      <alignment horizontal="center" vertical="center"/>
    </xf>
    <xf numFmtId="0" fontId="3" fillId="7" borderId="18" xfId="0" applyFont="1" applyFill="1" applyBorder="1" applyAlignment="1">
      <alignment horizontal="center" vertical="center"/>
    </xf>
    <xf numFmtId="14" fontId="4" fillId="4" borderId="27" xfId="0" applyNumberFormat="1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5" fillId="7" borderId="17" xfId="0" applyFont="1" applyFill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176" fontId="6" fillId="4" borderId="39" xfId="0" applyNumberFormat="1" applyFont="1" applyFill="1" applyBorder="1" applyAlignment="1">
      <alignment horizontal="center" vertical="center"/>
    </xf>
    <xf numFmtId="176" fontId="6" fillId="4" borderId="22" xfId="0" applyNumberFormat="1" applyFont="1" applyFill="1" applyBorder="1" applyAlignment="1">
      <alignment horizontal="center" vertical="center"/>
    </xf>
    <xf numFmtId="0" fontId="14" fillId="9" borderId="23" xfId="0" applyFont="1" applyFill="1" applyBorder="1" applyAlignment="1">
      <alignment horizontal="center" vertical="center"/>
    </xf>
    <xf numFmtId="0" fontId="14" fillId="9" borderId="21" xfId="0" applyFont="1" applyFill="1" applyBorder="1" applyAlignment="1">
      <alignment horizontal="center" vertical="center"/>
    </xf>
    <xf numFmtId="0" fontId="14" fillId="9" borderId="0" xfId="0" applyFont="1" applyFill="1" applyAlignment="1">
      <alignment horizontal="center" vertical="center"/>
    </xf>
    <xf numFmtId="0" fontId="14" fillId="9" borderId="15" xfId="0" applyFont="1" applyFill="1" applyBorder="1" applyAlignment="1">
      <alignment horizontal="center" vertical="center"/>
    </xf>
    <xf numFmtId="0" fontId="14" fillId="9" borderId="25" xfId="0" applyFont="1" applyFill="1" applyBorder="1" applyAlignment="1">
      <alignment horizontal="center" vertical="center"/>
    </xf>
    <xf numFmtId="0" fontId="14" fillId="9" borderId="26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176" fontId="6" fillId="4" borderId="1" xfId="0" applyNumberFormat="1" applyFont="1" applyFill="1" applyBorder="1" applyAlignment="1">
      <alignment horizontal="center" vertical="center"/>
    </xf>
    <xf numFmtId="176" fontId="6" fillId="4" borderId="31" xfId="0" applyNumberFormat="1" applyFont="1" applyFill="1" applyBorder="1" applyAlignment="1">
      <alignment horizontal="center" vertical="center"/>
    </xf>
    <xf numFmtId="10" fontId="6" fillId="4" borderId="33" xfId="1" applyNumberFormat="1" applyFont="1" applyFill="1" applyBorder="1" applyAlignment="1">
      <alignment horizontal="center" vertical="center"/>
    </xf>
    <xf numFmtId="10" fontId="6" fillId="4" borderId="4" xfId="1" applyNumberFormat="1" applyFont="1" applyFill="1" applyBorder="1" applyAlignment="1">
      <alignment horizontal="center" vertical="center"/>
    </xf>
    <xf numFmtId="177" fontId="3" fillId="9" borderId="5" xfId="0" applyNumberFormat="1" applyFont="1" applyFill="1" applyBorder="1" applyAlignment="1">
      <alignment horizontal="center" vertical="center"/>
    </xf>
    <xf numFmtId="177" fontId="3" fillId="9" borderId="6" xfId="0" applyNumberFormat="1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15" fillId="9" borderId="37" xfId="0" applyFont="1" applyFill="1" applyBorder="1" applyAlignment="1">
      <alignment horizontal="center" vertical="center"/>
    </xf>
    <xf numFmtId="0" fontId="15" fillId="9" borderId="38" xfId="0" applyFont="1" applyFill="1" applyBorder="1" applyAlignment="1">
      <alignment horizontal="center" vertical="center"/>
    </xf>
    <xf numFmtId="14" fontId="6" fillId="4" borderId="2" xfId="0" applyNumberFormat="1" applyFont="1" applyFill="1" applyBorder="1" applyAlignment="1">
      <alignment horizontal="center" vertical="center"/>
    </xf>
    <xf numFmtId="14" fontId="6" fillId="4" borderId="38" xfId="0" applyNumberFormat="1" applyFont="1" applyFill="1" applyBorder="1" applyAlignment="1">
      <alignment horizontal="center" vertical="center"/>
    </xf>
    <xf numFmtId="14" fontId="7" fillId="10" borderId="7" xfId="0" applyNumberFormat="1" applyFont="1" applyFill="1" applyBorder="1" applyAlignment="1">
      <alignment horizontal="center" vertical="center"/>
    </xf>
    <xf numFmtId="14" fontId="7" fillId="10" borderId="8" xfId="0" applyNumberFormat="1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3" fillId="7" borderId="29" xfId="0" applyFont="1" applyFill="1" applyBorder="1" applyAlignment="1">
      <alignment horizontal="center" vertical="center"/>
    </xf>
    <xf numFmtId="10" fontId="6" fillId="4" borderId="16" xfId="1" applyNumberFormat="1" applyFont="1" applyFill="1" applyBorder="1" applyAlignment="1">
      <alignment horizontal="center" vertical="center"/>
    </xf>
    <xf numFmtId="10" fontId="6" fillId="4" borderId="30" xfId="1" applyNumberFormat="1" applyFont="1" applyFill="1" applyBorder="1" applyAlignment="1">
      <alignment horizontal="center" vertical="center"/>
    </xf>
    <xf numFmtId="0" fontId="15" fillId="9" borderId="32" xfId="0" applyFont="1" applyFill="1" applyBorder="1" applyAlignment="1">
      <alignment horizontal="center" vertical="center"/>
    </xf>
    <xf numFmtId="0" fontId="15" fillId="9" borderId="4" xfId="0" applyFont="1" applyFill="1" applyBorder="1" applyAlignment="1">
      <alignment horizontal="center" vertical="center"/>
    </xf>
    <xf numFmtId="176" fontId="6" fillId="4" borderId="33" xfId="0" applyNumberFormat="1" applyFont="1" applyFill="1" applyBorder="1" applyAlignment="1">
      <alignment horizontal="center" vertical="center"/>
    </xf>
    <xf numFmtId="176" fontId="6" fillId="4" borderId="4" xfId="0" applyNumberFormat="1" applyFont="1" applyFill="1" applyBorder="1" applyAlignment="1">
      <alignment horizontal="center" vertical="center"/>
    </xf>
    <xf numFmtId="176" fontId="7" fillId="10" borderId="7" xfId="0" applyNumberFormat="1" applyFont="1" applyFill="1" applyBorder="1" applyAlignment="1">
      <alignment horizontal="center" vertical="center"/>
    </xf>
    <xf numFmtId="176" fontId="7" fillId="10" borderId="8" xfId="0" applyNumberFormat="1" applyFont="1" applyFill="1" applyBorder="1" applyAlignment="1">
      <alignment horizontal="center" vertical="center"/>
    </xf>
    <xf numFmtId="0" fontId="15" fillId="9" borderId="34" xfId="0" applyFont="1" applyFill="1" applyBorder="1" applyAlignment="1">
      <alignment horizontal="center" vertical="center"/>
    </xf>
    <xf numFmtId="0" fontId="15" fillId="9" borderId="35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181" fontId="7" fillId="2" borderId="12" xfId="0" applyNumberFormat="1" applyFont="1" applyFill="1" applyBorder="1" applyAlignment="1">
      <alignment horizontal="center" vertical="center"/>
    </xf>
    <xf numFmtId="181" fontId="7" fillId="2" borderId="13" xfId="0" applyNumberFormat="1" applyFont="1" applyFill="1" applyBorder="1" applyAlignment="1">
      <alignment horizontal="center" vertical="center"/>
    </xf>
    <xf numFmtId="0" fontId="5" fillId="9" borderId="17" xfId="0" applyFont="1" applyFill="1" applyBorder="1" applyAlignment="1">
      <alignment horizontal="center" vertical="center"/>
    </xf>
    <xf numFmtId="0" fontId="5" fillId="9" borderId="22" xfId="0" applyFont="1" applyFill="1" applyBorder="1" applyAlignment="1">
      <alignment horizontal="center" vertical="center"/>
    </xf>
    <xf numFmtId="0" fontId="5" fillId="9" borderId="24" xfId="0" applyFont="1" applyFill="1" applyBorder="1" applyAlignment="1">
      <alignment horizontal="center" vertical="center"/>
    </xf>
    <xf numFmtId="0" fontId="8" fillId="8" borderId="42" xfId="0" applyFont="1" applyFill="1" applyBorder="1" applyAlignment="1">
      <alignment horizontal="center"/>
    </xf>
    <xf numFmtId="0" fontId="8" fillId="8" borderId="3" xfId="0" applyFont="1" applyFill="1" applyBorder="1" applyAlignment="1">
      <alignment horizontal="center"/>
    </xf>
    <xf numFmtId="0" fontId="8" fillId="8" borderId="40" xfId="0" applyFont="1" applyFill="1" applyBorder="1" applyAlignment="1">
      <alignment horizontal="center"/>
    </xf>
    <xf numFmtId="0" fontId="8" fillId="9" borderId="14" xfId="0" applyFont="1" applyFill="1" applyBorder="1" applyAlignment="1">
      <alignment horizontal="center"/>
    </xf>
    <xf numFmtId="0" fontId="8" fillId="9" borderId="16" xfId="0" applyFont="1" applyFill="1" applyBorder="1" applyAlignment="1">
      <alignment horizontal="center"/>
    </xf>
    <xf numFmtId="0" fontId="8" fillId="9" borderId="29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9" borderId="11" xfId="0" applyFont="1" applyFill="1" applyBorder="1" applyAlignment="1">
      <alignment horizontal="center" vertical="center"/>
    </xf>
    <xf numFmtId="180" fontId="7" fillId="2" borderId="12" xfId="0" applyNumberFormat="1" applyFont="1" applyFill="1" applyBorder="1" applyAlignment="1">
      <alignment horizontal="center" vertical="center"/>
    </xf>
    <xf numFmtId="180" fontId="7" fillId="2" borderId="13" xfId="0" applyNumberFormat="1" applyFont="1" applyFill="1" applyBorder="1" applyAlignment="1">
      <alignment horizontal="center" vertical="center"/>
    </xf>
    <xf numFmtId="0" fontId="3" fillId="6" borderId="4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106680</xdr:rowOff>
        </xdr:from>
        <xdr:to>
          <xdr:col>15</xdr:col>
          <xdr:colOff>1135380</xdr:colOff>
          <xdr:row>13</xdr:row>
          <xdr:rowOff>60960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496"/>
  <sheetViews>
    <sheetView tabSelected="1" topLeftCell="G7" zoomScale="85" zoomScaleNormal="85" workbookViewId="0">
      <selection activeCell="S18" sqref="S18"/>
    </sheetView>
  </sheetViews>
  <sheetFormatPr defaultColWidth="15.59765625" defaultRowHeight="19.5" customHeight="1" x14ac:dyDescent="0.4"/>
  <cols>
    <col min="1" max="1" width="15.59765625" style="2"/>
    <col min="2" max="2" width="15.59765625" style="3"/>
    <col min="3" max="4" width="15.59765625" style="4"/>
    <col min="5" max="6" width="15.59765625" style="2"/>
    <col min="7" max="8" width="15.59765625" style="4"/>
    <col min="9" max="9" width="15.59765625" style="25"/>
    <col min="10" max="10" width="15.59765625" style="28"/>
    <col min="11" max="11" width="15.59765625" style="2"/>
    <col min="12" max="12" width="15.59765625" style="34"/>
    <col min="13" max="13" width="0" style="2" hidden="1" customWidth="1"/>
    <col min="14" max="14" width="15.59765625" style="2"/>
    <col min="15" max="15" width="15.59765625" style="32"/>
    <col min="16" max="16" width="15.59765625" style="29"/>
    <col min="17" max="17" width="15.59765625" style="33"/>
    <col min="18" max="18" width="15.59765625" style="31"/>
    <col min="19" max="19" width="15.59765625" style="33"/>
    <col min="20" max="20" width="15.59765625" style="30"/>
    <col min="21" max="21" width="15.59765625" style="33"/>
    <col min="22" max="22" width="15.59765625" style="31"/>
    <col min="23" max="16384" width="15.59765625" style="2"/>
  </cols>
  <sheetData>
    <row r="1" spans="1:31" ht="19.5" customHeight="1" x14ac:dyDescent="0.4">
      <c r="A1" s="2">
        <f>1</f>
        <v>1</v>
      </c>
      <c r="B1" s="2">
        <f>A1+1</f>
        <v>2</v>
      </c>
      <c r="C1" s="2">
        <f t="shared" ref="C1:K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>K1+1</f>
        <v>12</v>
      </c>
      <c r="M1" s="2">
        <f t="shared" ref="M1:AE1" si="1">L1+1</f>
        <v>13</v>
      </c>
      <c r="N1" s="2">
        <f t="shared" si="1"/>
        <v>14</v>
      </c>
      <c r="O1" s="2">
        <f t="shared" si="1"/>
        <v>15</v>
      </c>
      <c r="P1" s="2">
        <f t="shared" si="1"/>
        <v>16</v>
      </c>
      <c r="Q1" s="2">
        <f t="shared" si="1"/>
        <v>17</v>
      </c>
      <c r="R1" s="2">
        <f t="shared" si="1"/>
        <v>18</v>
      </c>
      <c r="S1" s="2">
        <f t="shared" si="1"/>
        <v>19</v>
      </c>
      <c r="T1" s="2">
        <f t="shared" si="1"/>
        <v>20</v>
      </c>
      <c r="U1" s="2">
        <f t="shared" si="1"/>
        <v>21</v>
      </c>
      <c r="V1" s="2">
        <f t="shared" si="1"/>
        <v>22</v>
      </c>
      <c r="W1" s="2">
        <f t="shared" si="1"/>
        <v>23</v>
      </c>
      <c r="X1" s="2">
        <f t="shared" si="1"/>
        <v>24</v>
      </c>
      <c r="Y1" s="2">
        <f t="shared" si="1"/>
        <v>25</v>
      </c>
      <c r="Z1" s="2">
        <f t="shared" si="1"/>
        <v>26</v>
      </c>
      <c r="AA1" s="2">
        <f t="shared" si="1"/>
        <v>27</v>
      </c>
      <c r="AB1" s="2">
        <f t="shared" si="1"/>
        <v>28</v>
      </c>
      <c r="AC1" s="2">
        <f t="shared" si="1"/>
        <v>29</v>
      </c>
      <c r="AD1" s="2">
        <f t="shared" si="1"/>
        <v>30</v>
      </c>
      <c r="AE1" s="2">
        <f t="shared" si="1"/>
        <v>31</v>
      </c>
    </row>
    <row r="2" spans="1:31" ht="19.5" customHeight="1" x14ac:dyDescent="0.4">
      <c r="A2" s="2">
        <f>A1+1</f>
        <v>2</v>
      </c>
      <c r="B2" s="2"/>
      <c r="C2" s="2"/>
      <c r="D2" s="2"/>
      <c r="G2" s="2"/>
      <c r="H2" s="2"/>
      <c r="I2" s="2"/>
      <c r="J2" s="2"/>
      <c r="L2" s="2"/>
      <c r="O2" s="2"/>
      <c r="P2" s="2"/>
      <c r="Q2" s="2"/>
      <c r="R2" s="2"/>
      <c r="S2" s="2"/>
      <c r="T2" s="2"/>
      <c r="U2" s="2"/>
      <c r="V2" s="2"/>
    </row>
    <row r="3" spans="1:31" ht="19.5" customHeight="1" x14ac:dyDescent="0.4">
      <c r="A3" s="2">
        <f>A2+1</f>
        <v>3</v>
      </c>
      <c r="B3" s="2"/>
      <c r="C3" s="2"/>
      <c r="D3" s="2"/>
      <c r="G3" s="2"/>
      <c r="H3" s="2"/>
      <c r="I3" s="2"/>
      <c r="J3" s="2"/>
      <c r="L3" s="37"/>
      <c r="M3" s="37"/>
      <c r="N3" s="37"/>
      <c r="O3" s="37"/>
      <c r="P3" s="2"/>
      <c r="Q3" s="2"/>
      <c r="R3" s="2"/>
      <c r="S3" s="2"/>
      <c r="T3" s="2"/>
      <c r="U3" s="2"/>
      <c r="V3" s="2"/>
    </row>
    <row r="4" spans="1:31" ht="19.5" customHeight="1" x14ac:dyDescent="0.4">
      <c r="A4" s="2">
        <f>A3+1</f>
        <v>4</v>
      </c>
      <c r="B4" s="2"/>
      <c r="C4" s="2"/>
      <c r="D4" s="2"/>
      <c r="G4" s="2"/>
      <c r="H4" s="2"/>
      <c r="I4" s="2"/>
      <c r="J4" s="2"/>
      <c r="L4" s="2"/>
      <c r="O4" s="2"/>
      <c r="P4" s="2"/>
      <c r="Q4" s="2"/>
      <c r="R4" s="2"/>
      <c r="S4" s="2"/>
      <c r="T4" s="2"/>
      <c r="U4" s="2"/>
      <c r="V4" s="2"/>
    </row>
    <row r="5" spans="1:31" ht="19.5" customHeight="1" thickBot="1" x14ac:dyDescent="0.45">
      <c r="A5" s="2">
        <f>A4+1</f>
        <v>5</v>
      </c>
      <c r="B5" s="38" t="s">
        <v>0</v>
      </c>
      <c r="C5" s="39"/>
      <c r="D5" s="40">
        <v>43169</v>
      </c>
      <c r="E5" s="41"/>
      <c r="G5" s="2"/>
      <c r="H5" s="2"/>
      <c r="I5" s="2"/>
      <c r="J5" s="2"/>
      <c r="L5" s="2"/>
      <c r="O5" s="2"/>
      <c r="P5" s="2"/>
      <c r="Q5" s="2"/>
      <c r="R5" s="2"/>
      <c r="S5" s="2"/>
      <c r="T5" s="2"/>
      <c r="U5" s="2"/>
      <c r="V5" s="2"/>
    </row>
    <row r="6" spans="1:31" ht="19.5" customHeight="1" thickTop="1" thickBot="1" x14ac:dyDescent="0.45">
      <c r="A6" s="6">
        <f>A5+1</f>
        <v>6</v>
      </c>
      <c r="B6" s="42" t="s">
        <v>1</v>
      </c>
      <c r="C6" s="43"/>
      <c r="D6" s="44">
        <v>0</v>
      </c>
      <c r="E6" s="45"/>
      <c r="F6" s="46" t="str">
        <f>IF(D6=0,"채권정보입력","")</f>
        <v>채권정보입력</v>
      </c>
      <c r="G6" s="47"/>
      <c r="H6" s="72" t="str">
        <f>IF(D6=0,"Coupon Rate","입력안함")</f>
        <v>Coupon Rate</v>
      </c>
      <c r="I6" s="73"/>
      <c r="J6" s="56">
        <v>0.05</v>
      </c>
      <c r="K6" s="57"/>
      <c r="L6" s="2"/>
      <c r="O6" s="58" t="s">
        <v>2</v>
      </c>
      <c r="P6" s="59"/>
      <c r="Q6" s="66">
        <v>44848</v>
      </c>
      <c r="R6" s="67"/>
      <c r="S6" s="2"/>
      <c r="T6" s="2"/>
      <c r="U6" s="2"/>
      <c r="V6" s="2"/>
    </row>
    <row r="7" spans="1:31" ht="19.5" customHeight="1" thickTop="1" thickBot="1" x14ac:dyDescent="0.45">
      <c r="A7" s="2">
        <f t="shared" ref="A7:A70" si="2">A6+1</f>
        <v>7</v>
      </c>
      <c r="B7" s="68" t="s">
        <v>3</v>
      </c>
      <c r="C7" s="69"/>
      <c r="D7" s="70">
        <v>0</v>
      </c>
      <c r="E7" s="71"/>
      <c r="F7" s="48"/>
      <c r="G7" s="49"/>
      <c r="H7" s="72" t="str">
        <f>IF(D6=0,"연 이자지급횟수","입력안함")</f>
        <v>연 이자지급횟수</v>
      </c>
      <c r="I7" s="73"/>
      <c r="J7" s="74">
        <v>2</v>
      </c>
      <c r="K7" s="75"/>
      <c r="L7" s="2"/>
      <c r="O7" s="2"/>
      <c r="P7" s="2"/>
      <c r="Q7" s="2"/>
      <c r="R7" s="2"/>
      <c r="S7" s="2"/>
      <c r="T7" s="2"/>
      <c r="U7" s="2"/>
      <c r="V7" s="2"/>
    </row>
    <row r="8" spans="1:31" ht="19.5" customHeight="1" thickBot="1" x14ac:dyDescent="0.45">
      <c r="A8" s="2">
        <f t="shared" si="2"/>
        <v>8</v>
      </c>
      <c r="B8" s="52" t="s">
        <v>4</v>
      </c>
      <c r="C8" s="53"/>
      <c r="D8" s="54">
        <v>0</v>
      </c>
      <c r="E8" s="55"/>
      <c r="F8" s="48"/>
      <c r="G8" s="49"/>
      <c r="H8" s="78" t="str">
        <f>IF(D6=0,"액면금액","입력안함")</f>
        <v>액면금액</v>
      </c>
      <c r="I8" s="79"/>
      <c r="J8" s="60">
        <v>10000</v>
      </c>
      <c r="K8" s="61"/>
      <c r="L8" s="2"/>
      <c r="O8" s="58" t="s">
        <v>26</v>
      </c>
      <c r="P8" s="59"/>
      <c r="Q8" s="76">
        <v>0</v>
      </c>
      <c r="R8" s="77"/>
      <c r="S8" s="2"/>
      <c r="T8" s="2"/>
      <c r="U8" s="2"/>
      <c r="V8" s="2"/>
    </row>
    <row r="9" spans="1:31" ht="19.5" customHeight="1" thickBot="1" x14ac:dyDescent="0.45">
      <c r="A9" s="2">
        <f t="shared" si="2"/>
        <v>9</v>
      </c>
      <c r="B9" s="2"/>
      <c r="C9" s="2"/>
      <c r="D9" s="2"/>
      <c r="E9" s="6"/>
      <c r="F9" s="50"/>
      <c r="G9" s="51"/>
      <c r="H9" s="62" t="str">
        <f>IF(D6=0,"만기YYYYMMDD","입력안함")</f>
        <v>만기YYYYMMDD</v>
      </c>
      <c r="I9" s="63"/>
      <c r="J9" s="64">
        <v>46822</v>
      </c>
      <c r="K9" s="65"/>
      <c r="L9" s="2"/>
      <c r="O9" s="58" t="s">
        <v>5</v>
      </c>
      <c r="P9" s="59"/>
      <c r="Q9" s="76">
        <v>2</v>
      </c>
      <c r="R9" s="77"/>
      <c r="S9" s="2"/>
      <c r="T9" s="2"/>
      <c r="U9" s="2"/>
      <c r="V9" s="2"/>
    </row>
    <row r="10" spans="1:31" ht="19.5" customHeight="1" thickTop="1" x14ac:dyDescent="0.4">
      <c r="A10" s="2">
        <f t="shared" si="2"/>
        <v>10</v>
      </c>
      <c r="B10" s="2"/>
      <c r="C10" s="2"/>
      <c r="D10" s="2"/>
      <c r="G10" s="2"/>
      <c r="H10" s="2"/>
      <c r="I10" s="2"/>
      <c r="J10" s="2"/>
      <c r="L10" s="2"/>
      <c r="O10" s="2"/>
      <c r="P10" s="2"/>
      <c r="Q10" s="2"/>
      <c r="R10" s="2"/>
      <c r="S10" s="2"/>
      <c r="T10" s="2"/>
      <c r="U10" s="2"/>
      <c r="V10" s="2"/>
    </row>
    <row r="11" spans="1:31" ht="19.5" customHeight="1" thickBot="1" x14ac:dyDescent="0.45">
      <c r="A11" s="2">
        <f t="shared" si="2"/>
        <v>11</v>
      </c>
      <c r="B11" s="2"/>
      <c r="C11" s="2"/>
      <c r="D11" s="2"/>
      <c r="G11" s="2"/>
      <c r="H11" s="2"/>
      <c r="I11" s="2"/>
      <c r="J11" s="2"/>
      <c r="L11" s="2"/>
      <c r="O11" s="2"/>
      <c r="P11" s="2"/>
      <c r="Q11" s="2"/>
      <c r="R11" s="2"/>
      <c r="S11" s="2"/>
      <c r="T11" s="2"/>
      <c r="U11" s="2"/>
      <c r="V11" s="2"/>
    </row>
    <row r="12" spans="1:31" ht="19.5" customHeight="1" thickTop="1" thickBot="1" x14ac:dyDescent="0.5">
      <c r="A12" s="2">
        <f t="shared" si="2"/>
        <v>12</v>
      </c>
      <c r="B12" s="84" t="str">
        <f>IF(D6=0,"사용하지않음","쿠폰입력Flag 1일 경우 입력")</f>
        <v>사용하지않음</v>
      </c>
      <c r="C12" s="85"/>
      <c r="D12" s="85"/>
      <c r="E12" s="85"/>
      <c r="F12" s="86"/>
      <c r="G12" s="87" t="s">
        <v>6</v>
      </c>
      <c r="H12" s="88"/>
      <c r="I12" s="89" t="s">
        <v>7</v>
      </c>
      <c r="J12" s="89"/>
      <c r="L12" s="35" t="s">
        <v>27</v>
      </c>
      <c r="O12" s="2"/>
      <c r="P12" s="2"/>
      <c r="Q12" s="2"/>
      <c r="R12" s="2"/>
      <c r="S12" s="2"/>
      <c r="T12" s="2"/>
      <c r="U12" s="2"/>
      <c r="V12" s="2"/>
    </row>
    <row r="13" spans="1:31" ht="19.5" customHeight="1" thickTop="1" x14ac:dyDescent="0.45">
      <c r="A13" s="2">
        <f t="shared" si="2"/>
        <v>13</v>
      </c>
      <c r="B13" s="90" t="str">
        <f>IF(D6=0,"사용하지않음","쿠폰스케줄")</f>
        <v>사용하지않음</v>
      </c>
      <c r="C13" s="91"/>
      <c r="D13" s="92"/>
      <c r="E13" s="93" t="str">
        <f>IF(D6=0,"사용하지않음","원금 스케줄")</f>
        <v>사용하지않음</v>
      </c>
      <c r="F13" s="94"/>
      <c r="G13" s="16" t="s">
        <v>8</v>
      </c>
      <c r="H13" s="15">
        <v>0</v>
      </c>
      <c r="I13" s="17" t="s">
        <v>9</v>
      </c>
      <c r="J13" s="15">
        <f>COUNT(I16:I1048576)</f>
        <v>10</v>
      </c>
      <c r="L13" s="36"/>
      <c r="O13" s="2"/>
      <c r="P13" s="2"/>
      <c r="Q13" s="2"/>
      <c r="R13" s="2"/>
      <c r="S13" s="2"/>
      <c r="T13" s="2"/>
      <c r="U13" s="2"/>
      <c r="V13" s="2"/>
    </row>
    <row r="14" spans="1:31" ht="19.5" customHeight="1" x14ac:dyDescent="0.35">
      <c r="A14" s="2">
        <f t="shared" si="2"/>
        <v>14</v>
      </c>
      <c r="B14" s="13" t="str">
        <f>IF(D6=0,"사용하지않음","쿠폰개수")</f>
        <v>사용하지않음</v>
      </c>
      <c r="C14" s="14">
        <f>COUNT(B16:B1048576)</f>
        <v>40</v>
      </c>
      <c r="D14" s="10"/>
      <c r="E14" s="95"/>
      <c r="F14" s="96"/>
      <c r="G14" s="16" t="s">
        <v>10</v>
      </c>
      <c r="H14" s="15">
        <f>COUNT(G16:G1048576)</f>
        <v>8</v>
      </c>
      <c r="I14" s="9"/>
      <c r="J14" s="9"/>
      <c r="L14" s="34">
        <v>43101</v>
      </c>
      <c r="O14" s="2"/>
      <c r="P14" s="2"/>
      <c r="Q14" s="2"/>
      <c r="R14" s="2"/>
      <c r="S14" s="2"/>
      <c r="T14" s="2"/>
      <c r="U14" s="2"/>
      <c r="V14" s="2"/>
    </row>
    <row r="15" spans="1:31" ht="19.5" customHeight="1" x14ac:dyDescent="0.4">
      <c r="A15" s="2">
        <f t="shared" si="2"/>
        <v>15</v>
      </c>
      <c r="B15" s="13" t="str">
        <f>IF(D6=0,"사용하지않음","쿠폰일")</f>
        <v>사용하지않음</v>
      </c>
      <c r="C15" s="13" t="str">
        <f>IF(D6=0,"사용하지않음","CouponRate")</f>
        <v>사용하지않음</v>
      </c>
      <c r="D15" s="13" t="str">
        <f>IF(D6=0,"사용하지않음","쿠폰지급일")</f>
        <v>사용하지않음</v>
      </c>
      <c r="E15" s="13" t="str">
        <f>IF(D6=0,"사용하지않음","원금지급일")</f>
        <v>사용하지않음</v>
      </c>
      <c r="F15" s="13" t="str">
        <f>IF(D6=0,"사용하지않음","원금")</f>
        <v>사용하지않음</v>
      </c>
      <c r="G15" s="16" t="s">
        <v>11</v>
      </c>
      <c r="H15" s="16" t="str">
        <f>IF(H13=0,"HazardRate/y", "CDS Spread")</f>
        <v>HazardRate/y</v>
      </c>
      <c r="I15" s="16" t="s">
        <v>11</v>
      </c>
      <c r="J15" s="16" t="s">
        <v>7</v>
      </c>
      <c r="L15" s="34">
        <v>43146</v>
      </c>
      <c r="O15" s="2"/>
      <c r="P15" s="2"/>
      <c r="Q15" s="2"/>
      <c r="R15" s="2"/>
      <c r="S15" s="2"/>
      <c r="T15" s="2"/>
      <c r="U15" s="2"/>
      <c r="V15" s="2"/>
    </row>
    <row r="16" spans="1:31" ht="19.5" customHeight="1" x14ac:dyDescent="0.35">
      <c r="A16" s="2">
        <f t="shared" si="2"/>
        <v>16</v>
      </c>
      <c r="B16" s="3">
        <v>43261</v>
      </c>
      <c r="C16" s="8">
        <v>0.05</v>
      </c>
      <c r="D16" s="7">
        <f t="shared" ref="D16:D54" si="3">B16</f>
        <v>43261</v>
      </c>
      <c r="E16" s="3">
        <f>D55</f>
        <v>46822</v>
      </c>
      <c r="F16" s="4">
        <v>10000</v>
      </c>
      <c r="G16" s="11">
        <v>0.24931506849315069</v>
      </c>
      <c r="H16" s="12">
        <v>3.3518407694498702E-3</v>
      </c>
      <c r="I16" s="23">
        <v>0.25</v>
      </c>
      <c r="J16" s="26">
        <v>4.2140000000000004E-2</v>
      </c>
      <c r="L16" s="34">
        <v>43147</v>
      </c>
      <c r="O16" s="80" t="s">
        <v>12</v>
      </c>
      <c r="P16" s="81"/>
      <c r="Q16" s="97">
        <v>1</v>
      </c>
      <c r="R16" s="98"/>
      <c r="S16" s="2"/>
      <c r="T16" s="2"/>
      <c r="U16" s="2"/>
      <c r="V16" s="2"/>
    </row>
    <row r="17" spans="1:22" ht="19.5" customHeight="1" x14ac:dyDescent="0.35">
      <c r="A17" s="2">
        <f t="shared" si="2"/>
        <v>17</v>
      </c>
      <c r="B17" s="3">
        <v>43353</v>
      </c>
      <c r="C17" s="8">
        <v>0.05</v>
      </c>
      <c r="D17" s="7">
        <f t="shared" si="3"/>
        <v>43353</v>
      </c>
      <c r="G17" s="5">
        <v>0.49863013698630138</v>
      </c>
      <c r="H17" s="12">
        <v>3.9831477165222159E-3</v>
      </c>
      <c r="I17" s="24">
        <v>0.5</v>
      </c>
      <c r="J17" s="27">
        <v>4.5100000000000001E-2</v>
      </c>
      <c r="L17" s="34">
        <v>43148</v>
      </c>
      <c r="O17" s="2"/>
      <c r="P17" s="2"/>
      <c r="Q17" s="2"/>
      <c r="R17" s="2"/>
      <c r="S17" s="2"/>
      <c r="T17" s="2"/>
      <c r="U17" s="2"/>
      <c r="V17" s="2"/>
    </row>
    <row r="18" spans="1:22" ht="19.5" customHeight="1" x14ac:dyDescent="0.35">
      <c r="A18" s="2">
        <f t="shared" si="2"/>
        <v>18</v>
      </c>
      <c r="B18" s="3">
        <v>43444</v>
      </c>
      <c r="C18" s="8">
        <v>0.05</v>
      </c>
      <c r="D18" s="7">
        <f t="shared" si="3"/>
        <v>43444</v>
      </c>
      <c r="G18" s="5">
        <v>1.0027397260273974</v>
      </c>
      <c r="H18" s="12">
        <v>6.7230072784423833E-3</v>
      </c>
      <c r="I18" s="24">
        <v>1</v>
      </c>
      <c r="J18" s="27">
        <v>4.8210000000000003E-2</v>
      </c>
      <c r="L18" s="34">
        <v>43160</v>
      </c>
      <c r="O18" s="80" t="s">
        <v>13</v>
      </c>
      <c r="P18" s="81"/>
      <c r="Q18" s="82">
        <v>9840.3730989250689</v>
      </c>
      <c r="R18" s="83"/>
      <c r="S18" s="2"/>
      <c r="T18" s="2"/>
      <c r="U18" s="2"/>
      <c r="V18" s="2"/>
    </row>
    <row r="19" spans="1:22" ht="19.5" customHeight="1" x14ac:dyDescent="0.35">
      <c r="A19" s="2">
        <f t="shared" si="2"/>
        <v>19</v>
      </c>
      <c r="B19" s="3">
        <v>43534</v>
      </c>
      <c r="C19" s="8">
        <v>0.05</v>
      </c>
      <c r="D19" s="7">
        <f t="shared" si="3"/>
        <v>43534</v>
      </c>
      <c r="G19" s="5">
        <v>2.0027397260273974</v>
      </c>
      <c r="H19" s="12">
        <v>7.4745331954956043E-3</v>
      </c>
      <c r="I19" s="24">
        <v>2</v>
      </c>
      <c r="J19" s="27">
        <v>4.7410000000000001E-2</v>
      </c>
      <c r="L19" s="34">
        <v>43221</v>
      </c>
      <c r="O19" s="80" t="s">
        <v>14</v>
      </c>
      <c r="P19" s="81"/>
      <c r="Q19" s="82">
        <v>42.465753424657535</v>
      </c>
      <c r="R19" s="83"/>
      <c r="S19" s="2"/>
      <c r="T19" s="2"/>
      <c r="U19" s="2"/>
      <c r="V19" s="2"/>
    </row>
    <row r="20" spans="1:22" ht="19.5" customHeight="1" x14ac:dyDescent="0.35">
      <c r="A20" s="2">
        <f t="shared" si="2"/>
        <v>20</v>
      </c>
      <c r="B20" s="3">
        <v>43626</v>
      </c>
      <c r="C20" s="8">
        <v>0.05</v>
      </c>
      <c r="D20" s="7">
        <f t="shared" si="3"/>
        <v>43626</v>
      </c>
      <c r="G20" s="5">
        <v>3.0027397260273974</v>
      </c>
      <c r="H20" s="12">
        <v>7.9214204661051443E-3</v>
      </c>
      <c r="I20" s="24">
        <v>3</v>
      </c>
      <c r="J20" s="27">
        <v>4.727E-2</v>
      </c>
      <c r="L20" s="34">
        <v>43227</v>
      </c>
      <c r="O20" s="80" t="s">
        <v>15</v>
      </c>
      <c r="P20" s="81"/>
      <c r="Q20" s="82">
        <v>9882.8388523497269</v>
      </c>
      <c r="R20" s="83"/>
      <c r="S20" s="2"/>
      <c r="T20" s="2"/>
      <c r="U20" s="2"/>
      <c r="V20" s="2"/>
    </row>
    <row r="21" spans="1:22" ht="19.5" customHeight="1" x14ac:dyDescent="0.35">
      <c r="A21" s="2">
        <f t="shared" si="2"/>
        <v>21</v>
      </c>
      <c r="B21" s="3">
        <v>43718</v>
      </c>
      <c r="C21" s="8">
        <v>0.05</v>
      </c>
      <c r="D21" s="7">
        <f t="shared" si="3"/>
        <v>43718</v>
      </c>
      <c r="G21" s="5">
        <v>5.0054794520547947</v>
      </c>
      <c r="H21" s="12">
        <v>8.505521011352539E-3</v>
      </c>
      <c r="I21" s="24">
        <v>5</v>
      </c>
      <c r="J21" s="27">
        <v>4.5089999999999998E-2</v>
      </c>
      <c r="L21" s="34">
        <v>43242</v>
      </c>
      <c r="O21" s="2"/>
      <c r="P21" s="2"/>
      <c r="Q21" s="2"/>
      <c r="R21" s="2"/>
      <c r="S21" s="2"/>
      <c r="T21" s="2"/>
      <c r="U21" s="2"/>
      <c r="V21" s="2"/>
    </row>
    <row r="22" spans="1:22" ht="19.5" customHeight="1" x14ac:dyDescent="0.35">
      <c r="A22" s="2">
        <f t="shared" si="2"/>
        <v>22</v>
      </c>
      <c r="B22" s="3">
        <v>43809</v>
      </c>
      <c r="C22" s="8">
        <v>0.05</v>
      </c>
      <c r="D22" s="7">
        <f t="shared" si="3"/>
        <v>43809</v>
      </c>
      <c r="G22" s="5">
        <v>7.0054794520547947</v>
      </c>
      <c r="H22" s="12">
        <v>9.1638929621378571E-3</v>
      </c>
      <c r="I22" s="24">
        <v>7</v>
      </c>
      <c r="J22" s="27">
        <v>4.4120000000000006E-2</v>
      </c>
      <c r="L22" s="34">
        <v>43257</v>
      </c>
      <c r="O22" s="80" t="s">
        <v>16</v>
      </c>
      <c r="P22" s="81"/>
      <c r="Q22" s="82">
        <v>4.7024840069316269</v>
      </c>
      <c r="R22" s="83"/>
      <c r="S22" s="2"/>
      <c r="T22" s="2"/>
      <c r="U22" s="2"/>
      <c r="V22" s="2"/>
    </row>
    <row r="23" spans="1:22" ht="19.5" customHeight="1" x14ac:dyDescent="0.35">
      <c r="A23" s="2">
        <f t="shared" si="2"/>
        <v>23</v>
      </c>
      <c r="B23" s="3">
        <v>43900</v>
      </c>
      <c r="C23" s="8">
        <v>0.05</v>
      </c>
      <c r="D23" s="7">
        <f t="shared" si="3"/>
        <v>43900</v>
      </c>
      <c r="G23" s="5">
        <v>10.008219178082191</v>
      </c>
      <c r="H23" s="12">
        <v>1.0055149828592937E-2</v>
      </c>
      <c r="I23" s="24">
        <v>10</v>
      </c>
      <c r="J23" s="27">
        <v>4.2840000000000003E-2</v>
      </c>
      <c r="L23" s="34">
        <v>43327</v>
      </c>
      <c r="O23" s="80" t="s">
        <v>17</v>
      </c>
      <c r="P23" s="81"/>
      <c r="Q23" s="82">
        <v>4.7024840069316269</v>
      </c>
      <c r="R23" s="83"/>
      <c r="S23" s="2"/>
      <c r="T23" s="2"/>
      <c r="U23" s="2"/>
      <c r="V23" s="2"/>
    </row>
    <row r="24" spans="1:22" ht="19.5" customHeight="1" x14ac:dyDescent="0.35">
      <c r="A24" s="2">
        <f t="shared" si="2"/>
        <v>24</v>
      </c>
      <c r="B24" s="3">
        <v>43992</v>
      </c>
      <c r="C24" s="8">
        <v>0.05</v>
      </c>
      <c r="D24" s="7">
        <f t="shared" si="3"/>
        <v>43992</v>
      </c>
      <c r="G24" s="5"/>
      <c r="H24" s="1"/>
      <c r="I24" s="24">
        <v>20</v>
      </c>
      <c r="J24" s="27">
        <v>4.5839999999999999E-2</v>
      </c>
      <c r="L24" s="34">
        <v>43367</v>
      </c>
      <c r="O24" s="80" t="s">
        <v>18</v>
      </c>
      <c r="P24" s="81"/>
      <c r="Q24" s="82">
        <v>4.582141121103632</v>
      </c>
      <c r="R24" s="83"/>
      <c r="S24" s="2"/>
      <c r="T24" s="2"/>
      <c r="U24" s="2"/>
      <c r="V24" s="2"/>
    </row>
    <row r="25" spans="1:22" ht="19.5" customHeight="1" x14ac:dyDescent="0.4">
      <c r="A25" s="2">
        <f t="shared" si="2"/>
        <v>25</v>
      </c>
      <c r="B25" s="3">
        <v>44084</v>
      </c>
      <c r="C25" s="8">
        <v>0.05</v>
      </c>
      <c r="D25" s="7">
        <f t="shared" si="3"/>
        <v>44084</v>
      </c>
      <c r="I25" s="25">
        <v>30</v>
      </c>
      <c r="J25" s="28">
        <v>4.684E-2</v>
      </c>
      <c r="L25" s="34">
        <v>43368</v>
      </c>
      <c r="O25" s="2"/>
      <c r="P25" s="2"/>
      <c r="Q25" s="2"/>
      <c r="R25" s="2"/>
      <c r="S25" s="2"/>
      <c r="T25" s="2"/>
      <c r="U25" s="2"/>
      <c r="V25" s="2"/>
    </row>
    <row r="26" spans="1:22" ht="19.5" customHeight="1" x14ac:dyDescent="0.4">
      <c r="A26" s="2">
        <f t="shared" si="2"/>
        <v>26</v>
      </c>
      <c r="B26" s="3">
        <v>44175</v>
      </c>
      <c r="C26" s="8">
        <v>0.05</v>
      </c>
      <c r="D26" s="7">
        <f t="shared" si="3"/>
        <v>44175</v>
      </c>
      <c r="L26" s="34">
        <v>43369</v>
      </c>
      <c r="O26" s="2"/>
      <c r="P26" s="2"/>
      <c r="Q26" s="2"/>
      <c r="R26" s="2"/>
      <c r="S26" s="2"/>
      <c r="T26" s="2"/>
      <c r="U26" s="2"/>
      <c r="V26" s="2"/>
    </row>
    <row r="27" spans="1:22" ht="19.5" customHeight="1" x14ac:dyDescent="0.4">
      <c r="A27" s="2">
        <f t="shared" si="2"/>
        <v>27</v>
      </c>
      <c r="B27" s="3">
        <v>44265</v>
      </c>
      <c r="C27" s="8">
        <v>0.05</v>
      </c>
      <c r="D27" s="7">
        <f t="shared" si="3"/>
        <v>44265</v>
      </c>
      <c r="L27" s="34">
        <v>43376</v>
      </c>
      <c r="O27" s="2"/>
      <c r="P27" s="2"/>
      <c r="Q27" s="2"/>
      <c r="R27" s="2"/>
      <c r="S27" s="2"/>
      <c r="T27" s="2"/>
      <c r="U27" s="2"/>
      <c r="V27" s="2"/>
    </row>
    <row r="28" spans="1:22" ht="19.5" customHeight="1" x14ac:dyDescent="0.4">
      <c r="A28" s="2">
        <f t="shared" si="2"/>
        <v>28</v>
      </c>
      <c r="B28" s="3">
        <v>44357</v>
      </c>
      <c r="C28" s="8">
        <v>0.05</v>
      </c>
      <c r="D28" s="7">
        <f t="shared" si="3"/>
        <v>44357</v>
      </c>
      <c r="L28" s="34">
        <v>43382</v>
      </c>
      <c r="O28" s="99" t="s">
        <v>19</v>
      </c>
      <c r="P28" s="99"/>
      <c r="Q28" s="99" t="s">
        <v>20</v>
      </c>
      <c r="R28" s="99"/>
      <c r="S28" s="99" t="s">
        <v>21</v>
      </c>
      <c r="T28" s="99"/>
      <c r="U28" s="99" t="s">
        <v>22</v>
      </c>
      <c r="V28" s="99"/>
    </row>
    <row r="29" spans="1:22" ht="19.5" customHeight="1" x14ac:dyDescent="0.4">
      <c r="A29" s="2">
        <f t="shared" si="2"/>
        <v>29</v>
      </c>
      <c r="B29" s="3">
        <v>44449</v>
      </c>
      <c r="C29" s="8">
        <v>0.05</v>
      </c>
      <c r="D29" s="7">
        <f t="shared" si="3"/>
        <v>44449</v>
      </c>
      <c r="L29" s="34">
        <v>43459</v>
      </c>
      <c r="O29" s="22" t="s">
        <v>11</v>
      </c>
      <c r="P29" s="22" t="s">
        <v>16</v>
      </c>
      <c r="Q29" s="22" t="s">
        <v>11</v>
      </c>
      <c r="R29" s="22" t="s">
        <v>23</v>
      </c>
      <c r="S29" s="22" t="s">
        <v>11</v>
      </c>
      <c r="T29" s="22" t="s">
        <v>24</v>
      </c>
      <c r="U29" s="22" t="s">
        <v>11</v>
      </c>
      <c r="V29" s="22" t="s">
        <v>25</v>
      </c>
    </row>
    <row r="30" spans="1:22" ht="19.5" customHeight="1" x14ac:dyDescent="0.35">
      <c r="A30" s="2">
        <f t="shared" si="2"/>
        <v>30</v>
      </c>
      <c r="B30" s="3">
        <v>44540</v>
      </c>
      <c r="C30" s="8">
        <v>0.05</v>
      </c>
      <c r="D30" s="7">
        <f t="shared" si="3"/>
        <v>44540</v>
      </c>
      <c r="L30" s="34">
        <v>43466</v>
      </c>
      <c r="O30" s="18">
        <v>0.25</v>
      </c>
      <c r="P30" s="19">
        <v>3.747796154129901E-3</v>
      </c>
      <c r="Q30" s="18">
        <v>0.25</v>
      </c>
      <c r="R30" s="20">
        <v>5.8720615925267339E-8</v>
      </c>
      <c r="S30" s="18">
        <v>0.24931506849315069</v>
      </c>
      <c r="T30" s="21">
        <v>3.7051614199299365E-3</v>
      </c>
      <c r="U30" s="18">
        <v>0.24931506849315069</v>
      </c>
      <c r="V30" s="20">
        <v>5.7392753660678864E-8</v>
      </c>
    </row>
    <row r="31" spans="1:22" ht="19.5" customHeight="1" x14ac:dyDescent="0.35">
      <c r="A31" s="2">
        <f t="shared" si="2"/>
        <v>31</v>
      </c>
      <c r="B31" s="3">
        <v>44630</v>
      </c>
      <c r="C31" s="8">
        <v>0.05</v>
      </c>
      <c r="D31" s="7">
        <f t="shared" si="3"/>
        <v>44630</v>
      </c>
      <c r="L31" s="34">
        <v>43500</v>
      </c>
      <c r="O31" s="18">
        <v>0.5</v>
      </c>
      <c r="P31" s="19">
        <v>9.8544959919308894E-3</v>
      </c>
      <c r="Q31" s="18">
        <v>0.5</v>
      </c>
      <c r="R31" s="20">
        <v>2.1009327610954642E-7</v>
      </c>
      <c r="S31" s="18">
        <v>0.49863013698630138</v>
      </c>
      <c r="T31" s="21">
        <v>9.9840641960327048E-3</v>
      </c>
      <c r="U31" s="18">
        <v>0.49863013698630138</v>
      </c>
      <c r="V31" s="20">
        <v>2.1509185899049044E-7</v>
      </c>
    </row>
    <row r="32" spans="1:22" ht="19.5" customHeight="1" x14ac:dyDescent="0.35">
      <c r="A32" s="2">
        <f t="shared" si="2"/>
        <v>32</v>
      </c>
      <c r="B32" s="3">
        <v>44722</v>
      </c>
      <c r="C32" s="8">
        <v>0.05</v>
      </c>
      <c r="D32" s="7">
        <f t="shared" si="3"/>
        <v>44722</v>
      </c>
      <c r="L32" s="34">
        <v>43501</v>
      </c>
      <c r="O32" s="18">
        <v>1</v>
      </c>
      <c r="P32" s="19">
        <v>4.110833685444959E-2</v>
      </c>
      <c r="Q32" s="18">
        <v>1</v>
      </c>
      <c r="R32" s="20">
        <v>3.0096307455096394E-6</v>
      </c>
      <c r="S32" s="18">
        <v>1.0027397260273974</v>
      </c>
      <c r="T32" s="21">
        <v>4.1228536531889404E-2</v>
      </c>
      <c r="U32" s="18">
        <v>1.0027397260273974</v>
      </c>
      <c r="V32" s="20">
        <v>3.0157170840539038E-6</v>
      </c>
    </row>
    <row r="33" spans="1:22" ht="19.5" customHeight="1" x14ac:dyDescent="0.35">
      <c r="A33" s="2">
        <f t="shared" si="2"/>
        <v>33</v>
      </c>
      <c r="B33" s="3">
        <v>44814</v>
      </c>
      <c r="C33" s="8">
        <v>0.05</v>
      </c>
      <c r="D33" s="7">
        <f t="shared" si="3"/>
        <v>44814</v>
      </c>
      <c r="L33" s="34">
        <v>43502</v>
      </c>
      <c r="O33" s="18">
        <v>2</v>
      </c>
      <c r="P33" s="19">
        <v>8.918686309880286E-2</v>
      </c>
      <c r="Q33" s="18">
        <v>2</v>
      </c>
      <c r="R33" s="20">
        <v>1.2164153304183856E-5</v>
      </c>
      <c r="S33" s="18">
        <v>2.0027397260273974</v>
      </c>
      <c r="T33" s="21">
        <v>8.9294013660037308E-2</v>
      </c>
      <c r="U33" s="18">
        <v>2.0027397260273974</v>
      </c>
      <c r="V33" s="20">
        <v>1.2163163773948327E-5</v>
      </c>
    </row>
    <row r="34" spans="1:22" ht="19.5" customHeight="1" x14ac:dyDescent="0.35">
      <c r="A34" s="2">
        <f t="shared" si="2"/>
        <v>34</v>
      </c>
      <c r="B34" s="3">
        <v>44905</v>
      </c>
      <c r="C34" s="8">
        <v>0.05</v>
      </c>
      <c r="D34" s="7">
        <f t="shared" si="3"/>
        <v>44905</v>
      </c>
      <c r="L34" s="34">
        <v>43525</v>
      </c>
      <c r="O34" s="18">
        <v>3</v>
      </c>
      <c r="P34" s="19">
        <v>0.20715600707262638</v>
      </c>
      <c r="Q34" s="18">
        <v>3</v>
      </c>
      <c r="R34" s="20">
        <v>4.4967091525904834E-5</v>
      </c>
      <c r="S34" s="18">
        <v>3.0027397260273974</v>
      </c>
      <c r="T34" s="21">
        <v>0.20757025418333797</v>
      </c>
      <c r="U34" s="18">
        <v>3.0027397260273974</v>
      </c>
      <c r="V34" s="20">
        <v>4.5043496356811374E-5</v>
      </c>
    </row>
    <row r="35" spans="1:22" ht="19.5" customHeight="1" x14ac:dyDescent="0.35">
      <c r="A35" s="2">
        <f t="shared" si="2"/>
        <v>35</v>
      </c>
      <c r="B35" s="3">
        <v>44995</v>
      </c>
      <c r="C35" s="8">
        <v>0.05</v>
      </c>
      <c r="D35" s="7">
        <f t="shared" si="3"/>
        <v>44995</v>
      </c>
      <c r="L35" s="34">
        <v>43586</v>
      </c>
      <c r="O35" s="18">
        <v>5</v>
      </c>
      <c r="P35" s="19">
        <v>3.5044308787382761</v>
      </c>
      <c r="Q35" s="18">
        <v>5</v>
      </c>
      <c r="R35" s="20">
        <v>1.4903165829309728E-3</v>
      </c>
      <c r="S35" s="18">
        <v>5.0054794520547947</v>
      </c>
      <c r="T35" s="21">
        <v>3.5150714700585013</v>
      </c>
      <c r="U35" s="18">
        <v>5.0054794520547947</v>
      </c>
      <c r="V35" s="20">
        <v>1.4996866739238612E-3</v>
      </c>
    </row>
    <row r="36" spans="1:22" ht="19.5" customHeight="1" x14ac:dyDescent="0.35">
      <c r="A36" s="2">
        <f t="shared" si="2"/>
        <v>36</v>
      </c>
      <c r="B36" s="3">
        <v>45087</v>
      </c>
      <c r="C36" s="8">
        <v>0.05</v>
      </c>
      <c r="D36" s="7">
        <f t="shared" si="3"/>
        <v>45087</v>
      </c>
      <c r="L36" s="34">
        <v>43591</v>
      </c>
      <c r="O36" s="18">
        <v>7</v>
      </c>
      <c r="P36" s="19">
        <v>0.84699952529172151</v>
      </c>
      <c r="Q36" s="18">
        <v>7</v>
      </c>
      <c r="R36" s="20">
        <v>9.34976851567626E-5</v>
      </c>
      <c r="S36" s="18">
        <v>7.0054794520547947</v>
      </c>
      <c r="T36" s="21">
        <v>0.83563040410263056</v>
      </c>
      <c r="U36" s="18">
        <v>7.0054794520547947</v>
      </c>
      <c r="V36" s="20">
        <v>9.1004523710580543E-5</v>
      </c>
    </row>
    <row r="37" spans="1:22" ht="19.5" customHeight="1" x14ac:dyDescent="0.35">
      <c r="A37" s="2">
        <f t="shared" si="2"/>
        <v>37</v>
      </c>
      <c r="B37" s="3">
        <v>45179</v>
      </c>
      <c r="C37" s="8">
        <v>0.05</v>
      </c>
      <c r="D37" s="7">
        <f t="shared" si="3"/>
        <v>45179</v>
      </c>
      <c r="L37" s="34">
        <v>43598</v>
      </c>
      <c r="O37" s="18">
        <v>10</v>
      </c>
      <c r="P37" s="19">
        <v>0</v>
      </c>
      <c r="Q37" s="18">
        <v>10</v>
      </c>
      <c r="R37" s="20">
        <v>0</v>
      </c>
      <c r="S37" s="18">
        <v>10.008219178082191</v>
      </c>
      <c r="T37" s="21">
        <v>0</v>
      </c>
      <c r="U37" s="18">
        <v>10.008219178082191</v>
      </c>
      <c r="V37" s="20">
        <v>0</v>
      </c>
    </row>
    <row r="38" spans="1:22" ht="19.5" customHeight="1" x14ac:dyDescent="0.4">
      <c r="A38" s="2">
        <f t="shared" si="2"/>
        <v>38</v>
      </c>
      <c r="B38" s="3">
        <v>45270</v>
      </c>
      <c r="C38" s="8">
        <v>0.05</v>
      </c>
      <c r="D38" s="7">
        <f t="shared" si="3"/>
        <v>45270</v>
      </c>
      <c r="L38" s="34">
        <v>43622</v>
      </c>
      <c r="O38" s="32">
        <v>20</v>
      </c>
      <c r="P38" s="29">
        <v>0</v>
      </c>
      <c r="Q38" s="33">
        <v>20</v>
      </c>
      <c r="R38" s="31">
        <v>0</v>
      </c>
    </row>
    <row r="39" spans="1:22" ht="19.5" customHeight="1" x14ac:dyDescent="0.4">
      <c r="A39" s="2">
        <f t="shared" si="2"/>
        <v>39</v>
      </c>
      <c r="B39" s="3">
        <v>45361</v>
      </c>
      <c r="C39" s="8">
        <v>0.05</v>
      </c>
      <c r="D39" s="7">
        <f t="shared" si="3"/>
        <v>45361</v>
      </c>
      <c r="L39" s="34">
        <v>43692</v>
      </c>
      <c r="O39" s="32">
        <v>30</v>
      </c>
      <c r="P39" s="29">
        <v>0</v>
      </c>
      <c r="Q39" s="33">
        <v>30</v>
      </c>
      <c r="R39" s="31">
        <v>0</v>
      </c>
    </row>
    <row r="40" spans="1:22" ht="19.5" customHeight="1" x14ac:dyDescent="0.4">
      <c r="A40" s="2">
        <f t="shared" si="2"/>
        <v>40</v>
      </c>
      <c r="B40" s="3">
        <v>45453</v>
      </c>
      <c r="C40" s="8">
        <v>0.05</v>
      </c>
      <c r="D40" s="7">
        <f t="shared" si="3"/>
        <v>45453</v>
      </c>
      <c r="L40" s="34">
        <v>43720</v>
      </c>
    </row>
    <row r="41" spans="1:22" ht="19.5" customHeight="1" x14ac:dyDescent="0.4">
      <c r="A41" s="2">
        <f t="shared" si="2"/>
        <v>41</v>
      </c>
      <c r="B41" s="3">
        <v>45545</v>
      </c>
      <c r="C41" s="8">
        <v>0.05</v>
      </c>
      <c r="D41" s="7">
        <f t="shared" si="3"/>
        <v>45545</v>
      </c>
      <c r="L41" s="34">
        <v>43721</v>
      </c>
    </row>
    <row r="42" spans="1:22" ht="19.5" customHeight="1" x14ac:dyDescent="0.4">
      <c r="A42" s="2">
        <f t="shared" si="2"/>
        <v>42</v>
      </c>
      <c r="B42" s="3">
        <v>45636</v>
      </c>
      <c r="C42" s="8">
        <v>0.05</v>
      </c>
      <c r="D42" s="7">
        <f t="shared" si="3"/>
        <v>45636</v>
      </c>
      <c r="L42" s="34">
        <v>43722</v>
      </c>
    </row>
    <row r="43" spans="1:22" ht="19.5" customHeight="1" x14ac:dyDescent="0.4">
      <c r="A43" s="2">
        <f t="shared" si="2"/>
        <v>43</v>
      </c>
      <c r="B43" s="3">
        <v>45726</v>
      </c>
      <c r="C43" s="8">
        <v>0.05</v>
      </c>
      <c r="D43" s="7">
        <f t="shared" si="3"/>
        <v>45726</v>
      </c>
      <c r="L43" s="34">
        <v>43741</v>
      </c>
    </row>
    <row r="44" spans="1:22" ht="19.5" customHeight="1" x14ac:dyDescent="0.4">
      <c r="A44" s="2">
        <f t="shared" si="2"/>
        <v>44</v>
      </c>
      <c r="B44" s="3">
        <v>45818</v>
      </c>
      <c r="C44" s="8">
        <v>0.05</v>
      </c>
      <c r="D44" s="7">
        <f t="shared" si="3"/>
        <v>45818</v>
      </c>
      <c r="L44" s="34">
        <v>43747</v>
      </c>
    </row>
    <row r="45" spans="1:22" ht="19.5" customHeight="1" x14ac:dyDescent="0.4">
      <c r="A45" s="2">
        <f t="shared" si="2"/>
        <v>45</v>
      </c>
      <c r="B45" s="3">
        <v>45910</v>
      </c>
      <c r="C45" s="8">
        <v>0.05</v>
      </c>
      <c r="D45" s="7">
        <f t="shared" si="3"/>
        <v>45910</v>
      </c>
      <c r="L45" s="34">
        <v>43824</v>
      </c>
    </row>
    <row r="46" spans="1:22" ht="19.5" customHeight="1" x14ac:dyDescent="0.4">
      <c r="A46" s="2">
        <f t="shared" si="2"/>
        <v>46</v>
      </c>
      <c r="B46" s="3">
        <v>46001</v>
      </c>
      <c r="C46" s="8">
        <v>0.05</v>
      </c>
      <c r="D46" s="7">
        <f t="shared" si="3"/>
        <v>46001</v>
      </c>
      <c r="L46" s="34">
        <v>43831</v>
      </c>
    </row>
    <row r="47" spans="1:22" ht="19.5" customHeight="1" x14ac:dyDescent="0.4">
      <c r="A47" s="2">
        <f t="shared" si="2"/>
        <v>47</v>
      </c>
      <c r="B47" s="3">
        <v>46091</v>
      </c>
      <c r="C47" s="8">
        <v>0.05</v>
      </c>
      <c r="D47" s="7">
        <f t="shared" si="3"/>
        <v>46091</v>
      </c>
      <c r="L47" s="34">
        <v>43854</v>
      </c>
    </row>
    <row r="48" spans="1:22" ht="19.5" customHeight="1" x14ac:dyDescent="0.4">
      <c r="A48" s="2">
        <f t="shared" si="2"/>
        <v>48</v>
      </c>
      <c r="B48" s="3">
        <v>46183</v>
      </c>
      <c r="C48" s="8">
        <v>0.05</v>
      </c>
      <c r="D48" s="7">
        <f t="shared" si="3"/>
        <v>46183</v>
      </c>
      <c r="L48" s="34">
        <v>43855</v>
      </c>
    </row>
    <row r="49" spans="1:12" ht="19.5" customHeight="1" x14ac:dyDescent="0.4">
      <c r="A49" s="2">
        <f t="shared" si="2"/>
        <v>49</v>
      </c>
      <c r="B49" s="3">
        <v>46275</v>
      </c>
      <c r="C49" s="8">
        <v>0.05</v>
      </c>
      <c r="D49" s="7">
        <f t="shared" si="3"/>
        <v>46275</v>
      </c>
      <c r="L49" s="34">
        <v>43857</v>
      </c>
    </row>
    <row r="50" spans="1:12" ht="19.5" customHeight="1" x14ac:dyDescent="0.4">
      <c r="A50" s="2">
        <f t="shared" si="2"/>
        <v>50</v>
      </c>
      <c r="B50" s="3">
        <v>46366</v>
      </c>
      <c r="C50" s="8">
        <v>0.05</v>
      </c>
      <c r="D50" s="7">
        <f t="shared" si="3"/>
        <v>46366</v>
      </c>
      <c r="L50" s="34">
        <v>43892</v>
      </c>
    </row>
    <row r="51" spans="1:12" ht="19.5" customHeight="1" x14ac:dyDescent="0.4">
      <c r="A51" s="2">
        <f t="shared" si="2"/>
        <v>51</v>
      </c>
      <c r="B51" s="3">
        <v>46456</v>
      </c>
      <c r="C51" s="8">
        <v>0.05</v>
      </c>
      <c r="D51" s="7">
        <f t="shared" si="3"/>
        <v>46456</v>
      </c>
      <c r="L51" s="34">
        <v>43951</v>
      </c>
    </row>
    <row r="52" spans="1:12" ht="19.5" customHeight="1" x14ac:dyDescent="0.4">
      <c r="A52" s="2">
        <f t="shared" si="2"/>
        <v>52</v>
      </c>
      <c r="B52" s="3">
        <v>46548</v>
      </c>
      <c r="C52" s="8">
        <v>0.05</v>
      </c>
      <c r="D52" s="7">
        <f t="shared" si="3"/>
        <v>46548</v>
      </c>
      <c r="L52" s="34">
        <v>43952</v>
      </c>
    </row>
    <row r="53" spans="1:12" ht="19.5" customHeight="1" x14ac:dyDescent="0.4">
      <c r="A53" s="2">
        <f t="shared" si="2"/>
        <v>53</v>
      </c>
      <c r="B53" s="3">
        <v>46640</v>
      </c>
      <c r="C53" s="8">
        <v>0.05</v>
      </c>
      <c r="D53" s="7">
        <f t="shared" si="3"/>
        <v>46640</v>
      </c>
      <c r="L53" s="34">
        <v>43956</v>
      </c>
    </row>
    <row r="54" spans="1:12" ht="19.5" customHeight="1" x14ac:dyDescent="0.4">
      <c r="A54" s="2">
        <f t="shared" si="2"/>
        <v>54</v>
      </c>
      <c r="B54" s="3">
        <v>46731</v>
      </c>
      <c r="C54" s="8">
        <v>0.05</v>
      </c>
      <c r="D54" s="7">
        <f t="shared" si="3"/>
        <v>46731</v>
      </c>
      <c r="L54" s="34">
        <v>43988</v>
      </c>
    </row>
    <row r="55" spans="1:12" ht="19.5" customHeight="1" x14ac:dyDescent="0.4">
      <c r="A55" s="2">
        <f t="shared" si="2"/>
        <v>55</v>
      </c>
      <c r="B55" s="3">
        <v>46822</v>
      </c>
      <c r="C55" s="8">
        <v>0.05</v>
      </c>
      <c r="D55" s="7">
        <f t="shared" ref="D55" si="4">B55</f>
        <v>46822</v>
      </c>
      <c r="L55" s="34">
        <v>44060</v>
      </c>
    </row>
    <row r="56" spans="1:12" ht="19.5" customHeight="1" x14ac:dyDescent="0.4">
      <c r="A56" s="2">
        <f t="shared" si="2"/>
        <v>56</v>
      </c>
      <c r="L56" s="34">
        <v>44060</v>
      </c>
    </row>
    <row r="57" spans="1:12" ht="19.5" customHeight="1" x14ac:dyDescent="0.4">
      <c r="A57" s="2">
        <f t="shared" si="2"/>
        <v>57</v>
      </c>
      <c r="L57" s="34">
        <v>44104</v>
      </c>
    </row>
    <row r="58" spans="1:12" ht="19.5" customHeight="1" x14ac:dyDescent="0.4">
      <c r="A58" s="2">
        <f t="shared" si="2"/>
        <v>58</v>
      </c>
      <c r="L58" s="34">
        <v>44105</v>
      </c>
    </row>
    <row r="59" spans="1:12" ht="19.5" customHeight="1" x14ac:dyDescent="0.4">
      <c r="A59" s="2">
        <f t="shared" si="2"/>
        <v>59</v>
      </c>
      <c r="L59" s="34">
        <v>44106</v>
      </c>
    </row>
    <row r="60" spans="1:12" ht="19.5" customHeight="1" x14ac:dyDescent="0.4">
      <c r="A60" s="2">
        <f t="shared" si="2"/>
        <v>60</v>
      </c>
      <c r="L60" s="34">
        <v>44109</v>
      </c>
    </row>
    <row r="61" spans="1:12" ht="19.5" customHeight="1" x14ac:dyDescent="0.4">
      <c r="A61" s="2">
        <f t="shared" si="2"/>
        <v>61</v>
      </c>
      <c r="L61" s="34">
        <v>44113</v>
      </c>
    </row>
    <row r="62" spans="1:12" ht="19.5" customHeight="1" x14ac:dyDescent="0.4">
      <c r="A62" s="2">
        <f t="shared" si="2"/>
        <v>62</v>
      </c>
      <c r="L62" s="34">
        <v>44190</v>
      </c>
    </row>
    <row r="63" spans="1:12" ht="19.5" customHeight="1" x14ac:dyDescent="0.4">
      <c r="A63" s="2">
        <f t="shared" si="2"/>
        <v>63</v>
      </c>
      <c r="L63" s="34">
        <v>44197</v>
      </c>
    </row>
    <row r="64" spans="1:12" ht="19.5" customHeight="1" x14ac:dyDescent="0.4">
      <c r="A64" s="2">
        <f t="shared" si="2"/>
        <v>64</v>
      </c>
      <c r="L64" s="34">
        <v>44238</v>
      </c>
    </row>
    <row r="65" spans="1:12" ht="19.5" customHeight="1" x14ac:dyDescent="0.4">
      <c r="A65" s="2">
        <f t="shared" si="2"/>
        <v>65</v>
      </c>
      <c r="L65" s="34">
        <v>44239</v>
      </c>
    </row>
    <row r="66" spans="1:12" ht="19.5" customHeight="1" x14ac:dyDescent="0.4">
      <c r="A66" s="2">
        <f t="shared" si="2"/>
        <v>66</v>
      </c>
      <c r="L66" s="34">
        <v>44240</v>
      </c>
    </row>
    <row r="67" spans="1:12" ht="19.5" customHeight="1" x14ac:dyDescent="0.4">
      <c r="A67" s="2">
        <f t="shared" si="2"/>
        <v>67</v>
      </c>
      <c r="L67" s="34">
        <v>44256</v>
      </c>
    </row>
    <row r="68" spans="1:12" ht="19.5" customHeight="1" x14ac:dyDescent="0.4">
      <c r="A68" s="2">
        <f t="shared" si="2"/>
        <v>68</v>
      </c>
      <c r="L68" s="34">
        <v>44317</v>
      </c>
    </row>
    <row r="69" spans="1:12" ht="19.5" customHeight="1" x14ac:dyDescent="0.4">
      <c r="A69" s="2">
        <f t="shared" si="2"/>
        <v>69</v>
      </c>
      <c r="L69" s="34">
        <v>44321</v>
      </c>
    </row>
    <row r="70" spans="1:12" ht="19.5" customHeight="1" x14ac:dyDescent="0.4">
      <c r="A70" s="2">
        <f t="shared" si="2"/>
        <v>70</v>
      </c>
      <c r="L70" s="34">
        <v>44335</v>
      </c>
    </row>
    <row r="71" spans="1:12" ht="19.5" customHeight="1" x14ac:dyDescent="0.4">
      <c r="A71" s="2">
        <f t="shared" ref="A71:A90" si="5">A70+1</f>
        <v>71</v>
      </c>
      <c r="L71" s="34">
        <v>44353</v>
      </c>
    </row>
    <row r="72" spans="1:12" ht="19.5" customHeight="1" x14ac:dyDescent="0.4">
      <c r="A72" s="2">
        <f t="shared" si="5"/>
        <v>72</v>
      </c>
      <c r="L72" s="34">
        <v>44424</v>
      </c>
    </row>
    <row r="73" spans="1:12" ht="19.5" customHeight="1" x14ac:dyDescent="0.4">
      <c r="A73" s="2">
        <f t="shared" si="5"/>
        <v>73</v>
      </c>
      <c r="L73" s="34">
        <v>44459</v>
      </c>
    </row>
    <row r="74" spans="1:12" ht="19.5" customHeight="1" x14ac:dyDescent="0.4">
      <c r="A74" s="2">
        <f t="shared" si="5"/>
        <v>74</v>
      </c>
      <c r="L74" s="34">
        <v>44460</v>
      </c>
    </row>
    <row r="75" spans="1:12" ht="19.5" customHeight="1" x14ac:dyDescent="0.4">
      <c r="A75" s="2">
        <f t="shared" si="5"/>
        <v>75</v>
      </c>
      <c r="L75" s="34">
        <v>44461</v>
      </c>
    </row>
    <row r="76" spans="1:12" ht="19.5" customHeight="1" x14ac:dyDescent="0.4">
      <c r="A76" s="2">
        <f t="shared" si="5"/>
        <v>76</v>
      </c>
      <c r="L76" s="34">
        <v>44473</v>
      </c>
    </row>
    <row r="77" spans="1:12" ht="19.5" customHeight="1" x14ac:dyDescent="0.4">
      <c r="A77" s="2">
        <f t="shared" si="5"/>
        <v>77</v>
      </c>
      <c r="L77" s="34">
        <v>44480</v>
      </c>
    </row>
    <row r="78" spans="1:12" ht="19.5" customHeight="1" x14ac:dyDescent="0.4">
      <c r="A78" s="2">
        <f t="shared" si="5"/>
        <v>78</v>
      </c>
      <c r="L78" s="34">
        <v>44557</v>
      </c>
    </row>
    <row r="79" spans="1:12" ht="19.5" customHeight="1" x14ac:dyDescent="0.4">
      <c r="A79" s="2">
        <f t="shared" si="5"/>
        <v>79</v>
      </c>
      <c r="L79" s="34">
        <v>44562</v>
      </c>
    </row>
    <row r="80" spans="1:12" ht="19.5" customHeight="1" x14ac:dyDescent="0.4">
      <c r="A80" s="2">
        <f t="shared" si="5"/>
        <v>80</v>
      </c>
      <c r="L80" s="34">
        <v>44592</v>
      </c>
    </row>
    <row r="81" spans="1:12" ht="19.5" customHeight="1" x14ac:dyDescent="0.4">
      <c r="A81" s="2">
        <f t="shared" si="5"/>
        <v>81</v>
      </c>
      <c r="L81" s="34">
        <v>44593</v>
      </c>
    </row>
    <row r="82" spans="1:12" ht="19.5" customHeight="1" x14ac:dyDescent="0.4">
      <c r="A82" s="2">
        <f t="shared" si="5"/>
        <v>82</v>
      </c>
      <c r="L82" s="34">
        <v>44594</v>
      </c>
    </row>
    <row r="83" spans="1:12" ht="19.5" customHeight="1" x14ac:dyDescent="0.4">
      <c r="A83" s="2">
        <f t="shared" si="5"/>
        <v>83</v>
      </c>
      <c r="L83" s="34">
        <v>44621</v>
      </c>
    </row>
    <row r="84" spans="1:12" ht="19.5" customHeight="1" x14ac:dyDescent="0.4">
      <c r="A84" s="2">
        <f t="shared" si="5"/>
        <v>84</v>
      </c>
      <c r="L84" s="34">
        <v>44629</v>
      </c>
    </row>
    <row r="85" spans="1:12" ht="19.5" customHeight="1" x14ac:dyDescent="0.4">
      <c r="A85" s="2">
        <f t="shared" si="5"/>
        <v>85</v>
      </c>
      <c r="L85" s="34">
        <v>44682</v>
      </c>
    </row>
    <row r="86" spans="1:12" ht="19.5" customHeight="1" x14ac:dyDescent="0.4">
      <c r="A86" s="2">
        <f t="shared" si="5"/>
        <v>86</v>
      </c>
      <c r="L86" s="34">
        <v>44686</v>
      </c>
    </row>
    <row r="87" spans="1:12" ht="19.5" customHeight="1" x14ac:dyDescent="0.4">
      <c r="A87" s="2">
        <f t="shared" si="5"/>
        <v>87</v>
      </c>
      <c r="L87" s="34">
        <v>44690</v>
      </c>
    </row>
    <row r="88" spans="1:12" ht="19.5" customHeight="1" x14ac:dyDescent="0.4">
      <c r="A88" s="2">
        <f t="shared" si="5"/>
        <v>88</v>
      </c>
      <c r="L88" s="34">
        <v>44713</v>
      </c>
    </row>
    <row r="89" spans="1:12" ht="19.5" customHeight="1" x14ac:dyDescent="0.4">
      <c r="A89" s="2">
        <f t="shared" si="5"/>
        <v>89</v>
      </c>
      <c r="L89" s="34">
        <v>44718</v>
      </c>
    </row>
    <row r="90" spans="1:12" ht="19.5" customHeight="1" x14ac:dyDescent="0.4">
      <c r="A90" s="2">
        <f t="shared" si="5"/>
        <v>90</v>
      </c>
      <c r="L90" s="34">
        <v>44788</v>
      </c>
    </row>
    <row r="91" spans="1:12" ht="19.5" customHeight="1" x14ac:dyDescent="0.4">
      <c r="L91" s="34">
        <v>44813</v>
      </c>
    </row>
    <row r="92" spans="1:12" ht="19.5" customHeight="1" x14ac:dyDescent="0.4">
      <c r="L92" s="34">
        <v>44814</v>
      </c>
    </row>
    <row r="93" spans="1:12" ht="19.5" customHeight="1" x14ac:dyDescent="0.4">
      <c r="L93" s="34">
        <v>44816</v>
      </c>
    </row>
    <row r="94" spans="1:12" ht="19.5" customHeight="1" x14ac:dyDescent="0.4">
      <c r="L94" s="34">
        <v>44837</v>
      </c>
    </row>
    <row r="95" spans="1:12" ht="19.5" customHeight="1" x14ac:dyDescent="0.4">
      <c r="L95" s="34">
        <v>44844</v>
      </c>
    </row>
    <row r="96" spans="1:12" ht="19.5" customHeight="1" x14ac:dyDescent="0.4">
      <c r="L96" s="34">
        <v>44921</v>
      </c>
    </row>
    <row r="97" spans="12:12" ht="19.5" customHeight="1" x14ac:dyDescent="0.4">
      <c r="L97" s="34">
        <v>44927</v>
      </c>
    </row>
    <row r="98" spans="12:12" ht="19.5" customHeight="1" x14ac:dyDescent="0.4">
      <c r="L98" s="34">
        <v>44947</v>
      </c>
    </row>
    <row r="99" spans="12:12" ht="19.5" customHeight="1" x14ac:dyDescent="0.4">
      <c r="L99" s="34">
        <v>44949</v>
      </c>
    </row>
    <row r="100" spans="12:12" ht="19.5" customHeight="1" x14ac:dyDescent="0.4">
      <c r="L100" s="34">
        <v>44950</v>
      </c>
    </row>
    <row r="101" spans="12:12" ht="19.5" customHeight="1" x14ac:dyDescent="0.4">
      <c r="L101" s="34">
        <v>44986</v>
      </c>
    </row>
    <row r="102" spans="12:12" ht="19.5" customHeight="1" x14ac:dyDescent="0.4">
      <c r="L102" s="34">
        <v>45047</v>
      </c>
    </row>
    <row r="103" spans="12:12" ht="19.5" customHeight="1" x14ac:dyDescent="0.4">
      <c r="L103" s="34">
        <v>45051</v>
      </c>
    </row>
    <row r="104" spans="12:12" ht="19.5" customHeight="1" x14ac:dyDescent="0.4">
      <c r="L104" s="34">
        <v>45075</v>
      </c>
    </row>
    <row r="105" spans="12:12" ht="19.5" customHeight="1" x14ac:dyDescent="0.4">
      <c r="L105" s="34">
        <v>45083</v>
      </c>
    </row>
    <row r="106" spans="12:12" ht="19.5" customHeight="1" x14ac:dyDescent="0.4">
      <c r="L106" s="34">
        <v>45153</v>
      </c>
    </row>
    <row r="107" spans="12:12" ht="19.5" customHeight="1" x14ac:dyDescent="0.4">
      <c r="L107" s="34">
        <v>45197</v>
      </c>
    </row>
    <row r="108" spans="12:12" ht="19.5" customHeight="1" x14ac:dyDescent="0.4">
      <c r="L108" s="34">
        <v>45198</v>
      </c>
    </row>
    <row r="109" spans="12:12" ht="19.5" customHeight="1" x14ac:dyDescent="0.4">
      <c r="L109" s="34">
        <v>45199</v>
      </c>
    </row>
    <row r="110" spans="12:12" ht="19.5" customHeight="1" x14ac:dyDescent="0.4">
      <c r="L110" s="34">
        <v>45202</v>
      </c>
    </row>
    <row r="111" spans="12:12" ht="19.5" customHeight="1" x14ac:dyDescent="0.4">
      <c r="L111" s="34">
        <v>45208</v>
      </c>
    </row>
    <row r="112" spans="12:12" ht="19.5" customHeight="1" x14ac:dyDescent="0.4">
      <c r="L112" s="34">
        <v>45285</v>
      </c>
    </row>
    <row r="113" spans="12:12" ht="19.5" customHeight="1" x14ac:dyDescent="0.4">
      <c r="L113" s="34">
        <v>45292</v>
      </c>
    </row>
    <row r="114" spans="12:12" ht="19.5" customHeight="1" x14ac:dyDescent="0.4">
      <c r="L114" s="34">
        <v>45331</v>
      </c>
    </row>
    <row r="115" spans="12:12" ht="19.5" customHeight="1" x14ac:dyDescent="0.4">
      <c r="L115" s="34">
        <v>45332</v>
      </c>
    </row>
    <row r="116" spans="12:12" ht="19.5" customHeight="1" x14ac:dyDescent="0.4">
      <c r="L116" s="34">
        <v>45334</v>
      </c>
    </row>
    <row r="117" spans="12:12" ht="19.5" customHeight="1" x14ac:dyDescent="0.4">
      <c r="L117" s="34">
        <v>45352</v>
      </c>
    </row>
    <row r="118" spans="12:12" ht="19.5" customHeight="1" x14ac:dyDescent="0.4">
      <c r="L118" s="34">
        <v>45392</v>
      </c>
    </row>
    <row r="119" spans="12:12" ht="19.5" customHeight="1" x14ac:dyDescent="0.4">
      <c r="L119" s="34">
        <v>45413</v>
      </c>
    </row>
    <row r="120" spans="12:12" ht="19.5" customHeight="1" x14ac:dyDescent="0.4">
      <c r="L120" s="34">
        <v>45418</v>
      </c>
    </row>
    <row r="121" spans="12:12" ht="19.5" customHeight="1" x14ac:dyDescent="0.4">
      <c r="L121" s="34">
        <v>45427</v>
      </c>
    </row>
    <row r="122" spans="12:12" ht="19.5" customHeight="1" x14ac:dyDescent="0.4">
      <c r="L122" s="34">
        <v>45449</v>
      </c>
    </row>
    <row r="123" spans="12:12" ht="19.5" customHeight="1" x14ac:dyDescent="0.4">
      <c r="L123" s="34">
        <v>45519</v>
      </c>
    </row>
    <row r="124" spans="12:12" ht="19.5" customHeight="1" x14ac:dyDescent="0.4">
      <c r="L124" s="34">
        <v>45551</v>
      </c>
    </row>
    <row r="125" spans="12:12" ht="19.5" customHeight="1" x14ac:dyDescent="0.4">
      <c r="L125" s="34">
        <v>45552</v>
      </c>
    </row>
    <row r="126" spans="12:12" ht="19.5" customHeight="1" x14ac:dyDescent="0.4">
      <c r="L126" s="34">
        <v>45553</v>
      </c>
    </row>
    <row r="127" spans="12:12" ht="19.5" customHeight="1" x14ac:dyDescent="0.4">
      <c r="L127" s="34">
        <v>45568</v>
      </c>
    </row>
    <row r="128" spans="12:12" ht="19.5" customHeight="1" x14ac:dyDescent="0.4">
      <c r="L128" s="34">
        <v>45574</v>
      </c>
    </row>
    <row r="129" spans="12:12" ht="19.5" customHeight="1" x14ac:dyDescent="0.4">
      <c r="L129" s="34">
        <v>45651</v>
      </c>
    </row>
    <row r="130" spans="12:12" ht="19.5" customHeight="1" x14ac:dyDescent="0.4">
      <c r="L130" s="34">
        <v>45658</v>
      </c>
    </row>
    <row r="131" spans="12:12" ht="19.5" customHeight="1" x14ac:dyDescent="0.4">
      <c r="L131" s="34">
        <v>45685</v>
      </c>
    </row>
    <row r="132" spans="12:12" ht="19.5" customHeight="1" x14ac:dyDescent="0.4">
      <c r="L132" s="34">
        <v>45686</v>
      </c>
    </row>
    <row r="133" spans="12:12" ht="19.5" customHeight="1" x14ac:dyDescent="0.4">
      <c r="L133" s="34">
        <v>45687</v>
      </c>
    </row>
    <row r="134" spans="12:12" ht="19.5" customHeight="1" x14ac:dyDescent="0.4">
      <c r="L134" s="34">
        <v>45719</v>
      </c>
    </row>
    <row r="135" spans="12:12" ht="19.5" customHeight="1" x14ac:dyDescent="0.4">
      <c r="L135" s="34">
        <v>45778</v>
      </c>
    </row>
    <row r="136" spans="12:12" ht="19.5" customHeight="1" x14ac:dyDescent="0.4">
      <c r="L136" s="34">
        <v>45782</v>
      </c>
    </row>
    <row r="137" spans="12:12" ht="19.5" customHeight="1" x14ac:dyDescent="0.4">
      <c r="L137" s="34">
        <v>45782</v>
      </c>
    </row>
    <row r="138" spans="12:12" ht="19.5" customHeight="1" x14ac:dyDescent="0.4">
      <c r="L138" s="34">
        <v>45814</v>
      </c>
    </row>
    <row r="139" spans="12:12" ht="19.5" customHeight="1" x14ac:dyDescent="0.4">
      <c r="L139" s="34">
        <v>45884</v>
      </c>
    </row>
    <row r="140" spans="12:12" ht="19.5" customHeight="1" x14ac:dyDescent="0.4">
      <c r="L140" s="34">
        <v>45933</v>
      </c>
    </row>
    <row r="141" spans="12:12" ht="19.5" customHeight="1" x14ac:dyDescent="0.4">
      <c r="L141" s="34">
        <v>45936</v>
      </c>
    </row>
    <row r="142" spans="12:12" ht="19.5" customHeight="1" x14ac:dyDescent="0.4">
      <c r="L142" s="34">
        <v>45937</v>
      </c>
    </row>
    <row r="143" spans="12:12" ht="19.5" customHeight="1" x14ac:dyDescent="0.4">
      <c r="L143" s="34">
        <v>45938</v>
      </c>
    </row>
    <row r="144" spans="12:12" ht="19.5" customHeight="1" x14ac:dyDescent="0.4">
      <c r="L144" s="34">
        <v>45939</v>
      </c>
    </row>
    <row r="145" spans="12:12" ht="19.5" customHeight="1" x14ac:dyDescent="0.4">
      <c r="L145" s="34">
        <v>46016</v>
      </c>
    </row>
    <row r="146" spans="12:12" ht="19.5" customHeight="1" x14ac:dyDescent="0.4">
      <c r="L146" s="34">
        <v>46023</v>
      </c>
    </row>
    <row r="147" spans="12:12" ht="19.5" customHeight="1" x14ac:dyDescent="0.4">
      <c r="L147" s="34">
        <v>46069</v>
      </c>
    </row>
    <row r="148" spans="12:12" ht="19.5" customHeight="1" x14ac:dyDescent="0.4">
      <c r="L148" s="34">
        <v>46070</v>
      </c>
    </row>
    <row r="149" spans="12:12" ht="19.5" customHeight="1" x14ac:dyDescent="0.4">
      <c r="L149" s="34">
        <v>46071</v>
      </c>
    </row>
    <row r="150" spans="12:12" ht="19.5" customHeight="1" x14ac:dyDescent="0.4">
      <c r="L150" s="34">
        <v>46083</v>
      </c>
    </row>
    <row r="151" spans="12:12" ht="19.5" customHeight="1" x14ac:dyDescent="0.4">
      <c r="L151" s="34">
        <v>46143</v>
      </c>
    </row>
    <row r="152" spans="12:12" ht="19.5" customHeight="1" x14ac:dyDescent="0.4">
      <c r="L152" s="34">
        <v>46147</v>
      </c>
    </row>
    <row r="153" spans="12:12" ht="19.5" customHeight="1" x14ac:dyDescent="0.4">
      <c r="L153" s="34">
        <v>46167</v>
      </c>
    </row>
    <row r="154" spans="12:12" ht="19.5" customHeight="1" x14ac:dyDescent="0.4">
      <c r="L154" s="34">
        <v>46179</v>
      </c>
    </row>
    <row r="155" spans="12:12" ht="19.5" customHeight="1" x14ac:dyDescent="0.4">
      <c r="L155" s="34">
        <v>46251</v>
      </c>
    </row>
    <row r="156" spans="12:12" ht="19.5" customHeight="1" x14ac:dyDescent="0.4">
      <c r="L156" s="34">
        <v>46289</v>
      </c>
    </row>
    <row r="157" spans="12:12" ht="19.5" customHeight="1" x14ac:dyDescent="0.4">
      <c r="L157" s="34">
        <v>46290</v>
      </c>
    </row>
    <row r="158" spans="12:12" ht="19.5" customHeight="1" x14ac:dyDescent="0.4">
      <c r="L158" s="34">
        <v>46291</v>
      </c>
    </row>
    <row r="159" spans="12:12" ht="19.5" customHeight="1" x14ac:dyDescent="0.4">
      <c r="L159" s="34">
        <v>46300</v>
      </c>
    </row>
    <row r="160" spans="12:12" ht="19.5" customHeight="1" x14ac:dyDescent="0.4">
      <c r="L160" s="34">
        <v>46304</v>
      </c>
    </row>
    <row r="161" spans="12:12" ht="19.5" customHeight="1" x14ac:dyDescent="0.4">
      <c r="L161" s="34">
        <v>46381</v>
      </c>
    </row>
    <row r="162" spans="12:12" ht="19.5" customHeight="1" x14ac:dyDescent="0.4">
      <c r="L162" s="34">
        <v>46388</v>
      </c>
    </row>
    <row r="163" spans="12:12" ht="19.5" customHeight="1" x14ac:dyDescent="0.4">
      <c r="L163" s="34">
        <v>46424</v>
      </c>
    </row>
    <row r="164" spans="12:12" ht="19.5" customHeight="1" x14ac:dyDescent="0.4">
      <c r="L164" s="34">
        <v>46426</v>
      </c>
    </row>
    <row r="165" spans="12:12" ht="19.5" customHeight="1" x14ac:dyDescent="0.4">
      <c r="L165" s="34">
        <v>46427</v>
      </c>
    </row>
    <row r="166" spans="12:12" ht="19.5" customHeight="1" x14ac:dyDescent="0.4">
      <c r="L166" s="34">
        <v>46447</v>
      </c>
    </row>
    <row r="167" spans="12:12" ht="19.5" customHeight="1" x14ac:dyDescent="0.4">
      <c r="L167" s="34">
        <v>46508</v>
      </c>
    </row>
    <row r="168" spans="12:12" ht="19.5" customHeight="1" x14ac:dyDescent="0.4">
      <c r="L168" s="34">
        <v>46512</v>
      </c>
    </row>
    <row r="169" spans="12:12" ht="19.5" customHeight="1" x14ac:dyDescent="0.4">
      <c r="L169" s="34">
        <v>46520</v>
      </c>
    </row>
    <row r="170" spans="12:12" ht="19.5" customHeight="1" x14ac:dyDescent="0.4">
      <c r="L170" s="34">
        <v>46544</v>
      </c>
    </row>
    <row r="171" spans="12:12" ht="19.5" customHeight="1" x14ac:dyDescent="0.4">
      <c r="L171" s="34">
        <v>46615</v>
      </c>
    </row>
    <row r="172" spans="12:12" ht="19.5" customHeight="1" x14ac:dyDescent="0.4">
      <c r="L172" s="34">
        <v>46644</v>
      </c>
    </row>
    <row r="173" spans="12:12" ht="19.5" customHeight="1" x14ac:dyDescent="0.4">
      <c r="L173" s="34">
        <v>46645</v>
      </c>
    </row>
    <row r="174" spans="12:12" ht="19.5" customHeight="1" x14ac:dyDescent="0.4">
      <c r="L174" s="34">
        <v>46646</v>
      </c>
    </row>
    <row r="175" spans="12:12" ht="19.5" customHeight="1" x14ac:dyDescent="0.4">
      <c r="L175" s="34">
        <v>46664</v>
      </c>
    </row>
    <row r="176" spans="12:12" ht="19.5" customHeight="1" x14ac:dyDescent="0.4">
      <c r="L176" s="34">
        <v>46671</v>
      </c>
    </row>
    <row r="177" spans="12:12" ht="19.5" customHeight="1" x14ac:dyDescent="0.4">
      <c r="L177" s="34">
        <v>46748</v>
      </c>
    </row>
    <row r="178" spans="12:12" ht="19.5" customHeight="1" x14ac:dyDescent="0.4">
      <c r="L178" s="34">
        <v>46753</v>
      </c>
    </row>
    <row r="179" spans="12:12" ht="19.5" customHeight="1" x14ac:dyDescent="0.4">
      <c r="L179" s="34">
        <v>46778</v>
      </c>
    </row>
    <row r="180" spans="12:12" ht="19.5" customHeight="1" x14ac:dyDescent="0.4">
      <c r="L180" s="34">
        <v>46779</v>
      </c>
    </row>
    <row r="181" spans="12:12" ht="19.5" customHeight="1" x14ac:dyDescent="0.4">
      <c r="L181" s="34">
        <v>46780</v>
      </c>
    </row>
    <row r="182" spans="12:12" ht="19.5" customHeight="1" x14ac:dyDescent="0.4">
      <c r="L182" s="34">
        <v>46813</v>
      </c>
    </row>
    <row r="183" spans="12:12" ht="19.5" customHeight="1" x14ac:dyDescent="0.4">
      <c r="L183" s="34">
        <v>46874</v>
      </c>
    </row>
    <row r="184" spans="12:12" ht="19.5" customHeight="1" x14ac:dyDescent="0.4">
      <c r="L184" s="34">
        <v>46875</v>
      </c>
    </row>
    <row r="185" spans="12:12" ht="19.5" customHeight="1" x14ac:dyDescent="0.4">
      <c r="L185" s="34">
        <v>46878</v>
      </c>
    </row>
    <row r="186" spans="12:12" ht="19.5" customHeight="1" x14ac:dyDescent="0.4">
      <c r="L186" s="34">
        <v>46910</v>
      </c>
    </row>
    <row r="187" spans="12:12" ht="19.5" customHeight="1" x14ac:dyDescent="0.4">
      <c r="L187" s="34">
        <v>46980</v>
      </c>
    </row>
    <row r="188" spans="12:12" ht="19.5" customHeight="1" x14ac:dyDescent="0.4">
      <c r="L188" s="34">
        <v>47028</v>
      </c>
    </row>
    <row r="189" spans="12:12" ht="19.5" customHeight="1" x14ac:dyDescent="0.4">
      <c r="L189" s="34">
        <v>47029</v>
      </c>
    </row>
    <row r="190" spans="12:12" ht="19.5" customHeight="1" x14ac:dyDescent="0.4">
      <c r="L190" s="34">
        <v>47029</v>
      </c>
    </row>
    <row r="191" spans="12:12" ht="19.5" customHeight="1" x14ac:dyDescent="0.4">
      <c r="L191" s="34">
        <v>47030</v>
      </c>
    </row>
    <row r="192" spans="12:12" ht="19.5" customHeight="1" x14ac:dyDescent="0.4">
      <c r="L192" s="34">
        <v>47035</v>
      </c>
    </row>
    <row r="193" spans="12:12" ht="19.5" customHeight="1" x14ac:dyDescent="0.4">
      <c r="L193" s="34">
        <v>47112</v>
      </c>
    </row>
    <row r="194" spans="12:12" ht="19.5" customHeight="1" x14ac:dyDescent="0.4">
      <c r="L194" s="34">
        <v>47119</v>
      </c>
    </row>
    <row r="195" spans="12:12" ht="19.5" customHeight="1" x14ac:dyDescent="0.4">
      <c r="L195" s="34">
        <v>47161</v>
      </c>
    </row>
    <row r="196" spans="12:12" ht="19.5" customHeight="1" x14ac:dyDescent="0.4">
      <c r="L196" s="34">
        <v>47162</v>
      </c>
    </row>
    <row r="197" spans="12:12" ht="19.5" customHeight="1" x14ac:dyDescent="0.4">
      <c r="L197" s="34">
        <v>47163</v>
      </c>
    </row>
    <row r="198" spans="12:12" ht="19.5" customHeight="1" x14ac:dyDescent="0.4">
      <c r="L198" s="34">
        <v>47178</v>
      </c>
    </row>
    <row r="199" spans="12:12" ht="19.5" customHeight="1" x14ac:dyDescent="0.4">
      <c r="L199" s="34">
        <v>47239</v>
      </c>
    </row>
    <row r="200" spans="12:12" ht="19.5" customHeight="1" x14ac:dyDescent="0.4">
      <c r="L200" s="34">
        <v>47245</v>
      </c>
    </row>
    <row r="201" spans="12:12" ht="19.5" customHeight="1" x14ac:dyDescent="0.4">
      <c r="L201" s="34">
        <v>47259</v>
      </c>
    </row>
    <row r="202" spans="12:12" ht="19.5" customHeight="1" x14ac:dyDescent="0.4">
      <c r="L202" s="34">
        <v>47275</v>
      </c>
    </row>
    <row r="203" spans="12:12" ht="19.5" customHeight="1" x14ac:dyDescent="0.4">
      <c r="L203" s="34">
        <v>47345</v>
      </c>
    </row>
    <row r="204" spans="12:12" ht="19.5" customHeight="1" x14ac:dyDescent="0.4">
      <c r="L204" s="34">
        <v>47382</v>
      </c>
    </row>
    <row r="205" spans="12:12" ht="19.5" customHeight="1" x14ac:dyDescent="0.4">
      <c r="L205" s="34">
        <v>47383</v>
      </c>
    </row>
    <row r="206" spans="12:12" ht="19.5" customHeight="1" x14ac:dyDescent="0.4">
      <c r="L206" s="34">
        <v>47385</v>
      </c>
    </row>
    <row r="207" spans="12:12" ht="19.5" customHeight="1" x14ac:dyDescent="0.4">
      <c r="L207" s="34">
        <v>47394</v>
      </c>
    </row>
    <row r="208" spans="12:12" ht="19.5" customHeight="1" x14ac:dyDescent="0.4">
      <c r="L208" s="34">
        <v>47400</v>
      </c>
    </row>
    <row r="209" spans="12:12" ht="19.5" customHeight="1" x14ac:dyDescent="0.4">
      <c r="L209" s="34">
        <v>47477</v>
      </c>
    </row>
    <row r="210" spans="12:12" ht="19.5" customHeight="1" x14ac:dyDescent="0.4">
      <c r="L210" s="34">
        <v>47484</v>
      </c>
    </row>
    <row r="211" spans="12:12" ht="19.5" customHeight="1" x14ac:dyDescent="0.4">
      <c r="L211" s="34">
        <v>47516</v>
      </c>
    </row>
    <row r="212" spans="12:12" ht="19.5" customHeight="1" x14ac:dyDescent="0.4">
      <c r="L212" s="34">
        <v>47518</v>
      </c>
    </row>
    <row r="213" spans="12:12" ht="19.5" customHeight="1" x14ac:dyDescent="0.4">
      <c r="L213" s="34">
        <v>47519</v>
      </c>
    </row>
    <row r="214" spans="12:12" ht="19.5" customHeight="1" x14ac:dyDescent="0.4">
      <c r="L214" s="34">
        <v>47543</v>
      </c>
    </row>
    <row r="215" spans="12:12" ht="19.5" customHeight="1" x14ac:dyDescent="0.4">
      <c r="L215" s="34">
        <v>47604</v>
      </c>
    </row>
    <row r="216" spans="12:12" ht="19.5" customHeight="1" x14ac:dyDescent="0.4">
      <c r="L216" s="34">
        <v>47609</v>
      </c>
    </row>
    <row r="217" spans="12:12" ht="19.5" customHeight="1" x14ac:dyDescent="0.4">
      <c r="L217" s="34">
        <v>47612</v>
      </c>
    </row>
    <row r="218" spans="12:12" ht="19.5" customHeight="1" x14ac:dyDescent="0.4">
      <c r="L218" s="34">
        <v>47640</v>
      </c>
    </row>
    <row r="219" spans="12:12" ht="19.5" customHeight="1" x14ac:dyDescent="0.4">
      <c r="L219" s="34">
        <v>47710</v>
      </c>
    </row>
    <row r="220" spans="12:12" ht="19.5" customHeight="1" x14ac:dyDescent="0.4">
      <c r="L220" s="34">
        <v>47737</v>
      </c>
    </row>
    <row r="221" spans="12:12" ht="19.5" customHeight="1" x14ac:dyDescent="0.4">
      <c r="L221" s="34">
        <v>47738</v>
      </c>
    </row>
    <row r="222" spans="12:12" ht="19.5" customHeight="1" x14ac:dyDescent="0.4">
      <c r="L222" s="34">
        <v>47739</v>
      </c>
    </row>
    <row r="223" spans="12:12" ht="19.5" customHeight="1" x14ac:dyDescent="0.4">
      <c r="L223" s="34">
        <v>47759</v>
      </c>
    </row>
    <row r="224" spans="12:12" ht="19.5" customHeight="1" x14ac:dyDescent="0.4">
      <c r="L224" s="34">
        <v>47765</v>
      </c>
    </row>
    <row r="225" spans="12:12" ht="19.5" customHeight="1" x14ac:dyDescent="0.4">
      <c r="L225" s="34">
        <v>47842</v>
      </c>
    </row>
    <row r="226" spans="12:12" ht="19.5" customHeight="1" x14ac:dyDescent="0.4">
      <c r="L226" s="34">
        <v>47849</v>
      </c>
    </row>
    <row r="227" spans="12:12" ht="19.5" customHeight="1" x14ac:dyDescent="0.4">
      <c r="L227" s="34">
        <v>47870</v>
      </c>
    </row>
    <row r="228" spans="12:12" ht="19.5" customHeight="1" x14ac:dyDescent="0.4">
      <c r="L228" s="34">
        <v>47871</v>
      </c>
    </row>
    <row r="229" spans="12:12" ht="19.5" customHeight="1" x14ac:dyDescent="0.4">
      <c r="L229" s="34">
        <v>47872</v>
      </c>
    </row>
    <row r="230" spans="12:12" ht="19.5" customHeight="1" x14ac:dyDescent="0.4">
      <c r="L230" s="34">
        <v>47910</v>
      </c>
    </row>
    <row r="231" spans="12:12" ht="19.5" customHeight="1" x14ac:dyDescent="0.4">
      <c r="L231" s="34">
        <v>47969</v>
      </c>
    </row>
    <row r="232" spans="12:12" ht="19.5" customHeight="1" x14ac:dyDescent="0.4">
      <c r="L232" s="34">
        <v>47973</v>
      </c>
    </row>
    <row r="233" spans="12:12" ht="19.5" customHeight="1" x14ac:dyDescent="0.4">
      <c r="L233" s="34">
        <v>47996</v>
      </c>
    </row>
    <row r="234" spans="12:12" ht="19.5" customHeight="1" x14ac:dyDescent="0.4">
      <c r="L234" s="34">
        <v>48005</v>
      </c>
    </row>
    <row r="235" spans="12:12" ht="19.5" customHeight="1" x14ac:dyDescent="0.4">
      <c r="L235" s="34">
        <v>48075</v>
      </c>
    </row>
    <row r="236" spans="12:12" ht="19.5" customHeight="1" x14ac:dyDescent="0.4">
      <c r="L236" s="34">
        <v>48121</v>
      </c>
    </row>
    <row r="237" spans="12:12" ht="19.5" customHeight="1" x14ac:dyDescent="0.4">
      <c r="L237" s="34">
        <v>48122</v>
      </c>
    </row>
    <row r="238" spans="12:12" ht="19.5" customHeight="1" x14ac:dyDescent="0.4">
      <c r="L238" s="34">
        <v>48123</v>
      </c>
    </row>
    <row r="239" spans="12:12" ht="19.5" customHeight="1" x14ac:dyDescent="0.4">
      <c r="L239" s="34">
        <v>48124</v>
      </c>
    </row>
    <row r="240" spans="12:12" ht="19.5" customHeight="1" x14ac:dyDescent="0.4">
      <c r="L240" s="34">
        <v>48130</v>
      </c>
    </row>
    <row r="241" spans="12:12" ht="19.5" customHeight="1" x14ac:dyDescent="0.4">
      <c r="L241" s="34">
        <v>48207</v>
      </c>
    </row>
    <row r="242" spans="12:12" ht="19.5" customHeight="1" x14ac:dyDescent="0.4">
      <c r="L242" s="34">
        <v>48214</v>
      </c>
    </row>
    <row r="243" spans="12:12" ht="19.5" customHeight="1" x14ac:dyDescent="0.4">
      <c r="L243" s="34">
        <v>48254</v>
      </c>
    </row>
    <row r="244" spans="12:12" ht="19.5" customHeight="1" x14ac:dyDescent="0.4">
      <c r="L244" s="34">
        <v>48255</v>
      </c>
    </row>
    <row r="245" spans="12:12" ht="19.5" customHeight="1" x14ac:dyDescent="0.4">
      <c r="L245" s="34">
        <v>48256</v>
      </c>
    </row>
    <row r="246" spans="12:12" ht="19.5" customHeight="1" x14ac:dyDescent="0.4">
      <c r="L246" s="34">
        <v>48274</v>
      </c>
    </row>
    <row r="247" spans="12:12" ht="19.5" customHeight="1" x14ac:dyDescent="0.4">
      <c r="L247" s="34">
        <v>48335</v>
      </c>
    </row>
    <row r="248" spans="12:12" ht="19.5" customHeight="1" x14ac:dyDescent="0.4">
      <c r="L248" s="34">
        <v>48339</v>
      </c>
    </row>
    <row r="249" spans="12:12" ht="19.5" customHeight="1" x14ac:dyDescent="0.4">
      <c r="L249" s="34">
        <v>48351</v>
      </c>
    </row>
    <row r="250" spans="12:12" ht="19.5" customHeight="1" x14ac:dyDescent="0.4">
      <c r="L250" s="34">
        <v>48371</v>
      </c>
    </row>
    <row r="251" spans="12:12" ht="19.5" customHeight="1" x14ac:dyDescent="0.4">
      <c r="L251" s="34">
        <v>48442</v>
      </c>
    </row>
    <row r="252" spans="12:12" ht="19.5" customHeight="1" x14ac:dyDescent="0.4">
      <c r="L252" s="34">
        <v>48475</v>
      </c>
    </row>
    <row r="253" spans="12:12" ht="19.5" customHeight="1" x14ac:dyDescent="0.4">
      <c r="L253" s="34">
        <v>48477</v>
      </c>
    </row>
    <row r="254" spans="12:12" ht="19.5" customHeight="1" x14ac:dyDescent="0.4">
      <c r="L254" s="34">
        <v>48478</v>
      </c>
    </row>
    <row r="255" spans="12:12" ht="19.5" customHeight="1" x14ac:dyDescent="0.4">
      <c r="L255" s="34">
        <v>48491</v>
      </c>
    </row>
    <row r="256" spans="12:12" ht="19.5" customHeight="1" x14ac:dyDescent="0.4">
      <c r="L256" s="34">
        <v>48498</v>
      </c>
    </row>
    <row r="257" spans="12:12" ht="19.5" customHeight="1" x14ac:dyDescent="0.4">
      <c r="L257" s="34">
        <v>48575</v>
      </c>
    </row>
    <row r="258" spans="12:12" ht="19.5" customHeight="1" x14ac:dyDescent="0.4">
      <c r="L258" s="34">
        <v>48580</v>
      </c>
    </row>
    <row r="259" spans="12:12" ht="19.5" customHeight="1" x14ac:dyDescent="0.4">
      <c r="L259" s="34">
        <v>48610</v>
      </c>
    </row>
    <row r="260" spans="12:12" ht="19.5" customHeight="1" x14ac:dyDescent="0.4">
      <c r="L260" s="34">
        <v>48611</v>
      </c>
    </row>
    <row r="261" spans="12:12" ht="19.5" customHeight="1" x14ac:dyDescent="0.4">
      <c r="L261" s="34">
        <v>48612</v>
      </c>
    </row>
    <row r="262" spans="12:12" ht="19.5" customHeight="1" x14ac:dyDescent="0.4">
      <c r="L262" s="34">
        <v>48639</v>
      </c>
    </row>
    <row r="263" spans="12:12" ht="19.5" customHeight="1" x14ac:dyDescent="0.4">
      <c r="L263" s="34">
        <v>48700</v>
      </c>
    </row>
    <row r="264" spans="12:12" ht="19.5" customHeight="1" x14ac:dyDescent="0.4">
      <c r="L264" s="34">
        <v>48704</v>
      </c>
    </row>
    <row r="265" spans="12:12" ht="19.5" customHeight="1" x14ac:dyDescent="0.4">
      <c r="L265" s="34">
        <v>48705</v>
      </c>
    </row>
    <row r="266" spans="12:12" ht="19.5" customHeight="1" x14ac:dyDescent="0.4">
      <c r="L266" s="34">
        <v>48736</v>
      </c>
    </row>
    <row r="267" spans="12:12" ht="19.5" customHeight="1" x14ac:dyDescent="0.4">
      <c r="L267" s="34">
        <v>48806</v>
      </c>
    </row>
    <row r="268" spans="12:12" ht="19.5" customHeight="1" x14ac:dyDescent="0.4">
      <c r="L268" s="34">
        <v>48829</v>
      </c>
    </row>
    <row r="269" spans="12:12" ht="19.5" customHeight="1" x14ac:dyDescent="0.4">
      <c r="L269" s="34">
        <v>48830</v>
      </c>
    </row>
    <row r="270" spans="12:12" ht="19.5" customHeight="1" x14ac:dyDescent="0.4">
      <c r="L270" s="34">
        <v>48831</v>
      </c>
    </row>
    <row r="271" spans="12:12" ht="19.5" customHeight="1" x14ac:dyDescent="0.4">
      <c r="L271" s="34">
        <v>48855</v>
      </c>
    </row>
    <row r="272" spans="12:12" ht="19.5" customHeight="1" x14ac:dyDescent="0.4">
      <c r="L272" s="34">
        <v>48862</v>
      </c>
    </row>
    <row r="273" spans="12:12" ht="19.5" customHeight="1" x14ac:dyDescent="0.4">
      <c r="L273" s="34">
        <v>48939</v>
      </c>
    </row>
    <row r="274" spans="12:12" ht="19.5" customHeight="1" x14ac:dyDescent="0.4">
      <c r="L274" s="34">
        <v>48945</v>
      </c>
    </row>
    <row r="275" spans="12:12" ht="19.5" customHeight="1" x14ac:dyDescent="0.4">
      <c r="L275" s="34">
        <v>48993</v>
      </c>
    </row>
    <row r="276" spans="12:12" ht="19.5" customHeight="1" x14ac:dyDescent="0.4">
      <c r="L276" s="34">
        <v>48995</v>
      </c>
    </row>
    <row r="277" spans="12:12" ht="19.5" customHeight="1" x14ac:dyDescent="0.4">
      <c r="L277" s="34">
        <v>48996</v>
      </c>
    </row>
    <row r="278" spans="12:12" ht="19.5" customHeight="1" x14ac:dyDescent="0.4">
      <c r="L278" s="34">
        <v>49004</v>
      </c>
    </row>
    <row r="279" spans="12:12" ht="19.5" customHeight="1" x14ac:dyDescent="0.4">
      <c r="L279" s="34">
        <v>49065</v>
      </c>
    </row>
    <row r="280" spans="12:12" ht="19.5" customHeight="1" x14ac:dyDescent="0.4">
      <c r="L280" s="34">
        <v>49069</v>
      </c>
    </row>
    <row r="281" spans="12:12" ht="19.5" customHeight="1" x14ac:dyDescent="0.4">
      <c r="L281" s="34">
        <v>49089</v>
      </c>
    </row>
    <row r="282" spans="12:12" ht="19.5" customHeight="1" x14ac:dyDescent="0.4">
      <c r="L282" s="34">
        <v>49101</v>
      </c>
    </row>
    <row r="283" spans="12:12" ht="19.5" customHeight="1" x14ac:dyDescent="0.4">
      <c r="L283" s="34">
        <v>49171</v>
      </c>
    </row>
    <row r="284" spans="12:12" ht="19.5" customHeight="1" x14ac:dyDescent="0.4">
      <c r="L284" s="34">
        <v>49213</v>
      </c>
    </row>
    <row r="285" spans="12:12" ht="19.5" customHeight="1" x14ac:dyDescent="0.4">
      <c r="L285" s="34">
        <v>49214</v>
      </c>
    </row>
    <row r="286" spans="12:12" ht="19.5" customHeight="1" x14ac:dyDescent="0.4">
      <c r="L286" s="34">
        <v>49215</v>
      </c>
    </row>
    <row r="287" spans="12:12" ht="19.5" customHeight="1" x14ac:dyDescent="0.4">
      <c r="L287" s="34">
        <v>49220</v>
      </c>
    </row>
    <row r="288" spans="12:12" ht="19.5" customHeight="1" x14ac:dyDescent="0.4">
      <c r="L288" s="34">
        <v>49226</v>
      </c>
    </row>
    <row r="289" spans="12:12" ht="19.5" customHeight="1" x14ac:dyDescent="0.4">
      <c r="L289" s="34">
        <v>49303</v>
      </c>
    </row>
    <row r="290" spans="12:12" ht="19.5" customHeight="1" x14ac:dyDescent="0.4">
      <c r="L290" s="34">
        <v>49310</v>
      </c>
    </row>
    <row r="291" spans="12:12" ht="19.5" customHeight="1" x14ac:dyDescent="0.4">
      <c r="L291" s="34">
        <v>49347</v>
      </c>
    </row>
    <row r="292" spans="12:12" ht="19.5" customHeight="1" x14ac:dyDescent="0.4">
      <c r="L292" s="34">
        <v>49348</v>
      </c>
    </row>
    <row r="293" spans="12:12" ht="19.5" customHeight="1" x14ac:dyDescent="0.4">
      <c r="L293" s="34">
        <v>49349</v>
      </c>
    </row>
    <row r="294" spans="12:12" ht="19.5" customHeight="1" x14ac:dyDescent="0.4">
      <c r="L294" s="34">
        <v>49369</v>
      </c>
    </row>
    <row r="295" spans="12:12" ht="19.5" customHeight="1" x14ac:dyDescent="0.4">
      <c r="L295" s="34">
        <v>49430</v>
      </c>
    </row>
    <row r="296" spans="12:12" ht="19.5" customHeight="1" x14ac:dyDescent="0.4">
      <c r="L296" s="34">
        <v>49436</v>
      </c>
    </row>
    <row r="297" spans="12:12" ht="19.5" customHeight="1" x14ac:dyDescent="0.4">
      <c r="L297" s="34">
        <v>49444</v>
      </c>
    </row>
    <row r="298" spans="12:12" ht="19.5" customHeight="1" x14ac:dyDescent="0.4">
      <c r="L298" s="34">
        <v>49466</v>
      </c>
    </row>
    <row r="299" spans="12:12" ht="19.5" customHeight="1" x14ac:dyDescent="0.4">
      <c r="L299" s="34">
        <v>49536</v>
      </c>
    </row>
    <row r="300" spans="12:12" ht="19.5" customHeight="1" x14ac:dyDescent="0.4">
      <c r="L300" s="34">
        <v>49567</v>
      </c>
    </row>
    <row r="301" spans="12:12" ht="19.5" customHeight="1" x14ac:dyDescent="0.4">
      <c r="L301" s="34">
        <v>49569</v>
      </c>
    </row>
    <row r="302" spans="12:12" ht="19.5" customHeight="1" x14ac:dyDescent="0.4">
      <c r="L302" s="34">
        <v>49570</v>
      </c>
    </row>
    <row r="303" spans="12:12" ht="19.5" customHeight="1" x14ac:dyDescent="0.4">
      <c r="L303" s="34">
        <v>49585</v>
      </c>
    </row>
    <row r="304" spans="12:12" ht="19.5" customHeight="1" x14ac:dyDescent="0.4">
      <c r="L304" s="34">
        <v>49591</v>
      </c>
    </row>
    <row r="305" spans="12:12" ht="19.5" customHeight="1" x14ac:dyDescent="0.4">
      <c r="L305" s="34">
        <v>49668</v>
      </c>
    </row>
    <row r="306" spans="12:12" ht="19.5" customHeight="1" x14ac:dyDescent="0.4">
      <c r="L306" s="34">
        <v>49675</v>
      </c>
    </row>
    <row r="307" spans="12:12" ht="19.5" customHeight="1" x14ac:dyDescent="0.4">
      <c r="L307" s="34">
        <v>49702</v>
      </c>
    </row>
    <row r="308" spans="12:12" ht="19.5" customHeight="1" x14ac:dyDescent="0.4">
      <c r="L308" s="34">
        <v>49703</v>
      </c>
    </row>
    <row r="309" spans="12:12" ht="19.5" customHeight="1" x14ac:dyDescent="0.4">
      <c r="L309" s="34">
        <v>49704</v>
      </c>
    </row>
    <row r="310" spans="12:12" ht="19.5" customHeight="1" x14ac:dyDescent="0.4">
      <c r="L310" s="34">
        <v>49737</v>
      </c>
    </row>
    <row r="311" spans="12:12" ht="19.5" customHeight="1" x14ac:dyDescent="0.4">
      <c r="L311" s="34">
        <v>49796</v>
      </c>
    </row>
    <row r="312" spans="12:12" ht="19.5" customHeight="1" x14ac:dyDescent="0.4">
      <c r="L312" s="34">
        <v>49800</v>
      </c>
    </row>
    <row r="313" spans="12:12" ht="19.5" customHeight="1" x14ac:dyDescent="0.4">
      <c r="L313" s="34">
        <v>49800</v>
      </c>
    </row>
    <row r="314" spans="12:12" ht="19.5" customHeight="1" x14ac:dyDescent="0.4">
      <c r="L314" s="34">
        <v>49832</v>
      </c>
    </row>
    <row r="315" spans="12:12" ht="19.5" customHeight="1" x14ac:dyDescent="0.4">
      <c r="L315" s="34">
        <v>49902</v>
      </c>
    </row>
    <row r="316" spans="12:12" ht="19.5" customHeight="1" x14ac:dyDescent="0.4">
      <c r="L316" s="34">
        <v>49951</v>
      </c>
    </row>
    <row r="317" spans="12:12" ht="19.5" customHeight="1" x14ac:dyDescent="0.4">
      <c r="L317" s="34">
        <v>49951</v>
      </c>
    </row>
    <row r="318" spans="12:12" ht="19.5" customHeight="1" x14ac:dyDescent="0.4">
      <c r="L318" s="34">
        <v>49952</v>
      </c>
    </row>
    <row r="319" spans="12:12" ht="19.5" customHeight="1" x14ac:dyDescent="0.4">
      <c r="L319" s="34">
        <v>49954</v>
      </c>
    </row>
    <row r="320" spans="12:12" ht="19.5" customHeight="1" x14ac:dyDescent="0.4">
      <c r="L320" s="34">
        <v>49957</v>
      </c>
    </row>
    <row r="321" spans="12:12" ht="19.5" customHeight="1" x14ac:dyDescent="0.4">
      <c r="L321" s="34">
        <v>50034</v>
      </c>
    </row>
    <row r="322" spans="12:12" ht="19.5" customHeight="1" x14ac:dyDescent="0.4">
      <c r="L322" s="34">
        <v>50041</v>
      </c>
    </row>
    <row r="323" spans="12:12" ht="19.5" customHeight="1" x14ac:dyDescent="0.4">
      <c r="L323" s="34">
        <v>50085</v>
      </c>
    </row>
    <row r="324" spans="12:12" ht="19.5" customHeight="1" x14ac:dyDescent="0.4">
      <c r="L324" s="34">
        <v>50087</v>
      </c>
    </row>
    <row r="325" spans="12:12" ht="19.5" customHeight="1" x14ac:dyDescent="0.4">
      <c r="L325" s="34">
        <v>50088</v>
      </c>
    </row>
    <row r="326" spans="12:12" ht="19.5" customHeight="1" x14ac:dyDescent="0.4">
      <c r="L326" s="34">
        <v>50101</v>
      </c>
    </row>
    <row r="327" spans="12:12" ht="19.5" customHeight="1" x14ac:dyDescent="0.4">
      <c r="L327" s="34">
        <v>50161</v>
      </c>
    </row>
    <row r="328" spans="12:12" ht="19.5" customHeight="1" x14ac:dyDescent="0.4">
      <c r="L328" s="34">
        <v>50165</v>
      </c>
    </row>
    <row r="329" spans="12:12" ht="19.5" customHeight="1" x14ac:dyDescent="0.4">
      <c r="L329" s="34">
        <v>50182</v>
      </c>
    </row>
    <row r="330" spans="12:12" ht="19.5" customHeight="1" x14ac:dyDescent="0.4">
      <c r="L330" s="34">
        <v>50197</v>
      </c>
    </row>
    <row r="331" spans="12:12" ht="19.5" customHeight="1" x14ac:dyDescent="0.4">
      <c r="L331" s="34">
        <v>50269</v>
      </c>
    </row>
    <row r="332" spans="12:12" ht="19.5" customHeight="1" x14ac:dyDescent="0.4">
      <c r="L332" s="34">
        <v>50306</v>
      </c>
    </row>
    <row r="333" spans="12:12" ht="19.5" customHeight="1" x14ac:dyDescent="0.4">
      <c r="L333" s="34">
        <v>50307</v>
      </c>
    </row>
    <row r="334" spans="12:12" ht="19.5" customHeight="1" x14ac:dyDescent="0.4">
      <c r="L334" s="34">
        <v>50308</v>
      </c>
    </row>
    <row r="335" spans="12:12" ht="19.5" customHeight="1" x14ac:dyDescent="0.4">
      <c r="L335" s="34">
        <v>50318</v>
      </c>
    </row>
    <row r="336" spans="12:12" ht="19.5" customHeight="1" x14ac:dyDescent="0.4">
      <c r="L336" s="34">
        <v>50322</v>
      </c>
    </row>
    <row r="337" spans="12:12" ht="19.5" customHeight="1" x14ac:dyDescent="0.4">
      <c r="L337" s="34">
        <v>50399</v>
      </c>
    </row>
    <row r="338" spans="12:12" ht="19.5" customHeight="1" x14ac:dyDescent="0.4">
      <c r="L338" s="34">
        <v>50406</v>
      </c>
    </row>
    <row r="339" spans="12:12" ht="19.5" customHeight="1" x14ac:dyDescent="0.4">
      <c r="L339" s="34">
        <v>50439</v>
      </c>
    </row>
    <row r="340" spans="12:12" ht="19.5" customHeight="1" x14ac:dyDescent="0.4">
      <c r="L340" s="34">
        <v>50440</v>
      </c>
    </row>
    <row r="341" spans="12:12" ht="19.5" customHeight="1" x14ac:dyDescent="0.4">
      <c r="L341" s="34">
        <v>50441</v>
      </c>
    </row>
    <row r="342" spans="12:12" ht="19.5" customHeight="1" x14ac:dyDescent="0.4">
      <c r="L342" s="34">
        <v>50465</v>
      </c>
    </row>
    <row r="343" spans="12:12" ht="19.5" customHeight="1" x14ac:dyDescent="0.4">
      <c r="L343" s="34">
        <v>50526</v>
      </c>
    </row>
    <row r="344" spans="12:12" ht="19.5" customHeight="1" x14ac:dyDescent="0.4">
      <c r="L344" s="34">
        <v>50530</v>
      </c>
    </row>
    <row r="345" spans="12:12" ht="19.5" customHeight="1" x14ac:dyDescent="0.4">
      <c r="L345" s="34">
        <v>50536</v>
      </c>
    </row>
    <row r="346" spans="12:12" ht="19.5" customHeight="1" x14ac:dyDescent="0.4">
      <c r="L346" s="34">
        <v>50562</v>
      </c>
    </row>
    <row r="347" spans="12:12" ht="19.5" customHeight="1" x14ac:dyDescent="0.4">
      <c r="L347" s="34">
        <v>50633</v>
      </c>
    </row>
    <row r="348" spans="12:12" ht="19.5" customHeight="1" x14ac:dyDescent="0.4">
      <c r="L348" s="34">
        <v>50661</v>
      </c>
    </row>
    <row r="349" spans="12:12" ht="19.5" customHeight="1" x14ac:dyDescent="0.4">
      <c r="L349" s="34">
        <v>50662</v>
      </c>
    </row>
    <row r="350" spans="12:12" ht="19.5" customHeight="1" x14ac:dyDescent="0.4">
      <c r="L350" s="34">
        <v>50663</v>
      </c>
    </row>
    <row r="351" spans="12:12" ht="19.5" customHeight="1" x14ac:dyDescent="0.4">
      <c r="L351" s="34">
        <v>50682</v>
      </c>
    </row>
    <row r="352" spans="12:12" ht="19.5" customHeight="1" x14ac:dyDescent="0.4">
      <c r="L352" s="34">
        <v>50689</v>
      </c>
    </row>
    <row r="353" spans="12:12" ht="19.5" customHeight="1" x14ac:dyDescent="0.4">
      <c r="L353" s="34">
        <v>50766</v>
      </c>
    </row>
    <row r="354" spans="12:12" ht="19.5" customHeight="1" x14ac:dyDescent="0.4">
      <c r="L354" s="34">
        <v>50771</v>
      </c>
    </row>
    <row r="355" spans="12:12" ht="19.5" customHeight="1" x14ac:dyDescent="0.4">
      <c r="L355" s="34">
        <v>50794</v>
      </c>
    </row>
    <row r="356" spans="12:12" ht="19.5" customHeight="1" x14ac:dyDescent="0.4">
      <c r="L356" s="34">
        <v>50795</v>
      </c>
    </row>
    <row r="357" spans="12:12" ht="19.5" customHeight="1" x14ac:dyDescent="0.4">
      <c r="L357" s="34">
        <v>50796</v>
      </c>
    </row>
    <row r="358" spans="12:12" ht="19.5" customHeight="1" x14ac:dyDescent="0.4">
      <c r="L358" s="34">
        <v>50830</v>
      </c>
    </row>
    <row r="359" spans="12:12" ht="19.5" customHeight="1" x14ac:dyDescent="0.4">
      <c r="L359" s="34">
        <v>50891</v>
      </c>
    </row>
    <row r="360" spans="12:12" ht="19.5" customHeight="1" x14ac:dyDescent="0.4">
      <c r="L360" s="34">
        <v>50892</v>
      </c>
    </row>
    <row r="361" spans="12:12" ht="19.5" customHeight="1" x14ac:dyDescent="0.4">
      <c r="L361" s="34">
        <v>50895</v>
      </c>
    </row>
    <row r="362" spans="12:12" ht="19.5" customHeight="1" x14ac:dyDescent="0.4">
      <c r="L362" s="34">
        <v>50927</v>
      </c>
    </row>
    <row r="363" spans="12:12" ht="19.5" customHeight="1" x14ac:dyDescent="0.4">
      <c r="L363" s="34">
        <v>50997</v>
      </c>
    </row>
    <row r="364" spans="12:12" ht="19.5" customHeight="1" x14ac:dyDescent="0.4">
      <c r="L364" s="34">
        <v>51044</v>
      </c>
    </row>
    <row r="365" spans="12:12" ht="19.5" customHeight="1" x14ac:dyDescent="0.4">
      <c r="L365" s="34">
        <v>51046</v>
      </c>
    </row>
    <row r="366" spans="12:12" ht="19.5" customHeight="1" x14ac:dyDescent="0.4">
      <c r="L366" s="34">
        <v>51046</v>
      </c>
    </row>
    <row r="367" spans="12:12" ht="19.5" customHeight="1" x14ac:dyDescent="0.4">
      <c r="L367" s="34">
        <v>51047</v>
      </c>
    </row>
    <row r="368" spans="12:12" ht="19.5" customHeight="1" x14ac:dyDescent="0.4">
      <c r="L368" s="34">
        <v>51053</v>
      </c>
    </row>
    <row r="369" spans="12:12" ht="19.5" customHeight="1" x14ac:dyDescent="0.4">
      <c r="L369" s="34">
        <v>51130</v>
      </c>
    </row>
    <row r="370" spans="12:12" ht="19.5" customHeight="1" x14ac:dyDescent="0.4">
      <c r="L370" s="34">
        <v>51136</v>
      </c>
    </row>
    <row r="371" spans="12:12" ht="19.5" customHeight="1" x14ac:dyDescent="0.4">
      <c r="L371" s="34">
        <v>51177</v>
      </c>
    </row>
    <row r="372" spans="12:12" ht="19.5" customHeight="1" x14ac:dyDescent="0.4">
      <c r="L372" s="34">
        <v>51179</v>
      </c>
    </row>
    <row r="373" spans="12:12" ht="19.5" customHeight="1" x14ac:dyDescent="0.4">
      <c r="L373" s="34">
        <v>51180</v>
      </c>
    </row>
    <row r="374" spans="12:12" ht="19.5" customHeight="1" x14ac:dyDescent="0.4">
      <c r="L374" s="34">
        <v>51196</v>
      </c>
    </row>
    <row r="375" spans="12:12" ht="19.5" customHeight="1" x14ac:dyDescent="0.4">
      <c r="L375" s="34">
        <v>51257</v>
      </c>
    </row>
    <row r="376" spans="12:12" ht="19.5" customHeight="1" x14ac:dyDescent="0.4">
      <c r="L376" s="34">
        <v>51263</v>
      </c>
    </row>
    <row r="377" spans="12:12" ht="19.5" customHeight="1" x14ac:dyDescent="0.4">
      <c r="L377" s="34">
        <v>51274</v>
      </c>
    </row>
    <row r="378" spans="12:12" ht="19.5" customHeight="1" x14ac:dyDescent="0.4">
      <c r="L378" s="34">
        <v>51293</v>
      </c>
    </row>
    <row r="379" spans="12:12" ht="19.5" customHeight="1" x14ac:dyDescent="0.4">
      <c r="L379" s="34">
        <v>51363</v>
      </c>
    </row>
    <row r="380" spans="12:12" ht="19.5" customHeight="1" x14ac:dyDescent="0.4">
      <c r="L380" s="34">
        <v>51399</v>
      </c>
    </row>
    <row r="381" spans="12:12" ht="19.5" customHeight="1" x14ac:dyDescent="0.4">
      <c r="L381" s="34">
        <v>51400</v>
      </c>
    </row>
    <row r="382" spans="12:12" ht="19.5" customHeight="1" x14ac:dyDescent="0.4">
      <c r="L382" s="34">
        <v>51401</v>
      </c>
    </row>
    <row r="383" spans="12:12" ht="19.5" customHeight="1" x14ac:dyDescent="0.4">
      <c r="L383" s="34">
        <v>51412</v>
      </c>
    </row>
    <row r="384" spans="12:12" ht="19.5" customHeight="1" x14ac:dyDescent="0.4">
      <c r="L384" s="34">
        <v>51418</v>
      </c>
    </row>
    <row r="385" spans="12:12" ht="19.5" customHeight="1" x14ac:dyDescent="0.4">
      <c r="L385" s="34">
        <v>51495</v>
      </c>
    </row>
    <row r="386" spans="12:12" ht="19.5" customHeight="1" x14ac:dyDescent="0.4">
      <c r="L386" s="34">
        <v>51502</v>
      </c>
    </row>
    <row r="387" spans="12:12" ht="19.5" customHeight="1" x14ac:dyDescent="0.4">
      <c r="L387" s="34">
        <v>51532</v>
      </c>
    </row>
    <row r="388" spans="12:12" ht="19.5" customHeight="1" x14ac:dyDescent="0.4">
      <c r="L388" s="34">
        <v>51533</v>
      </c>
    </row>
    <row r="389" spans="12:12" ht="19.5" customHeight="1" x14ac:dyDescent="0.4">
      <c r="L389" s="34">
        <v>51534</v>
      </c>
    </row>
    <row r="390" spans="12:12" ht="19.5" customHeight="1" x14ac:dyDescent="0.4">
      <c r="L390" s="34">
        <v>51561</v>
      </c>
    </row>
    <row r="391" spans="12:12" ht="19.5" customHeight="1" x14ac:dyDescent="0.4">
      <c r="L391" s="34">
        <v>51622</v>
      </c>
    </row>
    <row r="392" spans="12:12" ht="19.5" customHeight="1" x14ac:dyDescent="0.4">
      <c r="L392" s="34">
        <v>51627</v>
      </c>
    </row>
    <row r="393" spans="12:12" ht="19.5" customHeight="1" x14ac:dyDescent="0.4">
      <c r="L393" s="34">
        <v>51628</v>
      </c>
    </row>
    <row r="394" spans="12:12" ht="19.5" customHeight="1" x14ac:dyDescent="0.4">
      <c r="L394" s="34">
        <v>51658</v>
      </c>
    </row>
    <row r="395" spans="12:12" ht="19.5" customHeight="1" x14ac:dyDescent="0.4">
      <c r="L395" s="34">
        <v>51728</v>
      </c>
    </row>
    <row r="396" spans="12:12" ht="19.5" customHeight="1" x14ac:dyDescent="0.4">
      <c r="L396" s="34">
        <v>51753</v>
      </c>
    </row>
    <row r="397" spans="12:12" ht="19.5" customHeight="1" x14ac:dyDescent="0.4">
      <c r="L397" s="34">
        <v>51754</v>
      </c>
    </row>
    <row r="398" spans="12:12" ht="19.5" customHeight="1" x14ac:dyDescent="0.4">
      <c r="L398" s="34">
        <v>51755</v>
      </c>
    </row>
    <row r="399" spans="12:12" ht="19.5" customHeight="1" x14ac:dyDescent="0.4">
      <c r="L399" s="34">
        <v>51777</v>
      </c>
    </row>
    <row r="400" spans="12:12" ht="19.5" customHeight="1" x14ac:dyDescent="0.4">
      <c r="L400" s="34">
        <v>51783</v>
      </c>
    </row>
    <row r="401" spans="12:12" ht="19.5" customHeight="1" x14ac:dyDescent="0.4">
      <c r="L401" s="34">
        <v>51860</v>
      </c>
    </row>
    <row r="402" spans="12:12" ht="19.5" customHeight="1" x14ac:dyDescent="0.4">
      <c r="L402" s="34">
        <v>51867</v>
      </c>
    </row>
    <row r="403" spans="12:12" ht="19.5" customHeight="1" x14ac:dyDescent="0.4">
      <c r="L403" s="34">
        <v>51887</v>
      </c>
    </row>
    <row r="404" spans="12:12" ht="19.5" customHeight="1" x14ac:dyDescent="0.4">
      <c r="L404" s="34">
        <v>51888</v>
      </c>
    </row>
    <row r="405" spans="12:12" ht="19.5" customHeight="1" x14ac:dyDescent="0.4">
      <c r="L405" s="34">
        <v>51889</v>
      </c>
    </row>
    <row r="406" spans="12:12" ht="19.5" customHeight="1" x14ac:dyDescent="0.4">
      <c r="L406" s="34">
        <v>51928</v>
      </c>
    </row>
    <row r="407" spans="12:12" ht="19.5" customHeight="1" x14ac:dyDescent="0.4">
      <c r="L407" s="34">
        <v>51987</v>
      </c>
    </row>
    <row r="408" spans="12:12" ht="19.5" customHeight="1" x14ac:dyDescent="0.4">
      <c r="L408" s="34">
        <v>51991</v>
      </c>
    </row>
    <row r="409" spans="12:12" ht="19.5" customHeight="1" x14ac:dyDescent="0.4">
      <c r="L409" s="34">
        <v>52012</v>
      </c>
    </row>
    <row r="410" spans="12:12" ht="19.5" customHeight="1" x14ac:dyDescent="0.4">
      <c r="L410" s="34">
        <v>52023</v>
      </c>
    </row>
    <row r="411" spans="12:12" ht="19.5" customHeight="1" x14ac:dyDescent="0.4">
      <c r="L411" s="34">
        <v>52093</v>
      </c>
    </row>
    <row r="412" spans="12:12" ht="19.5" customHeight="1" x14ac:dyDescent="0.4">
      <c r="L412" s="34">
        <v>52136</v>
      </c>
    </row>
    <row r="413" spans="12:12" ht="19.5" customHeight="1" x14ac:dyDescent="0.4">
      <c r="L413" s="34">
        <v>52138</v>
      </c>
    </row>
    <row r="414" spans="12:12" ht="19.5" customHeight="1" x14ac:dyDescent="0.4">
      <c r="L414" s="34">
        <v>52139</v>
      </c>
    </row>
    <row r="415" spans="12:12" ht="19.5" customHeight="1" x14ac:dyDescent="0.4">
      <c r="L415" s="34">
        <v>52142</v>
      </c>
    </row>
    <row r="416" spans="12:12" ht="19.5" customHeight="1" x14ac:dyDescent="0.4">
      <c r="L416" s="34">
        <v>52148</v>
      </c>
    </row>
    <row r="417" spans="12:12" ht="19.5" customHeight="1" x14ac:dyDescent="0.4">
      <c r="L417" s="34">
        <v>52225</v>
      </c>
    </row>
    <row r="418" spans="12:12" ht="19.5" customHeight="1" x14ac:dyDescent="0.4">
      <c r="L418" s="34">
        <v>52232</v>
      </c>
    </row>
    <row r="419" spans="12:12" ht="19.5" customHeight="1" x14ac:dyDescent="0.4">
      <c r="L419" s="34">
        <v>52271</v>
      </c>
    </row>
    <row r="420" spans="12:12" ht="19.5" customHeight="1" x14ac:dyDescent="0.4">
      <c r="L420" s="34">
        <v>52272</v>
      </c>
    </row>
    <row r="421" spans="12:12" ht="19.5" customHeight="1" x14ac:dyDescent="0.4">
      <c r="L421" s="34">
        <v>52273</v>
      </c>
    </row>
    <row r="422" spans="12:12" ht="19.5" customHeight="1" x14ac:dyDescent="0.4">
      <c r="L422" s="34">
        <v>52292</v>
      </c>
    </row>
    <row r="423" spans="12:12" ht="19.5" customHeight="1" x14ac:dyDescent="0.4">
      <c r="L423" s="34">
        <v>52352</v>
      </c>
    </row>
    <row r="424" spans="12:12" ht="19.5" customHeight="1" x14ac:dyDescent="0.4">
      <c r="L424" s="34">
        <v>52356</v>
      </c>
    </row>
    <row r="425" spans="12:12" ht="19.5" customHeight="1" x14ac:dyDescent="0.4">
      <c r="L425" s="34">
        <v>52369</v>
      </c>
    </row>
    <row r="426" spans="12:12" ht="19.5" customHeight="1" x14ac:dyDescent="0.4">
      <c r="L426" s="34">
        <v>52388</v>
      </c>
    </row>
    <row r="427" spans="12:12" ht="19.5" customHeight="1" x14ac:dyDescent="0.4">
      <c r="L427" s="34">
        <v>52460</v>
      </c>
    </row>
    <row r="428" spans="12:12" ht="19.5" customHeight="1" x14ac:dyDescent="0.4">
      <c r="L428" s="34">
        <v>52490</v>
      </c>
    </row>
    <row r="429" spans="12:12" ht="19.5" customHeight="1" x14ac:dyDescent="0.4">
      <c r="L429" s="34">
        <v>52491</v>
      </c>
    </row>
    <row r="430" spans="12:12" ht="19.5" customHeight="1" x14ac:dyDescent="0.4">
      <c r="L430" s="34">
        <v>52492</v>
      </c>
    </row>
    <row r="431" spans="12:12" ht="19.5" customHeight="1" x14ac:dyDescent="0.4">
      <c r="L431" s="34">
        <v>52509</v>
      </c>
    </row>
    <row r="432" spans="12:12" ht="19.5" customHeight="1" x14ac:dyDescent="0.4">
      <c r="L432" s="34">
        <v>52513</v>
      </c>
    </row>
    <row r="433" spans="12:12" ht="19.5" customHeight="1" x14ac:dyDescent="0.4">
      <c r="L433" s="34">
        <v>52590</v>
      </c>
    </row>
    <row r="434" spans="12:12" ht="19.5" customHeight="1" x14ac:dyDescent="0.4">
      <c r="L434" s="34">
        <v>52597</v>
      </c>
    </row>
    <row r="435" spans="12:12" ht="19.5" customHeight="1" x14ac:dyDescent="0.4">
      <c r="L435" s="34">
        <v>52657</v>
      </c>
    </row>
    <row r="436" spans="12:12" ht="19.5" customHeight="1" x14ac:dyDescent="0.4">
      <c r="L436" s="34">
        <v>52718</v>
      </c>
    </row>
    <row r="437" spans="12:12" ht="19.5" customHeight="1" x14ac:dyDescent="0.4">
      <c r="L437" s="34">
        <v>52722</v>
      </c>
    </row>
    <row r="438" spans="12:12" ht="19.5" customHeight="1" x14ac:dyDescent="0.4">
      <c r="L438" s="34">
        <v>52754</v>
      </c>
    </row>
    <row r="439" spans="12:12" ht="19.5" customHeight="1" x14ac:dyDescent="0.4">
      <c r="L439" s="34">
        <v>52824</v>
      </c>
    </row>
    <row r="440" spans="12:12" ht="19.5" customHeight="1" x14ac:dyDescent="0.4">
      <c r="L440" s="34">
        <v>52873</v>
      </c>
    </row>
    <row r="441" spans="12:12" ht="19.5" customHeight="1" x14ac:dyDescent="0.4">
      <c r="L441" s="34">
        <v>52880</v>
      </c>
    </row>
    <row r="442" spans="12:12" ht="19.5" customHeight="1" x14ac:dyDescent="0.4">
      <c r="L442" s="34">
        <v>52957</v>
      </c>
    </row>
    <row r="443" spans="12:12" ht="19.5" customHeight="1" x14ac:dyDescent="0.4">
      <c r="L443" s="34">
        <v>52963</v>
      </c>
    </row>
    <row r="444" spans="12:12" ht="19.5" customHeight="1" x14ac:dyDescent="0.4">
      <c r="L444" s="34">
        <v>53022</v>
      </c>
    </row>
    <row r="445" spans="12:12" ht="19.5" customHeight="1" x14ac:dyDescent="0.4">
      <c r="L445" s="34">
        <v>53083</v>
      </c>
    </row>
    <row r="446" spans="12:12" ht="19.5" customHeight="1" x14ac:dyDescent="0.4">
      <c r="L446" s="34">
        <v>53087</v>
      </c>
    </row>
    <row r="447" spans="12:12" ht="19.5" customHeight="1" x14ac:dyDescent="0.4">
      <c r="L447" s="34">
        <v>53119</v>
      </c>
    </row>
    <row r="448" spans="12:12" ht="19.5" customHeight="1" x14ac:dyDescent="0.4">
      <c r="L448" s="34">
        <v>53189</v>
      </c>
    </row>
    <row r="449" spans="12:12" ht="19.5" customHeight="1" x14ac:dyDescent="0.4">
      <c r="L449" s="34">
        <v>53238</v>
      </c>
    </row>
    <row r="450" spans="12:12" ht="19.5" customHeight="1" x14ac:dyDescent="0.4">
      <c r="L450" s="34">
        <v>53244</v>
      </c>
    </row>
    <row r="451" spans="12:12" ht="19.5" customHeight="1" x14ac:dyDescent="0.4">
      <c r="L451" s="34">
        <v>53321</v>
      </c>
    </row>
    <row r="452" spans="12:12" ht="19.5" customHeight="1" x14ac:dyDescent="0.4">
      <c r="L452" s="34">
        <v>53328</v>
      </c>
    </row>
    <row r="453" spans="12:12" ht="19.5" customHeight="1" x14ac:dyDescent="0.4">
      <c r="L453" s="34">
        <v>53387</v>
      </c>
    </row>
    <row r="454" spans="12:12" ht="19.5" customHeight="1" x14ac:dyDescent="0.4">
      <c r="L454" s="34">
        <v>53448</v>
      </c>
    </row>
    <row r="455" spans="12:12" ht="19.5" customHeight="1" x14ac:dyDescent="0.4">
      <c r="L455" s="34">
        <v>53454</v>
      </c>
    </row>
    <row r="456" spans="12:12" ht="19.5" customHeight="1" x14ac:dyDescent="0.4">
      <c r="L456" s="34">
        <v>53484</v>
      </c>
    </row>
    <row r="457" spans="12:12" ht="19.5" customHeight="1" x14ac:dyDescent="0.4">
      <c r="L457" s="34">
        <v>53554</v>
      </c>
    </row>
    <row r="458" spans="12:12" ht="19.5" customHeight="1" x14ac:dyDescent="0.4">
      <c r="L458" s="34">
        <v>53603</v>
      </c>
    </row>
    <row r="459" spans="12:12" ht="19.5" customHeight="1" x14ac:dyDescent="0.4">
      <c r="L459" s="34">
        <v>53609</v>
      </c>
    </row>
    <row r="460" spans="12:12" ht="19.5" customHeight="1" x14ac:dyDescent="0.4">
      <c r="L460" s="34">
        <v>53686</v>
      </c>
    </row>
    <row r="461" spans="12:12" ht="19.5" customHeight="1" x14ac:dyDescent="0.4">
      <c r="L461" s="34">
        <v>53693</v>
      </c>
    </row>
    <row r="462" spans="12:12" ht="19.5" customHeight="1" x14ac:dyDescent="0.4">
      <c r="L462" s="34">
        <v>53752</v>
      </c>
    </row>
    <row r="463" spans="12:12" ht="19.5" customHeight="1" x14ac:dyDescent="0.4">
      <c r="L463" s="34">
        <v>53813</v>
      </c>
    </row>
    <row r="464" spans="12:12" ht="19.5" customHeight="1" x14ac:dyDescent="0.4">
      <c r="L464" s="34">
        <v>53818</v>
      </c>
    </row>
    <row r="465" spans="12:12" ht="19.5" customHeight="1" x14ac:dyDescent="0.4">
      <c r="L465" s="34">
        <v>53849</v>
      </c>
    </row>
    <row r="466" spans="12:12" ht="19.5" customHeight="1" x14ac:dyDescent="0.4">
      <c r="L466" s="34">
        <v>53919</v>
      </c>
    </row>
    <row r="467" spans="12:12" ht="19.5" customHeight="1" x14ac:dyDescent="0.4">
      <c r="L467" s="34">
        <v>53968</v>
      </c>
    </row>
    <row r="468" spans="12:12" ht="19.5" customHeight="1" x14ac:dyDescent="0.4">
      <c r="L468" s="34">
        <v>53974</v>
      </c>
    </row>
    <row r="469" spans="12:12" ht="19.5" customHeight="1" x14ac:dyDescent="0.4">
      <c r="L469" s="34">
        <v>54051</v>
      </c>
    </row>
    <row r="470" spans="12:12" ht="19.5" customHeight="1" x14ac:dyDescent="0.4">
      <c r="L470" s="34">
        <v>54058</v>
      </c>
    </row>
    <row r="471" spans="12:12" ht="19.5" customHeight="1" x14ac:dyDescent="0.4">
      <c r="L471" s="34">
        <v>54119</v>
      </c>
    </row>
    <row r="472" spans="12:12" ht="19.5" customHeight="1" x14ac:dyDescent="0.4">
      <c r="L472" s="34">
        <v>54179</v>
      </c>
    </row>
    <row r="473" spans="12:12" ht="19.5" customHeight="1" x14ac:dyDescent="0.4">
      <c r="L473" s="34">
        <v>54183</v>
      </c>
    </row>
    <row r="474" spans="12:12" ht="19.5" customHeight="1" x14ac:dyDescent="0.4">
      <c r="L474" s="34">
        <v>54215</v>
      </c>
    </row>
    <row r="475" spans="12:12" ht="19.5" customHeight="1" x14ac:dyDescent="0.4">
      <c r="L475" s="34">
        <v>54287</v>
      </c>
    </row>
    <row r="476" spans="12:12" ht="19.5" customHeight="1" x14ac:dyDescent="0.4">
      <c r="L476" s="34">
        <v>54336</v>
      </c>
    </row>
    <row r="477" spans="12:12" ht="19.5" customHeight="1" x14ac:dyDescent="0.4">
      <c r="L477" s="34">
        <v>54340</v>
      </c>
    </row>
    <row r="478" spans="12:12" ht="19.5" customHeight="1" x14ac:dyDescent="0.4">
      <c r="L478" s="34">
        <v>54417</v>
      </c>
    </row>
    <row r="479" spans="12:12" ht="19.5" customHeight="1" x14ac:dyDescent="0.4">
      <c r="L479" s="34">
        <v>54424</v>
      </c>
    </row>
    <row r="480" spans="12:12" ht="19.5" customHeight="1" x14ac:dyDescent="0.4">
      <c r="L480" s="34">
        <v>54483</v>
      </c>
    </row>
    <row r="481" spans="12:12" ht="19.5" customHeight="1" x14ac:dyDescent="0.4">
      <c r="L481" s="34">
        <v>54544</v>
      </c>
    </row>
    <row r="482" spans="12:12" ht="19.5" customHeight="1" x14ac:dyDescent="0.4">
      <c r="L482" s="34">
        <v>54548</v>
      </c>
    </row>
    <row r="483" spans="12:12" ht="19.5" customHeight="1" x14ac:dyDescent="0.4">
      <c r="L483" s="34">
        <v>54580</v>
      </c>
    </row>
    <row r="484" spans="12:12" ht="19.5" customHeight="1" x14ac:dyDescent="0.4">
      <c r="L484" s="34">
        <v>54651</v>
      </c>
    </row>
    <row r="485" spans="12:12" ht="19.5" customHeight="1" x14ac:dyDescent="0.4">
      <c r="L485" s="34">
        <v>54700</v>
      </c>
    </row>
    <row r="486" spans="12:12" ht="19.5" customHeight="1" x14ac:dyDescent="0.4">
      <c r="L486" s="34">
        <v>54707</v>
      </c>
    </row>
    <row r="487" spans="12:12" ht="19.5" customHeight="1" x14ac:dyDescent="0.4">
      <c r="L487" s="34">
        <v>54784</v>
      </c>
    </row>
    <row r="488" spans="12:12" ht="19.5" customHeight="1" x14ac:dyDescent="0.4">
      <c r="L488" s="34">
        <v>54789</v>
      </c>
    </row>
    <row r="489" spans="12:12" ht="19.5" customHeight="1" x14ac:dyDescent="0.4">
      <c r="L489" s="34">
        <v>54848</v>
      </c>
    </row>
    <row r="490" spans="12:12" ht="19.5" customHeight="1" x14ac:dyDescent="0.4">
      <c r="L490" s="34">
        <v>54909</v>
      </c>
    </row>
    <row r="491" spans="12:12" ht="19.5" customHeight="1" x14ac:dyDescent="0.4">
      <c r="L491" s="34">
        <v>54913</v>
      </c>
    </row>
    <row r="492" spans="12:12" ht="19.5" customHeight="1" x14ac:dyDescent="0.4">
      <c r="L492" s="34">
        <v>54945</v>
      </c>
    </row>
    <row r="493" spans="12:12" ht="19.5" customHeight="1" x14ac:dyDescent="0.4">
      <c r="L493" s="34">
        <v>55015</v>
      </c>
    </row>
    <row r="494" spans="12:12" ht="19.5" customHeight="1" x14ac:dyDescent="0.4">
      <c r="L494" s="34">
        <v>55064</v>
      </c>
    </row>
    <row r="495" spans="12:12" ht="19.5" customHeight="1" x14ac:dyDescent="0.4">
      <c r="L495" s="34">
        <v>55071</v>
      </c>
    </row>
    <row r="496" spans="12:12" ht="19.5" customHeight="1" x14ac:dyDescent="0.4">
      <c r="L496" s="34">
        <v>55148</v>
      </c>
    </row>
  </sheetData>
  <mergeCells count="48">
    <mergeCell ref="O28:P28"/>
    <mergeCell ref="Q28:R28"/>
    <mergeCell ref="S28:T28"/>
    <mergeCell ref="U28:V28"/>
    <mergeCell ref="O22:P22"/>
    <mergeCell ref="Q22:R22"/>
    <mergeCell ref="O23:P23"/>
    <mergeCell ref="Q23:R23"/>
    <mergeCell ref="O24:P24"/>
    <mergeCell ref="Q24:R24"/>
    <mergeCell ref="Q9:R9"/>
    <mergeCell ref="H8:I8"/>
    <mergeCell ref="O20:P20"/>
    <mergeCell ref="Q20:R20"/>
    <mergeCell ref="B12:F12"/>
    <mergeCell ref="G12:H12"/>
    <mergeCell ref="I12:J12"/>
    <mergeCell ref="B13:D13"/>
    <mergeCell ref="E13:F14"/>
    <mergeCell ref="O16:P16"/>
    <mergeCell ref="Q16:R16"/>
    <mergeCell ref="O18:P18"/>
    <mergeCell ref="Q18:R18"/>
    <mergeCell ref="O19:P19"/>
    <mergeCell ref="Q19:R19"/>
    <mergeCell ref="Q8:R8"/>
    <mergeCell ref="Q6:R6"/>
    <mergeCell ref="B7:C7"/>
    <mergeCell ref="D7:E7"/>
    <mergeCell ref="H7:I7"/>
    <mergeCell ref="J7:K7"/>
    <mergeCell ref="H6:I6"/>
    <mergeCell ref="L12:L13"/>
    <mergeCell ref="L3:O3"/>
    <mergeCell ref="B5:C5"/>
    <mergeCell ref="D5:E5"/>
    <mergeCell ref="B6:C6"/>
    <mergeCell ref="D6:E6"/>
    <mergeCell ref="F6:G9"/>
    <mergeCell ref="B8:C8"/>
    <mergeCell ref="D8:E8"/>
    <mergeCell ref="J6:K6"/>
    <mergeCell ref="O6:P6"/>
    <mergeCell ref="J8:K8"/>
    <mergeCell ref="H9:I9"/>
    <mergeCell ref="J9:K9"/>
    <mergeCell ref="O9:P9"/>
    <mergeCell ref="O8:P8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alc_RiskyBondPrice">
                <anchor moveWithCells="1" sizeWithCells="1">
                  <from>
                    <xdr:col>15</xdr:col>
                    <xdr:colOff>0</xdr:colOff>
                    <xdr:row>10</xdr:row>
                    <xdr:rowOff>106680</xdr:rowOff>
                  </from>
                  <to>
                    <xdr:col>15</xdr:col>
                    <xdr:colOff>1135380</xdr:colOff>
                    <xdr:row>13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RiskyBond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2022-01-18T00:29:12Z</dcterms:created>
  <dcterms:modified xsi:type="dcterms:W3CDTF">2025-11-24T13:09:04Z</dcterms:modified>
</cp:coreProperties>
</file>