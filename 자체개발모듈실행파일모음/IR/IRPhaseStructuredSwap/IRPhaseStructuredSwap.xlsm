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E436B577-8467-4563-A78C-45D4C423513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<sst xmlns="http://schemas.openxmlformats.org/spreadsheetml/2006/main" count="272" uniqueCount="123">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</sst>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4" fontId="11" fillId="6" borderId="0" xfId="0" applyNumberFormat="1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9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Alignment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>
      <alignment horizontal="center" vertical="center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left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L18" sqref="L18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88" t="s">
        <v>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41" x14ac:dyDescent="0.4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41" x14ac:dyDescent="0.4">
      <c r="A4" s="6">
        <f>4</f>
        <v>4</v>
      </c>
      <c r="B4" s="89" t="s">
        <v>2</v>
      </c>
      <c r="C4" s="89"/>
      <c r="D4" s="90">
        <v>1</v>
      </c>
      <c r="E4" s="90"/>
    </row>
    <row r="5" spans="1:41" x14ac:dyDescent="0.4">
      <c r="A5" s="6">
        <f>A4+1</f>
        <v>5</v>
      </c>
      <c r="B5" s="89" t="s">
        <v>122</v>
      </c>
      <c r="C5" s="89"/>
      <c r="D5" s="104">
        <v>44815</v>
      </c>
      <c r="E5" s="90"/>
      <c r="G5" s="91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92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9" t="s">
        <v>4</v>
      </c>
      <c r="C7" s="89"/>
      <c r="D7" s="90">
        <v>0</v>
      </c>
      <c r="E7" s="90"/>
      <c r="G7" s="92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9" t="s">
        <v>1</v>
      </c>
      <c r="C8" s="89"/>
      <c r="D8" s="90">
        <v>0.01</v>
      </c>
      <c r="E8" s="90"/>
      <c r="G8" s="92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92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92"/>
      <c r="H10" s="59" t="s">
        <v>9</v>
      </c>
      <c r="I10" s="98" t="s">
        <v>10</v>
      </c>
      <c r="J10" s="99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102" t="s">
        <v>14</v>
      </c>
      <c r="S10" s="102" t="s">
        <v>112</v>
      </c>
      <c r="T10" s="102" t="s">
        <v>113</v>
      </c>
      <c r="U10" s="102" t="s">
        <v>114</v>
      </c>
      <c r="V10" s="102" t="s">
        <v>115</v>
      </c>
      <c r="W10" s="102" t="s">
        <v>116</v>
      </c>
    </row>
    <row r="11" spans="1:41" x14ac:dyDescent="0.4">
      <c r="A11" s="6">
        <f t="shared" si="1"/>
        <v>11</v>
      </c>
      <c r="G11" s="92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103"/>
      <c r="S11" s="103"/>
      <c r="T11" s="103"/>
      <c r="U11" s="103"/>
      <c r="V11" s="103"/>
      <c r="W11" s="103"/>
    </row>
    <row r="12" spans="1:41" x14ac:dyDescent="0.4">
      <c r="A12" s="6">
        <f t="shared" si="1"/>
        <v>12</v>
      </c>
      <c r="G12" s="92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100" t="s">
        <v>6</v>
      </c>
      <c r="E13" s="100"/>
      <c r="G13" s="92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100"/>
      <c r="E14" s="100"/>
      <c r="G14" s="92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100"/>
      <c r="E15" s="100"/>
      <c r="G15" s="92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92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101">
        <v>45202.835729166669</v>
      </c>
      <c r="E17" s="101"/>
      <c r="G17" s="92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101">
        <v>45202.835729166669</v>
      </c>
      <c r="E18" s="101"/>
      <c r="G18" s="92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92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92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92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92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9" t="s">
        <v>110</v>
      </c>
      <c r="C23" s="89"/>
      <c r="D23" s="90">
        <v>1</v>
      </c>
      <c r="E23" s="90"/>
      <c r="G23" s="92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9" t="s">
        <v>106</v>
      </c>
      <c r="C24" s="89"/>
      <c r="D24" s="90">
        <v>0</v>
      </c>
      <c r="E24" s="90"/>
      <c r="G24" s="92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9" t="s">
        <v>108</v>
      </c>
      <c r="C25" s="89"/>
      <c r="D25" s="90">
        <v>-0.1</v>
      </c>
      <c r="E25" s="90"/>
      <c r="G25" s="92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9" t="s">
        <v>107</v>
      </c>
      <c r="C26" s="89"/>
      <c r="D26" s="90">
        <v>0.15</v>
      </c>
      <c r="E26" s="90"/>
      <c r="G26" s="92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92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92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92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92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92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92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92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92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92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92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92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92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92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92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1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92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9" t="s">
        <v>4</v>
      </c>
      <c r="C57" s="89"/>
      <c r="D57" s="90">
        <v>0</v>
      </c>
      <c r="E57" s="90"/>
      <c r="G57" s="92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9" t="s">
        <v>1</v>
      </c>
      <c r="C58" s="89"/>
      <c r="D58" s="90">
        <v>0.01</v>
      </c>
      <c r="E58" s="90"/>
      <c r="G58" s="92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92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92"/>
      <c r="H60" s="59" t="s">
        <v>9</v>
      </c>
      <c r="I60" s="98" t="s">
        <v>10</v>
      </c>
      <c r="J60" s="99"/>
      <c r="L60" s="63" t="s">
        <v>15</v>
      </c>
      <c r="M60" s="63" t="s">
        <v>16</v>
      </c>
      <c r="N60" s="59" t="s">
        <v>68</v>
      </c>
      <c r="R60" s="102" t="s">
        <v>14</v>
      </c>
      <c r="S60" s="102" t="s">
        <v>112</v>
      </c>
      <c r="T60" s="102" t="s">
        <v>113</v>
      </c>
      <c r="U60" s="102" t="s">
        <v>114</v>
      </c>
      <c r="V60" s="102" t="s">
        <v>115</v>
      </c>
      <c r="W60" s="102" t="s">
        <v>116</v>
      </c>
    </row>
    <row r="61" spans="1:23" x14ac:dyDescent="0.4">
      <c r="A61" s="6">
        <f t="shared" si="1"/>
        <v>61</v>
      </c>
      <c r="G61" s="92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103"/>
      <c r="S61" s="103"/>
      <c r="T61" s="103"/>
      <c r="U61" s="103"/>
      <c r="V61" s="103"/>
      <c r="W61" s="103"/>
    </row>
    <row r="62" spans="1:23" x14ac:dyDescent="0.4">
      <c r="A62" s="6">
        <f t="shared" si="1"/>
        <v>62</v>
      </c>
      <c r="G62" s="92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100" t="s">
        <v>6</v>
      </c>
      <c r="E63" s="100"/>
      <c r="G63" s="92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100"/>
      <c r="E64" s="100"/>
      <c r="G64" s="92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100"/>
      <c r="E65" s="100"/>
      <c r="G65" s="92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92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101">
        <v>45202.835729166669</v>
      </c>
      <c r="E67" s="101"/>
      <c r="G67" s="92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101">
        <v>45202.835729166669</v>
      </c>
      <c r="E68" s="101"/>
      <c r="G68" s="92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92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92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92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92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9" t="s">
        <v>110</v>
      </c>
      <c r="C73" s="89"/>
      <c r="D73" s="90">
        <v>0</v>
      </c>
      <c r="E73" s="90"/>
      <c r="G73" s="92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9" t="s">
        <v>106</v>
      </c>
      <c r="C74" s="89"/>
      <c r="D74" s="90">
        <v>1</v>
      </c>
      <c r="E74" s="90"/>
      <c r="G74" s="92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9" t="s">
        <v>108</v>
      </c>
      <c r="C75" s="89"/>
      <c r="D75" s="90">
        <v>-0.12</v>
      </c>
      <c r="E75" s="90"/>
      <c r="G75" s="92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9" t="s">
        <v>107</v>
      </c>
      <c r="C76" s="89"/>
      <c r="D76" s="90">
        <v>0.24</v>
      </c>
      <c r="E76" s="90"/>
      <c r="G76" s="92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92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92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92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92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92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92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92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92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92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92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92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92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92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92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91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92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9" t="s">
        <v>4</v>
      </c>
      <c r="C107" s="89"/>
      <c r="D107" s="90">
        <v>1</v>
      </c>
      <c r="E107" s="90"/>
      <c r="G107" s="92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9" t="s">
        <v>1</v>
      </c>
      <c r="C108" s="89"/>
      <c r="D108" s="90">
        <v>0.01</v>
      </c>
      <c r="E108" s="90"/>
      <c r="G108" s="92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92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92"/>
      <c r="H110" s="59" t="s">
        <v>9</v>
      </c>
      <c r="I110" s="98" t="s">
        <v>10</v>
      </c>
      <c r="J110" s="99"/>
      <c r="L110" s="63" t="s">
        <v>15</v>
      </c>
      <c r="M110" s="63" t="s">
        <v>16</v>
      </c>
      <c r="N110" s="59" t="s">
        <v>68</v>
      </c>
      <c r="R110" s="102" t="s">
        <v>14</v>
      </c>
      <c r="S110" s="102" t="s">
        <v>112</v>
      </c>
      <c r="T110" s="102" t="s">
        <v>113</v>
      </c>
      <c r="U110" s="102" t="s">
        <v>114</v>
      </c>
      <c r="V110" s="102" t="s">
        <v>115</v>
      </c>
      <c r="W110" s="102" t="s">
        <v>116</v>
      </c>
    </row>
    <row r="111" spans="1:23" x14ac:dyDescent="0.4">
      <c r="A111" s="6">
        <f t="shared" si="4"/>
        <v>111</v>
      </c>
      <c r="G111" s="92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103"/>
      <c r="S111" s="103"/>
      <c r="T111" s="103"/>
      <c r="U111" s="103"/>
      <c r="V111" s="103"/>
      <c r="W111" s="103"/>
    </row>
    <row r="112" spans="1:23" x14ac:dyDescent="0.4">
      <c r="A112" s="6">
        <f t="shared" si="4"/>
        <v>112</v>
      </c>
      <c r="G112" s="92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100" t="s">
        <v>6</v>
      </c>
      <c r="E113" s="100"/>
      <c r="G113" s="92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100"/>
      <c r="E114" s="100"/>
      <c r="G114" s="92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100"/>
      <c r="E115" s="100"/>
      <c r="G115" s="92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92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101">
        <v>44931.461863425924</v>
      </c>
      <c r="E117" s="101"/>
      <c r="G117" s="92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101">
        <v>44931.461875000001</v>
      </c>
      <c r="E118" s="101"/>
      <c r="G118" s="92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92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92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92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92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9" t="s">
        <v>110</v>
      </c>
      <c r="C123" s="89"/>
      <c r="D123" s="90">
        <v>0</v>
      </c>
      <c r="E123" s="90"/>
      <c r="G123" s="92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9" t="s">
        <v>106</v>
      </c>
      <c r="C124" s="89"/>
      <c r="D124" s="90">
        <v>0</v>
      </c>
      <c r="E124" s="90"/>
      <c r="G124" s="92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9" t="s">
        <v>108</v>
      </c>
      <c r="C125" s="89"/>
      <c r="D125" s="90">
        <v>-0.1</v>
      </c>
      <c r="E125" s="90"/>
      <c r="G125" s="92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9" t="s">
        <v>107</v>
      </c>
      <c r="C126" s="89"/>
      <c r="D126" s="90">
        <v>0.15</v>
      </c>
      <c r="E126" s="90"/>
      <c r="G126" s="92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92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92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92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92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92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92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92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92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92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92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92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92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92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92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91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9" t="s">
        <v>3</v>
      </c>
      <c r="C156" s="89"/>
      <c r="D156" s="90">
        <v>1</v>
      </c>
      <c r="E156" s="90"/>
      <c r="G156" s="92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9" t="s">
        <v>4</v>
      </c>
      <c r="C157" s="89"/>
      <c r="D157" s="90">
        <v>1</v>
      </c>
      <c r="E157" s="90"/>
      <c r="G157" s="92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9" t="s">
        <v>1</v>
      </c>
      <c r="C158" s="89"/>
      <c r="D158" s="90">
        <v>0.01</v>
      </c>
      <c r="E158" s="90"/>
      <c r="G158" s="92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92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92"/>
      <c r="H160" s="59" t="s">
        <v>9</v>
      </c>
      <c r="I160" s="98" t="s">
        <v>10</v>
      </c>
      <c r="J160" s="99"/>
      <c r="L160" s="63" t="s">
        <v>15</v>
      </c>
      <c r="M160" s="63" t="s">
        <v>16</v>
      </c>
      <c r="N160" s="59" t="s">
        <v>68</v>
      </c>
      <c r="R160" s="102" t="s">
        <v>14</v>
      </c>
      <c r="S160" s="102" t="s">
        <v>112</v>
      </c>
      <c r="T160" s="102" t="s">
        <v>113</v>
      </c>
      <c r="U160" s="102" t="s">
        <v>114</v>
      </c>
      <c r="V160" s="102" t="s">
        <v>115</v>
      </c>
      <c r="W160" s="102" t="s">
        <v>116</v>
      </c>
    </row>
    <row r="161" spans="1:23" x14ac:dyDescent="0.4">
      <c r="A161" s="6">
        <f t="shared" si="6"/>
        <v>161</v>
      </c>
      <c r="G161" s="92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103"/>
      <c r="S161" s="103"/>
      <c r="T161" s="103"/>
      <c r="U161" s="103"/>
      <c r="V161" s="103"/>
      <c r="W161" s="103"/>
    </row>
    <row r="162" spans="1:23" x14ac:dyDescent="0.4">
      <c r="A162" s="6">
        <f t="shared" si="6"/>
        <v>162</v>
      </c>
      <c r="G162" s="92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100" t="s">
        <v>6</v>
      </c>
      <c r="E163" s="100"/>
      <c r="G163" s="92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100"/>
      <c r="E164" s="100"/>
      <c r="G164" s="92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100"/>
      <c r="E165" s="100"/>
      <c r="G165" s="92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92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101">
        <v>44931.461875000001</v>
      </c>
      <c r="E167" s="101"/>
      <c r="G167" s="92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101">
        <v>44931.461875000001</v>
      </c>
      <c r="E168" s="101"/>
      <c r="G168" s="92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92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92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92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92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9" t="s">
        <v>110</v>
      </c>
      <c r="C173" s="89"/>
      <c r="D173" s="90">
        <v>0</v>
      </c>
      <c r="E173" s="90"/>
      <c r="G173" s="92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9" t="s">
        <v>106</v>
      </c>
      <c r="C174" s="89"/>
      <c r="D174" s="90">
        <v>0</v>
      </c>
      <c r="E174" s="90"/>
      <c r="G174" s="92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9" t="s">
        <v>108</v>
      </c>
      <c r="C175" s="89"/>
      <c r="D175" s="90">
        <v>-0.1</v>
      </c>
      <c r="E175" s="90"/>
      <c r="G175" s="92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9" t="s">
        <v>107</v>
      </c>
      <c r="C176" s="89"/>
      <c r="D176" s="90">
        <v>0.15</v>
      </c>
      <c r="E176" s="90"/>
      <c r="G176" s="92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92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92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92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92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92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92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92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92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92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92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92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92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92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92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opLeftCell="D1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7" t="s">
        <v>25</v>
      </c>
      <c r="C3" s="107"/>
      <c r="D3" s="162">
        <v>44815</v>
      </c>
      <c r="E3" s="110"/>
      <c r="F3" s="105" t="s">
        <v>27</v>
      </c>
      <c r="G3" s="105"/>
      <c r="H3" s="110">
        <v>0</v>
      </c>
      <c r="I3" s="110"/>
      <c r="J3" s="105" t="s">
        <v>63</v>
      </c>
      <c r="K3" s="105"/>
      <c r="L3" s="110">
        <v>10000</v>
      </c>
      <c r="M3" s="110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6" t="s">
        <v>42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25"/>
      <c r="O5" s="107" t="s">
        <v>119</v>
      </c>
      <c r="P5" s="107"/>
      <c r="Q5" s="105" t="s">
        <v>121</v>
      </c>
      <c r="R5" s="105"/>
      <c r="S5" s="106">
        <v>0</v>
      </c>
      <c r="T5" s="106"/>
      <c r="U5" s="25"/>
      <c r="AD5" s="166" t="s">
        <v>43</v>
      </c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25"/>
      <c r="AQ5" s="107" t="s">
        <v>119</v>
      </c>
      <c r="AR5" s="107"/>
      <c r="AS5" s="105" t="s">
        <v>121</v>
      </c>
      <c r="AT5" s="105"/>
      <c r="AU5" s="106">
        <v>0</v>
      </c>
      <c r="AV5" s="106"/>
      <c r="AW5" s="25"/>
    </row>
    <row r="6" spans="1:57" ht="16.2" customHeight="1" x14ac:dyDescent="0.4">
      <c r="A6" s="24">
        <f t="shared" si="1"/>
        <v>6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25"/>
      <c r="O6" s="107"/>
      <c r="P6" s="107"/>
      <c r="Q6" s="105" t="s">
        <v>117</v>
      </c>
      <c r="R6" s="105"/>
      <c r="S6" s="162">
        <v>43112</v>
      </c>
      <c r="T6" s="110"/>
      <c r="U6" s="25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25"/>
      <c r="AQ6" s="107"/>
      <c r="AR6" s="107"/>
      <c r="AS6" s="105" t="s">
        <v>117</v>
      </c>
      <c r="AT6" s="105"/>
      <c r="AU6" s="162">
        <v>43112</v>
      </c>
      <c r="AV6" s="110"/>
      <c r="AW6" s="25"/>
    </row>
    <row r="7" spans="1:57" ht="16.2" customHeight="1" x14ac:dyDescent="0.4">
      <c r="A7" s="24">
        <f t="shared" si="1"/>
        <v>7</v>
      </c>
      <c r="B7" s="107" t="str">
        <f>IF(D7&gt;0,"레퍼런스금리 개수","기초금리는 1개 - 3개 입력가능")</f>
        <v>레퍼런스금리 개수</v>
      </c>
      <c r="C7" s="107"/>
      <c r="D7" s="110">
        <v>1</v>
      </c>
      <c r="E7" s="110"/>
      <c r="F7" s="111" t="s">
        <v>28</v>
      </c>
      <c r="G7" s="112"/>
      <c r="H7" s="110">
        <v>1</v>
      </c>
      <c r="I7" s="110"/>
      <c r="J7" s="105" t="s">
        <v>87</v>
      </c>
      <c r="K7" s="105"/>
      <c r="L7" s="110">
        <v>0</v>
      </c>
      <c r="M7" s="110"/>
      <c r="N7" s="25"/>
      <c r="O7" s="107"/>
      <c r="P7" s="107"/>
      <c r="Q7" s="105" t="s">
        <v>118</v>
      </c>
      <c r="R7" s="105"/>
      <c r="S7" s="162">
        <f>EDATE(S6,120) + 2</f>
        <v>46766</v>
      </c>
      <c r="T7" s="110"/>
      <c r="U7" s="25"/>
      <c r="AD7" s="107" t="str">
        <f>IF(AF7&gt;0,"레퍼런스금리 개수","기초금리는 1개 - 3개 입력가능")</f>
        <v>레퍼런스금리 개수</v>
      </c>
      <c r="AE7" s="107"/>
      <c r="AF7" s="110">
        <v>1</v>
      </c>
      <c r="AG7" s="110"/>
      <c r="AH7" s="111" t="s">
        <v>28</v>
      </c>
      <c r="AI7" s="112"/>
      <c r="AJ7" s="110">
        <v>0</v>
      </c>
      <c r="AK7" s="110"/>
      <c r="AL7" s="105" t="s">
        <v>87</v>
      </c>
      <c r="AM7" s="105"/>
      <c r="AN7" s="110">
        <v>0</v>
      </c>
      <c r="AO7" s="110"/>
      <c r="AP7" s="25"/>
      <c r="AQ7" s="107"/>
      <c r="AR7" s="107"/>
      <c r="AS7" s="105" t="s">
        <v>118</v>
      </c>
      <c r="AT7" s="105"/>
      <c r="AU7" s="162">
        <f>EDATE(AU6,120) + 2</f>
        <v>46766</v>
      </c>
      <c r="AV7" s="110"/>
      <c r="AW7" s="25"/>
    </row>
    <row r="8" spans="1:57" ht="16.2" customHeight="1" x14ac:dyDescent="0.4">
      <c r="A8" s="24">
        <f t="shared" si="1"/>
        <v>8</v>
      </c>
      <c r="B8" s="105" t="s">
        <v>46</v>
      </c>
      <c r="C8" s="105"/>
      <c r="D8" s="161">
        <v>1</v>
      </c>
      <c r="E8" s="110"/>
      <c r="F8" s="105" t="s">
        <v>47</v>
      </c>
      <c r="G8" s="105"/>
      <c r="H8" s="161">
        <v>1</v>
      </c>
      <c r="I8" s="110"/>
      <c r="J8" s="105" t="s">
        <v>38</v>
      </c>
      <c r="K8" s="105"/>
      <c r="L8" s="110">
        <v>0</v>
      </c>
      <c r="M8" s="110"/>
      <c r="N8" s="25"/>
      <c r="O8" s="107"/>
      <c r="P8" s="107"/>
      <c r="Q8" s="105" t="s">
        <v>120</v>
      </c>
      <c r="R8" s="105"/>
      <c r="S8" s="106">
        <v>4</v>
      </c>
      <c r="T8" s="106"/>
      <c r="U8" s="25"/>
      <c r="AD8" s="105" t="s">
        <v>46</v>
      </c>
      <c r="AE8" s="105"/>
      <c r="AF8" s="161">
        <v>1</v>
      </c>
      <c r="AG8" s="110"/>
      <c r="AH8" s="105" t="s">
        <v>47</v>
      </c>
      <c r="AI8" s="105"/>
      <c r="AJ8" s="161">
        <v>1</v>
      </c>
      <c r="AK8" s="110"/>
      <c r="AP8" s="25"/>
      <c r="AQ8" s="107"/>
      <c r="AR8" s="107"/>
      <c r="AS8" s="105" t="s">
        <v>120</v>
      </c>
      <c r="AT8" s="105"/>
      <c r="AU8" s="106">
        <v>4</v>
      </c>
      <c r="AV8" s="106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08" t="str">
        <f>IF(D7&gt;=1,"기초금리1", "")</f>
        <v>기초금리1</v>
      </c>
      <c r="C10" s="178" t="str">
        <f>IF($D$7&gt;=1,"커브번호", "")</f>
        <v>커브번호</v>
      </c>
      <c r="D10" s="178"/>
      <c r="E10" s="170">
        <v>1</v>
      </c>
      <c r="F10" s="170"/>
      <c r="G10" s="54"/>
      <c r="H10" s="25"/>
      <c r="I10" s="143" t="str">
        <f>IF(OR(E11 = 0, E11 = 2, E11 = 4), "RefType = "&amp;E11&amp;" 이므로 Ref Swap 금리정보 사용안함", "사용")</f>
        <v>RefType = 0 이므로 Ref Swap 금리정보 사용안함</v>
      </c>
      <c r="J10" s="144"/>
      <c r="K10" s="144"/>
      <c r="L10" s="167"/>
      <c r="N10" s="160" t="s">
        <v>30</v>
      </c>
      <c r="O10" s="160"/>
      <c r="P10" s="160"/>
      <c r="Q10" s="160"/>
      <c r="R10" s="24"/>
      <c r="S10" s="24"/>
      <c r="T10" s="24"/>
      <c r="U10" s="24"/>
      <c r="W10" s="160" t="s">
        <v>48</v>
      </c>
      <c r="X10" s="160"/>
      <c r="Y10" s="160"/>
      <c r="AD10" s="156" t="str">
        <f>IF($AF$7&gt;=1,"기초금리1", "")</f>
        <v>기초금리1</v>
      </c>
      <c r="AE10" s="129" t="str">
        <f>IF($AF$7&gt;=1,"커브번호", "")</f>
        <v>커브번호</v>
      </c>
      <c r="AF10" s="129"/>
      <c r="AG10" s="170">
        <v>2</v>
      </c>
      <c r="AH10" s="170"/>
      <c r="AI10" s="54"/>
      <c r="AK10" s="124" t="str">
        <f>IF(OR(AG11 = 0, AG11 = 2, AG11 = 4), "RefType = "&amp;AG11&amp;" 이므로 Ref Swap 금리정보 사용안함", "사용")</f>
        <v>RefType = 0 이므로 Ref Swap 금리정보 사용안함</v>
      </c>
      <c r="AL10" s="124"/>
      <c r="AM10" s="124"/>
      <c r="AN10" s="125"/>
      <c r="AP10" s="160" t="s">
        <v>50</v>
      </c>
      <c r="AQ10" s="160"/>
      <c r="AR10" s="160"/>
      <c r="AS10" s="160"/>
      <c r="AT10" s="24"/>
      <c r="AU10" s="24"/>
      <c r="AV10" s="24"/>
      <c r="AW10" s="24"/>
      <c r="AY10" s="160" t="s">
        <v>49</v>
      </c>
      <c r="AZ10" s="160"/>
      <c r="BA10" s="160"/>
    </row>
    <row r="11" spans="1:57" ht="16.2" customHeight="1" x14ac:dyDescent="0.4">
      <c r="A11" s="24">
        <f t="shared" si="1"/>
        <v>11</v>
      </c>
      <c r="B11" s="109"/>
      <c r="C11" s="89" t="str">
        <f>IF($D$7&gt;=1,"Reference Rate Type", "")</f>
        <v>Reference Rate Type</v>
      </c>
      <c r="D11" s="141"/>
      <c r="E11" s="148">
        <v>0</v>
      </c>
      <c r="F11" s="149"/>
      <c r="G11" s="143" t="str">
        <f>IF(OR(E11 = 0, E11 = 2, E11 = 4), "", "Zero/Swap 레퍼런스금리정보")</f>
        <v/>
      </c>
      <c r="H11" s="144"/>
      <c r="I11" s="115" t="str">
        <f>IF(OR(E11 = 0, E11 = 2, E11 = 4), "", "연 지급횟수")</f>
        <v/>
      </c>
      <c r="J11" s="116"/>
      <c r="K11" s="110">
        <v>4</v>
      </c>
      <c r="L11" s="117"/>
      <c r="M11" s="24"/>
      <c r="N11" s="179" t="str">
        <f>IF(OR(E11 = 0, E11 = 2, E11 = 4), "ForwardStart", "ResetStart")</f>
        <v>ForwardStart</v>
      </c>
      <c r="O11" s="179" t="str">
        <f>IF(OR(E11 = 0, E11 = 2, E11 = 4), "ForwardEnd", "ResetEnd")</f>
        <v>ForwardEnd</v>
      </c>
      <c r="P11" s="114" t="s">
        <v>31</v>
      </c>
      <c r="Q11" s="114" t="s">
        <v>32</v>
      </c>
      <c r="R11" s="114" t="s">
        <v>33</v>
      </c>
      <c r="S11" s="114" t="s">
        <v>34</v>
      </c>
      <c r="T11" s="114" t="s">
        <v>111</v>
      </c>
      <c r="U11" s="114" t="s">
        <v>67</v>
      </c>
      <c r="W11" s="26" t="s">
        <v>39</v>
      </c>
      <c r="X11" s="172">
        <v>0</v>
      </c>
      <c r="Y11" s="172"/>
      <c r="AD11" s="176"/>
      <c r="AE11" s="111" t="str">
        <f>IF($AF$7&gt;=1,"Reference Rate Type", "")</f>
        <v>Reference Rate Type</v>
      </c>
      <c r="AF11" s="112"/>
      <c r="AG11" s="148">
        <v>0</v>
      </c>
      <c r="AH11" s="148"/>
      <c r="AI11" s="165" t="str">
        <f>IF(OR(AG11 = 0, AG11 = 2, AG11 = 4), "", "Zero/Swap 레퍼런스금리정보")</f>
        <v/>
      </c>
      <c r="AJ11" s="165"/>
      <c r="AK11" s="165" t="str">
        <f>IF(OR(AG11 = 0, AG11 = 2, AG11 = 4), "", "연 지급횟수")</f>
        <v/>
      </c>
      <c r="AL11" s="184"/>
      <c r="AM11" s="110">
        <v>4</v>
      </c>
      <c r="AN11" s="117"/>
      <c r="AO11" s="24"/>
      <c r="AP11" s="114" t="str">
        <f>IF(OR(AG11 = 0, AG11 = 2, AG11 = 4), "ForwardStart", "ResetEnd")</f>
        <v>ForwardStart</v>
      </c>
      <c r="AQ11" s="114" t="str">
        <f>IF(OR(AG11 = 0, AG11 = 2, AG11 = 4), "ForwardEnd", "ResetEnd")</f>
        <v>ForwardEnd</v>
      </c>
      <c r="AR11" s="114" t="s">
        <v>31</v>
      </c>
      <c r="AS11" s="114" t="s">
        <v>32</v>
      </c>
      <c r="AT11" s="114" t="s">
        <v>33</v>
      </c>
      <c r="AU11" s="114" t="s">
        <v>34</v>
      </c>
      <c r="AV11" s="114" t="s">
        <v>111</v>
      </c>
      <c r="AW11" s="114" t="s">
        <v>67</v>
      </c>
      <c r="AY11" s="26" t="s">
        <v>39</v>
      </c>
      <c r="AZ11" s="172">
        <v>0</v>
      </c>
      <c r="BA11" s="172"/>
    </row>
    <row r="12" spans="1:57" ht="16.2" customHeight="1" x14ac:dyDescent="0.4">
      <c r="A12" s="24">
        <f t="shared" si="1"/>
        <v>12</v>
      </c>
      <c r="B12" s="109"/>
      <c r="C12" s="89" t="str">
        <f>IF($D$7&gt;=1,"DayCount", "")</f>
        <v>DayCount</v>
      </c>
      <c r="D12" s="89"/>
      <c r="E12" s="113">
        <v>0</v>
      </c>
      <c r="F12" s="164"/>
      <c r="G12" s="145"/>
      <c r="H12" s="115"/>
      <c r="I12" s="115" t="str">
        <f>IF(OR(E11 = 0, E11 = 2, E11 = 4,E14=1), "", "만기")</f>
        <v/>
      </c>
      <c r="J12" s="116"/>
      <c r="K12" s="146">
        <v>10</v>
      </c>
      <c r="L12" s="147"/>
      <c r="N12" s="114"/>
      <c r="O12" s="114"/>
      <c r="P12" s="114"/>
      <c r="Q12" s="114"/>
      <c r="R12" s="114"/>
      <c r="S12" s="114"/>
      <c r="T12" s="114"/>
      <c r="U12" s="114"/>
      <c r="W12" s="26" t="s">
        <v>40</v>
      </c>
      <c r="X12" s="172">
        <v>0</v>
      </c>
      <c r="Y12" s="172"/>
      <c r="AD12" s="176"/>
      <c r="AE12" s="111" t="str">
        <f>IF($AF$7&gt;=1,"DayCount", "")</f>
        <v>DayCount</v>
      </c>
      <c r="AF12" s="111"/>
      <c r="AG12" s="113">
        <v>3</v>
      </c>
      <c r="AH12" s="113"/>
      <c r="AI12" s="165"/>
      <c r="AJ12" s="165"/>
      <c r="AK12" s="115" t="str">
        <f>IF(OR(AG11 = 0, AG11 = 2, AG11 = 4,AG14=1), "", "만기")</f>
        <v/>
      </c>
      <c r="AL12" s="116"/>
      <c r="AM12" s="122">
        <v>0.25</v>
      </c>
      <c r="AN12" s="123"/>
      <c r="AP12" s="114"/>
      <c r="AQ12" s="114"/>
      <c r="AR12" s="114"/>
      <c r="AS12" s="114"/>
      <c r="AT12" s="114"/>
      <c r="AU12" s="114"/>
      <c r="AV12" s="114"/>
      <c r="AW12" s="114"/>
      <c r="AY12" s="26" t="s">
        <v>40</v>
      </c>
      <c r="AZ12" s="172">
        <v>0</v>
      </c>
      <c r="BA12" s="172"/>
    </row>
    <row r="13" spans="1:57" ht="16.2" customHeight="1" x14ac:dyDescent="0.4">
      <c r="A13" s="24">
        <f t="shared" si="1"/>
        <v>13</v>
      </c>
      <c r="B13" s="109"/>
      <c r="C13" s="89" t="str">
        <f>IF($D$7&gt;=1,"금리결정조건Multiple", "")</f>
        <v>금리결정조건Multiple</v>
      </c>
      <c r="D13" s="141"/>
      <c r="E13" s="118">
        <v>1</v>
      </c>
      <c r="F13" s="182"/>
      <c r="G13" s="180" t="str">
        <f>IF(OR(E11 = 0, E11 = 2, E11 = 4), "", "ex) Zero Rate 5년 -&gt; 연 지급횟수= 0, 만기= 5 // CD91일 -&gt; 연 지급횟수= 4, 만기= 0.25")</f>
        <v/>
      </c>
      <c r="H13" s="180"/>
      <c r="I13" s="180"/>
      <c r="J13" s="180"/>
      <c r="K13" s="180"/>
      <c r="L13" s="181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72">
        <v>0</v>
      </c>
      <c r="Y13" s="172"/>
      <c r="AD13" s="176"/>
      <c r="AE13" s="111" t="str">
        <f>IF($AF$7&gt;=1,"금리결정조건Multiple", "")</f>
        <v>금리결정조건Multiple</v>
      </c>
      <c r="AF13" s="112"/>
      <c r="AG13" s="118">
        <v>1</v>
      </c>
      <c r="AH13" s="118"/>
      <c r="AI13" s="180" t="str">
        <f>IF(OR(AG11 = 0, AG11 = 2, AG11 = 4), "", "ex) Zero Rate 5년 -&gt; 연 지급횟수= 0, 만기= 5 // CD91일 -&gt; 연 지급횟수= 4, 만기= 0.25")</f>
        <v/>
      </c>
      <c r="AJ13" s="180"/>
      <c r="AK13" s="180"/>
      <c r="AL13" s="180"/>
      <c r="AM13" s="180"/>
      <c r="AN13" s="181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72">
        <v>0</v>
      </c>
      <c r="BA13" s="172"/>
    </row>
    <row r="14" spans="1:57" ht="16.2" customHeight="1" x14ac:dyDescent="0.4">
      <c r="A14" s="24">
        <f t="shared" si="1"/>
        <v>14</v>
      </c>
      <c r="B14" s="109"/>
      <c r="C14" s="163" t="str">
        <f>IF($D$7&gt;=1,"Power Spread Flag", "")</f>
        <v>Power Spread Flag</v>
      </c>
      <c r="D14" s="163"/>
      <c r="E14" s="113">
        <v>0</v>
      </c>
      <c r="F14" s="164"/>
      <c r="G14" s="119" t="str">
        <f>IF(E14&gt;0,"PowerSpreadFlag 1일때 입력","입력필요X")</f>
        <v>입력필요X</v>
      </c>
      <c r="H14" s="119"/>
      <c r="I14" s="119" t="str">
        <f>IF(E14&gt;0,"만기1","")</f>
        <v/>
      </c>
      <c r="J14" s="119"/>
      <c r="K14" s="120">
        <v>10</v>
      </c>
      <c r="L14" s="121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76"/>
      <c r="AE14" s="105" t="str">
        <f>IF($AF$7&gt;=1,"Power Spread Flag", "")</f>
        <v>Power Spread Flag</v>
      </c>
      <c r="AF14" s="105"/>
      <c r="AG14" s="113">
        <v>0</v>
      </c>
      <c r="AH14" s="113"/>
      <c r="AI14" s="185" t="str">
        <f>IF(AG14&gt;0,"PowerSpreadFlag 1일때 입력","입력필요X")</f>
        <v>입력필요X</v>
      </c>
      <c r="AJ14" s="185"/>
      <c r="AK14" s="185" t="str">
        <f>IF(AG14&gt;0,"만기1","")</f>
        <v/>
      </c>
      <c r="AL14" s="185"/>
      <c r="AM14" s="120">
        <v>10</v>
      </c>
      <c r="AN14" s="121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09" t="str">
        <f>IF($D$7&gt;0, "사용", "커브개수"&amp;"="&amp;$D$7&amp;"이므로 사용안함")</f>
        <v>사용</v>
      </c>
      <c r="C15" s="163" t="str">
        <f>IF($D$7&gt;=1,"기초금리 Range상한", "")</f>
        <v>기초금리 Range상한</v>
      </c>
      <c r="D15" s="163"/>
      <c r="E15" s="173">
        <v>10</v>
      </c>
      <c r="F15" s="174"/>
      <c r="G15" s="119"/>
      <c r="H15" s="119"/>
      <c r="I15" s="119" t="str">
        <f>IF(E14&gt;0,"만기2","")</f>
        <v/>
      </c>
      <c r="J15" s="119"/>
      <c r="K15" s="120">
        <v>5</v>
      </c>
      <c r="L15" s="121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76" t="str">
        <f>IF($AF$7&gt;0, "사용", "커브개수"&amp;"="&amp;$AF$7&amp;"이므로 사용안함")</f>
        <v>사용</v>
      </c>
      <c r="AE15" s="105" t="str">
        <f>IF($AF$7&gt;=1,"기초금리 Range상한", "")</f>
        <v>기초금리 Range상한</v>
      </c>
      <c r="AF15" s="105"/>
      <c r="AG15" s="173">
        <v>10</v>
      </c>
      <c r="AH15" s="173"/>
      <c r="AI15" s="185"/>
      <c r="AJ15" s="185"/>
      <c r="AK15" s="185" t="str">
        <f>IF(AG14&gt;0,"만기2","")</f>
        <v/>
      </c>
      <c r="AL15" s="185"/>
      <c r="AM15" s="120">
        <v>5</v>
      </c>
      <c r="AN15" s="121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09"/>
      <c r="C16" s="163" t="str">
        <f>IF($D$7&gt;=1,"기초금리 Range하한", "")</f>
        <v>기초금리 Range하한</v>
      </c>
      <c r="D16" s="89"/>
      <c r="E16" s="142">
        <v>-1</v>
      </c>
      <c r="F16" s="175"/>
      <c r="G16" s="135"/>
      <c r="H16" s="135"/>
      <c r="I16" s="159" t="str">
        <f>IF(E14&gt;0,"Spread1","")</f>
        <v/>
      </c>
      <c r="J16" s="159"/>
      <c r="K16" s="136" t="str">
        <f>IF(E14&gt;0, I14&amp;"-"&amp;I15, "")</f>
        <v/>
      </c>
      <c r="L16" s="13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76"/>
      <c r="AE16" s="105" t="str">
        <f>IF($AF$7&gt;=1,"기초금리 Range하한", "")</f>
        <v>기초금리 Range하한</v>
      </c>
      <c r="AF16" s="111"/>
      <c r="AG16" s="142">
        <v>-1</v>
      </c>
      <c r="AH16" s="142"/>
      <c r="AI16" s="188"/>
      <c r="AJ16" s="188"/>
      <c r="AK16" s="177" t="str">
        <f>IF(AG14&gt;0,"Spread1","")</f>
        <v/>
      </c>
      <c r="AL16" s="177"/>
      <c r="AM16" s="186" t="str">
        <f>IF(AG14&gt;0, AK14&amp;"-"&amp;AK15, "")</f>
        <v/>
      </c>
      <c r="AN16" s="18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83" t="str">
        <f>IF($D$7&gt;=1,"Payoff조건Multiple", "")</f>
        <v>Payoff조건Multiple</v>
      </c>
      <c r="D17" s="183"/>
      <c r="E17" s="168">
        <v>1</v>
      </c>
      <c r="F17" s="169"/>
      <c r="G17" s="190" t="str">
        <f>IF(E14&gt;0,"예시) 10년-5년 스왑: 연 지급횟수=4, 만기1=10, 만기2=5","")</f>
        <v/>
      </c>
      <c r="H17" s="190"/>
      <c r="I17" s="190"/>
      <c r="J17" s="190"/>
      <c r="K17" s="190"/>
      <c r="L17" s="191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30" t="str">
        <f>IF($AF$7&gt;=1,"Payoff조건Multiple", "")</f>
        <v>Payoff조건Multiple</v>
      </c>
      <c r="AF17" s="130"/>
      <c r="AG17" s="168">
        <v>1</v>
      </c>
      <c r="AH17" s="168"/>
      <c r="AI17" s="190" t="str">
        <f>IF(AG14&gt;0,"예시) 10년-5년 스왑: 연 지급횟수=4, 만기1=10, 만기2=5","")</f>
        <v/>
      </c>
      <c r="AJ17" s="190"/>
      <c r="AK17" s="190"/>
      <c r="AL17" s="190"/>
      <c r="AM17" s="190"/>
      <c r="AN17" s="191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08" t="str">
        <f>IF(D7&gt;=2,"기초금리2", "")</f>
        <v/>
      </c>
      <c r="C19" s="178" t="str">
        <f>IF($D$7&gt;=2,"커브번호", "")</f>
        <v/>
      </c>
      <c r="D19" s="178"/>
      <c r="E19" s="170">
        <v>2</v>
      </c>
      <c r="F19" s="170"/>
      <c r="G19" s="54"/>
      <c r="H19" s="25"/>
      <c r="I19" s="144" t="str">
        <f>IF(OR(E20 = 0, E20 = 2, E20 = 4), "RefType = "&amp;E20&amp;" 이므로 Ref Swap 금리정보 사용안함", "사용")</f>
        <v>RefType = 0 이므로 Ref Swap 금리정보 사용안함</v>
      </c>
      <c r="J19" s="144"/>
      <c r="K19" s="144"/>
      <c r="L19" s="167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56" t="str">
        <f>IF($AF$7&gt;=2,"기초금리2", "")</f>
        <v/>
      </c>
      <c r="AE19" s="129" t="str">
        <f>IF($AF$7&gt;=2,"커브번호", "")</f>
        <v/>
      </c>
      <c r="AF19" s="129"/>
      <c r="AG19" s="170">
        <v>2</v>
      </c>
      <c r="AH19" s="170"/>
      <c r="AI19" s="54"/>
      <c r="AK19" s="124" t="str">
        <f>IF(OR(AG20 = 0, AG20 = 2, AG20 = 4), "RefType = "&amp;AG20&amp;" 이므로 Ref Swap 금리정보 사용안함", "사용")</f>
        <v>RefType = 0 이므로 Ref Swap 금리정보 사용안함</v>
      </c>
      <c r="AL19" s="124"/>
      <c r="AM19" s="124"/>
      <c r="AN19" s="125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09"/>
      <c r="C20" s="89" t="str">
        <f>IF($D$7&gt;=2,"Reference Rate Type", "")</f>
        <v/>
      </c>
      <c r="D20" s="141"/>
      <c r="E20" s="171">
        <v>0</v>
      </c>
      <c r="F20" s="171"/>
      <c r="G20" s="115" t="str">
        <f>IF(OR(E20 = 0, E20 = 2, E20 = 4), "", "Zero/Swap 레퍼런스금리정보")</f>
        <v/>
      </c>
      <c r="H20" s="115"/>
      <c r="I20" s="115" t="str">
        <f>IF(OR(E20 = 0, E20 = 2, E20 = 4), "", "연 지급횟수")</f>
        <v/>
      </c>
      <c r="J20" s="116"/>
      <c r="K20" s="110">
        <v>4</v>
      </c>
      <c r="L20" s="117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76"/>
      <c r="AE20" s="111" t="str">
        <f>IF($AF$7&gt;=2,"Reference Rate Type", "")</f>
        <v/>
      </c>
      <c r="AF20" s="112"/>
      <c r="AG20" s="171">
        <v>0</v>
      </c>
      <c r="AH20" s="171"/>
      <c r="AI20" s="165" t="str">
        <f>IF(OR(AG20 = 0, AG20 = 2, AG20 = 4), "", "Zero/Swap 레퍼런스금리정보")</f>
        <v/>
      </c>
      <c r="AJ20" s="165"/>
      <c r="AK20" s="165" t="str">
        <f>IF(OR(AG20 = 0, AG20 = 2, AG20 = 4), "", "연 지급횟수")</f>
        <v/>
      </c>
      <c r="AL20" s="184"/>
      <c r="AM20" s="110">
        <v>4</v>
      </c>
      <c r="AN20" s="117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09"/>
      <c r="C21" s="89" t="str">
        <f>IF($D$7&gt;=2,"DayCount", "")</f>
        <v/>
      </c>
      <c r="D21" s="89"/>
      <c r="E21" s="113">
        <v>0</v>
      </c>
      <c r="F21" s="113"/>
      <c r="G21" s="115"/>
      <c r="H21" s="115"/>
      <c r="I21" s="115" t="str">
        <f>IF(OR(E20 = 0, E20 = 2, E20 = 4,E23=1), "", "만기")</f>
        <v/>
      </c>
      <c r="J21" s="116"/>
      <c r="K21" s="122">
        <v>1</v>
      </c>
      <c r="L21" s="12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76"/>
      <c r="AE21" s="111" t="str">
        <f>IF($AF$7&gt;=2,"DayCount", "")</f>
        <v/>
      </c>
      <c r="AF21" s="111"/>
      <c r="AG21" s="113">
        <v>0</v>
      </c>
      <c r="AH21" s="113"/>
      <c r="AI21" s="165"/>
      <c r="AJ21" s="165"/>
      <c r="AK21" s="115" t="str">
        <f>IF(OR(AG20 = 0, AG20 = 2, AG20 = 4,AG23=1), "", "만기")</f>
        <v/>
      </c>
      <c r="AL21" s="116"/>
      <c r="AM21" s="122">
        <v>5</v>
      </c>
      <c r="AN21" s="12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09"/>
      <c r="C22" s="89" t="str">
        <f>IF($D$7&gt;=2,"금리결정조건Multiple", "")</f>
        <v/>
      </c>
      <c r="D22" s="141"/>
      <c r="E22" s="118">
        <v>1</v>
      </c>
      <c r="F22" s="118"/>
      <c r="G22" s="180" t="str">
        <f>IF(OR(E20 = 0, E20 = 2, E20 = 4), "", "ex) Zero Rate 5년 -&gt; 연 지급횟수= 0, 만기= 5 // CD91일 -&gt; 연 지급횟수= 4, 만기= 0.25")</f>
        <v/>
      </c>
      <c r="H22" s="180"/>
      <c r="I22" s="180"/>
      <c r="J22" s="180"/>
      <c r="K22" s="180"/>
      <c r="L22" s="181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76"/>
      <c r="AE22" s="111" t="str">
        <f>IF($AF$7&gt;=2,"금리결정조건Multiple", "")</f>
        <v/>
      </c>
      <c r="AF22" s="112"/>
      <c r="AG22" s="118">
        <v>1</v>
      </c>
      <c r="AH22" s="118"/>
      <c r="AI22" s="180" t="str">
        <f>IF(OR(AG20 = 0, AG20 = 2, AG20 = 4), "", "ex) Zero Rate 5년 -&gt; 연 지급횟수= 0, 만기= 5 // CD91일 -&gt; 연 지급횟수= 4, 만기= 0.25")</f>
        <v/>
      </c>
      <c r="AJ22" s="180"/>
      <c r="AK22" s="180"/>
      <c r="AL22" s="180"/>
      <c r="AM22" s="180"/>
      <c r="AN22" s="181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09"/>
      <c r="C23" s="163" t="str">
        <f>IF($D$7&gt;=2,"Power Spread Flag", "")</f>
        <v/>
      </c>
      <c r="D23" s="163"/>
      <c r="E23" s="113">
        <v>0</v>
      </c>
      <c r="F23" s="113"/>
      <c r="G23" s="119" t="str">
        <f>IF(E23&gt;0,"PowerSpreadFlag 1일때 입력","입력필요X")</f>
        <v>입력필요X</v>
      </c>
      <c r="H23" s="119"/>
      <c r="I23" s="119" t="str">
        <f>IF(E23&gt;0,"만기1","")</f>
        <v/>
      </c>
      <c r="J23" s="119"/>
      <c r="K23" s="120">
        <v>10</v>
      </c>
      <c r="L23" s="121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76"/>
      <c r="AE23" s="105" t="str">
        <f>IF($AF$7&gt;=2,"Power Spread Flag", "")</f>
        <v/>
      </c>
      <c r="AF23" s="105"/>
      <c r="AG23" s="113">
        <v>0</v>
      </c>
      <c r="AH23" s="113"/>
      <c r="AI23" s="185" t="str">
        <f>IF(AG23&gt;0,"PowerSpreadFlag 1일때 입력","입력필요X")</f>
        <v>입력필요X</v>
      </c>
      <c r="AJ23" s="185"/>
      <c r="AK23" s="185" t="str">
        <f>IF(AG23&gt;0,"만기1","")</f>
        <v/>
      </c>
      <c r="AL23" s="185"/>
      <c r="AM23" s="120">
        <v>10</v>
      </c>
      <c r="AN23" s="121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09" t="str">
        <f>IF($D$7&gt;1, "사용", "커브개수"&amp;"="&amp;$D$7&amp;"이므로 사용안함")</f>
        <v>커브개수=1이므로 사용안함</v>
      </c>
      <c r="C24" s="163" t="str">
        <f>IF($D$7&gt;=2,"기초금리 Range상한", "")</f>
        <v/>
      </c>
      <c r="D24" s="163"/>
      <c r="E24" s="173">
        <v>10</v>
      </c>
      <c r="F24" s="173"/>
      <c r="G24" s="119"/>
      <c r="H24" s="119"/>
      <c r="I24" s="119" t="str">
        <f>IF(E23&gt;0,"만기2","")</f>
        <v/>
      </c>
      <c r="J24" s="119"/>
      <c r="K24" s="120">
        <v>5</v>
      </c>
      <c r="L24" s="121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76" t="str">
        <f>IF($AF$7&gt;1, "사용", "커브개수"&amp;"="&amp;$AF$7&amp;"이므로 사용안함")</f>
        <v>커브개수=1이므로 사용안함</v>
      </c>
      <c r="AE24" s="105" t="str">
        <f>IF($AF$7&gt;=2,"기초금리 Range상한", "")</f>
        <v/>
      </c>
      <c r="AF24" s="105"/>
      <c r="AG24" s="173">
        <v>0.5</v>
      </c>
      <c r="AH24" s="173"/>
      <c r="AI24" s="185"/>
      <c r="AJ24" s="185"/>
      <c r="AK24" s="185" t="str">
        <f>IF(AG23&gt;0,"만기2","")</f>
        <v/>
      </c>
      <c r="AL24" s="185"/>
      <c r="AM24" s="120">
        <v>5</v>
      </c>
      <c r="AN24" s="121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09"/>
      <c r="C25" s="163" t="str">
        <f>IF($D$7&gt;=2,"기초금리 Range하한", "")</f>
        <v/>
      </c>
      <c r="D25" s="89"/>
      <c r="E25" s="142">
        <v>-1</v>
      </c>
      <c r="F25" s="142"/>
      <c r="G25" s="135"/>
      <c r="H25" s="135"/>
      <c r="I25" s="159" t="str">
        <f>IF(E23&gt;0,"Spread1","")</f>
        <v/>
      </c>
      <c r="J25" s="159"/>
      <c r="K25" s="136" t="str">
        <f>IF(E23&gt;0, I23&amp;"-"&amp;I24, "")</f>
        <v/>
      </c>
      <c r="L25" s="13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76"/>
      <c r="AE25" s="105" t="str">
        <f>IF($AF$7&gt;=2,"기초금리 Range하한", "")</f>
        <v/>
      </c>
      <c r="AF25" s="111"/>
      <c r="AG25" s="142">
        <v>-0.1</v>
      </c>
      <c r="AH25" s="142"/>
      <c r="AI25" s="188"/>
      <c r="AJ25" s="188"/>
      <c r="AK25" s="177" t="str">
        <f>IF(AG23&gt;0,"Spread1","")</f>
        <v/>
      </c>
      <c r="AL25" s="177"/>
      <c r="AM25" s="186" t="str">
        <f>IF(AG23&gt;0, AK23&amp;"-"&amp;AK24, "")</f>
        <v/>
      </c>
      <c r="AN25" s="18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83" t="str">
        <f>IF($D$7&gt;=2,"Payoff조건Multiple", "")</f>
        <v/>
      </c>
      <c r="D26" s="183"/>
      <c r="E26" s="168">
        <v>0</v>
      </c>
      <c r="F26" s="168"/>
      <c r="G26" s="190" t="str">
        <f>IF(E23&gt;0,"예시) 10년-5년 스왑: 연 지급횟수=4, 만기1=10, 만기2=5","")</f>
        <v/>
      </c>
      <c r="H26" s="190"/>
      <c r="I26" s="190"/>
      <c r="J26" s="190"/>
      <c r="K26" s="190"/>
      <c r="L26" s="191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30" t="str">
        <f>IF($AF$7&gt;=2,"Payoff조건Multiple", "")</f>
        <v/>
      </c>
      <c r="AF26" s="130"/>
      <c r="AG26" s="168">
        <v>0</v>
      </c>
      <c r="AH26" s="168"/>
      <c r="AI26" s="190" t="str">
        <f>IF(AG23&gt;0,"예시) 10년-5년 스왑: 연 지급횟수=4, 만기1=10, 만기2=5","")</f>
        <v/>
      </c>
      <c r="AJ26" s="190"/>
      <c r="AK26" s="190"/>
      <c r="AL26" s="190"/>
      <c r="AM26" s="190"/>
      <c r="AN26" s="191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08" t="str">
        <f>IF($D$7&gt;=3,"기초금리3", "")</f>
        <v/>
      </c>
      <c r="C28" s="178" t="str">
        <f>IF($D$7&gt;=3,"커브번호", "")</f>
        <v/>
      </c>
      <c r="D28" s="178"/>
      <c r="E28" s="170">
        <v>3</v>
      </c>
      <c r="F28" s="170"/>
      <c r="G28" s="54"/>
      <c r="H28" s="25"/>
      <c r="I28" s="144" t="str">
        <f>IF(OR(E29 = 0, E29 = 2, E29 = 4), "RefType = "&amp;E29&amp;" 이므로 Ref Swap 금리정보 사용안함", "사용")</f>
        <v>RefType = 0 이므로 Ref Swap 금리정보 사용안함</v>
      </c>
      <c r="J28" s="144"/>
      <c r="K28" s="144"/>
      <c r="L28" s="167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56" t="str">
        <f>IF($AF$7&gt;=3,"기초금리3", "")</f>
        <v/>
      </c>
      <c r="AE28" s="129" t="str">
        <f>IF($AF$7&gt;=3,"커브번호", "")</f>
        <v/>
      </c>
      <c r="AF28" s="129"/>
      <c r="AG28" s="170">
        <v>3</v>
      </c>
      <c r="AH28" s="170"/>
      <c r="AI28" s="54"/>
      <c r="AK28" s="124" t="str">
        <f>IF(OR(AG29 = 0, AG29 = 2, AG29 = 4), "RefType = "&amp;AG29&amp;" 이므로 Ref Swap 금리정보 사용안함", "사용")</f>
        <v>RefType = 0 이므로 Ref Swap 금리정보 사용안함</v>
      </c>
      <c r="AL28" s="124"/>
      <c r="AM28" s="124"/>
      <c r="AN28" s="125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09"/>
      <c r="C29" s="89" t="str">
        <f>IF($D$7&gt;=3,"Reference Rate Type", "")</f>
        <v/>
      </c>
      <c r="D29" s="141"/>
      <c r="E29" s="171">
        <v>0</v>
      </c>
      <c r="F29" s="171"/>
      <c r="G29" s="115" t="str">
        <f>IF(OR(E29 = 0, E29 = 2, E29 = 4), "", "Zero/Swap 레퍼런스금리정보")</f>
        <v/>
      </c>
      <c r="H29" s="115"/>
      <c r="I29" s="115" t="str">
        <f>IF(OR(E29 = 0, E29 = 2, E29 = 4), "", "연 지급횟수")</f>
        <v/>
      </c>
      <c r="J29" s="116"/>
      <c r="K29" s="110">
        <v>4</v>
      </c>
      <c r="L29" s="117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76"/>
      <c r="AE29" s="111" t="str">
        <f>IF($AF$7&gt;=3,"Reference Rate Type", "")</f>
        <v/>
      </c>
      <c r="AF29" s="112"/>
      <c r="AG29" s="171">
        <v>0</v>
      </c>
      <c r="AH29" s="171"/>
      <c r="AI29" s="165" t="str">
        <f>IF(OR(AG29 = 0, AG29 = 2, AG29 = 4), "", "Zero/Swap 레퍼런스금리정보")</f>
        <v/>
      </c>
      <c r="AJ29" s="165"/>
      <c r="AK29" s="165" t="str">
        <f>IF(OR(AG29 = 0, AG29 = 2, AG29 = 4), "", "연 지급횟수")</f>
        <v/>
      </c>
      <c r="AL29" s="184"/>
      <c r="AM29" s="110">
        <v>4</v>
      </c>
      <c r="AN29" s="117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09"/>
      <c r="C30" s="89" t="str">
        <f>IF($D$7&gt;=3,"DayCount", "")</f>
        <v/>
      </c>
      <c r="D30" s="89"/>
      <c r="E30" s="113">
        <v>0</v>
      </c>
      <c r="F30" s="113"/>
      <c r="G30" s="115"/>
      <c r="H30" s="115"/>
      <c r="I30" s="115" t="str">
        <f>IF(OR(E29 = 0, E29 = 2, E29 = 4,E32=1), "", "만기")</f>
        <v/>
      </c>
      <c r="J30" s="116"/>
      <c r="K30" s="122">
        <v>5</v>
      </c>
      <c r="L30" s="12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76"/>
      <c r="AE30" s="111" t="str">
        <f>IF($AF$7&gt;=3,"DayCount", "")</f>
        <v/>
      </c>
      <c r="AF30" s="111"/>
      <c r="AG30" s="113">
        <v>0</v>
      </c>
      <c r="AH30" s="113"/>
      <c r="AI30" s="165"/>
      <c r="AJ30" s="165"/>
      <c r="AK30" s="115" t="str">
        <f>IF(OR(AG29 = 0, AG29 = 2, AG29 = 4,AG32=1), "", "만기")</f>
        <v/>
      </c>
      <c r="AL30" s="116"/>
      <c r="AM30" s="122">
        <v>5</v>
      </c>
      <c r="AN30" s="12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09"/>
      <c r="C31" s="89" t="str">
        <f>IF($D$7&gt;=3,"금리결정조건Multiple", "")</f>
        <v/>
      </c>
      <c r="D31" s="141"/>
      <c r="E31" s="118">
        <v>1</v>
      </c>
      <c r="F31" s="118"/>
      <c r="G31" s="180" t="str">
        <f>IF(OR(E29 = 0, E29 = 2, E29 = 4), "", "ex) Zero Rate 5년 -&gt; 연 지급횟수= 0, 만기= 5 // CD91일 -&gt; 연 지급횟수= 4, 만기= 0.25")</f>
        <v/>
      </c>
      <c r="H31" s="180"/>
      <c r="I31" s="180"/>
      <c r="J31" s="180"/>
      <c r="K31" s="180"/>
      <c r="L31" s="181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76"/>
      <c r="AE31" s="111" t="str">
        <f>IF($AF$7&gt;=3,"금리결정조건Multiple", "")</f>
        <v/>
      </c>
      <c r="AF31" s="112"/>
      <c r="AG31" s="118">
        <v>1</v>
      </c>
      <c r="AH31" s="118"/>
      <c r="AI31" s="180" t="str">
        <f>IF(OR(AG29 = 0, AG29 = 2, AG29 = 4), "", "ex) Zero Rate 5년 -&gt; 연 지급횟수= 0, 만기= 5 // CD91일 -&gt; 연 지급횟수= 4, 만기= 0.25")</f>
        <v/>
      </c>
      <c r="AJ31" s="180"/>
      <c r="AK31" s="180"/>
      <c r="AL31" s="180"/>
      <c r="AM31" s="180"/>
      <c r="AN31" s="181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09"/>
      <c r="C32" s="163" t="str">
        <f>IF($D$7&gt;=3,"Power Spread Flag", "")</f>
        <v/>
      </c>
      <c r="D32" s="163"/>
      <c r="E32" s="113">
        <v>0</v>
      </c>
      <c r="F32" s="113"/>
      <c r="G32" s="119" t="str">
        <f>IF(E32&gt;0,"PowerSpreadFlag 1일때 입력","입력필요X")</f>
        <v>입력필요X</v>
      </c>
      <c r="H32" s="119"/>
      <c r="I32" s="119" t="str">
        <f>IF(E32&gt;0,"만기1","")</f>
        <v/>
      </c>
      <c r="J32" s="119"/>
      <c r="K32" s="120">
        <v>10</v>
      </c>
      <c r="L32" s="121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76"/>
      <c r="AE32" s="105" t="str">
        <f>IF($AF$7&gt;=3,"Power Spread Flag", "")</f>
        <v/>
      </c>
      <c r="AF32" s="105"/>
      <c r="AG32" s="113">
        <v>0</v>
      </c>
      <c r="AH32" s="113"/>
      <c r="AI32" s="185" t="str">
        <f>IF(AG32&gt;0,"PowerSpreadFlag 1일때 입력","입력필요X")</f>
        <v>입력필요X</v>
      </c>
      <c r="AJ32" s="185"/>
      <c r="AK32" s="185" t="str">
        <f>IF(AG32&gt;0,"만기1","")</f>
        <v/>
      </c>
      <c r="AL32" s="185"/>
      <c r="AM32" s="120">
        <v>10</v>
      </c>
      <c r="AN32" s="121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09" t="str">
        <f>IF($D$7&gt;2, "사용", "커브개수"&amp;"="&amp;$D$7&amp;"이므로 사용안함")</f>
        <v>커브개수=1이므로 사용안함</v>
      </c>
      <c r="C33" s="163" t="str">
        <f>IF($D$7&gt;=3,"기초금리 Range상한", "")</f>
        <v/>
      </c>
      <c r="D33" s="163"/>
      <c r="E33" s="173">
        <v>0.5</v>
      </c>
      <c r="F33" s="173"/>
      <c r="G33" s="119"/>
      <c r="H33" s="119"/>
      <c r="I33" s="119" t="str">
        <f>IF(E32&gt;0,"만기2","")</f>
        <v/>
      </c>
      <c r="J33" s="119"/>
      <c r="K33" s="120">
        <v>5</v>
      </c>
      <c r="L33" s="121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76" t="str">
        <f>IF($AF$7&gt;2, "사용", "커브개수"&amp;"="&amp;$AF$7&amp;"이므로 사용안함")</f>
        <v>커브개수=1이므로 사용안함</v>
      </c>
      <c r="AE33" s="105" t="str">
        <f>IF($AF$7&gt;=3,"기초금리 Range상한", "")</f>
        <v/>
      </c>
      <c r="AF33" s="105"/>
      <c r="AG33" s="173">
        <v>0.5</v>
      </c>
      <c r="AH33" s="173"/>
      <c r="AI33" s="185"/>
      <c r="AJ33" s="185"/>
      <c r="AK33" s="185" t="str">
        <f>IF(AG32&gt;0,"만기2","")</f>
        <v/>
      </c>
      <c r="AL33" s="185"/>
      <c r="AM33" s="120">
        <v>5</v>
      </c>
      <c r="AN33" s="121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09"/>
      <c r="C34" s="163" t="str">
        <f>IF($D$7&gt;=3,"기초금리 Range하한", "")</f>
        <v/>
      </c>
      <c r="D34" s="89"/>
      <c r="E34" s="142">
        <v>-0.1</v>
      </c>
      <c r="F34" s="142"/>
      <c r="G34" s="135"/>
      <c r="H34" s="135"/>
      <c r="I34" s="159" t="str">
        <f>IF(E32&gt;0,"Spread1","")</f>
        <v/>
      </c>
      <c r="J34" s="159"/>
      <c r="K34" s="136" t="str">
        <f>IF(E32&gt;0, I32&amp;"-"&amp;I33, "")</f>
        <v/>
      </c>
      <c r="L34" s="13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76"/>
      <c r="AE34" s="105" t="str">
        <f>IF($AF$7&gt;=3,"기초금리 Range하한", "")</f>
        <v/>
      </c>
      <c r="AF34" s="111"/>
      <c r="AG34" s="142">
        <v>-0.1</v>
      </c>
      <c r="AH34" s="142"/>
      <c r="AI34" s="188"/>
      <c r="AJ34" s="188"/>
      <c r="AK34" s="177" t="str">
        <f>IF(AG32&gt;0,"Spread1","")</f>
        <v/>
      </c>
      <c r="AL34" s="177"/>
      <c r="AM34" s="186" t="str">
        <f>IF(AG32&gt;0, AK32&amp;"-"&amp;AK33, "")</f>
        <v/>
      </c>
      <c r="AN34" s="18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83" t="str">
        <f>IF($D$7&gt;=3,"Payoff조건Multiple", "")</f>
        <v/>
      </c>
      <c r="D35" s="183"/>
      <c r="E35" s="168">
        <v>0</v>
      </c>
      <c r="F35" s="168"/>
      <c r="G35" s="190" t="str">
        <f>IF(E32&gt;0,"예시) 10년-5년 스왑: 연 지급횟수=4, 만기1=10, 만기2=5","")</f>
        <v/>
      </c>
      <c r="H35" s="190"/>
      <c r="I35" s="190"/>
      <c r="J35" s="190"/>
      <c r="K35" s="190"/>
      <c r="L35" s="191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30" t="str">
        <f>IF($AF$7&gt;=3,"Payoff조건Multiple", "")</f>
        <v/>
      </c>
      <c r="AF35" s="130"/>
      <c r="AG35" s="168">
        <v>0</v>
      </c>
      <c r="AH35" s="168"/>
      <c r="AI35" s="190" t="str">
        <f>IF(AG32&gt;0,"예시) 10년-5년 스왑: 연 지급횟수=4, 만기1=10, 만기2=5","")</f>
        <v/>
      </c>
      <c r="AJ35" s="190"/>
      <c r="AK35" s="190"/>
      <c r="AL35" s="190"/>
      <c r="AM35" s="190"/>
      <c r="AN35" s="191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26" t="s">
        <v>89</v>
      </c>
      <c r="C37" s="129" t="s">
        <v>29</v>
      </c>
      <c r="D37" s="129"/>
      <c r="E37" s="131">
        <v>1</v>
      </c>
      <c r="F37" s="132"/>
      <c r="G37" s="25"/>
      <c r="H37" s="156" t="s">
        <v>44</v>
      </c>
      <c r="I37" s="126"/>
      <c r="J37" s="157">
        <v>0</v>
      </c>
      <c r="K37" s="157"/>
      <c r="L37" s="158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26" t="s">
        <v>89</v>
      </c>
      <c r="AE37" s="129" t="s">
        <v>29</v>
      </c>
      <c r="AF37" s="129"/>
      <c r="AG37" s="131">
        <v>1</v>
      </c>
      <c r="AH37" s="132"/>
      <c r="AJ37" s="156" t="s">
        <v>44</v>
      </c>
      <c r="AK37" s="126"/>
      <c r="AL37" s="157">
        <v>0</v>
      </c>
      <c r="AM37" s="157"/>
      <c r="AN37" s="158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27"/>
      <c r="C38" s="130"/>
      <c r="D38" s="130"/>
      <c r="E38" s="133"/>
      <c r="F38" s="134"/>
      <c r="G38" s="25"/>
      <c r="H38" s="138" t="s">
        <v>45</v>
      </c>
      <c r="I38" s="139"/>
      <c r="J38" s="139"/>
      <c r="K38" s="139"/>
      <c r="L38" s="140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27"/>
      <c r="AE38" s="130"/>
      <c r="AF38" s="130"/>
      <c r="AG38" s="133"/>
      <c r="AH38" s="134"/>
      <c r="AJ38" s="138" t="s">
        <v>45</v>
      </c>
      <c r="AK38" s="139"/>
      <c r="AL38" s="139"/>
      <c r="AM38" s="139"/>
      <c r="AN38" s="140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27"/>
      <c r="C39" s="128"/>
      <c r="D39" s="128"/>
      <c r="E39" s="128"/>
      <c r="F39" s="128"/>
      <c r="G39" s="25"/>
      <c r="H39" s="15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54"/>
      <c r="J39" s="154"/>
      <c r="K39" s="154"/>
      <c r="L39" s="155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27"/>
      <c r="AE39" s="128"/>
      <c r="AF39" s="128"/>
      <c r="AG39" s="128"/>
      <c r="AH39" s="128"/>
      <c r="AJ39" s="15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51"/>
      <c r="AL39" s="151"/>
      <c r="AM39" s="151"/>
      <c r="AN39" s="152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89" t="s">
        <v>85</v>
      </c>
      <c r="C42" s="189"/>
      <c r="D42" s="189"/>
      <c r="E42" s="189"/>
      <c r="F42" s="189"/>
      <c r="G42" s="189"/>
      <c r="H42" s="189"/>
      <c r="I42" s="189"/>
      <c r="J42" s="189"/>
      <c r="K42" s="189"/>
      <c r="L42" s="189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3" t="s">
        <v>105</v>
      </c>
      <c r="C3" s="193"/>
      <c r="D3" s="194">
        <v>0</v>
      </c>
      <c r="E3" s="194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3" t="s">
        <v>51</v>
      </c>
      <c r="C4" s="193"/>
      <c r="D4" s="194">
        <v>10000</v>
      </c>
      <c r="E4" s="194"/>
      <c r="F4" s="7"/>
      <c r="G4" s="196" t="s">
        <v>69</v>
      </c>
      <c r="H4" s="197"/>
      <c r="I4" s="198">
        <v>1927.030417359789</v>
      </c>
      <c r="J4" s="199"/>
      <c r="K4" s="7"/>
      <c r="L4" s="52">
        <v>45985.918946759259</v>
      </c>
      <c r="M4" s="1" t="s">
        <v>5</v>
      </c>
      <c r="N4" s="100" t="s">
        <v>6</v>
      </c>
      <c r="O4" s="100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3" t="s">
        <v>26</v>
      </c>
      <c r="C5" s="193"/>
      <c r="D5" s="194">
        <v>0</v>
      </c>
      <c r="E5" s="194"/>
      <c r="F5" s="7"/>
      <c r="G5" s="196" t="s">
        <v>70</v>
      </c>
      <c r="H5" s="197"/>
      <c r="I5" s="198">
        <v>2243.3182894695224</v>
      </c>
      <c r="J5" s="199"/>
      <c r="K5" s="7"/>
      <c r="L5" s="52">
        <v>45985.918946759259</v>
      </c>
      <c r="M5" s="7"/>
      <c r="N5" s="100"/>
      <c r="O5" s="100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3" t="s">
        <v>109</v>
      </c>
      <c r="C6" s="193"/>
      <c r="D6" s="194">
        <v>0</v>
      </c>
      <c r="E6" s="194"/>
      <c r="F6" s="7"/>
      <c r="G6" s="196" t="s">
        <v>101</v>
      </c>
      <c r="H6" s="197"/>
      <c r="I6" s="198">
        <v>177.48014145198061</v>
      </c>
      <c r="J6" s="199"/>
      <c r="K6" s="49"/>
      <c r="L6" s="13"/>
      <c r="M6" s="7"/>
      <c r="N6" s="100"/>
      <c r="O6" s="100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6" t="s">
        <v>84</v>
      </c>
      <c r="H7" s="197"/>
      <c r="I7" s="198">
        <v>493.76801356171399</v>
      </c>
      <c r="J7" s="199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5" t="s">
        <v>57</v>
      </c>
      <c r="C10" s="195"/>
      <c r="D10" s="195"/>
      <c r="E10" s="195"/>
      <c r="F10" s="195"/>
      <c r="G10" s="195"/>
      <c r="H10" s="195"/>
      <c r="I10" s="195" t="s">
        <v>60</v>
      </c>
      <c r="J10" s="195"/>
      <c r="K10" s="195"/>
      <c r="L10" s="195"/>
      <c r="M10" s="195"/>
      <c r="N10" s="195"/>
      <c r="O10" s="195"/>
      <c r="P10" s="7"/>
      <c r="Q10" s="195" t="s">
        <v>93</v>
      </c>
      <c r="R10" s="195"/>
      <c r="S10" s="7"/>
      <c r="T10" s="7"/>
      <c r="U10" s="195" t="s">
        <v>94</v>
      </c>
      <c r="V10" s="195"/>
      <c r="W10" s="7"/>
      <c r="Y10" s="195" t="s">
        <v>95</v>
      </c>
      <c r="Z10" s="195"/>
      <c r="AA10" s="7"/>
      <c r="AB10" s="7"/>
      <c r="AC10" s="195" t="s">
        <v>96</v>
      </c>
      <c r="AD10" s="195"/>
      <c r="AE10" s="7"/>
      <c r="AF10" s="7"/>
      <c r="AG10" s="195" t="s">
        <v>97</v>
      </c>
      <c r="AH10" s="195"/>
      <c r="AI10" s="7"/>
      <c r="AJ10" s="7"/>
      <c r="AK10" s="195" t="s">
        <v>98</v>
      </c>
      <c r="AL10" s="195"/>
      <c r="AM10" s="7"/>
      <c r="AN10" s="7"/>
      <c r="AO10" s="195" t="s">
        <v>99</v>
      </c>
      <c r="AP10" s="195"/>
      <c r="AQ10" s="7"/>
      <c r="AR10" s="7"/>
      <c r="AS10" s="195" t="s">
        <v>100</v>
      </c>
      <c r="AT10" s="195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5" t="s">
        <v>92</v>
      </c>
      <c r="R13" s="195"/>
      <c r="S13" s="55"/>
      <c r="T13" s="7"/>
      <c r="U13" s="195" t="s">
        <v>92</v>
      </c>
      <c r="V13" s="195"/>
      <c r="W13" s="55"/>
      <c r="Y13" s="195" t="s">
        <v>92</v>
      </c>
      <c r="Z13" s="195"/>
      <c r="AA13" s="55"/>
      <c r="AB13" s="7"/>
      <c r="AC13" s="195" t="s">
        <v>92</v>
      </c>
      <c r="AD13" s="195"/>
      <c r="AE13" s="55"/>
      <c r="AF13" s="7"/>
      <c r="AG13" s="195" t="s">
        <v>92</v>
      </c>
      <c r="AH13" s="195"/>
      <c r="AI13" s="55"/>
      <c r="AJ13" s="7"/>
      <c r="AK13" s="195" t="s">
        <v>92</v>
      </c>
      <c r="AL13" s="195"/>
      <c r="AM13" s="55"/>
      <c r="AN13" s="7"/>
      <c r="AO13" s="195" t="s">
        <v>92</v>
      </c>
      <c r="AP13" s="195"/>
      <c r="AQ13" s="55"/>
      <c r="AR13" s="7"/>
      <c r="AS13" s="195" t="s">
        <v>92</v>
      </c>
      <c r="AT13" s="195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2025-11-24T13:03:19Z</dcterms:modified>
</cp:coreProperties>
</file>