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BSCapFloor\"/>
    </mc:Choice>
  </mc:AlternateContent>
  <xr:revisionPtr revIDLastSave="0" documentId="13_ncr:1_{2D818EFB-9138-4240-A4E6-6BB50313188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 s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<sst xmlns="http://schemas.openxmlformats.org/spreadsheetml/2006/main" count="24" uniqueCount="24">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</sst>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D6" sqref="D6:E6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23</v>
      </c>
      <c r="D2" s="1">
        <v>1</v>
      </c>
      <c r="F2" s="1"/>
      <c r="G2" s="1"/>
      <c r="I2" s="1"/>
      <c r="N2" s="1"/>
      <c r="O2" s="1"/>
    </row>
    <row r="3" spans="1:17" x14ac:dyDescent="0.4">
      <c r="B3" s="13" t="s">
        <v>0</v>
      </c>
      <c r="C3" s="13"/>
      <c r="D3" s="18">
        <v>45608</v>
      </c>
      <c r="E3" s="14"/>
      <c r="F3" s="13" t="s">
        <v>1</v>
      </c>
      <c r="G3" s="13"/>
      <c r="H3" s="14">
        <v>0</v>
      </c>
      <c r="I3" s="14"/>
      <c r="J3" s="15" t="s">
        <v>18</v>
      </c>
      <c r="K3" s="16"/>
      <c r="L3" s="17">
        <v>0</v>
      </c>
      <c r="M3" s="17"/>
      <c r="N3" s="1"/>
      <c r="O3" s="1"/>
    </row>
    <row r="4" spans="1:17" x14ac:dyDescent="0.4">
      <c r="B4" s="13" t="s">
        <v>14</v>
      </c>
      <c r="C4" s="13"/>
      <c r="D4" s="18">
        <f>D3+1</f>
        <v>45609</v>
      </c>
      <c r="E4" s="14"/>
      <c r="F4" s="13" t="s">
        <v>2</v>
      </c>
      <c r="G4" s="13"/>
      <c r="H4" s="14">
        <v>0</v>
      </c>
      <c r="I4" s="14"/>
      <c r="J4" s="13" t="s">
        <v>19</v>
      </c>
      <c r="K4" s="13"/>
      <c r="L4" s="14">
        <v>0</v>
      </c>
      <c r="M4" s="14"/>
      <c r="N4" s="1"/>
      <c r="O4" s="1"/>
    </row>
    <row r="5" spans="1:17" x14ac:dyDescent="0.4">
      <c r="B5" s="13" t="s">
        <v>15</v>
      </c>
      <c r="C5" s="13"/>
      <c r="D5" s="18">
        <f>EDATE(D4,12)</f>
        <v>45974</v>
      </c>
      <c r="E5" s="14"/>
      <c r="F5" s="13" t="s">
        <v>3</v>
      </c>
      <c r="G5" s="13"/>
      <c r="H5" s="14">
        <v>1</v>
      </c>
      <c r="I5" s="14"/>
      <c r="J5" s="13" t="s">
        <v>21</v>
      </c>
      <c r="K5" s="13"/>
      <c r="L5" s="14">
        <v>2</v>
      </c>
      <c r="M5" s="14"/>
      <c r="N5" s="1"/>
      <c r="O5" s="1"/>
    </row>
    <row r="6" spans="1:17" x14ac:dyDescent="0.4">
      <c r="B6" s="15" t="s">
        <v>4</v>
      </c>
      <c r="C6" s="16"/>
      <c r="D6" s="14">
        <v>0</v>
      </c>
      <c r="E6" s="14"/>
      <c r="F6" s="13" t="str">
        <f>IF(H5 = 1, "HolidayNation","Not Used")</f>
        <v>HolidayNation</v>
      </c>
      <c r="G6" s="13"/>
      <c r="H6" s="14">
        <v>0</v>
      </c>
      <c r="I6" s="14"/>
      <c r="N6" s="19" t="s">
        <v>5</v>
      </c>
      <c r="O6" s="19"/>
      <c r="P6" s="20">
        <v>45985.923206018517</v>
      </c>
      <c r="Q6" s="20"/>
    </row>
    <row r="7" spans="1:17" x14ac:dyDescent="0.4">
      <c r="B7" s="15" t="s">
        <v>6</v>
      </c>
      <c r="C7" s="16"/>
      <c r="D7" s="14">
        <v>4</v>
      </c>
      <c r="E7" s="14"/>
      <c r="F7" s="13" t="s">
        <v>7</v>
      </c>
      <c r="G7" s="13"/>
      <c r="H7" s="14">
        <v>0</v>
      </c>
      <c r="I7" s="14"/>
      <c r="N7" s="19" t="s">
        <v>8</v>
      </c>
      <c r="O7" s="19"/>
      <c r="P7" s="20">
        <v>45985.923206018517</v>
      </c>
      <c r="Q7" s="20"/>
    </row>
    <row r="8" spans="1:17" x14ac:dyDescent="0.4">
      <c r="B8" s="1"/>
      <c r="C8" s="1"/>
      <c r="F8" s="15" t="s">
        <v>9</v>
      </c>
      <c r="G8" s="16"/>
      <c r="H8" s="17">
        <v>3.1394999999999999E-2</v>
      </c>
      <c r="I8" s="17"/>
      <c r="N8" s="1"/>
      <c r="O8" s="1"/>
    </row>
    <row r="9" spans="1:17" x14ac:dyDescent="0.4">
      <c r="B9" s="15" t="s">
        <v>10</v>
      </c>
      <c r="C9" s="16"/>
      <c r="D9" s="14">
        <v>1</v>
      </c>
      <c r="E9" s="14"/>
      <c r="F9" s="15" t="s">
        <v>11</v>
      </c>
      <c r="G9" s="16"/>
      <c r="H9" s="22">
        <v>1</v>
      </c>
      <c r="I9" s="22"/>
      <c r="N9" s="19" t="s">
        <v>12</v>
      </c>
      <c r="O9" s="19"/>
      <c r="P9" s="21">
        <v>4.6891607785068991E-3</v>
      </c>
      <c r="Q9" s="21"/>
    </row>
    <row r="10" spans="1:17" x14ac:dyDescent="0.4">
      <c r="B10" s="15" t="s">
        <v>16</v>
      </c>
      <c r="C10" s="16"/>
      <c r="D10" s="14">
        <v>0</v>
      </c>
      <c r="E10" s="14"/>
      <c r="F10" s="13" t="s">
        <v>20</v>
      </c>
      <c r="G10" s="13"/>
      <c r="H10" s="14">
        <v>0</v>
      </c>
      <c r="I10" s="14"/>
      <c r="N10" s="19" t="s">
        <v>22</v>
      </c>
      <c r="O10" s="19"/>
      <c r="P10" s="21">
        <v>3.1399637339174696E-2</v>
      </c>
      <c r="Q10" s="21"/>
    </row>
    <row r="11" spans="1:17" x14ac:dyDescent="0.4">
      <c r="B11" s="24" t="s">
        <v>13</v>
      </c>
      <c r="C11" s="24"/>
      <c r="F11" s="24" t="s">
        <v>17</v>
      </c>
      <c r="G11" s="24"/>
      <c r="I11" s="24" t="str">
        <f>IF(H5=1,"NotUsed","Holiday")</f>
        <v>NotUsed</v>
      </c>
      <c r="N11" s="1"/>
      <c r="O11" s="1"/>
    </row>
    <row r="12" spans="1:17" x14ac:dyDescent="0.4">
      <c r="B12" s="24"/>
      <c r="C12" s="24"/>
      <c r="F12" s="24" t="str">
        <f>"볼 "&amp;IF(D9=0,"BS","Normal")</f>
        <v>볼 Normal</v>
      </c>
      <c r="G12" s="24"/>
      <c r="I12" s="24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23">
        <v>2.1253000000000001E-2</v>
      </c>
      <c r="G13" s="23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F13:G13"/>
    <mergeCell ref="F12:G12"/>
    <mergeCell ref="F10:G10"/>
    <mergeCell ref="H10:I10"/>
    <mergeCell ref="B11:C12"/>
    <mergeCell ref="F11:G11"/>
    <mergeCell ref="I11:I12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N6:O6"/>
    <mergeCell ref="P6:Q6"/>
    <mergeCell ref="B7:C7"/>
    <mergeCell ref="D7:E7"/>
    <mergeCell ref="F7:G7"/>
    <mergeCell ref="H7:I7"/>
    <mergeCell ref="N7:O7"/>
    <mergeCell ref="P7:Q7"/>
    <mergeCell ref="F5:G5"/>
    <mergeCell ref="H5:I5"/>
    <mergeCell ref="B6:C6"/>
    <mergeCell ref="D6:E6"/>
    <mergeCell ref="F6:G6"/>
    <mergeCell ref="H6:I6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2025-11-24T13:09:26Z</dcterms:modified>
</cp:coreProperties>
</file>