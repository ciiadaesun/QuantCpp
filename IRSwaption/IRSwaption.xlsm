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</commentList>
</comments>
</file>

<file path=xl/sharedStrings.xml><?xml version="1.0" encoding="utf-8"?>
<sst xmlns="http://schemas.openxmlformats.org/spreadsheetml/2006/main" count="16" uniqueCount="16">
  <si>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</si>
  <si>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</si>
  <si>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</si>
  <si>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</si>
  <si>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</si>
  <si>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</si>
  <si>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</si>
  <si>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</si>
  <si>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</si>
  <si>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</si>
  <si>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</si>
  <si>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</si>
  <si>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</si>
  <si>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</si>
  <si>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</si>
  <si>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KeyRatePV01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</si>
</sst>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9" formatCode="0.000%"/>
    <numFmt numFmtId="180" formatCode="0.0000%"/>
    <numFmt numFmtId="184" formatCode="0.0_);[Red]\(0.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6" fontId="8" fillId="5" borderId="0" xfId="0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horizontal="center" vertical="center"/>
    </xf>
    <xf numFmtId="14" fontId="11" fillId="5" borderId="0" xfId="0" applyNumberFormat="1" applyFont="1" applyFill="1" applyAlignment="1">
      <alignment horizontal="center" vertical="center"/>
    </xf>
    <xf numFmtId="0" fontId="0" fillId="5" borderId="0" xfId="0" applyFill="1">
      <alignment vertical="center"/>
    </xf>
    <xf numFmtId="176" fontId="12" fillId="5" borderId="0" xfId="0" applyNumberFormat="1" applyFont="1" applyFill="1" applyBorder="1">
      <alignment vertical="center"/>
    </xf>
    <xf numFmtId="176" fontId="13" fillId="5" borderId="0" xfId="0" applyNumberFormat="1" applyFont="1" applyFill="1">
      <alignment vertical="center"/>
    </xf>
    <xf numFmtId="179" fontId="4" fillId="4" borderId="0" xfId="0" applyNumberFormat="1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  <xf numFmtId="180" fontId="9" fillId="5" borderId="0" xfId="0" applyNumberFormat="1" applyFont="1" applyFill="1" applyBorder="1" applyAlignment="1"/>
    <xf numFmtId="180" fontId="9" fillId="5" borderId="0" xfId="1" applyNumberFormat="1" applyFont="1" applyFill="1" applyBorder="1" applyAlignment="1"/>
    <xf numFmtId="180" fontId="4" fillId="5" borderId="0" xfId="1" applyNumberFormat="1" applyFont="1" applyFill="1" applyBorder="1">
      <alignment vertical="center"/>
    </xf>
    <xf numFmtId="180" fontId="0" fillId="5" borderId="0" xfId="1" applyNumberFormat="1" applyFont="1" applyFill="1">
      <alignment vertical="center"/>
    </xf>
    <xf numFmtId="184" fontId="4" fillId="4" borderId="0" xfId="0" applyNumberFormat="1" applyFont="1" applyFill="1" applyAlignment="1">
      <alignment horizontal="center" vertical="center"/>
    </xf>
    <xf numFmtId="0" fontId="13" fillId="7" borderId="0" xfId="0" applyFont="1" applyFill="1">
      <alignment vertical="center"/>
    </xf>
    <xf numFmtId="0" fontId="13" fillId="7" borderId="0" xfId="0" applyFont="1" applyFill="1" applyAlignment="1">
      <alignment horizontal="center" vertical="center"/>
    </xf>
    <xf numFmtId="0" fontId="0" fillId="8" borderId="0" xfId="0" applyFill="1">
      <alignment vertical="center"/>
    </xf>
    <xf numFmtId="0" fontId="0" fillId="8" borderId="0" xfId="0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670560</xdr:colOff>
          <xdr:row>1</xdr:row>
          <xdr:rowOff>22860</xdr:rowOff>
        </xdr:from>
        <xdr:to>
          <xdr:col>12</xdr:col>
          <xdr:colOff>251460</xdr:colOff>
          <xdr:row>4</xdr:row>
          <xdr:rowOff>60960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3"/>
  <sheetViews>
    <sheetView tabSelected="1" workbookViewId="0">
      <selection activeCell="H20" sqref="H20"/>
    </sheetView>
  </sheetViews>
  <sheetFormatPr defaultColWidth="10.8984375" defaultRowHeight="17.399999999999999" x14ac:dyDescent="0.4"/>
  <cols>
    <col min="1" max="1" width="10.8984375" style="1"/>
    <col min="2" max="2" width="10.8984375" style="13"/>
    <col min="3" max="3" width="10.8984375" style="19"/>
    <col min="4" max="6" width="10.8984375" style="1"/>
    <col min="7" max="7" width="10.8984375" style="11"/>
    <col min="8" max="11" width="10.8984375" style="1"/>
    <col min="12" max="13" width="10.8984375" style="23"/>
    <col min="14" max="16384" width="10.8984375" style="1"/>
  </cols>
  <sheetData>
    <row r="1" spans="1:15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5" x14ac:dyDescent="0.4">
      <c r="B2" s="1"/>
      <c r="C2" s="1"/>
      <c r="G2" s="1"/>
      <c r="L2" s="1"/>
      <c r="M2" s="1"/>
    </row>
    <row r="3" spans="1:15" x14ac:dyDescent="0.4">
      <c r="B3" s="2" t="s">
        <v>0</v>
      </c>
      <c r="C3" s="2"/>
      <c r="D3" s="3">
        <v>45193</v>
      </c>
      <c r="E3" s="4"/>
      <c r="F3" s="2" t="s">
        <v>1</v>
      </c>
      <c r="G3" s="2"/>
      <c r="H3" s="5">
        <v>0</v>
      </c>
      <c r="I3" s="5"/>
      <c r="L3" s="1"/>
      <c r="M3" s="1"/>
    </row>
    <row r="4" spans="1:15" x14ac:dyDescent="0.4">
      <c r="B4" s="2" t="s">
        <v>3</v>
      </c>
      <c r="C4" s="2"/>
      <c r="D4" s="3">
        <v>45559</v>
      </c>
      <c r="E4" s="4"/>
      <c r="F4" s="2" t="s">
        <v>6</v>
      </c>
      <c r="G4" s="2"/>
      <c r="H4" s="4">
        <v>0</v>
      </c>
      <c r="I4" s="4"/>
      <c r="L4" s="1"/>
      <c r="M4" s="1"/>
    </row>
    <row r="5" spans="1:15" x14ac:dyDescent="0.4">
      <c r="B5" s="2" t="s">
        <v>4</v>
      </c>
      <c r="C5" s="2"/>
      <c r="D5" s="3">
        <v>49211</v>
      </c>
      <c r="E5" s="4"/>
      <c r="F5" s="2" t="s">
        <v>9</v>
      </c>
      <c r="G5" s="2"/>
      <c r="H5" s="5">
        <v>1</v>
      </c>
      <c r="I5" s="5"/>
      <c r="L5" s="1"/>
      <c r="M5" s="1"/>
    </row>
    <row r="6" spans="1:15" x14ac:dyDescent="0.4">
      <c r="B6" s="6" t="s">
        <v>2</v>
      </c>
      <c r="C6" s="7"/>
      <c r="D6" s="4">
        <v>0</v>
      </c>
      <c r="E6" s="4"/>
      <c r="F6" s="2" t="str">
        <f>IF(H5 = 1, "HolidayNation","Not Used")</f>
        <v>HolidayNation</v>
      </c>
      <c r="G6" s="2"/>
      <c r="H6" s="5">
        <v>0</v>
      </c>
      <c r="I6" s="5"/>
      <c r="L6" s="21" t="s">
        <v>13</v>
      </c>
      <c r="M6" s="24">
        <v>10.822340714262218</v>
      </c>
      <c r="N6" s="24"/>
    </row>
    <row r="7" spans="1:15" x14ac:dyDescent="0.4">
      <c r="B7" s="6" t="s">
        <v>5</v>
      </c>
      <c r="C7" s="7"/>
      <c r="D7" s="4">
        <v>4</v>
      </c>
      <c r="E7" s="4"/>
      <c r="G7" s="1"/>
      <c r="L7" s="1"/>
      <c r="M7" s="1"/>
    </row>
    <row r="8" spans="1:15" x14ac:dyDescent="0.4">
      <c r="B8" s="6" t="s">
        <v>7</v>
      </c>
      <c r="C8" s="7"/>
      <c r="D8" s="14">
        <v>0.2</v>
      </c>
      <c r="E8" s="14"/>
      <c r="F8" s="6" t="s">
        <v>11</v>
      </c>
      <c r="G8" s="7"/>
      <c r="H8" s="15">
        <v>0.03</v>
      </c>
      <c r="I8" s="15"/>
      <c r="L8" s="21" t="s">
        <v>14</v>
      </c>
      <c r="M8" s="24">
        <v>0</v>
      </c>
      <c r="N8" s="24"/>
    </row>
    <row r="9" spans="1:15" x14ac:dyDescent="0.4">
      <c r="B9" s="6" t="s">
        <v>8</v>
      </c>
      <c r="C9" s="7"/>
      <c r="D9" s="4">
        <v>0</v>
      </c>
      <c r="E9" s="4"/>
      <c r="F9" s="6" t="s">
        <v>12</v>
      </c>
      <c r="G9" s="7"/>
      <c r="H9" s="20">
        <v>100</v>
      </c>
      <c r="I9" s="20"/>
      <c r="L9" s="1"/>
      <c r="M9" s="1"/>
    </row>
    <row r="10" spans="1:15" x14ac:dyDescent="0.4">
      <c r="B10" s="1"/>
      <c r="C10" s="1"/>
      <c r="G10" s="1"/>
      <c r="L10" s="22" t="s">
        <v>15</v>
      </c>
      <c r="M10" s="22"/>
    </row>
    <row r="11" spans="1:15" x14ac:dyDescent="0.4">
      <c r="B11" s="9" t="s">
        <v>10</v>
      </c>
      <c r="C11" s="9"/>
      <c r="G11" s="9" t="str">
        <f>IF(H5=1,"NotUsed","Holiday")</f>
        <v>NotUsed</v>
      </c>
    </row>
    <row r="12" spans="1:15" x14ac:dyDescent="0.4">
      <c r="B12" s="9"/>
      <c r="C12" s="9"/>
      <c r="G12" s="9"/>
    </row>
    <row r="13" spans="1:15" x14ac:dyDescent="0.35">
      <c r="B13" s="8">
        <v>2.7397260273972603E-3</v>
      </c>
      <c r="C13" s="16">
        <v>3.1519999999999992E-2</v>
      </c>
      <c r="G13" s="10">
        <v>43101</v>
      </c>
    </row>
    <row r="14" spans="1:15" x14ac:dyDescent="0.35">
      <c r="B14" s="8">
        <v>0.25</v>
      </c>
      <c r="C14" s="16">
        <v>3.261E-2</v>
      </c>
      <c r="G14" s="10">
        <v>43146</v>
      </c>
    </row>
    <row r="15" spans="1:15" x14ac:dyDescent="0.35">
      <c r="B15" s="8">
        <v>0.5</v>
      </c>
      <c r="C15" s="16">
        <v>3.3500000000000002E-2</v>
      </c>
      <c r="G15" s="10">
        <v>43147</v>
      </c>
    </row>
    <row r="16" spans="1:15" x14ac:dyDescent="0.35">
      <c r="B16" s="8">
        <v>1</v>
      </c>
      <c r="C16" s="16">
        <v>3.4509999999999999E-2</v>
      </c>
      <c r="G16" s="10">
        <v>43148</v>
      </c>
    </row>
    <row r="17" spans="2:7" x14ac:dyDescent="0.35">
      <c r="B17" s="8">
        <v>1.5</v>
      </c>
      <c r="C17" s="16">
        <v>3.9999999999999994E-2</v>
      </c>
      <c r="G17" s="10">
        <v>43160</v>
      </c>
    </row>
    <row r="18" spans="2:7" x14ac:dyDescent="0.35">
      <c r="B18" s="8">
        <v>2</v>
      </c>
      <c r="C18" s="16">
        <v>4.222999999999999E-2</v>
      </c>
      <c r="G18" s="10">
        <v>43221</v>
      </c>
    </row>
    <row r="19" spans="2:7" x14ac:dyDescent="0.35">
      <c r="B19" s="8">
        <v>3</v>
      </c>
      <c r="C19" s="16">
        <v>4.2499999999999996E-2</v>
      </c>
      <c r="G19" s="10">
        <v>43227</v>
      </c>
    </row>
    <row r="20" spans="2:7" x14ac:dyDescent="0.35">
      <c r="B20" s="8">
        <v>4</v>
      </c>
      <c r="C20" s="16">
        <v>4.3450000000000003E-2</v>
      </c>
      <c r="G20" s="10">
        <v>43242</v>
      </c>
    </row>
    <row r="21" spans="2:7" x14ac:dyDescent="0.35">
      <c r="B21" s="8">
        <v>5</v>
      </c>
      <c r="C21" s="16">
        <v>4.2889999999999998E-2</v>
      </c>
      <c r="G21" s="10">
        <v>43257</v>
      </c>
    </row>
    <row r="22" spans="2:7" x14ac:dyDescent="0.35">
      <c r="B22" s="8">
        <v>10</v>
      </c>
      <c r="C22" s="16">
        <v>4.274E-2</v>
      </c>
    </row>
    <row r="23" spans="2:7" x14ac:dyDescent="0.35">
      <c r="B23" s="8">
        <v>20</v>
      </c>
      <c r="C23" s="16">
        <v>4.1399999999999992E-2</v>
      </c>
    </row>
    <row r="24" spans="2:7" x14ac:dyDescent="0.35">
      <c r="B24" s="8">
        <v>30</v>
      </c>
      <c r="C24" s="17">
        <v>4.0489999999999998E-2</v>
      </c>
    </row>
    <row r="25" spans="2:7" x14ac:dyDescent="0.35">
      <c r="B25" s="8"/>
      <c r="C25" s="17"/>
    </row>
    <row r="26" spans="2:7" x14ac:dyDescent="0.35">
      <c r="B26" s="8"/>
      <c r="C26" s="17"/>
    </row>
    <row r="27" spans="2:7" x14ac:dyDescent="0.4">
      <c r="B27" s="12"/>
      <c r="C27" s="18"/>
    </row>
    <row r="28" spans="2:7" x14ac:dyDescent="0.4">
      <c r="B28" s="12"/>
      <c r="C28" s="18"/>
    </row>
    <row r="29" spans="2:7" x14ac:dyDescent="0.4">
      <c r="B29" s="12"/>
      <c r="C29" s="18"/>
    </row>
    <row r="30" spans="2:7" x14ac:dyDescent="0.4">
      <c r="B30" s="12"/>
      <c r="C30" s="18"/>
    </row>
    <row r="31" spans="2:7" x14ac:dyDescent="0.4">
      <c r="B31" s="12"/>
      <c r="C31" s="18"/>
    </row>
    <row r="32" spans="2:7" x14ac:dyDescent="0.4">
      <c r="B32" s="12"/>
      <c r="C32" s="18"/>
    </row>
    <row r="33" spans="2:3" x14ac:dyDescent="0.4">
      <c r="B33" s="12"/>
      <c r="C33" s="18"/>
    </row>
  </sheetData>
  <mergeCells count="31">
    <mergeCell ref="L10:M10"/>
    <mergeCell ref="M6:N6"/>
    <mergeCell ref="M8:N8"/>
    <mergeCell ref="B11:C12"/>
    <mergeCell ref="G11:G12"/>
    <mergeCell ref="F8:G8"/>
    <mergeCell ref="H8:I8"/>
    <mergeCell ref="F9:G9"/>
    <mergeCell ref="H9:I9"/>
    <mergeCell ref="B9:C9"/>
    <mergeCell ref="D9:E9"/>
    <mergeCell ref="F5:G5"/>
    <mergeCell ref="H5:I5"/>
    <mergeCell ref="F6:G6"/>
    <mergeCell ref="H6:I6"/>
    <mergeCell ref="F4:G4"/>
    <mergeCell ref="H4:I4"/>
    <mergeCell ref="B7:C7"/>
    <mergeCell ref="D7:E7"/>
    <mergeCell ref="B8:C8"/>
    <mergeCell ref="D8:E8"/>
    <mergeCell ref="B4:C4"/>
    <mergeCell ref="D4:E4"/>
    <mergeCell ref="B5:C5"/>
    <mergeCell ref="D5:E5"/>
    <mergeCell ref="B6:C6"/>
    <mergeCell ref="D6:E6"/>
    <mergeCell ref="B3:C3"/>
    <mergeCell ref="D3:E3"/>
    <mergeCell ref="F3:G3"/>
    <mergeCell ref="H3:I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0]!Sheet1.IRSwaption">
                <anchor moveWithCells="1" sizeWithCells="1">
                  <from>
                    <xdr:col>10</xdr:col>
                    <xdr:colOff>670560</xdr:colOff>
                    <xdr:row>1</xdr:row>
                    <xdr:rowOff>22860</xdr:rowOff>
                  </from>
                  <to>
                    <xdr:col>12</xdr:col>
                    <xdr:colOff>251460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2023-09-24T12:14:37Z</dcterms:modified>
</cp:coreProperties>
</file>