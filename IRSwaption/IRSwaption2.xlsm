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<sst xmlns="http://schemas.openxmlformats.org/spreadsheetml/2006/main" count="29" uniqueCount="29">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</sst>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L4" sqref="L4:M4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J2" s="23" t="s">
        <v>17</v>
      </c>
      <c r="K2" s="23"/>
      <c r="L2" s="23"/>
      <c r="M2" s="23"/>
      <c r="N2" s="1"/>
      <c r="O2" s="1"/>
    </row>
    <row r="3" spans="1:17" x14ac:dyDescent="0.4">
      <c r="B3" s="27" t="s">
        <v>0</v>
      </c>
      <c r="C3" s="27"/>
      <c r="D3" s="33">
        <v>45205</v>
      </c>
      <c r="E3" s="32"/>
      <c r="F3" s="27" t="s">
        <v>1</v>
      </c>
      <c r="G3" s="27"/>
      <c r="H3" s="22">
        <v>0</v>
      </c>
      <c r="I3" s="22"/>
      <c r="J3" s="27" t="s">
        <v>18</v>
      </c>
      <c r="K3" s="27"/>
      <c r="L3" s="22">
        <v>1</v>
      </c>
      <c r="M3" s="22"/>
      <c r="N3" s="1"/>
      <c r="O3" s="1"/>
    </row>
    <row r="4" spans="1:17" x14ac:dyDescent="0.4">
      <c r="B4" s="27" t="s">
        <v>3</v>
      </c>
      <c r="C4" s="27"/>
      <c r="D4" s="33">
        <v>47505</v>
      </c>
      <c r="E4" s="32"/>
      <c r="F4" s="27" t="s">
        <v>6</v>
      </c>
      <c r="G4" s="27"/>
      <c r="H4" s="32">
        <v>0</v>
      </c>
      <c r="I4" s="32"/>
      <c r="J4" s="24" t="s">
        <v>19</v>
      </c>
      <c r="K4" s="25"/>
      <c r="L4" s="26">
        <v>2.63E-2</v>
      </c>
      <c r="M4" s="26"/>
      <c r="N4" s="1"/>
      <c r="O4" s="1"/>
    </row>
    <row r="5" spans="1:17" x14ac:dyDescent="0.4">
      <c r="B5" s="27" t="s">
        <v>4</v>
      </c>
      <c r="C5" s="27"/>
      <c r="D5" s="33">
        <v>51158</v>
      </c>
      <c r="E5" s="32"/>
      <c r="F5" s="27" t="s">
        <v>8</v>
      </c>
      <c r="G5" s="27"/>
      <c r="H5" s="22">
        <v>1</v>
      </c>
      <c r="I5" s="22"/>
      <c r="L5" s="1"/>
      <c r="N5" s="1"/>
      <c r="O5" s="1"/>
    </row>
    <row r="6" spans="1:17" x14ac:dyDescent="0.4">
      <c r="B6" s="24" t="s">
        <v>2</v>
      </c>
      <c r="C6" s="25"/>
      <c r="D6" s="32">
        <v>0</v>
      </c>
      <c r="E6" s="32"/>
      <c r="F6" s="27" t="str">
        <f>IF(H5 = 1, "HolidayNation","Not Used")</f>
        <v>HolidayNation</v>
      </c>
      <c r="G6" s="27"/>
      <c r="H6" s="22">
        <v>0</v>
      </c>
      <c r="I6" s="22"/>
      <c r="J6" s="27" t="s">
        <v>24</v>
      </c>
      <c r="K6" s="27"/>
      <c r="L6" s="8">
        <f>COUNT(L7:L1048572)</f>
        <v>10</v>
      </c>
      <c r="N6" s="17" t="s">
        <v>20</v>
      </c>
      <c r="O6" s="17"/>
      <c r="P6" s="28">
        <v>45355.854687500003</v>
      </c>
      <c r="Q6" s="28"/>
    </row>
    <row r="7" spans="1:17" x14ac:dyDescent="0.4">
      <c r="B7" s="24" t="s">
        <v>5</v>
      </c>
      <c r="C7" s="25"/>
      <c r="D7" s="32">
        <v>4</v>
      </c>
      <c r="E7" s="32"/>
      <c r="F7" s="27" t="s">
        <v>15</v>
      </c>
      <c r="G7" s="27"/>
      <c r="H7" s="22">
        <v>0</v>
      </c>
      <c r="I7" s="22"/>
      <c r="J7" s="27" t="s">
        <v>23</v>
      </c>
      <c r="K7" s="27"/>
      <c r="L7" s="10">
        <v>47505</v>
      </c>
      <c r="N7" s="17" t="s">
        <v>21</v>
      </c>
      <c r="O7" s="17"/>
      <c r="P7" s="28">
        <v>45355.854687500003</v>
      </c>
      <c r="Q7" s="28"/>
    </row>
    <row r="8" spans="1:17" x14ac:dyDescent="0.4">
      <c r="B8" s="1"/>
      <c r="C8" s="1"/>
      <c r="F8" s="24" t="s">
        <v>10</v>
      </c>
      <c r="G8" s="25"/>
      <c r="H8" s="30">
        <v>2.0299999999999999E-2</v>
      </c>
      <c r="I8" s="30"/>
      <c r="L8" s="10">
        <v>47875</v>
      </c>
      <c r="N8" s="1"/>
      <c r="O8" s="1"/>
    </row>
    <row r="9" spans="1:17" x14ac:dyDescent="0.4">
      <c r="B9" s="24" t="s">
        <v>7</v>
      </c>
      <c r="C9" s="25"/>
      <c r="D9" s="32">
        <v>1</v>
      </c>
      <c r="E9" s="32"/>
      <c r="F9" s="24" t="s">
        <v>11</v>
      </c>
      <c r="G9" s="25"/>
      <c r="H9" s="31">
        <v>1</v>
      </c>
      <c r="I9" s="31"/>
      <c r="K9" s="1">
        <v>47505</v>
      </c>
      <c r="L9" s="10">
        <v>48235</v>
      </c>
      <c r="N9" s="17" t="s">
        <v>12</v>
      </c>
      <c r="O9" s="17"/>
      <c r="P9" s="18">
        <v>2.8191714730492484E-6</v>
      </c>
      <c r="Q9" s="18"/>
    </row>
    <row r="10" spans="1:17" x14ac:dyDescent="0.4">
      <c r="B10" s="24" t="s">
        <v>25</v>
      </c>
      <c r="C10" s="25"/>
      <c r="D10" s="32">
        <v>1</v>
      </c>
      <c r="E10" s="32"/>
      <c r="F10" s="1"/>
      <c r="G10" s="1"/>
      <c r="I10" s="1"/>
      <c r="K10" s="1">
        <v>47875</v>
      </c>
      <c r="L10" s="10">
        <v>48603</v>
      </c>
      <c r="N10" s="17" t="s">
        <v>14</v>
      </c>
      <c r="O10" s="17"/>
      <c r="P10" s="19">
        <v>3.9967291747879767E-2</v>
      </c>
      <c r="Q10" s="19"/>
    </row>
    <row r="11" spans="1:17" x14ac:dyDescent="0.4">
      <c r="B11" s="29" t="s">
        <v>9</v>
      </c>
      <c r="C11" s="29"/>
      <c r="F11" s="29" t="s">
        <v>28</v>
      </c>
      <c r="G11" s="29"/>
      <c r="I11" s="29" t="str">
        <f>IF(H5=1,"NotUsed","Holiday")</f>
        <v>NotUsed</v>
      </c>
      <c r="K11" s="1">
        <v>48235</v>
      </c>
      <c r="L11" s="10">
        <v>48967</v>
      </c>
      <c r="N11" s="17" t="s">
        <v>13</v>
      </c>
      <c r="O11" s="17"/>
      <c r="P11" s="20">
        <v>0</v>
      </c>
      <c r="Q11" s="20"/>
    </row>
    <row r="12" spans="1:17" x14ac:dyDescent="0.4">
      <c r="B12" s="29"/>
      <c r="C12" s="29"/>
      <c r="F12" s="15" t="s">
        <v>27</v>
      </c>
      <c r="G12" s="15" t="s">
        <v>26</v>
      </c>
      <c r="I12" s="29"/>
      <c r="K12" s="1">
        <v>48603</v>
      </c>
      <c r="L12" s="10">
        <v>49331</v>
      </c>
      <c r="N12" s="17" t="s">
        <v>16</v>
      </c>
      <c r="O12" s="17"/>
      <c r="P12" s="21">
        <v>7.3330959913237076E-3</v>
      </c>
      <c r="Q12" s="21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v>1</v>
      </c>
      <c r="G13" s="16">
        <v>6.8900000000000003E-3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/>
      <c r="G14" s="16"/>
      <c r="I14" s="3">
        <v>43146</v>
      </c>
      <c r="K14" s="1">
        <v>49331</v>
      </c>
      <c r="L14" s="10">
        <v>50062</v>
      </c>
      <c r="N14" s="17" t="s">
        <v>22</v>
      </c>
      <c r="O14" s="17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/>
      <c r="G15" s="16"/>
      <c r="I15" s="3">
        <v>43147</v>
      </c>
      <c r="K15" s="1">
        <v>49696</v>
      </c>
      <c r="L15" s="10">
        <v>50427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/>
      <c r="G16" s="16"/>
      <c r="I16" s="3">
        <v>43148</v>
      </c>
      <c r="K16" s="1">
        <v>50062</v>
      </c>
      <c r="L16" s="10">
        <v>50794</v>
      </c>
    </row>
    <row r="17" spans="1:11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/>
      <c r="G17" s="16"/>
      <c r="I17" s="3">
        <v>43160</v>
      </c>
      <c r="K17" s="1">
        <v>50427</v>
      </c>
    </row>
    <row r="18" spans="1:11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/>
      <c r="G18" s="16"/>
      <c r="I18" s="3">
        <v>43221</v>
      </c>
      <c r="K18" s="1">
        <v>50794</v>
      </c>
    </row>
    <row r="19" spans="1:11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/>
      <c r="G19" s="16"/>
      <c r="I19" s="3">
        <v>43227</v>
      </c>
    </row>
    <row r="20" spans="1:11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/>
      <c r="G20" s="16"/>
      <c r="I20" s="3">
        <v>43242</v>
      </c>
    </row>
    <row r="21" spans="1:11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/>
      <c r="G21" s="16"/>
      <c r="I21" s="3">
        <v>43257</v>
      </c>
    </row>
    <row r="22" spans="1:11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/>
      <c r="G22" s="16"/>
    </row>
    <row r="23" spans="1:11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/>
      <c r="G23" s="16"/>
    </row>
    <row r="24" spans="1:11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/>
      <c r="G24" s="16"/>
    </row>
    <row r="25" spans="1:11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ref="F14:F25" si="3">(E25-$D$3)/365</f>
        <v>15.304109589041095</v>
      </c>
      <c r="G25" s="16">
        <v>6.6411634802818302E-3</v>
      </c>
    </row>
    <row r="26" spans="1:11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</row>
    <row r="27" spans="1:11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</row>
    <row r="28" spans="1:11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</row>
    <row r="29" spans="1:11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</row>
    <row r="30" spans="1:11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</row>
    <row r="31" spans="1:11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</row>
    <row r="32" spans="1:11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</row>
    <row r="33" spans="1:7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</row>
    <row r="34" spans="1:7" x14ac:dyDescent="0.4">
      <c r="F34" s="4"/>
      <c r="G34" s="6"/>
    </row>
    <row r="35" spans="1:7" x14ac:dyDescent="0.4">
      <c r="F35" s="4"/>
      <c r="G35" s="6"/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2024-03-04T11:30:49Z</dcterms:modified>
</cp:coreProperties>
</file>