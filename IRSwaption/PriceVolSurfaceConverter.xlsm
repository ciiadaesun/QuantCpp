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7671CACF-88DC-46C4-A55C-0F07837630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I12" i="1" l="1"/>
  <c r="J12" i="1"/>
  <c r="K12" i="1"/>
  <c r="L12" i="1"/>
  <c r="L6" i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<sst xmlns="http://schemas.openxmlformats.org/spreadsheetml/2006/main" count="25" uniqueCount="24">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</sst>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>
      <alignment vertical="center"/>
    </xf>
    <xf numFmtId="181" fontId="8" fillId="5" borderId="0" xfId="0" applyNumberFormat="1" applyFont="1" applyFill="1">
      <alignment vertical="center"/>
    </xf>
    <xf numFmtId="183" fontId="8" fillId="5" borderId="0" xfId="0" applyNumberFormat="1" applyFont="1" applyFill="1">
      <alignment vertical="center"/>
    </xf>
    <xf numFmtId="0" fontId="10" fillId="6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5"/>
  <sheetViews>
    <sheetView tabSelected="1" topLeftCell="A19" zoomScale="85" zoomScaleNormal="85" workbookViewId="0">
      <selection activeCell="B6" sqref="B6:C6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33" t="s">
        <v>23</v>
      </c>
      <c r="D2" s="34">
        <v>0</v>
      </c>
      <c r="F2" s="1"/>
      <c r="G2" s="1"/>
      <c r="I2" s="1"/>
      <c r="J2" s="24" t="s">
        <v>10</v>
      </c>
      <c r="K2" s="24"/>
      <c r="L2" s="24"/>
      <c r="M2" s="24"/>
      <c r="N2" s="1"/>
      <c r="O2" s="1"/>
    </row>
    <row r="3" spans="1:21" x14ac:dyDescent="0.4">
      <c r="B3" s="28" t="s">
        <v>0</v>
      </c>
      <c r="C3" s="28"/>
      <c r="D3" s="29">
        <v>45205</v>
      </c>
      <c r="E3" s="23"/>
      <c r="F3" s="1"/>
      <c r="G3" s="1"/>
      <c r="I3" s="1"/>
      <c r="J3" s="28" t="s">
        <v>11</v>
      </c>
      <c r="K3" s="28"/>
      <c r="L3" s="23">
        <v>0</v>
      </c>
      <c r="M3" s="23"/>
      <c r="N3" s="1"/>
      <c r="O3" s="1"/>
    </row>
    <row r="4" spans="1:21" x14ac:dyDescent="0.4">
      <c r="B4" s="28" t="s">
        <v>2</v>
      </c>
      <c r="C4" s="28"/>
      <c r="D4" s="29">
        <v>47505</v>
      </c>
      <c r="E4" s="23"/>
      <c r="F4" s="28" t="s">
        <v>5</v>
      </c>
      <c r="G4" s="28"/>
      <c r="H4" s="23">
        <v>0</v>
      </c>
      <c r="I4" s="23"/>
      <c r="J4" s="25" t="s">
        <v>12</v>
      </c>
      <c r="K4" s="26"/>
      <c r="L4" s="27">
        <v>2.63E-2</v>
      </c>
      <c r="M4" s="27"/>
      <c r="N4" s="1"/>
      <c r="O4" s="1"/>
    </row>
    <row r="5" spans="1:21" x14ac:dyDescent="0.4">
      <c r="B5" s="28" t="s">
        <v>3</v>
      </c>
      <c r="C5" s="28"/>
      <c r="D5" s="29">
        <v>51158</v>
      </c>
      <c r="E5" s="23"/>
      <c r="F5" s="28" t="s">
        <v>7</v>
      </c>
      <c r="G5" s="28"/>
      <c r="H5" s="23">
        <v>1</v>
      </c>
      <c r="I5" s="23"/>
      <c r="N5" s="1"/>
      <c r="O5" s="1"/>
    </row>
    <row r="6" spans="1:21" x14ac:dyDescent="0.4">
      <c r="B6" s="25" t="s">
        <v>1</v>
      </c>
      <c r="C6" s="26"/>
      <c r="D6" s="23">
        <v>0</v>
      </c>
      <c r="E6" s="23"/>
      <c r="F6" s="28" t="str">
        <f>IF(H5 = 1, "HolidayNation","Not Used")</f>
        <v>HolidayNation</v>
      </c>
      <c r="G6" s="28"/>
      <c r="H6" s="23">
        <v>0</v>
      </c>
      <c r="I6" s="23"/>
      <c r="J6" s="28" t="s">
        <v>16</v>
      </c>
      <c r="K6" s="28"/>
      <c r="L6" s="2">
        <f>COUNT(L8:XFD8)</f>
        <v>10</v>
      </c>
      <c r="N6" s="30" t="s">
        <v>13</v>
      </c>
      <c r="O6" s="30"/>
      <c r="P6" s="31">
        <v>45986.904664351852</v>
      </c>
      <c r="Q6" s="31"/>
    </row>
    <row r="7" spans="1:21" x14ac:dyDescent="0.4">
      <c r="B7" s="25" t="s">
        <v>4</v>
      </c>
      <c r="C7" s="26"/>
      <c r="D7" s="23">
        <v>4</v>
      </c>
      <c r="E7" s="23"/>
      <c r="F7" s="1"/>
      <c r="G7" s="1"/>
      <c r="I7" s="1"/>
      <c r="J7" s="3"/>
      <c r="K7" s="3"/>
      <c r="L7" s="3"/>
      <c r="N7" s="30" t="s">
        <v>14</v>
      </c>
      <c r="O7" s="30"/>
      <c r="P7" s="31">
        <v>45986.904675925929</v>
      </c>
      <c r="Q7" s="31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8" t="s">
        <v>15</v>
      </c>
      <c r="K8" s="28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5" t="s">
        <v>6</v>
      </c>
      <c r="C9" s="26"/>
      <c r="D9" s="23">
        <v>1</v>
      </c>
      <c r="E9" s="23"/>
      <c r="F9" s="25" t="s">
        <v>9</v>
      </c>
      <c r="G9" s="26"/>
      <c r="H9" s="32">
        <v>1</v>
      </c>
      <c r="I9" s="32"/>
      <c r="L9" s="3"/>
      <c r="N9" s="1"/>
      <c r="O9" s="1"/>
    </row>
    <row r="10" spans="1:21" x14ac:dyDescent="0.4">
      <c r="B10" s="25" t="s">
        <v>17</v>
      </c>
      <c r="C10" s="26"/>
      <c r="D10" s="23">
        <v>0</v>
      </c>
      <c r="E10" s="23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1" t="s">
        <v>8</v>
      </c>
      <c r="C11" s="21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1"/>
      <c r="C12" s="21"/>
      <c r="E12" s="21" t="s">
        <v>18</v>
      </c>
      <c r="F12" s="21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1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1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22" t="s">
        <v>21</v>
      </c>
      <c r="F30" s="22"/>
    </row>
    <row r="31" spans="1:21" x14ac:dyDescent="0.35">
      <c r="A31" s="3"/>
      <c r="B31" s="8">
        <v>52516</v>
      </c>
      <c r="C31" s="10">
        <v>3.8306</v>
      </c>
      <c r="E31" s="22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22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8.3951212644577024E-3</v>
      </c>
      <c r="J33" s="19">
        <v>9.4331438541412384E-3</v>
      </c>
      <c r="K33" s="19">
        <v>1.0114033269882201E-2</v>
      </c>
      <c r="L33" s="19">
        <v>1.0818048131465915E-2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6.7853995084762569E-3</v>
      </c>
      <c r="J34" s="19">
        <v>6.5510457634925853E-3</v>
      </c>
      <c r="K34" s="19">
        <v>6.5438935637474067E-3</v>
      </c>
      <c r="L34" s="19">
        <v>6.6247134208679203E-3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5.8056673467159273E-3</v>
      </c>
      <c r="J35" s="19">
        <v>5.3593700826168062E-3</v>
      </c>
      <c r="K35" s="19">
        <v>5.1750817358493795E-3</v>
      </c>
      <c r="L35" s="19">
        <v>5.1057053983211507E-3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6.2197797119617464E-3</v>
      </c>
      <c r="J36" s="19">
        <v>5.6046905338764195E-3</v>
      </c>
      <c r="K36" s="19">
        <v>5.3116291493177405E-3</v>
      </c>
      <c r="L36" s="19">
        <v>5.1575588464736937E-3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5.6526102721691143E-3</v>
      </c>
      <c r="J37" s="19">
        <v>5.0208326280117045E-3</v>
      </c>
      <c r="K37" s="19">
        <v>4.7047053992748267E-3</v>
      </c>
      <c r="L37" s="19">
        <v>4.5349002569913862E-3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5.2162068843841546E-3</v>
      </c>
      <c r="J38" s="19">
        <v>6.1766877084970459E-3</v>
      </c>
      <c r="K38" s="19">
        <v>5.7497609853744518E-3</v>
      </c>
      <c r="L38" s="19">
        <v>5.5107583105564115E-3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4.8695636034011844E-3</v>
      </c>
      <c r="J39" s="19">
        <v>5.7346817642450337E-3</v>
      </c>
      <c r="K39" s="19">
        <v>5.3062649995088557E-3</v>
      </c>
      <c r="L39" s="19">
        <v>5.0671431213617311E-3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4.5908066183328634E-3</v>
      </c>
      <c r="J40" s="19">
        <v>5.3780850052833557E-3</v>
      </c>
      <c r="K40" s="19">
        <v>4.9630488142371173E-3</v>
      </c>
      <c r="L40" s="19">
        <v>4.7202614337205889E-3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4.3561846658587448E-3</v>
      </c>
      <c r="J41" s="19">
        <v>5.0918182104825963E-3</v>
      </c>
      <c r="K41" s="19">
        <v>4.6835170075297363E-3</v>
      </c>
      <c r="L41" s="19">
        <v>4.4424580752849586E-3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4.1626580610871315E-3</v>
      </c>
      <c r="J42" s="19">
        <v>4.8516235023736958E-3</v>
      </c>
      <c r="K42" s="19">
        <v>4.4520837441086774E-3</v>
      </c>
      <c r="L42" s="19">
        <v>4.2120678409934033E-3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B3:C3"/>
    <mergeCell ref="D3:E3"/>
    <mergeCell ref="B7:C7"/>
    <mergeCell ref="D7:E7"/>
    <mergeCell ref="F6:G6"/>
    <mergeCell ref="B4:C4"/>
    <mergeCell ref="B5:C5"/>
    <mergeCell ref="B6:C6"/>
    <mergeCell ref="D6:E6"/>
    <mergeCell ref="B11:C12"/>
    <mergeCell ref="F9:G9"/>
    <mergeCell ref="H9:I9"/>
    <mergeCell ref="B9:C9"/>
    <mergeCell ref="D9:E9"/>
    <mergeCell ref="E12:F12"/>
    <mergeCell ref="B10:C10"/>
    <mergeCell ref="D10:E10"/>
    <mergeCell ref="N6:O6"/>
    <mergeCell ref="J6:K6"/>
    <mergeCell ref="P6:Q6"/>
    <mergeCell ref="N7:O7"/>
    <mergeCell ref="P7:Q7"/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F5:G5"/>
    <mergeCell ref="F4:G4"/>
    <mergeCell ref="H6:I6"/>
    <mergeCell ref="J3:K3"/>
    <mergeCell ref="H4:I4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2025-11-25T12:42:47Z</dcterms:modified>
</cp:coreProperties>
</file>