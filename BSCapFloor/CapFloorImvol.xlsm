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  <c r="N24" i="2" l="1"/>
  <c r="N23" i="2"/>
  <c r="N22" i="2"/>
  <c r="N21" i="2"/>
  <c r="N20" i="2"/>
  <c r="N19" i="2"/>
  <c r="N18" i="2"/>
  <c r="N17" i="2"/>
  <c r="N16" i="2"/>
  <c r="N15" i="2" l="1"/>
  <c r="N13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I11" i="2"/>
  <c r="F6" i="2"/>
  <c r="C1" i="2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B1" i="2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<sst xmlns="http://schemas.openxmlformats.org/spreadsheetml/2006/main" count="46" uniqueCount="27">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</sst>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0" t="s">
        <v>0</v>
      </c>
      <c r="C3" s="20"/>
      <c r="D3" s="30">
        <v>45205</v>
      </c>
      <c r="E3" s="27"/>
      <c r="F3" s="20" t="s">
        <v>1</v>
      </c>
      <c r="G3" s="20"/>
      <c r="H3" s="21">
        <v>0</v>
      </c>
      <c r="I3" s="21"/>
      <c r="J3" s="22" t="s">
        <v>15</v>
      </c>
      <c r="K3" s="23"/>
      <c r="L3" s="24">
        <v>0</v>
      </c>
      <c r="M3" s="24"/>
      <c r="N3" s="1"/>
      <c r="O3" s="1"/>
    </row>
    <row r="4" spans="1:17" x14ac:dyDescent="0.4">
      <c r="B4" s="20" t="s">
        <v>12</v>
      </c>
      <c r="C4" s="20"/>
      <c r="D4" s="30">
        <f>D3</f>
        <v>45205</v>
      </c>
      <c r="E4" s="27"/>
      <c r="F4" s="20" t="s">
        <v>2</v>
      </c>
      <c r="G4" s="20"/>
      <c r="H4" s="27">
        <v>0</v>
      </c>
      <c r="I4" s="27"/>
      <c r="J4" s="20" t="s">
        <v>18</v>
      </c>
      <c r="K4" s="20"/>
      <c r="L4" s="27">
        <v>0</v>
      </c>
      <c r="M4" s="27"/>
      <c r="N4" s="1"/>
      <c r="O4" s="1"/>
    </row>
    <row r="5" spans="1:17" x14ac:dyDescent="0.4">
      <c r="B5" s="20" t="s">
        <v>13</v>
      </c>
      <c r="C5" s="20"/>
      <c r="D5" s="30">
        <f>EDATE(D4,12)</f>
        <v>45571</v>
      </c>
      <c r="E5" s="27"/>
      <c r="F5" s="20" t="s">
        <v>3</v>
      </c>
      <c r="G5" s="20"/>
      <c r="H5" s="21">
        <v>1</v>
      </c>
      <c r="I5" s="21"/>
      <c r="J5" s="20" t="s">
        <v>20</v>
      </c>
      <c r="K5" s="20"/>
      <c r="L5" s="27">
        <v>1</v>
      </c>
      <c r="M5" s="27"/>
      <c r="N5" s="1"/>
      <c r="O5" s="1"/>
    </row>
    <row r="6" spans="1:17" x14ac:dyDescent="0.4">
      <c r="B6" s="22" t="s">
        <v>4</v>
      </c>
      <c r="C6" s="23"/>
      <c r="D6" s="27">
        <v>0</v>
      </c>
      <c r="E6" s="27"/>
      <c r="F6" s="20" t="str">
        <f>IF(H5 = 1, "HolidayNation","Not Used")</f>
        <v>HolidayNation</v>
      </c>
      <c r="G6" s="20"/>
      <c r="H6" s="21">
        <v>0</v>
      </c>
      <c r="I6" s="21"/>
      <c r="N6" s="25" t="s">
        <v>5</v>
      </c>
      <c r="O6" s="25"/>
      <c r="P6" s="29">
        <v>45273.94394675926</v>
      </c>
      <c r="Q6" s="29"/>
    </row>
    <row r="7" spans="1:17" x14ac:dyDescent="0.4">
      <c r="B7" s="22" t="s">
        <v>6</v>
      </c>
      <c r="C7" s="23"/>
      <c r="D7" s="27">
        <v>4</v>
      </c>
      <c r="E7" s="27"/>
      <c r="F7" s="1"/>
      <c r="G7" s="1"/>
      <c r="I7" s="1"/>
      <c r="N7" s="25" t="s">
        <v>7</v>
      </c>
      <c r="O7" s="25"/>
      <c r="P7" s="29">
        <v>45273.94394675926</v>
      </c>
      <c r="Q7" s="29"/>
    </row>
    <row r="8" spans="1:17" x14ac:dyDescent="0.4">
      <c r="B8" s="1"/>
      <c r="C8" s="1"/>
      <c r="F8" s="22" t="s">
        <v>8</v>
      </c>
      <c r="G8" s="23"/>
      <c r="H8" s="24">
        <v>3.9967291747879802E-2</v>
      </c>
      <c r="I8" s="24"/>
      <c r="N8" s="1"/>
      <c r="O8" s="1"/>
    </row>
    <row r="9" spans="1:17" x14ac:dyDescent="0.4">
      <c r="B9" s="22" t="s">
        <v>9</v>
      </c>
      <c r="C9" s="23"/>
      <c r="D9" s="27">
        <v>1</v>
      </c>
      <c r="E9" s="27"/>
      <c r="F9" s="22" t="s">
        <v>10</v>
      </c>
      <c r="G9" s="23"/>
      <c r="H9" s="28">
        <v>1</v>
      </c>
      <c r="I9" s="28"/>
      <c r="N9" s="25" t="s">
        <v>17</v>
      </c>
      <c r="O9" s="25"/>
      <c r="P9" s="26">
        <v>2.135476214885712E-2</v>
      </c>
      <c r="Q9" s="26"/>
    </row>
    <row r="10" spans="1:17" x14ac:dyDescent="0.4">
      <c r="B10" s="22" t="s">
        <v>14</v>
      </c>
      <c r="C10" s="23"/>
      <c r="D10" s="27">
        <v>0</v>
      </c>
      <c r="E10" s="27"/>
      <c r="F10" s="20" t="s">
        <v>19</v>
      </c>
      <c r="G10" s="20"/>
      <c r="H10" s="21">
        <v>0</v>
      </c>
      <c r="I10" s="21"/>
      <c r="N10" s="1"/>
      <c r="O10" s="1"/>
    </row>
    <row r="11" spans="1:17" x14ac:dyDescent="0.4">
      <c r="B11" s="19" t="s">
        <v>11</v>
      </c>
      <c r="C11" s="19"/>
      <c r="F11" s="19"/>
      <c r="G11" s="19"/>
      <c r="I11" s="19" t="str">
        <f>IF(H5=1,"NotUsed","Holiday")</f>
        <v>NotUsed</v>
      </c>
      <c r="N11" s="1"/>
      <c r="O11" s="1"/>
    </row>
    <row r="12" spans="1:17" x14ac:dyDescent="0.4">
      <c r="B12" s="19"/>
      <c r="C12" s="19"/>
      <c r="F12" s="19" t="s">
        <v>16</v>
      </c>
      <c r="G12" s="19"/>
      <c r="I12" s="19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18">
        <v>4.3E-3</v>
      </c>
      <c r="G13" s="18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A4" workbookViewId="0">
      <selection activeCell="G23" sqref="G23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/>
      <c r="F2" s="1"/>
      <c r="G2" s="1"/>
      <c r="I2" s="1"/>
      <c r="N2" s="1"/>
      <c r="O2" s="1"/>
    </row>
    <row r="3" spans="1:18" x14ac:dyDescent="0.4">
      <c r="B3" s="20" t="s">
        <v>0</v>
      </c>
      <c r="C3" s="20"/>
      <c r="D3" s="30">
        <v>45205</v>
      </c>
      <c r="E3" s="27"/>
      <c r="F3" s="20" t="s">
        <v>1</v>
      </c>
      <c r="G3" s="20"/>
      <c r="H3" s="21">
        <v>0</v>
      </c>
      <c r="I3" s="21"/>
      <c r="J3" s="22" t="s">
        <v>15</v>
      </c>
      <c r="K3" s="23"/>
      <c r="L3" s="24">
        <v>0</v>
      </c>
      <c r="M3" s="24"/>
      <c r="N3" s="1"/>
      <c r="O3" s="1"/>
    </row>
    <row r="4" spans="1:18" x14ac:dyDescent="0.4">
      <c r="B4" s="1"/>
      <c r="C4" s="1"/>
      <c r="F4" s="20" t="s">
        <v>2</v>
      </c>
      <c r="G4" s="20"/>
      <c r="H4" s="27">
        <v>0</v>
      </c>
      <c r="I4" s="27"/>
      <c r="J4" s="20" t="s">
        <v>18</v>
      </c>
      <c r="K4" s="20"/>
      <c r="L4" s="27">
        <v>0</v>
      </c>
      <c r="M4" s="27"/>
      <c r="N4" s="1"/>
      <c r="O4" s="1"/>
    </row>
    <row r="5" spans="1:18" x14ac:dyDescent="0.4">
      <c r="B5" s="1"/>
      <c r="C5" s="1"/>
      <c r="F5" s="20" t="s">
        <v>3</v>
      </c>
      <c r="G5" s="20"/>
      <c r="H5" s="21">
        <v>1</v>
      </c>
      <c r="I5" s="21"/>
      <c r="J5" s="20" t="s">
        <v>20</v>
      </c>
      <c r="K5" s="20"/>
      <c r="L5" s="27">
        <v>2</v>
      </c>
      <c r="M5" s="27"/>
      <c r="N5" s="1"/>
      <c r="O5" s="1"/>
    </row>
    <row r="6" spans="1:18" x14ac:dyDescent="0.4">
      <c r="B6" s="22" t="s">
        <v>4</v>
      </c>
      <c r="C6" s="23"/>
      <c r="D6" s="27">
        <v>0</v>
      </c>
      <c r="E6" s="27"/>
      <c r="F6" s="20" t="str">
        <f>IF(H5 = 1, "HolidayNation","Not Used")</f>
        <v>HolidayNation</v>
      </c>
      <c r="G6" s="20"/>
      <c r="H6" s="21">
        <v>0</v>
      </c>
      <c r="I6" s="21"/>
      <c r="N6" s="25" t="s">
        <v>5</v>
      </c>
      <c r="O6" s="25"/>
      <c r="P6" s="29">
        <v>45276.985046296293</v>
      </c>
      <c r="Q6" s="29"/>
    </row>
    <row r="7" spans="1:18" x14ac:dyDescent="0.4">
      <c r="B7" s="22" t="s">
        <v>6</v>
      </c>
      <c r="C7" s="23"/>
      <c r="D7" s="27">
        <v>4</v>
      </c>
      <c r="E7" s="27"/>
      <c r="F7" s="1"/>
      <c r="G7" s="1"/>
      <c r="I7" s="1"/>
      <c r="N7" s="25" t="s">
        <v>7</v>
      </c>
      <c r="O7" s="25"/>
      <c r="P7" s="29">
        <v>45273.943043981482</v>
      </c>
      <c r="Q7" s="29"/>
    </row>
    <row r="8" spans="1:18" x14ac:dyDescent="0.4">
      <c r="B8" s="1"/>
      <c r="C8" s="1"/>
      <c r="F8" s="22" t="str">
        <f>IF(L5&gt;0, "사용X","행사금리")</f>
        <v>사용X</v>
      </c>
      <c r="G8" s="23"/>
      <c r="H8" s="24">
        <v>3.9967291747879802E-2</v>
      </c>
      <c r="I8" s="24"/>
      <c r="N8" s="1"/>
      <c r="O8" s="1"/>
    </row>
    <row r="9" spans="1:18" x14ac:dyDescent="0.4">
      <c r="B9" s="22" t="s">
        <v>9</v>
      </c>
      <c r="C9" s="23"/>
      <c r="D9" s="27">
        <v>1</v>
      </c>
      <c r="E9" s="27"/>
      <c r="F9" s="22" t="s">
        <v>10</v>
      </c>
      <c r="G9" s="23"/>
      <c r="H9" s="28">
        <v>1</v>
      </c>
      <c r="I9" s="28"/>
      <c r="N9" s="25" t="s">
        <v>17</v>
      </c>
      <c r="O9" s="25"/>
      <c r="P9" s="26"/>
      <c r="Q9" s="26"/>
    </row>
    <row r="10" spans="1:18" x14ac:dyDescent="0.4">
      <c r="B10" s="22" t="s">
        <v>14</v>
      </c>
      <c r="C10" s="23"/>
      <c r="D10" s="27">
        <v>0</v>
      </c>
      <c r="E10" s="27"/>
      <c r="F10" s="20" t="s">
        <v>19</v>
      </c>
      <c r="G10" s="20"/>
      <c r="H10" s="21">
        <v>0</v>
      </c>
      <c r="I10" s="21"/>
      <c r="N10" s="1"/>
      <c r="O10" s="1"/>
    </row>
    <row r="11" spans="1:18" x14ac:dyDescent="0.4">
      <c r="B11" s="19" t="s">
        <v>11</v>
      </c>
      <c r="C11" s="19"/>
      <c r="F11" s="1"/>
      <c r="G11" s="1"/>
      <c r="I11" s="19" t="str">
        <f>IF(H5=1,"NotUsed","Holiday")</f>
        <v>NotUsed</v>
      </c>
      <c r="N11" s="1"/>
      <c r="O11" s="1"/>
    </row>
    <row r="12" spans="1:18" x14ac:dyDescent="0.4">
      <c r="B12" s="19"/>
      <c r="C12" s="19"/>
      <c r="F12" s="1"/>
      <c r="G12" s="1"/>
      <c r="I12" s="19"/>
      <c r="N12" s="1"/>
      <c r="O12" s="1"/>
    </row>
    <row r="13" spans="1:18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1"/>
      <c r="G13" s="1"/>
      <c r="I13" s="5">
        <v>43101</v>
      </c>
      <c r="L13" s="19" t="s">
        <v>16</v>
      </c>
      <c r="M13" s="19"/>
      <c r="N13" s="12">
        <f>COUNT(L15:L1048576)</f>
        <v>10</v>
      </c>
      <c r="O13" s="1"/>
      <c r="P13" s="31" t="s">
        <v>24</v>
      </c>
      <c r="Q13" s="31"/>
      <c r="R13" s="15"/>
    </row>
    <row r="14" spans="1:18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L15" s="13">
        <v>12</v>
      </c>
      <c r="M15" s="14">
        <v>4.3E-3</v>
      </c>
      <c r="N15" s="14">
        <f>M15*1.05</f>
        <v>4.5149999999999999E-3</v>
      </c>
      <c r="O15" s="1"/>
      <c r="P15" s="16">
        <v>12</v>
      </c>
      <c r="Q15" s="17">
        <v>1.9998810720443728E-2</v>
      </c>
      <c r="R15" s="17">
        <v>2.1054962778091435E-2</v>
      </c>
    </row>
    <row r="16" spans="1:18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L16" s="13">
        <v>24</v>
      </c>
      <c r="M16" s="14">
        <v>1.34E-2</v>
      </c>
      <c r="N16" s="14">
        <f t="shared" ref="N16:N24" si="3">M16*1.05</f>
        <v>1.4070000000000001E-2</v>
      </c>
      <c r="O16" s="1"/>
      <c r="P16" s="16">
        <v>24</v>
      </c>
      <c r="Q16" s="17">
        <v>2.009059820175171E-2</v>
      </c>
      <c r="R16" s="17">
        <v>2.113125367164612E-2</v>
      </c>
    </row>
    <row r="17" spans="1:18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L17" s="13">
        <v>36</v>
      </c>
      <c r="M17" s="14">
        <v>2.41E-2</v>
      </c>
      <c r="N17" s="14">
        <f t="shared" si="3"/>
        <v>2.5305000000000001E-2</v>
      </c>
      <c r="O17" s="1"/>
      <c r="P17" s="16">
        <v>36</v>
      </c>
      <c r="Q17" s="17">
        <v>1.9684706807136534E-2</v>
      </c>
      <c r="R17" s="17">
        <v>2.0694667112827303E-2</v>
      </c>
    </row>
    <row r="18" spans="1:18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3"/>
        <v>3.7485000000000004E-2</v>
      </c>
      <c r="O18" s="1"/>
      <c r="P18" s="16">
        <v>48</v>
      </c>
      <c r="Q18" s="17">
        <v>1.9043982505798338E-2</v>
      </c>
      <c r="R18" s="17">
        <v>2.0020863556861876E-2</v>
      </c>
    </row>
    <row r="19" spans="1:18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3"/>
        <v>5.0505000000000001E-2</v>
      </c>
      <c r="O19" s="1"/>
      <c r="P19" s="16">
        <v>60</v>
      </c>
      <c r="Q19" s="17">
        <v>1.8569101494550707E-2</v>
      </c>
      <c r="R19" s="17">
        <v>1.9520055562257773E-2</v>
      </c>
    </row>
    <row r="20" spans="1:18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L20" s="13">
        <v>84</v>
      </c>
      <c r="M20" s="14">
        <v>7.2099999999999997E-2</v>
      </c>
      <c r="N20" s="14">
        <f t="shared" si="3"/>
        <v>7.5704999999999995E-2</v>
      </c>
      <c r="O20" s="1"/>
      <c r="P20" s="16">
        <v>84</v>
      </c>
      <c r="Q20" s="17">
        <v>1.7401753969490535E-2</v>
      </c>
      <c r="R20" s="17">
        <v>1.8295042850077149E-2</v>
      </c>
    </row>
    <row r="21" spans="1:18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L21" s="13">
        <v>120</v>
      </c>
      <c r="M21" s="14">
        <v>0.104</v>
      </c>
      <c r="N21" s="14">
        <f t="shared" si="3"/>
        <v>0.10920000000000001</v>
      </c>
      <c r="O21" s="1"/>
      <c r="P21" s="16">
        <v>120</v>
      </c>
      <c r="Q21" s="17">
        <v>1.5478724282979965E-2</v>
      </c>
      <c r="R21" s="17">
        <v>1.6280858956277372E-2</v>
      </c>
    </row>
    <row r="22" spans="1:18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L22" s="13">
        <v>144</v>
      </c>
      <c r="M22" s="14">
        <v>0.1245</v>
      </c>
      <c r="N22" s="14">
        <f t="shared" si="3"/>
        <v>0.13072500000000001</v>
      </c>
      <c r="O22" s="1"/>
      <c r="P22" s="16">
        <v>144</v>
      </c>
      <c r="Q22" s="17">
        <v>1.4673274233937264E-2</v>
      </c>
      <c r="R22" s="17">
        <v>1.5435717526823283E-2</v>
      </c>
    </row>
    <row r="23" spans="1:18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L23" s="13">
        <v>180</v>
      </c>
      <c r="M23" s="14">
        <v>0.16</v>
      </c>
      <c r="N23" s="14">
        <f t="shared" si="3"/>
        <v>0.16800000000000001</v>
      </c>
      <c r="O23" s="1"/>
      <c r="P23" s="16">
        <v>180</v>
      </c>
      <c r="Q23" s="17">
        <v>1.4487073046714068E-2</v>
      </c>
      <c r="R23" s="17">
        <v>1.5235267674177887E-2</v>
      </c>
    </row>
    <row r="24" spans="1:18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L24" s="13">
        <v>240</v>
      </c>
      <c r="M24" s="14">
        <v>0.22120000000000001</v>
      </c>
      <c r="N24" s="14">
        <f t="shared" si="3"/>
        <v>0.23226000000000002</v>
      </c>
      <c r="O24" s="1"/>
      <c r="P24" s="16">
        <v>240</v>
      </c>
      <c r="Q24" s="17">
        <v>1.5071566340327263E-2</v>
      </c>
      <c r="R24" s="17">
        <v>1.5817032301798463E-2</v>
      </c>
    </row>
    <row r="25" spans="1:18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B10:C10"/>
    <mergeCell ref="D10:E10"/>
    <mergeCell ref="F10:G10"/>
    <mergeCell ref="H10:I10"/>
    <mergeCell ref="B11:C12"/>
    <mergeCell ref="I11:I1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2023-12-16T14:45:19Z</dcterms:modified>
</cp:coreProperties>
</file>