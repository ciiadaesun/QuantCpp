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BSCapFloor\"/>
    </mc:Choice>
  </mc:AlternateContent>
  <xr:revisionPtr revIDLastSave="0" documentId="13_ncr:1_{5281786A-B88B-4DAD-B6E0-AA243F79232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ImvolConver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<sst xmlns="http://schemas.openxmlformats.org/spreadsheetml/2006/main" count="47" uniqueCount="28">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</sst>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  <numFmt numFmtId="184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>
      <alignment vertical="center"/>
    </xf>
    <xf numFmtId="177" fontId="9" fillId="8" borderId="0" xfId="0" applyNumberFormat="1" applyFont="1" applyFill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>
      <alignment vertical="center"/>
    </xf>
    <xf numFmtId="182" fontId="9" fillId="8" borderId="0" xfId="0" applyNumberFormat="1" applyFont="1" applyFill="1" applyAlignment="1"/>
    <xf numFmtId="183" fontId="9" fillId="8" borderId="0" xfId="0" applyNumberFormat="1" applyFont="1" applyFill="1" applyAlignment="1"/>
    <xf numFmtId="0" fontId="3" fillId="5" borderId="0" xfId="0" applyFont="1" applyFill="1">
      <alignment vertical="center"/>
    </xf>
    <xf numFmtId="182" fontId="9" fillId="9" borderId="0" xfId="0" applyNumberFormat="1" applyFont="1" applyFill="1" applyAlignment="1"/>
    <xf numFmtId="177" fontId="9" fillId="9" borderId="0" xfId="1" applyNumberFormat="1" applyFont="1" applyFill="1" applyBorder="1" applyAlignment="1"/>
    <xf numFmtId="180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4" fontId="9" fillId="8" borderId="0" xfId="0" applyNumberFormat="1" applyFont="1" applyFill="1" applyAlignment="1"/>
    <xf numFmtId="184" fontId="0" fillId="8" borderId="0" xfId="1" applyNumberFormat="1" applyFont="1" applyFill="1">
      <alignment vertical="center"/>
    </xf>
    <xf numFmtId="180" fontId="9" fillId="8" borderId="0" xfId="1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5" t="s">
        <v>0</v>
      </c>
      <c r="C3" s="25"/>
      <c r="D3" s="34">
        <v>45205</v>
      </c>
      <c r="E3" s="26"/>
      <c r="F3" s="25" t="s">
        <v>1</v>
      </c>
      <c r="G3" s="25"/>
      <c r="H3" s="26">
        <v>0</v>
      </c>
      <c r="I3" s="26"/>
      <c r="J3" s="27" t="s">
        <v>15</v>
      </c>
      <c r="K3" s="28"/>
      <c r="L3" s="29">
        <v>0</v>
      </c>
      <c r="M3" s="29"/>
      <c r="N3" s="1"/>
      <c r="O3" s="1"/>
    </row>
    <row r="4" spans="1:17" x14ac:dyDescent="0.4">
      <c r="B4" s="25" t="s">
        <v>12</v>
      </c>
      <c r="C4" s="25"/>
      <c r="D4" s="34">
        <f>D3</f>
        <v>45205</v>
      </c>
      <c r="E4" s="26"/>
      <c r="F4" s="25" t="s">
        <v>2</v>
      </c>
      <c r="G4" s="25"/>
      <c r="H4" s="26">
        <v>0</v>
      </c>
      <c r="I4" s="26"/>
      <c r="J4" s="25" t="s">
        <v>18</v>
      </c>
      <c r="K4" s="25"/>
      <c r="L4" s="26">
        <v>0</v>
      </c>
      <c r="M4" s="26"/>
      <c r="N4" s="1"/>
      <c r="O4" s="1"/>
    </row>
    <row r="5" spans="1:17" x14ac:dyDescent="0.4">
      <c r="B5" s="25" t="s">
        <v>13</v>
      </c>
      <c r="C5" s="25"/>
      <c r="D5" s="34">
        <f>EDATE(D4,12)</f>
        <v>45571</v>
      </c>
      <c r="E5" s="26"/>
      <c r="F5" s="25" t="s">
        <v>3</v>
      </c>
      <c r="G5" s="25"/>
      <c r="H5" s="26">
        <v>1</v>
      </c>
      <c r="I5" s="26"/>
      <c r="J5" s="25" t="s">
        <v>20</v>
      </c>
      <c r="K5" s="25"/>
      <c r="L5" s="26">
        <v>1</v>
      </c>
      <c r="M5" s="26"/>
      <c r="N5" s="1"/>
      <c r="O5" s="1"/>
    </row>
    <row r="6" spans="1:17" x14ac:dyDescent="0.4">
      <c r="B6" s="27" t="s">
        <v>4</v>
      </c>
      <c r="C6" s="28"/>
      <c r="D6" s="26">
        <v>0</v>
      </c>
      <c r="E6" s="26"/>
      <c r="F6" s="25" t="str">
        <f>IF(H5 = 1, "HolidayNation","Not Used")</f>
        <v>HolidayNation</v>
      </c>
      <c r="G6" s="25"/>
      <c r="H6" s="26">
        <v>0</v>
      </c>
      <c r="I6" s="26"/>
      <c r="N6" s="30" t="s">
        <v>5</v>
      </c>
      <c r="O6" s="30"/>
      <c r="P6" s="33">
        <v>45273.94394675926</v>
      </c>
      <c r="Q6" s="33"/>
    </row>
    <row r="7" spans="1:17" x14ac:dyDescent="0.4">
      <c r="B7" s="27" t="s">
        <v>6</v>
      </c>
      <c r="C7" s="28"/>
      <c r="D7" s="26">
        <v>4</v>
      </c>
      <c r="E7" s="26"/>
      <c r="F7" s="1"/>
      <c r="G7" s="1"/>
      <c r="I7" s="1"/>
      <c r="N7" s="30" t="s">
        <v>7</v>
      </c>
      <c r="O7" s="30"/>
      <c r="P7" s="33">
        <v>45273.94394675926</v>
      </c>
      <c r="Q7" s="33"/>
    </row>
    <row r="8" spans="1:17" x14ac:dyDescent="0.4">
      <c r="B8" s="1"/>
      <c r="C8" s="1"/>
      <c r="F8" s="27" t="s">
        <v>8</v>
      </c>
      <c r="G8" s="28"/>
      <c r="H8" s="29">
        <v>3.9967291747879802E-2</v>
      </c>
      <c r="I8" s="29"/>
      <c r="N8" s="1"/>
      <c r="O8" s="1"/>
    </row>
    <row r="9" spans="1:17" x14ac:dyDescent="0.4">
      <c r="B9" s="27" t="s">
        <v>9</v>
      </c>
      <c r="C9" s="28"/>
      <c r="D9" s="26">
        <v>1</v>
      </c>
      <c r="E9" s="26"/>
      <c r="F9" s="27" t="s">
        <v>10</v>
      </c>
      <c r="G9" s="28"/>
      <c r="H9" s="32">
        <v>1</v>
      </c>
      <c r="I9" s="32"/>
      <c r="N9" s="30" t="s">
        <v>17</v>
      </c>
      <c r="O9" s="30"/>
      <c r="P9" s="31">
        <v>2.135476214885712E-2</v>
      </c>
      <c r="Q9" s="31"/>
    </row>
    <row r="10" spans="1:17" x14ac:dyDescent="0.4">
      <c r="B10" s="27" t="s">
        <v>14</v>
      </c>
      <c r="C10" s="28"/>
      <c r="D10" s="26">
        <v>0</v>
      </c>
      <c r="E10" s="26"/>
      <c r="F10" s="25" t="s">
        <v>19</v>
      </c>
      <c r="G10" s="25"/>
      <c r="H10" s="26">
        <v>0</v>
      </c>
      <c r="I10" s="26"/>
      <c r="N10" s="1"/>
      <c r="O10" s="1"/>
    </row>
    <row r="11" spans="1:17" x14ac:dyDescent="0.4">
      <c r="B11" s="24" t="s">
        <v>11</v>
      </c>
      <c r="C11" s="24"/>
      <c r="F11" s="24"/>
      <c r="G11" s="24"/>
      <c r="I11" s="24" t="str">
        <f>IF(H5=1,"NotUsed","Holiday")</f>
        <v>NotUsed</v>
      </c>
      <c r="N11" s="1"/>
      <c r="O11" s="1"/>
    </row>
    <row r="12" spans="1:17" x14ac:dyDescent="0.4">
      <c r="B12" s="24"/>
      <c r="C12" s="24"/>
      <c r="F12" s="24" t="s">
        <v>16</v>
      </c>
      <c r="G12" s="24"/>
      <c r="I12" s="24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23">
        <v>4.3E-3</v>
      </c>
      <c r="G13" s="23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F13:G13"/>
    <mergeCell ref="F12:G12"/>
    <mergeCell ref="F10:G10"/>
    <mergeCell ref="H10:I10"/>
    <mergeCell ref="J4:K4"/>
    <mergeCell ref="F8:G8"/>
    <mergeCell ref="H8:I8"/>
    <mergeCell ref="J5:K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40"/>
  <sheetViews>
    <sheetView tabSelected="1" topLeftCell="C4" workbookViewId="0">
      <selection activeCell="M11" sqref="M11"/>
    </sheetView>
  </sheetViews>
  <sheetFormatPr defaultColWidth="11.5" defaultRowHeight="17.399999999999999" x14ac:dyDescent="0.4"/>
  <cols>
    <col min="1" max="1" width="11.5" style="1"/>
    <col min="2" max="2" width="11.5" style="20"/>
    <col min="3" max="3" width="11.5" style="22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 t="s">
        <v>27</v>
      </c>
      <c r="D2" s="1">
        <v>1</v>
      </c>
      <c r="F2" s="1"/>
      <c r="G2" s="1"/>
      <c r="I2" s="1"/>
      <c r="N2" s="1"/>
      <c r="O2" s="1"/>
    </row>
    <row r="3" spans="1:18" x14ac:dyDescent="0.4">
      <c r="B3" s="25" t="s">
        <v>0</v>
      </c>
      <c r="C3" s="25"/>
      <c r="D3" s="34">
        <v>45205</v>
      </c>
      <c r="E3" s="26"/>
      <c r="F3" s="25" t="s">
        <v>1</v>
      </c>
      <c r="G3" s="25"/>
      <c r="H3" s="26">
        <v>0</v>
      </c>
      <c r="I3" s="26"/>
      <c r="J3" s="27" t="s">
        <v>15</v>
      </c>
      <c r="K3" s="28"/>
      <c r="L3" s="29">
        <v>0</v>
      </c>
      <c r="M3" s="29"/>
      <c r="N3" s="1"/>
      <c r="O3" s="1"/>
    </row>
    <row r="4" spans="1:18" x14ac:dyDescent="0.4">
      <c r="B4" s="1"/>
      <c r="C4" s="1"/>
      <c r="F4" s="25" t="s">
        <v>2</v>
      </c>
      <c r="G4" s="25"/>
      <c r="H4" s="26">
        <v>0</v>
      </c>
      <c r="I4" s="26"/>
      <c r="J4" s="25" t="s">
        <v>18</v>
      </c>
      <c r="K4" s="25"/>
      <c r="L4" s="26">
        <v>0</v>
      </c>
      <c r="M4" s="26"/>
      <c r="N4" s="1"/>
      <c r="O4" s="1"/>
    </row>
    <row r="5" spans="1:18" x14ac:dyDescent="0.4">
      <c r="B5" s="1"/>
      <c r="C5" s="1"/>
      <c r="F5" s="25" t="s">
        <v>3</v>
      </c>
      <c r="G5" s="25"/>
      <c r="H5" s="26">
        <v>1</v>
      </c>
      <c r="I5" s="26"/>
      <c r="J5" s="25" t="s">
        <v>20</v>
      </c>
      <c r="K5" s="25"/>
      <c r="L5" s="26">
        <v>2</v>
      </c>
      <c r="M5" s="26"/>
      <c r="N5" s="1"/>
      <c r="O5" s="1"/>
    </row>
    <row r="6" spans="1:18" x14ac:dyDescent="0.4">
      <c r="B6" s="27" t="s">
        <v>4</v>
      </c>
      <c r="C6" s="28"/>
      <c r="D6" s="26">
        <v>0</v>
      </c>
      <c r="E6" s="26"/>
      <c r="F6" s="25" t="str">
        <f>IF(H5 = 1, "HolidayNation","Not Used")</f>
        <v>HolidayNation</v>
      </c>
      <c r="G6" s="25"/>
      <c r="H6" s="26">
        <v>0</v>
      </c>
      <c r="I6" s="26"/>
      <c r="N6" s="30" t="s">
        <v>5</v>
      </c>
      <c r="O6" s="30"/>
      <c r="P6" s="33">
        <v>45984.914467592593</v>
      </c>
      <c r="Q6" s="33"/>
    </row>
    <row r="7" spans="1:18" x14ac:dyDescent="0.4">
      <c r="B7" s="27" t="s">
        <v>6</v>
      </c>
      <c r="C7" s="28"/>
      <c r="D7" s="26">
        <v>4</v>
      </c>
      <c r="E7" s="26"/>
      <c r="F7" s="1"/>
      <c r="G7" s="1"/>
      <c r="I7" s="1"/>
      <c r="N7" s="30" t="s">
        <v>7</v>
      </c>
      <c r="O7" s="30"/>
      <c r="P7" s="33">
        <v>45984.914467592593</v>
      </c>
      <c r="Q7" s="33"/>
    </row>
    <row r="8" spans="1:18" x14ac:dyDescent="0.4">
      <c r="B8" s="1"/>
      <c r="C8" s="1"/>
      <c r="F8" s="27" t="str">
        <f>IF(L5&gt;0, "사용X","행사금리")</f>
        <v>사용X</v>
      </c>
      <c r="G8" s="28"/>
      <c r="H8" s="29">
        <v>3.9967291747879802E-2</v>
      </c>
      <c r="I8" s="29"/>
      <c r="N8" s="1"/>
      <c r="O8" s="1"/>
    </row>
    <row r="9" spans="1:18" x14ac:dyDescent="0.4">
      <c r="B9" s="27" t="s">
        <v>9</v>
      </c>
      <c r="C9" s="28"/>
      <c r="D9" s="26">
        <v>1</v>
      </c>
      <c r="E9" s="26"/>
      <c r="F9" s="27" t="s">
        <v>10</v>
      </c>
      <c r="G9" s="28"/>
      <c r="H9" s="32">
        <v>1</v>
      </c>
      <c r="I9" s="32"/>
      <c r="N9" s="30" t="s">
        <v>17</v>
      </c>
      <c r="O9" s="30"/>
      <c r="P9" s="31"/>
      <c r="Q9" s="31"/>
    </row>
    <row r="10" spans="1:18" x14ac:dyDescent="0.4">
      <c r="B10" s="27" t="s">
        <v>14</v>
      </c>
      <c r="C10" s="28"/>
      <c r="D10" s="26">
        <v>0</v>
      </c>
      <c r="E10" s="26"/>
      <c r="F10" s="25" t="s">
        <v>19</v>
      </c>
      <c r="G10" s="25"/>
      <c r="H10" s="26">
        <v>0</v>
      </c>
      <c r="I10" s="26"/>
      <c r="N10" s="1"/>
      <c r="O10" s="1"/>
    </row>
    <row r="11" spans="1:18" x14ac:dyDescent="0.4">
      <c r="B11" s="24" t="s">
        <v>11</v>
      </c>
      <c r="C11" s="24"/>
      <c r="F11" s="1"/>
      <c r="G11" s="1"/>
      <c r="I11" s="24" t="str">
        <f>IF(H5=1,"NotUsed","Holiday")</f>
        <v>NotUsed</v>
      </c>
      <c r="N11" s="1"/>
      <c r="O11" s="1"/>
    </row>
    <row r="12" spans="1:18" x14ac:dyDescent="0.4">
      <c r="B12" s="24"/>
      <c r="C12" s="24"/>
      <c r="F12" s="1"/>
      <c r="G12" s="1"/>
      <c r="I12" s="24"/>
      <c r="N12" s="1"/>
      <c r="O12" s="1"/>
    </row>
    <row r="13" spans="1:18" x14ac:dyDescent="0.35">
      <c r="A13" s="2"/>
      <c r="B13" s="19">
        <v>45209</v>
      </c>
      <c r="C13" s="21">
        <v>3.5263000000000004</v>
      </c>
      <c r="D13" s="2"/>
      <c r="E13" s="18"/>
      <c r="F13" s="1"/>
      <c r="G13" s="1"/>
      <c r="I13" s="5">
        <v>43101</v>
      </c>
      <c r="L13" s="24" t="s">
        <v>16</v>
      </c>
      <c r="M13" s="24"/>
      <c r="N13" s="12">
        <f>COUNT(L15:L1048576)</f>
        <v>10</v>
      </c>
      <c r="O13" s="1"/>
      <c r="P13" s="35" t="s">
        <v>24</v>
      </c>
      <c r="Q13" s="35"/>
      <c r="R13" s="15"/>
    </row>
    <row r="14" spans="1:18" x14ac:dyDescent="0.35">
      <c r="A14" s="2"/>
      <c r="B14" s="19">
        <v>45210</v>
      </c>
      <c r="C14" s="21">
        <v>3.5270999999999999</v>
      </c>
      <c r="D14" s="2"/>
      <c r="E14" s="18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19">
        <v>45301</v>
      </c>
      <c r="C15" s="21">
        <v>3.7902999999999998</v>
      </c>
      <c r="D15" s="2"/>
      <c r="E15" s="18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2.0120399332046512E-2</v>
      </c>
      <c r="R15" s="17">
        <v>2.0840394639968875E-2</v>
      </c>
    </row>
    <row r="16" spans="1:18" x14ac:dyDescent="0.35">
      <c r="A16" s="2"/>
      <c r="B16" s="19">
        <v>45393</v>
      </c>
      <c r="C16" s="21">
        <v>3.8933000000000004</v>
      </c>
      <c r="D16" s="2"/>
      <c r="E16" s="18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2.0317682814598087E-2</v>
      </c>
      <c r="R16" s="17">
        <v>2.1034996020793922E-2</v>
      </c>
    </row>
    <row r="17" spans="1:18" x14ac:dyDescent="0.35">
      <c r="A17" s="2"/>
      <c r="B17" s="19">
        <v>45483</v>
      </c>
      <c r="C17" s="21">
        <v>3.9302999999999999</v>
      </c>
      <c r="D17" s="2"/>
      <c r="E17" s="18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1.9883927363157274E-2</v>
      </c>
      <c r="R17" s="17">
        <v>2.0583210885524755E-2</v>
      </c>
    </row>
    <row r="18" spans="1:18" x14ac:dyDescent="0.35">
      <c r="A18" s="2"/>
      <c r="B18" s="19">
        <v>45575</v>
      </c>
      <c r="C18" s="21">
        <v>3.9365999999999999</v>
      </c>
      <c r="D18" s="2"/>
      <c r="E18" s="18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1.9320387989282612E-2</v>
      </c>
      <c r="R18" s="17">
        <v>1.9998959726095202E-2</v>
      </c>
    </row>
    <row r="19" spans="1:18" x14ac:dyDescent="0.35">
      <c r="A19" s="2"/>
      <c r="B19" s="19">
        <v>45757</v>
      </c>
      <c r="C19" s="21">
        <v>3.9529000000000001</v>
      </c>
      <c r="D19" s="2"/>
      <c r="E19" s="18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1.8929397159814832E-2</v>
      </c>
      <c r="R19" s="17">
        <v>1.9593664354085921E-2</v>
      </c>
    </row>
    <row r="20" spans="1:18" x14ac:dyDescent="0.35">
      <c r="A20" s="2"/>
      <c r="B20" s="19">
        <v>45940</v>
      </c>
      <c r="C20" s="21">
        <v>3.9586000000000001</v>
      </c>
      <c r="D20" s="2"/>
      <c r="E20" s="18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1.8271313700079915E-2</v>
      </c>
      <c r="R20" s="17">
        <v>1.8912112504243846E-2</v>
      </c>
    </row>
    <row r="21" spans="1:18" x14ac:dyDescent="0.35">
      <c r="A21" s="2"/>
      <c r="B21" s="19">
        <v>46307</v>
      </c>
      <c r="C21" s="21">
        <v>3.9591000000000003</v>
      </c>
      <c r="D21" s="2"/>
      <c r="E21" s="18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1.7512390665709976E-2</v>
      </c>
      <c r="R21" s="17">
        <v>1.8126461581140757E-2</v>
      </c>
    </row>
    <row r="22" spans="1:18" x14ac:dyDescent="0.35">
      <c r="A22" s="2"/>
      <c r="B22" s="19">
        <v>46671</v>
      </c>
      <c r="C22" s="21">
        <v>3.9672999999999998</v>
      </c>
      <c r="D22" s="2"/>
      <c r="E22" s="18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1.544359620064497E-2</v>
      </c>
      <c r="R22" s="17">
        <v>1.5985213118046522E-2</v>
      </c>
    </row>
    <row r="23" spans="1:18" x14ac:dyDescent="0.35">
      <c r="A23" s="2"/>
      <c r="B23" s="19">
        <v>47036</v>
      </c>
      <c r="C23" s="21">
        <v>3.9701</v>
      </c>
      <c r="D23" s="2"/>
      <c r="E23" s="18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1.4916805345565083E-2</v>
      </c>
      <c r="R23" s="17">
        <v>1.5439703428000212E-2</v>
      </c>
    </row>
    <row r="24" spans="1:18" x14ac:dyDescent="0.35">
      <c r="A24" s="2"/>
      <c r="B24" s="19">
        <v>47401</v>
      </c>
      <c r="C24" s="21">
        <v>3.9782999999999999</v>
      </c>
      <c r="D24" s="2"/>
      <c r="E24" s="18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1.4159595876187087E-2</v>
      </c>
      <c r="R24" s="17">
        <v>1.4657414444908499E-2</v>
      </c>
    </row>
    <row r="25" spans="1:18" x14ac:dyDescent="0.35">
      <c r="A25" s="2"/>
      <c r="B25" s="19">
        <v>47766</v>
      </c>
      <c r="C25" s="21">
        <v>3.9838</v>
      </c>
      <c r="D25" s="2"/>
      <c r="E25" s="18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19">
        <v>48131</v>
      </c>
      <c r="C26" s="21">
        <v>3.9923000000000002</v>
      </c>
      <c r="D26" s="2"/>
      <c r="E26" s="18"/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19">
        <v>48498</v>
      </c>
      <c r="C27" s="21">
        <v>4.0037000000000003</v>
      </c>
      <c r="D27" s="2"/>
      <c r="E27" s="18"/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19">
        <v>48862</v>
      </c>
      <c r="C28" s="21">
        <v>4.0152999999999999</v>
      </c>
      <c r="D28" s="2"/>
      <c r="E28" s="18"/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19">
        <v>49592</v>
      </c>
      <c r="C29" s="21">
        <v>4.0266000000000002</v>
      </c>
      <c r="D29" s="2"/>
      <c r="E29" s="18"/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19">
        <v>50689</v>
      </c>
      <c r="C30" s="21">
        <v>4.0156000000000001</v>
      </c>
      <c r="D30" s="2"/>
      <c r="E30" s="18"/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19">
        <v>52516</v>
      </c>
      <c r="C31" s="21">
        <v>3.8306</v>
      </c>
      <c r="D31" s="2"/>
      <c r="E31" s="18"/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19">
        <v>54343</v>
      </c>
      <c r="C32" s="21">
        <v>3.6707000000000005</v>
      </c>
      <c r="D32" s="2"/>
      <c r="E32" s="18"/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19">
        <v>56167</v>
      </c>
      <c r="C33" s="21">
        <v>3.5825000000000005</v>
      </c>
      <c r="D33" s="2"/>
      <c r="E33" s="18"/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2025-11-23T12:56:51Z</dcterms:modified>
</cp:coreProperties>
</file>