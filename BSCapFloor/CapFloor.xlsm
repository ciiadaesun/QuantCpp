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BSCapFloo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<sst xmlns="http://schemas.openxmlformats.org/spreadsheetml/2006/main" count="23" uniqueCount="23">
  <si>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</si>
  <si>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</si>
  <si>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</si>
  <si>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</si>
  <si>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</si>
  <si>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</si>
  <si>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</si>
  <si>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Price or Value Flag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</si>
  <si>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</si>
  <si>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</si>
  <si>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</si>
  <si>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</si>
  <si>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Price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</si>
  <si>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</si>
  <si>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</si>
  <si>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</si>
  <si>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</si>
  <si>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Volatility</t>
    <phoneticPr fontId="2" type="noConversion"/>
  </si>
  <si>
    <t>첫 Fixing금리(존재할경우)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</si>
  <si>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</si>
  <si>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</si>
  <si>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</si>
  <si>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ForwardSwapRate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</si>
</sst>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[$-F400]h:mm:ss\ AM/PM"/>
    <numFmt numFmtId="177" formatCode="0.0000%"/>
    <numFmt numFmtId="178" formatCode="0.0_);[Red]\(0.0\)"/>
    <numFmt numFmtId="179" formatCode="0.0000000_);[Red]\(0.0000000\)"/>
    <numFmt numFmtId="180" formatCode="0.00_);[Red]\(0.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80" fontId="8" fillId="8" borderId="0" xfId="0" applyNumberFormat="1" applyFont="1" applyFill="1" applyBorder="1" applyAlignment="1">
      <alignment vertical="center"/>
    </xf>
    <xf numFmtId="177" fontId="9" fillId="8" borderId="0" xfId="0" applyNumberFormat="1" applyFont="1" applyFill="1" applyBorder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80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80" fontId="0" fillId="2" borderId="0" xfId="0" applyNumberFormat="1" applyFill="1">
      <alignment vertical="center"/>
    </xf>
    <xf numFmtId="177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79" fontId="0" fillId="6" borderId="0" xfId="1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5</xdr:row>
          <xdr:rowOff>30480</xdr:rowOff>
        </xdr:from>
        <xdr:to>
          <xdr:col>12</xdr:col>
          <xdr:colOff>60960</xdr:colOff>
          <xdr:row>10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I19" sqref="I19"/>
    </sheetView>
  </sheetViews>
  <sheetFormatPr defaultColWidth="10.8984375" defaultRowHeight="17.399999999999999" x14ac:dyDescent="0.4"/>
  <cols>
    <col min="1" max="1" width="10.8984375" style="1"/>
    <col min="2" max="2" width="10.8984375" style="7"/>
    <col min="3" max="3" width="10.8984375" style="8"/>
    <col min="4" max="5" width="10.8984375" style="1"/>
    <col min="6" max="6" width="10.8984375" style="9"/>
    <col min="7" max="7" width="10.8984375" style="10"/>
    <col min="8" max="8" width="10.8984375" style="1"/>
    <col min="9" max="9" width="10.8984375" style="6"/>
    <col min="10" max="10" width="10.8984375" style="1"/>
    <col min="11" max="11" width="12.59765625" style="1" customWidth="1"/>
    <col min="12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14" t="s">
        <v>0</v>
      </c>
      <c r="C3" s="14"/>
      <c r="D3" s="24">
        <v>45205</v>
      </c>
      <c r="E3" s="20"/>
      <c r="F3" s="14" t="s">
        <v>1</v>
      </c>
      <c r="G3" s="14"/>
      <c r="H3" s="15">
        <v>0</v>
      </c>
      <c r="I3" s="15"/>
      <c r="J3" s="18" t="s">
        <v>18</v>
      </c>
      <c r="K3" s="19"/>
      <c r="L3" s="21">
        <v>0</v>
      </c>
      <c r="M3" s="21"/>
      <c r="N3" s="1"/>
      <c r="O3" s="1"/>
    </row>
    <row r="4" spans="1:17" x14ac:dyDescent="0.4">
      <c r="B4" s="14" t="s">
        <v>14</v>
      </c>
      <c r="C4" s="14"/>
      <c r="D4" s="24">
        <v>47505</v>
      </c>
      <c r="E4" s="20"/>
      <c r="F4" s="14" t="s">
        <v>2</v>
      </c>
      <c r="G4" s="14"/>
      <c r="H4" s="20">
        <v>0</v>
      </c>
      <c r="I4" s="20"/>
      <c r="J4" s="14" t="s">
        <v>19</v>
      </c>
      <c r="K4" s="14"/>
      <c r="L4" s="20">
        <v>0</v>
      </c>
      <c r="M4" s="20"/>
      <c r="N4" s="1"/>
      <c r="O4" s="1"/>
    </row>
    <row r="5" spans="1:17" x14ac:dyDescent="0.4">
      <c r="B5" s="14" t="s">
        <v>15</v>
      </c>
      <c r="C5" s="14"/>
      <c r="D5" s="24">
        <v>51158</v>
      </c>
      <c r="E5" s="20"/>
      <c r="F5" s="14" t="s">
        <v>3</v>
      </c>
      <c r="G5" s="14"/>
      <c r="H5" s="15">
        <v>1</v>
      </c>
      <c r="I5" s="15"/>
      <c r="J5" s="14" t="s">
        <v>21</v>
      </c>
      <c r="K5" s="14"/>
      <c r="L5" s="20">
        <v>1</v>
      </c>
      <c r="M5" s="20"/>
      <c r="N5" s="1"/>
      <c r="O5" s="1"/>
    </row>
    <row r="6" spans="1:17" x14ac:dyDescent="0.4">
      <c r="B6" s="18" t="s">
        <v>4</v>
      </c>
      <c r="C6" s="19"/>
      <c r="D6" s="20">
        <v>0</v>
      </c>
      <c r="E6" s="20"/>
      <c r="F6" s="14" t="str">
        <f>IF(H5 = 1, "HolidayNation","Not Used")</f>
        <v>HolidayNation</v>
      </c>
      <c r="G6" s="14"/>
      <c r="H6" s="15">
        <v>0</v>
      </c>
      <c r="I6" s="15"/>
      <c r="N6" s="16" t="s">
        <v>5</v>
      </c>
      <c r="O6" s="16"/>
      <c r="P6" s="23">
        <v>45273.918344907404</v>
      </c>
      <c r="Q6" s="23"/>
    </row>
    <row r="7" spans="1:17" x14ac:dyDescent="0.4">
      <c r="B7" s="18" t="s">
        <v>6</v>
      </c>
      <c r="C7" s="19"/>
      <c r="D7" s="20">
        <v>4</v>
      </c>
      <c r="E7" s="20"/>
      <c r="F7" s="14" t="s">
        <v>7</v>
      </c>
      <c r="G7" s="14"/>
      <c r="H7" s="15">
        <v>0</v>
      </c>
      <c r="I7" s="15"/>
      <c r="N7" s="16" t="s">
        <v>8</v>
      </c>
      <c r="O7" s="16"/>
      <c r="P7" s="23">
        <v>45273.918344907404</v>
      </c>
      <c r="Q7" s="23"/>
    </row>
    <row r="8" spans="1:17" x14ac:dyDescent="0.4">
      <c r="B8" s="1"/>
      <c r="C8" s="1"/>
      <c r="F8" s="18" t="s">
        <v>9</v>
      </c>
      <c r="G8" s="19"/>
      <c r="H8" s="21">
        <v>4.03617E-2</v>
      </c>
      <c r="I8" s="21"/>
      <c r="N8" s="1"/>
      <c r="O8" s="1"/>
    </row>
    <row r="9" spans="1:17" x14ac:dyDescent="0.4">
      <c r="B9" s="18" t="s">
        <v>10</v>
      </c>
      <c r="C9" s="19"/>
      <c r="D9" s="20">
        <v>1</v>
      </c>
      <c r="E9" s="20"/>
      <c r="F9" s="18" t="s">
        <v>11</v>
      </c>
      <c r="G9" s="19"/>
      <c r="H9" s="22">
        <v>1</v>
      </c>
      <c r="I9" s="22"/>
      <c r="N9" s="16" t="s">
        <v>12</v>
      </c>
      <c r="O9" s="16"/>
      <c r="P9" s="17">
        <v>7.0519757610770548E-2</v>
      </c>
      <c r="Q9" s="17"/>
    </row>
    <row r="10" spans="1:17" x14ac:dyDescent="0.4">
      <c r="B10" s="18" t="s">
        <v>16</v>
      </c>
      <c r="C10" s="19"/>
      <c r="D10" s="20">
        <v>0</v>
      </c>
      <c r="E10" s="20"/>
      <c r="F10" s="14" t="s">
        <v>20</v>
      </c>
      <c r="G10" s="14"/>
      <c r="H10" s="15">
        <v>0</v>
      </c>
      <c r="I10" s="15"/>
      <c r="N10" s="16" t="s">
        <v>22</v>
      </c>
      <c r="O10" s="16"/>
      <c r="P10" s="17">
        <v>4.0361731489090176E-2</v>
      </c>
      <c r="Q10" s="17"/>
    </row>
    <row r="11" spans="1:17" x14ac:dyDescent="0.4">
      <c r="B11" s="13" t="s">
        <v>13</v>
      </c>
      <c r="C11" s="13"/>
      <c r="F11" s="13" t="s">
        <v>17</v>
      </c>
      <c r="G11" s="13"/>
      <c r="I11" s="13" t="str">
        <f>IF(H5=1,"NotUsed","Holiday")</f>
        <v>NotUsed</v>
      </c>
      <c r="N11" s="1"/>
      <c r="O11" s="1"/>
    </row>
    <row r="12" spans="1:17" x14ac:dyDescent="0.4">
      <c r="B12" s="13"/>
      <c r="C12" s="13"/>
      <c r="F12" s="13" t="str">
        <f>"볼 "&amp;IF(D9=0,"BS","Normal")</f>
        <v>볼 Normal</v>
      </c>
      <c r="G12" s="13"/>
      <c r="I12" s="13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12">
        <v>8.5000000000000006E-3</v>
      </c>
      <c r="G13" s="12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</row>
    <row r="33" spans="1:7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</row>
    <row r="34" spans="1:7" x14ac:dyDescent="0.4">
      <c r="F34" s="1"/>
      <c r="G34" s="1"/>
    </row>
    <row r="35" spans="1:7" x14ac:dyDescent="0.4">
      <c r="F35" s="1"/>
      <c r="G35" s="1"/>
    </row>
  </sheetData>
  <mergeCells count="49">
    <mergeCell ref="J5:K5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J4:K4"/>
    <mergeCell ref="L4:M4"/>
    <mergeCell ref="B5:C5"/>
    <mergeCell ref="D5:E5"/>
    <mergeCell ref="F5:G5"/>
    <mergeCell ref="H5:I5"/>
    <mergeCell ref="B6:C6"/>
    <mergeCell ref="D6:E6"/>
    <mergeCell ref="F6:G6"/>
    <mergeCell ref="H6:I6"/>
    <mergeCell ref="N6:O6"/>
    <mergeCell ref="P6:Q6"/>
    <mergeCell ref="B7:C7"/>
    <mergeCell ref="D7:E7"/>
    <mergeCell ref="F7:G7"/>
    <mergeCell ref="H7:I7"/>
    <mergeCell ref="N7:O7"/>
    <mergeCell ref="P7:Q7"/>
    <mergeCell ref="N9:O9"/>
    <mergeCell ref="P9:Q9"/>
    <mergeCell ref="B10:C10"/>
    <mergeCell ref="D10:E10"/>
    <mergeCell ref="F8:G8"/>
    <mergeCell ref="H8:I8"/>
    <mergeCell ref="B9:C9"/>
    <mergeCell ref="D9:E9"/>
    <mergeCell ref="F9:G9"/>
    <mergeCell ref="H9:I9"/>
    <mergeCell ref="N10:O10"/>
    <mergeCell ref="P10:Q10"/>
    <mergeCell ref="F13:G13"/>
    <mergeCell ref="F12:G12"/>
    <mergeCell ref="F10:G10"/>
    <mergeCell ref="H10:I10"/>
    <mergeCell ref="B11:C12"/>
    <mergeCell ref="F11:G11"/>
    <mergeCell ref="I11:I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BSCapFloor">
                <anchor moveWithCells="1" sizeWithCells="1">
                  <from>
                    <xdr:col>9</xdr:col>
                    <xdr:colOff>784860</xdr:colOff>
                    <xdr:row>5</xdr:row>
                    <xdr:rowOff>30480</xdr:rowOff>
                  </from>
                  <to>
                    <xdr:col>12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2023-12-13T13:02:26Z</dcterms:modified>
</cp:coreProperties>
</file>