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BSCapFloor\"/>
    </mc:Choice>
  </mc:AlternateContent>
  <xr:revisionPtr revIDLastSave="0" documentId="13_ncr:1_{B4FC35AE-D090-436F-A308-B2C8ED0C612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 s="1"/>
  <c r="F12" i="1" l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F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<sst xmlns="http://schemas.openxmlformats.org/spreadsheetml/2006/main" count="24" uniqueCount="24">
  <si>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</si>
  <si>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</si>
  <si>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</si>
  <si>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</si>
  <si>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</si>
  <si>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</si>
  <si>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</si>
  <si>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Price or Value Flag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</si>
  <si>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</si>
  <si>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</si>
  <si>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</si>
  <si>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</si>
  <si>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Price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</si>
  <si>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</si>
  <si>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</si>
  <si>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</si>
  <si>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</si>
  <si>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Volatility</t>
    <phoneticPr fontId="2" type="noConversion"/>
  </si>
  <si>
    <t>첫 Fixing금리(존재할경우)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</si>
  <si>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</si>
  <si>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</si>
  <si>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</si>
  <si>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ForwardSwapRate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</si>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</sst>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F400]h:mm:ss\ AM/PM"/>
    <numFmt numFmtId="177" formatCode="0.0000%"/>
    <numFmt numFmtId="178" formatCode="0.0_);[Red]\(0.0\)"/>
    <numFmt numFmtId="179" formatCode="0.0000000_);[Red]\(0.0000000\)"/>
    <numFmt numFmtId="180" formatCode="0.00_);[Red]\(0.00\)"/>
    <numFmt numFmtId="181" formatCode="0.00000_);[Red]\(0.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 tint="0.499984740745262"/>
      <name val="맑은 고딕"/>
      <family val="2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80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80" fontId="0" fillId="2" borderId="0" xfId="0" applyNumberFormat="1" applyFill="1">
      <alignment vertical="center"/>
    </xf>
    <xf numFmtId="181" fontId="0" fillId="2" borderId="0" xfId="0" applyNumberFormat="1" applyFill="1">
      <alignment vertical="center"/>
    </xf>
    <xf numFmtId="14" fontId="8" fillId="8" borderId="0" xfId="0" applyNumberFormat="1" applyFont="1" applyFill="1">
      <alignment vertical="center"/>
    </xf>
    <xf numFmtId="14" fontId="7" fillId="8" borderId="0" xfId="0" applyNumberFormat="1" applyFont="1" applyFill="1">
      <alignment vertical="center"/>
    </xf>
    <xf numFmtId="181" fontId="9" fillId="8" borderId="0" xfId="1" applyNumberFormat="1" applyFont="1" applyFill="1" applyBorder="1" applyAlignment="1"/>
    <xf numFmtId="181" fontId="0" fillId="8" borderId="0" xfId="1" applyNumberFormat="1" applyFont="1" applyFill="1">
      <alignment vertical="center"/>
    </xf>
    <xf numFmtId="177" fontId="9" fillId="8" borderId="0" xfId="1" applyNumberFormat="1" applyFont="1" applyFill="1" applyBorder="1" applyAlignment="1">
      <alignment horizontal="center"/>
    </xf>
    <xf numFmtId="0" fontId="3" fillId="7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79" fontId="0" fillId="6" borderId="0" xfId="1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784860</xdr:colOff>
          <xdr:row>5</xdr:row>
          <xdr:rowOff>30480</xdr:rowOff>
        </xdr:from>
        <xdr:to>
          <xdr:col>12</xdr:col>
          <xdr:colOff>60960</xdr:colOff>
          <xdr:row>10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5"/>
  <sheetViews>
    <sheetView tabSelected="1" workbookViewId="0">
      <selection activeCell="H18" sqref="H18"/>
    </sheetView>
  </sheetViews>
  <sheetFormatPr defaultColWidth="10.8984375" defaultRowHeight="17.399999999999999" x14ac:dyDescent="0.4"/>
  <cols>
    <col min="1" max="1" width="10.8984375" style="1"/>
    <col min="2" max="2" width="10.8984375" style="10"/>
    <col min="3" max="3" width="10.8984375" style="12"/>
    <col min="4" max="5" width="10.8984375" style="1"/>
    <col min="6" max="6" width="10.8984375" style="5"/>
    <col min="7" max="7" width="10.8984375" style="6"/>
    <col min="8" max="8" width="10.8984375" style="1"/>
    <col min="9" max="9" width="10.8984375" style="4"/>
    <col min="10" max="10" width="10.8984375" style="1"/>
    <col min="11" max="11" width="12.59765625" style="1" customWidth="1"/>
    <col min="12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25" t="s">
        <v>23</v>
      </c>
      <c r="C2" s="25"/>
      <c r="D2" s="26">
        <v>0</v>
      </c>
      <c r="E2" s="26"/>
      <c r="F2" s="1"/>
      <c r="G2" s="1"/>
      <c r="I2" s="1"/>
      <c r="N2" s="1"/>
      <c r="O2" s="1"/>
    </row>
    <row r="3" spans="1:17" x14ac:dyDescent="0.4">
      <c r="B3" s="15" t="s">
        <v>0</v>
      </c>
      <c r="C3" s="15"/>
      <c r="D3" s="24">
        <v>45608</v>
      </c>
      <c r="E3" s="16"/>
      <c r="F3" s="15" t="s">
        <v>1</v>
      </c>
      <c r="G3" s="15"/>
      <c r="H3" s="16">
        <v>0</v>
      </c>
      <c r="I3" s="16"/>
      <c r="J3" s="19" t="s">
        <v>18</v>
      </c>
      <c r="K3" s="20"/>
      <c r="L3" s="21">
        <v>0</v>
      </c>
      <c r="M3" s="21"/>
      <c r="N3" s="1"/>
      <c r="O3" s="1"/>
    </row>
    <row r="4" spans="1:17" x14ac:dyDescent="0.4">
      <c r="B4" s="15" t="s">
        <v>14</v>
      </c>
      <c r="C4" s="15"/>
      <c r="D4" s="24">
        <f>D3+1</f>
        <v>45609</v>
      </c>
      <c r="E4" s="16"/>
      <c r="F4" s="15" t="s">
        <v>2</v>
      </c>
      <c r="G4" s="15"/>
      <c r="H4" s="16">
        <v>0</v>
      </c>
      <c r="I4" s="16"/>
      <c r="J4" s="15" t="s">
        <v>19</v>
      </c>
      <c r="K4" s="15"/>
      <c r="L4" s="16">
        <v>0</v>
      </c>
      <c r="M4" s="16"/>
      <c r="N4" s="1"/>
      <c r="O4" s="1"/>
    </row>
    <row r="5" spans="1:17" x14ac:dyDescent="0.4">
      <c r="B5" s="15" t="s">
        <v>15</v>
      </c>
      <c r="C5" s="15"/>
      <c r="D5" s="24">
        <f>EDATE(D4,12)</f>
        <v>45974</v>
      </c>
      <c r="E5" s="16"/>
      <c r="F5" s="15" t="s">
        <v>3</v>
      </c>
      <c r="G5" s="15"/>
      <c r="H5" s="16">
        <v>1</v>
      </c>
      <c r="I5" s="16"/>
      <c r="J5" s="15" t="s">
        <v>21</v>
      </c>
      <c r="K5" s="15"/>
      <c r="L5" s="16">
        <v>2</v>
      </c>
      <c r="M5" s="16"/>
      <c r="N5" s="1"/>
      <c r="O5" s="1"/>
    </row>
    <row r="6" spans="1:17" x14ac:dyDescent="0.4">
      <c r="B6" s="19" t="s">
        <v>4</v>
      </c>
      <c r="C6" s="20"/>
      <c r="D6" s="16">
        <v>0</v>
      </c>
      <c r="E6" s="16"/>
      <c r="F6" s="15" t="str">
        <f>IF(H5 = 1, "HolidayNation","Not Used")</f>
        <v>HolidayNation</v>
      </c>
      <c r="G6" s="15"/>
      <c r="H6" s="16">
        <v>0</v>
      </c>
      <c r="I6" s="16"/>
      <c r="N6" s="17" t="s">
        <v>5</v>
      </c>
      <c r="O6" s="17"/>
      <c r="P6" s="23">
        <v>45985.923206018517</v>
      </c>
      <c r="Q6" s="23"/>
    </row>
    <row r="7" spans="1:17" x14ac:dyDescent="0.4">
      <c r="B7" s="19" t="s">
        <v>6</v>
      </c>
      <c r="C7" s="20"/>
      <c r="D7" s="16">
        <v>4</v>
      </c>
      <c r="E7" s="16"/>
      <c r="F7" s="15" t="s">
        <v>7</v>
      </c>
      <c r="G7" s="15"/>
      <c r="H7" s="16">
        <v>0</v>
      </c>
      <c r="I7" s="16"/>
      <c r="N7" s="17" t="s">
        <v>8</v>
      </c>
      <c r="O7" s="17"/>
      <c r="P7" s="23">
        <v>45985.923206018517</v>
      </c>
      <c r="Q7" s="23"/>
    </row>
    <row r="8" spans="1:17" x14ac:dyDescent="0.4">
      <c r="B8" s="1"/>
      <c r="C8" s="1"/>
      <c r="F8" s="19" t="s">
        <v>9</v>
      </c>
      <c r="G8" s="20"/>
      <c r="H8" s="21">
        <v>3.1394999999999999E-2</v>
      </c>
      <c r="I8" s="21"/>
      <c r="N8" s="1"/>
      <c r="O8" s="1"/>
    </row>
    <row r="9" spans="1:17" x14ac:dyDescent="0.4">
      <c r="B9" s="19" t="s">
        <v>10</v>
      </c>
      <c r="C9" s="20"/>
      <c r="D9" s="16">
        <v>1</v>
      </c>
      <c r="E9" s="16"/>
      <c r="F9" s="19" t="s">
        <v>11</v>
      </c>
      <c r="G9" s="20"/>
      <c r="H9" s="22">
        <v>1</v>
      </c>
      <c r="I9" s="22"/>
      <c r="N9" s="17" t="s">
        <v>12</v>
      </c>
      <c r="O9" s="17"/>
      <c r="P9" s="18">
        <v>4.6891607785068991E-3</v>
      </c>
      <c r="Q9" s="18"/>
    </row>
    <row r="10" spans="1:17" x14ac:dyDescent="0.4">
      <c r="B10" s="19" t="s">
        <v>16</v>
      </c>
      <c r="C10" s="20"/>
      <c r="D10" s="16">
        <v>0</v>
      </c>
      <c r="E10" s="16"/>
      <c r="F10" s="15" t="s">
        <v>20</v>
      </c>
      <c r="G10" s="15"/>
      <c r="H10" s="16">
        <v>0</v>
      </c>
      <c r="I10" s="16"/>
      <c r="N10" s="17" t="s">
        <v>22</v>
      </c>
      <c r="O10" s="17"/>
      <c r="P10" s="18">
        <v>3.1399637339174696E-2</v>
      </c>
      <c r="Q10" s="18"/>
    </row>
    <row r="11" spans="1:17" x14ac:dyDescent="0.4">
      <c r="B11" s="14" t="s">
        <v>13</v>
      </c>
      <c r="C11" s="14"/>
      <c r="F11" s="14" t="s">
        <v>17</v>
      </c>
      <c r="G11" s="14"/>
      <c r="I11" s="14" t="str">
        <f>IF(H5=1,"NotUsed","Holiday")</f>
        <v>NotUsed</v>
      </c>
      <c r="N11" s="1"/>
      <c r="O11" s="1"/>
    </row>
    <row r="12" spans="1:17" x14ac:dyDescent="0.4">
      <c r="B12" s="14"/>
      <c r="C12" s="14"/>
      <c r="F12" s="14" t="str">
        <f>"볼 "&amp;IF(D9=0,"BS","Normal")</f>
        <v>볼 Normal</v>
      </c>
      <c r="G12" s="14"/>
      <c r="I12" s="14"/>
      <c r="N12" s="1"/>
      <c r="O12" s="1"/>
    </row>
    <row r="13" spans="1:17" x14ac:dyDescent="0.35">
      <c r="A13" s="2"/>
      <c r="B13" s="9">
        <v>45609</v>
      </c>
      <c r="C13" s="11">
        <v>3.2768999999999999</v>
      </c>
      <c r="D13" s="6"/>
      <c r="E13" s="8"/>
      <c r="F13" s="13">
        <v>2.1253000000000001E-2</v>
      </c>
      <c r="G13" s="13"/>
      <c r="I13" s="3">
        <v>43101</v>
      </c>
      <c r="N13" s="1"/>
      <c r="O13" s="1"/>
    </row>
    <row r="14" spans="1:17" x14ac:dyDescent="0.35">
      <c r="A14" s="2"/>
      <c r="B14" s="9">
        <v>45610</v>
      </c>
      <c r="C14" s="11">
        <v>3.2777000000000003</v>
      </c>
      <c r="D14" s="6"/>
      <c r="E14" s="8"/>
      <c r="F14" s="1"/>
      <c r="G14" s="1"/>
      <c r="I14" s="3">
        <v>43146</v>
      </c>
      <c r="N14" s="1"/>
      <c r="O14" s="1"/>
    </row>
    <row r="15" spans="1:17" x14ac:dyDescent="0.35">
      <c r="A15" s="2"/>
      <c r="B15" s="9">
        <v>45701</v>
      </c>
      <c r="C15" s="11">
        <v>3.4236000000000004</v>
      </c>
      <c r="D15" s="6"/>
      <c r="E15" s="8"/>
      <c r="F15" s="1"/>
      <c r="G15" s="1"/>
      <c r="I15" s="3">
        <v>43147</v>
      </c>
      <c r="N15" s="1"/>
      <c r="O15" s="1"/>
    </row>
    <row r="16" spans="1:17" x14ac:dyDescent="0.35">
      <c r="A16" s="2"/>
      <c r="B16" s="9">
        <v>45790</v>
      </c>
      <c r="C16" s="11">
        <v>3.3008000000000002</v>
      </c>
      <c r="D16" s="6"/>
      <c r="E16" s="8"/>
      <c r="F16" s="1"/>
      <c r="G16" s="1"/>
      <c r="I16" s="3">
        <v>43148</v>
      </c>
      <c r="N16" s="1"/>
      <c r="O16" s="1"/>
    </row>
    <row r="17" spans="1:15" x14ac:dyDescent="0.35">
      <c r="A17" s="2"/>
      <c r="B17" s="9">
        <v>45882</v>
      </c>
      <c r="C17" s="11">
        <v>3.2038000000000002</v>
      </c>
      <c r="D17" s="6"/>
      <c r="E17" s="8"/>
      <c r="F17" s="1"/>
      <c r="G17" s="1"/>
      <c r="I17" s="3">
        <v>43160</v>
      </c>
      <c r="N17" s="1"/>
      <c r="O17" s="1"/>
    </row>
    <row r="18" spans="1:15" x14ac:dyDescent="0.35">
      <c r="A18" s="2"/>
      <c r="B18" s="9">
        <v>45974</v>
      </c>
      <c r="C18" s="11">
        <v>3.1263999999999998</v>
      </c>
      <c r="D18" s="6"/>
      <c r="E18" s="8"/>
      <c r="F18" s="1"/>
      <c r="G18" s="1"/>
      <c r="I18" s="3">
        <v>43221</v>
      </c>
      <c r="N18" s="1"/>
      <c r="O18" s="1"/>
    </row>
    <row r="19" spans="1:15" x14ac:dyDescent="0.35">
      <c r="A19" s="2"/>
      <c r="B19" s="9">
        <v>46155</v>
      </c>
      <c r="C19" s="11">
        <v>3.0213000000000001</v>
      </c>
      <c r="D19" s="6"/>
      <c r="E19" s="8"/>
      <c r="F19" s="1"/>
      <c r="G19" s="1"/>
      <c r="I19" s="3">
        <v>43227</v>
      </c>
      <c r="N19" s="1"/>
      <c r="O19" s="1"/>
    </row>
    <row r="20" spans="1:15" x14ac:dyDescent="0.35">
      <c r="A20" s="2"/>
      <c r="B20" s="9">
        <v>46706</v>
      </c>
      <c r="C20" s="11">
        <v>2.9134000000000002</v>
      </c>
      <c r="D20" s="6"/>
      <c r="E20" s="8"/>
      <c r="F20" s="1"/>
      <c r="G20" s="1"/>
      <c r="I20" s="3">
        <v>43242</v>
      </c>
      <c r="N20" s="1"/>
      <c r="O20" s="1"/>
    </row>
    <row r="21" spans="1:15" x14ac:dyDescent="0.35">
      <c r="A21" s="2"/>
      <c r="B21" s="9">
        <v>47070</v>
      </c>
      <c r="C21" s="11">
        <v>2.8986999999999998</v>
      </c>
      <c r="D21" s="6"/>
      <c r="E21" s="8"/>
      <c r="F21" s="1"/>
      <c r="G21" s="1"/>
      <c r="I21" s="3">
        <v>43257</v>
      </c>
      <c r="N21" s="1"/>
      <c r="O21" s="1"/>
    </row>
    <row r="22" spans="1:15" x14ac:dyDescent="0.35">
      <c r="A22" s="2"/>
      <c r="B22" s="9">
        <v>47435</v>
      </c>
      <c r="C22" s="11">
        <v>2.8862000000000001</v>
      </c>
      <c r="D22" s="6"/>
      <c r="E22" s="8"/>
      <c r="F22" s="1"/>
      <c r="G22" s="1"/>
      <c r="N22" s="1"/>
      <c r="O22" s="1"/>
    </row>
    <row r="23" spans="1:15" x14ac:dyDescent="0.35">
      <c r="A23" s="2"/>
      <c r="B23" s="9">
        <v>47800</v>
      </c>
      <c r="C23" s="11">
        <v>2.8921000000000001</v>
      </c>
      <c r="D23" s="6"/>
      <c r="E23" s="8"/>
      <c r="F23" s="1"/>
      <c r="G23" s="1"/>
    </row>
    <row r="24" spans="1:15" x14ac:dyDescent="0.35">
      <c r="A24" s="2"/>
      <c r="B24" s="9">
        <v>48165</v>
      </c>
      <c r="C24" s="11">
        <v>2.8950999999999998</v>
      </c>
      <c r="D24" s="6"/>
      <c r="E24" s="8"/>
      <c r="F24" s="1"/>
      <c r="G24" s="1"/>
    </row>
    <row r="25" spans="1:15" x14ac:dyDescent="0.35">
      <c r="A25" s="2"/>
      <c r="B25" s="9">
        <v>48533</v>
      </c>
      <c r="C25" s="11">
        <v>2.9036</v>
      </c>
      <c r="D25" s="6"/>
      <c r="E25" s="8"/>
      <c r="F25" s="1"/>
      <c r="G25" s="1"/>
    </row>
    <row r="26" spans="1:15" x14ac:dyDescent="0.35">
      <c r="A26" s="2"/>
      <c r="B26" s="9"/>
      <c r="C26" s="11"/>
      <c r="D26" s="2"/>
      <c r="E26" s="8"/>
      <c r="F26" s="1"/>
      <c r="G26" s="1"/>
    </row>
    <row r="27" spans="1:15" x14ac:dyDescent="0.35">
      <c r="A27" s="2"/>
      <c r="B27" s="9"/>
      <c r="C27" s="11"/>
      <c r="D27" s="2"/>
      <c r="E27" s="8"/>
      <c r="F27" s="1"/>
      <c r="G27" s="1"/>
    </row>
    <row r="28" spans="1:15" x14ac:dyDescent="0.35">
      <c r="A28" s="2"/>
      <c r="B28" s="9"/>
      <c r="C28" s="11"/>
      <c r="D28" s="2"/>
      <c r="E28" s="8"/>
      <c r="F28" s="1"/>
      <c r="G28" s="1"/>
    </row>
    <row r="29" spans="1:15" x14ac:dyDescent="0.35">
      <c r="A29" s="2"/>
      <c r="B29" s="9"/>
      <c r="C29" s="11"/>
      <c r="D29" s="2"/>
      <c r="E29" s="8"/>
      <c r="F29" s="1"/>
      <c r="G29" s="1"/>
    </row>
    <row r="30" spans="1:15" x14ac:dyDescent="0.35">
      <c r="A30" s="2"/>
      <c r="B30" s="9"/>
      <c r="C30" s="11"/>
      <c r="D30" s="2"/>
      <c r="E30" s="8"/>
      <c r="F30" s="1"/>
      <c r="G30" s="1"/>
    </row>
    <row r="31" spans="1:15" x14ac:dyDescent="0.35">
      <c r="A31" s="2"/>
      <c r="B31" s="9"/>
      <c r="C31" s="11"/>
      <c r="D31" s="2"/>
      <c r="E31" s="8"/>
      <c r="F31" s="1"/>
      <c r="G31" s="1"/>
    </row>
    <row r="32" spans="1:15" x14ac:dyDescent="0.35">
      <c r="A32" s="2"/>
      <c r="B32" s="9"/>
      <c r="C32" s="11"/>
      <c r="D32" s="2"/>
      <c r="E32" s="8"/>
      <c r="F32" s="1"/>
      <c r="G32" s="1"/>
    </row>
    <row r="33" spans="1:7" x14ac:dyDescent="0.35">
      <c r="A33" s="2"/>
      <c r="B33" s="9"/>
      <c r="C33" s="11"/>
      <c r="D33" s="2"/>
      <c r="E33" s="8"/>
      <c r="F33" s="1"/>
      <c r="G33" s="1"/>
    </row>
    <row r="34" spans="1:7" x14ac:dyDescent="0.4">
      <c r="F34" s="1"/>
      <c r="G34" s="1"/>
    </row>
    <row r="35" spans="1:7" x14ac:dyDescent="0.4">
      <c r="F35" s="1"/>
      <c r="G35" s="1"/>
    </row>
  </sheetData>
  <mergeCells count="51">
    <mergeCell ref="B2:C2"/>
    <mergeCell ref="D2:E2"/>
    <mergeCell ref="J5:K5"/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J4:K4"/>
    <mergeCell ref="L4:M4"/>
    <mergeCell ref="B5:C5"/>
    <mergeCell ref="D5:E5"/>
    <mergeCell ref="F5:G5"/>
    <mergeCell ref="H5:I5"/>
    <mergeCell ref="B6:C6"/>
    <mergeCell ref="D6:E6"/>
    <mergeCell ref="F6:G6"/>
    <mergeCell ref="H6:I6"/>
    <mergeCell ref="N6:O6"/>
    <mergeCell ref="P6:Q6"/>
    <mergeCell ref="B7:C7"/>
    <mergeCell ref="D7:E7"/>
    <mergeCell ref="F7:G7"/>
    <mergeCell ref="H7:I7"/>
    <mergeCell ref="N7:O7"/>
    <mergeCell ref="P7:Q7"/>
    <mergeCell ref="N9:O9"/>
    <mergeCell ref="P9:Q9"/>
    <mergeCell ref="B10:C10"/>
    <mergeCell ref="D10:E10"/>
    <mergeCell ref="F8:G8"/>
    <mergeCell ref="H8:I8"/>
    <mergeCell ref="B9:C9"/>
    <mergeCell ref="D9:E9"/>
    <mergeCell ref="F9:G9"/>
    <mergeCell ref="H9:I9"/>
    <mergeCell ref="N10:O10"/>
    <mergeCell ref="P10:Q10"/>
    <mergeCell ref="F13:G13"/>
    <mergeCell ref="F12:G12"/>
    <mergeCell ref="F10:G10"/>
    <mergeCell ref="H10:I10"/>
    <mergeCell ref="B11:C12"/>
    <mergeCell ref="F11:G11"/>
    <mergeCell ref="I11:I1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heet1.BSCapFloor">
                <anchor moveWithCells="1" sizeWithCells="1">
                  <from>
                    <xdr:col>9</xdr:col>
                    <xdr:colOff>784860</xdr:colOff>
                    <xdr:row>5</xdr:row>
                    <xdr:rowOff>30480</xdr:rowOff>
                  </from>
                  <to>
                    <xdr:col>12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2023-12-12T03:19:45Z</dcterms:created>
  <dcterms:modified xsi:type="dcterms:W3CDTF">2025-11-26T12:59:20Z</dcterms:modified>
</cp:coreProperties>
</file>