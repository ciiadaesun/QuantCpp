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B20" i="1" l="1"/>
  <c r="AA20" i="1"/>
  <c r="Z21" i="1" s="1"/>
  <c r="I20" i="1"/>
  <c r="H20" i="1"/>
  <c r="G21" i="1" s="1"/>
  <c r="AB21" i="1" l="1"/>
  <c r="AA21" i="1"/>
  <c r="AC20" i="1"/>
  <c r="AD20" i="1" s="1"/>
  <c r="I21" i="1"/>
  <c r="H21" i="1"/>
  <c r="J20" i="1"/>
  <c r="K20" i="1" s="1"/>
  <c r="Z22" i="1" l="1"/>
  <c r="AC21" i="1"/>
  <c r="AD21" i="1" s="1"/>
  <c r="G22" i="1"/>
  <c r="J21" i="1"/>
  <c r="K21" i="1" s="1"/>
  <c r="AB22" i="1" l="1"/>
  <c r="AA22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3" i="1" l="1"/>
  <c r="AC22" i="1"/>
  <c r="AD22" i="1" s="1"/>
  <c r="G23" i="1"/>
  <c r="J22" i="1"/>
  <c r="K22" i="1" s="1"/>
  <c r="AJ15" i="1"/>
  <c r="AJ14" i="1"/>
  <c r="AB23" i="1" l="1"/>
  <c r="AA23" i="1"/>
  <c r="H23" i="1"/>
  <c r="I23" i="1"/>
  <c r="Y10" i="1"/>
  <c r="F10" i="1"/>
  <c r="Z24" i="1" l="1"/>
  <c r="AC23" i="1"/>
  <c r="AD23" i="1" s="1"/>
  <c r="G24" i="1"/>
  <c r="J23" i="1"/>
  <c r="K23" i="1" s="1"/>
  <c r="AT12" i="1"/>
  <c r="AB24" i="1" l="1"/>
  <c r="AA24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4" i="1" l="1"/>
  <c r="AD24" i="1" s="1"/>
  <c r="Z25" i="1"/>
  <c r="J24" i="1"/>
  <c r="K24" i="1" s="1"/>
  <c r="G25" i="1"/>
  <c r="AK1" i="1"/>
  <c r="AJ1" i="1"/>
  <c r="AB25" i="1" l="1"/>
  <c r="AA25" i="1"/>
  <c r="I25" i="1"/>
  <c r="H25" i="1"/>
  <c r="Z26" i="1" l="1"/>
  <c r="AC25" i="1"/>
  <c r="AD25" i="1" s="1"/>
  <c r="G26" i="1"/>
  <c r="J25" i="1"/>
  <c r="K25" i="1" s="1"/>
  <c r="AB26" i="1" l="1"/>
  <c r="AA26" i="1"/>
  <c r="I26" i="1"/>
  <c r="H26" i="1"/>
  <c r="Z27" i="1" l="1"/>
  <c r="AC26" i="1"/>
  <c r="AD26" i="1" s="1"/>
  <c r="G27" i="1"/>
  <c r="J26" i="1"/>
  <c r="K26" i="1" s="1"/>
  <c r="AB27" i="1" l="1"/>
  <c r="AA27" i="1"/>
  <c r="I27" i="1"/>
  <c r="H27" i="1"/>
  <c r="AC27" i="1" l="1"/>
  <c r="AD27" i="1" s="1"/>
  <c r="Z28" i="1"/>
  <c r="J27" i="1"/>
  <c r="K27" i="1" s="1"/>
  <c r="G28" i="1"/>
  <c r="AB28" i="1" l="1"/>
  <c r="AA28" i="1"/>
  <c r="I28" i="1"/>
  <c r="H28" i="1"/>
  <c r="Z29" i="1" l="1"/>
  <c r="AC28" i="1"/>
  <c r="AD28" i="1" s="1"/>
  <c r="J28" i="1"/>
  <c r="K28" i="1" s="1"/>
  <c r="G29" i="1"/>
  <c r="AB29" i="1" l="1"/>
  <c r="AA29" i="1"/>
  <c r="I29" i="1"/>
  <c r="H29" i="1"/>
  <c r="Z30" i="1" l="1"/>
  <c r="AC29" i="1"/>
  <c r="AD29" i="1" s="1"/>
  <c r="G30" i="1"/>
  <c r="J29" i="1"/>
  <c r="K29" i="1" s="1"/>
  <c r="AB30" i="1" l="1"/>
  <c r="AA30" i="1"/>
  <c r="I30" i="1"/>
  <c r="H30" i="1"/>
  <c r="Z31" i="1" l="1"/>
  <c r="AC30" i="1"/>
  <c r="AD30" i="1" s="1"/>
  <c r="G31" i="1"/>
  <c r="J30" i="1"/>
  <c r="K30" i="1" s="1"/>
  <c r="AB31" i="1" l="1"/>
  <c r="AA31" i="1"/>
  <c r="I31" i="1"/>
  <c r="H31" i="1"/>
  <c r="Z32" i="1" l="1"/>
  <c r="AC31" i="1"/>
  <c r="AD31" i="1" s="1"/>
  <c r="J31" i="1"/>
  <c r="K31" i="1" s="1"/>
  <c r="G32" i="1"/>
  <c r="AB32" i="1" l="1"/>
  <c r="AA32" i="1"/>
  <c r="I32" i="1"/>
  <c r="H32" i="1"/>
  <c r="AC32" i="1" l="1"/>
  <c r="AD32" i="1" s="1"/>
  <c r="Z33" i="1"/>
  <c r="G33" i="1"/>
  <c r="J32" i="1"/>
  <c r="K32" i="1" s="1"/>
  <c r="AB33" i="1" l="1"/>
  <c r="AA33" i="1"/>
  <c r="H33" i="1"/>
  <c r="I33" i="1"/>
  <c r="Z34" i="1" l="1"/>
  <c r="AC33" i="1"/>
  <c r="AD33" i="1" s="1"/>
  <c r="G34" i="1"/>
  <c r="J33" i="1"/>
  <c r="K33" i="1" s="1"/>
  <c r="AA34" i="1" l="1"/>
  <c r="AB34" i="1"/>
  <c r="H34" i="1"/>
  <c r="I34" i="1"/>
  <c r="AC34" i="1" l="1"/>
  <c r="AD34" i="1" s="1"/>
  <c r="Z35" i="1"/>
  <c r="J34" i="1"/>
  <c r="K34" i="1" s="1"/>
  <c r="G35" i="1"/>
  <c r="AA35" i="1" l="1"/>
  <c r="AB35" i="1"/>
  <c r="I35" i="1"/>
  <c r="H35" i="1"/>
  <c r="AC35" i="1" l="1"/>
  <c r="AD35" i="1" s="1"/>
  <c r="Z36" i="1"/>
  <c r="G36" i="1"/>
  <c r="J35" i="1"/>
  <c r="K35" i="1" s="1"/>
  <c r="AB36" i="1" l="1"/>
  <c r="AA36" i="1"/>
  <c r="I36" i="1"/>
  <c r="H36" i="1"/>
  <c r="Z37" i="1" l="1"/>
  <c r="AC36" i="1"/>
  <c r="AD36" i="1" s="1"/>
  <c r="G37" i="1"/>
  <c r="J36" i="1"/>
  <c r="K36" i="1" s="1"/>
  <c r="AB37" i="1" l="1"/>
  <c r="AA37" i="1"/>
  <c r="I37" i="1"/>
  <c r="H37" i="1"/>
  <c r="Z38" i="1" l="1"/>
  <c r="AC37" i="1"/>
  <c r="AD37" i="1" s="1"/>
  <c r="J37" i="1"/>
  <c r="K37" i="1" s="1"/>
  <c r="G38" i="1"/>
  <c r="AB38" i="1" l="1"/>
  <c r="AA38" i="1"/>
  <c r="H38" i="1"/>
  <c r="I38" i="1"/>
  <c r="Z39" i="1" l="1"/>
  <c r="AC38" i="1"/>
  <c r="AD38" i="1" s="1"/>
  <c r="G39" i="1"/>
  <c r="J38" i="1"/>
  <c r="K38" i="1" s="1"/>
  <c r="AB39" i="1" l="1"/>
  <c r="AA39" i="1"/>
  <c r="H39" i="1"/>
  <c r="I39" i="1"/>
  <c r="AC39" i="1" l="1"/>
  <c r="AD39" i="1" s="1"/>
  <c r="Z40" i="1"/>
  <c r="J39" i="1"/>
  <c r="K39" i="1" s="1"/>
  <c r="G40" i="1"/>
  <c r="AB40" i="1" l="1"/>
  <c r="AA40" i="1"/>
  <c r="I40" i="1"/>
  <c r="H40" i="1"/>
  <c r="AC40" i="1" l="1"/>
  <c r="AD40" i="1" s="1"/>
  <c r="Z41" i="1"/>
  <c r="J40" i="1"/>
  <c r="K40" i="1" s="1"/>
  <c r="G41" i="1"/>
  <c r="AB41" i="1" l="1"/>
  <c r="AA41" i="1"/>
  <c r="H41" i="1"/>
  <c r="I41" i="1"/>
  <c r="Z42" i="1" l="1"/>
  <c r="AC41" i="1"/>
  <c r="AD41" i="1" s="1"/>
  <c r="G42" i="1"/>
  <c r="J41" i="1"/>
  <c r="K41" i="1" s="1"/>
  <c r="AB42" i="1" l="1"/>
  <c r="AA42" i="1"/>
  <c r="I42" i="1"/>
  <c r="H42" i="1"/>
  <c r="Z43" i="1" l="1"/>
  <c r="AC42" i="1"/>
  <c r="AD42" i="1" s="1"/>
  <c r="G43" i="1"/>
  <c r="J42" i="1"/>
  <c r="K42" i="1" s="1"/>
  <c r="AB43" i="1" l="1"/>
  <c r="AA43" i="1"/>
  <c r="I43" i="1"/>
  <c r="H43" i="1"/>
  <c r="AC43" i="1" l="1"/>
  <c r="AD43" i="1" s="1"/>
  <c r="Z44" i="1"/>
  <c r="J43" i="1"/>
  <c r="K43" i="1" s="1"/>
  <c r="G44" i="1"/>
  <c r="AA44" i="1" l="1"/>
  <c r="AB44" i="1"/>
  <c r="I44" i="1"/>
  <c r="H44" i="1"/>
  <c r="Z45" i="1" l="1"/>
  <c r="AC44" i="1"/>
  <c r="AD44" i="1" s="1"/>
  <c r="G45" i="1"/>
  <c r="J44" i="1"/>
  <c r="K44" i="1" s="1"/>
  <c r="AA45" i="1" l="1"/>
  <c r="AB45" i="1"/>
  <c r="I45" i="1"/>
  <c r="H45" i="1"/>
  <c r="Z46" i="1" l="1"/>
  <c r="AC45" i="1"/>
  <c r="AD45" i="1" s="1"/>
  <c r="G46" i="1"/>
  <c r="J45" i="1"/>
  <c r="K45" i="1" s="1"/>
  <c r="AB46" i="1" l="1"/>
  <c r="AA46" i="1"/>
  <c r="I46" i="1"/>
  <c r="H46" i="1"/>
  <c r="Z47" i="1" l="1"/>
  <c r="AC46" i="1"/>
  <c r="AD46" i="1" s="1"/>
  <c r="G47" i="1"/>
  <c r="J46" i="1"/>
  <c r="K46" i="1" s="1"/>
  <c r="AB47" i="1" l="1"/>
  <c r="AA47" i="1"/>
  <c r="H47" i="1"/>
  <c r="I47" i="1"/>
  <c r="AC47" i="1" l="1"/>
  <c r="AD47" i="1" s="1"/>
  <c r="Z48" i="1"/>
  <c r="J47" i="1"/>
  <c r="K47" i="1" s="1"/>
  <c r="G48" i="1"/>
  <c r="AB48" i="1" l="1"/>
  <c r="AA48" i="1"/>
  <c r="I48" i="1"/>
  <c r="H48" i="1"/>
  <c r="Z49" i="1" l="1"/>
  <c r="AC48" i="1"/>
  <c r="AD48" i="1" s="1"/>
  <c r="G49" i="1"/>
  <c r="J48" i="1"/>
  <c r="K48" i="1" s="1"/>
  <c r="AB49" i="1" l="1"/>
  <c r="AA49" i="1"/>
  <c r="I49" i="1"/>
  <c r="H49" i="1"/>
  <c r="Z50" i="1" l="1"/>
  <c r="AC49" i="1"/>
  <c r="AD49" i="1" s="1"/>
  <c r="G50" i="1"/>
  <c r="J49" i="1"/>
  <c r="K49" i="1" s="1"/>
  <c r="AA50" i="1" l="1"/>
  <c r="AB50" i="1"/>
  <c r="H50" i="1"/>
  <c r="I50" i="1"/>
  <c r="Z51" i="1" l="1"/>
  <c r="AC50" i="1"/>
  <c r="AD50" i="1" s="1"/>
  <c r="G51" i="1"/>
  <c r="J50" i="1"/>
  <c r="K50" i="1" s="1"/>
  <c r="AB51" i="1" l="1"/>
  <c r="AA51" i="1"/>
  <c r="I51" i="1"/>
  <c r="H51" i="1"/>
  <c r="Z52" i="1" l="1"/>
  <c r="AC51" i="1"/>
  <c r="AD51" i="1" s="1"/>
  <c r="G52" i="1"/>
  <c r="J51" i="1"/>
  <c r="K51" i="1" s="1"/>
  <c r="AA52" i="1" l="1"/>
  <c r="AB52" i="1"/>
  <c r="I52" i="1"/>
  <c r="H52" i="1"/>
  <c r="Z53" i="1" l="1"/>
  <c r="AC52" i="1"/>
  <c r="AD52" i="1" s="1"/>
  <c r="G53" i="1"/>
  <c r="J52" i="1"/>
  <c r="K52" i="1" s="1"/>
  <c r="AB53" i="1" l="1"/>
  <c r="AA53" i="1"/>
  <c r="I53" i="1"/>
  <c r="H53" i="1"/>
  <c r="AC53" i="1" l="1"/>
  <c r="AD53" i="1" s="1"/>
  <c r="Z54" i="1"/>
  <c r="G54" i="1"/>
  <c r="J53" i="1"/>
  <c r="K53" i="1" s="1"/>
  <c r="AB54" i="1" l="1"/>
  <c r="AA54" i="1"/>
  <c r="I54" i="1"/>
  <c r="H54" i="1"/>
  <c r="Z55" i="1" l="1"/>
  <c r="AC54" i="1"/>
  <c r="AD54" i="1" s="1"/>
  <c r="G55" i="1"/>
  <c r="J54" i="1"/>
  <c r="K54" i="1" s="1"/>
  <c r="AB55" i="1" l="1"/>
  <c r="AA55" i="1"/>
  <c r="H55" i="1"/>
  <c r="I55" i="1"/>
  <c r="Z56" i="1" l="1"/>
  <c r="AC55" i="1"/>
  <c r="AD55" i="1" s="1"/>
  <c r="J55" i="1"/>
  <c r="K55" i="1" s="1"/>
  <c r="G56" i="1"/>
  <c r="AB56" i="1" l="1"/>
  <c r="AA56" i="1"/>
  <c r="I56" i="1"/>
  <c r="H56" i="1"/>
  <c r="AC56" i="1" l="1"/>
  <c r="AD56" i="1" s="1"/>
  <c r="Z57" i="1"/>
  <c r="J56" i="1"/>
  <c r="K56" i="1" s="1"/>
  <c r="G57" i="1"/>
  <c r="AB57" i="1" l="1"/>
  <c r="AA57" i="1"/>
  <c r="H57" i="1"/>
  <c r="I57" i="1"/>
  <c r="Z58" i="1" l="1"/>
  <c r="AC57" i="1"/>
  <c r="AD57" i="1" s="1"/>
  <c r="G58" i="1"/>
  <c r="J57" i="1"/>
  <c r="K57" i="1" s="1"/>
  <c r="AB58" i="1" l="1"/>
  <c r="AA58" i="1"/>
  <c r="I58" i="1"/>
  <c r="H58" i="1"/>
  <c r="Z59" i="1" l="1"/>
  <c r="AC58" i="1"/>
  <c r="AD58" i="1" s="1"/>
  <c r="G59" i="1"/>
  <c r="J58" i="1"/>
  <c r="K58" i="1" s="1"/>
  <c r="AB59" i="1" l="1"/>
  <c r="AA59" i="1"/>
  <c r="AC59" i="1" s="1"/>
  <c r="AD59" i="1" s="1"/>
  <c r="W11" i="1" s="1"/>
  <c r="I59" i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<sst xmlns="http://schemas.openxmlformats.org/spreadsheetml/2006/main" count="125" uniqueCount="70">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</sst>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4" zoomScale="85" zoomScaleNormal="85" workbookViewId="0">
      <selection activeCell="AT34" sqref="AT34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2.59765625" style="32"/>
    <col min="47" max="47" width="12.59765625" style="33"/>
    <col min="48" max="48" width="12.59765625" style="31"/>
    <col min="49" max="49" width="12.59765625" style="16"/>
    <col min="50" max="50" width="12.59765625" style="32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6" t="s">
        <v>12</v>
      </c>
      <c r="C3" s="66"/>
      <c r="D3" s="72">
        <v>44848</v>
      </c>
      <c r="E3" s="51"/>
      <c r="F3" s="66" t="s">
        <v>39</v>
      </c>
      <c r="G3" s="66"/>
      <c r="H3" s="74">
        <v>0</v>
      </c>
      <c r="I3" s="74"/>
      <c r="J3" s="66" t="s">
        <v>44</v>
      </c>
      <c r="K3" s="66"/>
      <c r="L3" s="51">
        <v>0</v>
      </c>
      <c r="M3" s="5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2" t="s">
        <v>18</v>
      </c>
      <c r="C4" s="52"/>
      <c r="D4" s="52"/>
      <c r="E4" s="52"/>
      <c r="F4" s="52"/>
      <c r="G4" s="52"/>
      <c r="H4" s="52"/>
      <c r="I4" s="52"/>
      <c r="J4" s="52"/>
      <c r="K4" s="52"/>
      <c r="L4" s="43"/>
      <c r="M4" s="3"/>
      <c r="N4" s="3"/>
      <c r="P4" s="56" t="s">
        <v>65</v>
      </c>
      <c r="Q4" s="56"/>
      <c r="R4" s="3"/>
      <c r="S4" s="3"/>
      <c r="U4" s="52" t="s">
        <v>21</v>
      </c>
      <c r="V4" s="52"/>
      <c r="W4" s="52"/>
      <c r="X4" s="52"/>
      <c r="Y4" s="52"/>
      <c r="Z4" s="52"/>
      <c r="AA4" s="52"/>
      <c r="AB4" s="52"/>
      <c r="AC4" s="52"/>
      <c r="AD4" s="52"/>
      <c r="AE4" s="43"/>
      <c r="AF4" s="3"/>
      <c r="AG4" s="3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43"/>
      <c r="M5" s="3"/>
      <c r="N5" s="3"/>
      <c r="P5" s="25" t="s">
        <v>66</v>
      </c>
      <c r="Q5" s="28">
        <v>2018</v>
      </c>
      <c r="R5" s="3"/>
      <c r="S5" s="3"/>
      <c r="U5" s="52"/>
      <c r="V5" s="52"/>
      <c r="W5" s="52"/>
      <c r="X5" s="52"/>
      <c r="Y5" s="52"/>
      <c r="Z5" s="52"/>
      <c r="AA5" s="52"/>
      <c r="AB5" s="52"/>
      <c r="AC5" s="52"/>
      <c r="AD5" s="52"/>
      <c r="AE5" s="43"/>
      <c r="AF5" s="3"/>
      <c r="AG5" s="3"/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3" t="s">
        <v>10</v>
      </c>
      <c r="C6" s="54"/>
      <c r="D6" s="51">
        <v>0</v>
      </c>
      <c r="E6" s="51"/>
      <c r="F6" s="53" t="s">
        <v>17</v>
      </c>
      <c r="G6" s="53"/>
      <c r="H6" s="53" t="s">
        <v>1</v>
      </c>
      <c r="I6" s="54"/>
      <c r="J6" s="51">
        <v>4</v>
      </c>
      <c r="K6" s="51"/>
      <c r="L6" s="42"/>
      <c r="M6" s="3"/>
      <c r="N6" s="3"/>
      <c r="P6" s="25" t="s">
        <v>67</v>
      </c>
      <c r="Q6" s="28">
        <v>2043</v>
      </c>
      <c r="R6" s="3"/>
      <c r="S6" s="3"/>
      <c r="U6" s="53" t="s">
        <v>10</v>
      </c>
      <c r="V6" s="54"/>
      <c r="W6" s="51">
        <v>0</v>
      </c>
      <c r="X6" s="51"/>
      <c r="Y6" s="53" t="s">
        <v>17</v>
      </c>
      <c r="Z6" s="53"/>
      <c r="AA6" s="53" t="s">
        <v>1</v>
      </c>
      <c r="AB6" s="54"/>
      <c r="AC6" s="51"/>
      <c r="AD6" s="51"/>
      <c r="AE6" s="42"/>
      <c r="AF6" s="3"/>
      <c r="AG6" s="3"/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3" t="s">
        <v>11</v>
      </c>
      <c r="C7" s="54"/>
      <c r="D7" s="51">
        <v>1</v>
      </c>
      <c r="E7" s="51"/>
      <c r="F7" s="53"/>
      <c r="G7" s="53"/>
      <c r="H7" s="53" t="s">
        <v>2</v>
      </c>
      <c r="I7" s="54"/>
      <c r="J7" s="51">
        <v>10</v>
      </c>
      <c r="K7" s="51"/>
      <c r="L7" s="42"/>
      <c r="M7" s="3"/>
      <c r="N7" s="3"/>
      <c r="P7" s="25" t="s">
        <v>68</v>
      </c>
      <c r="Q7" s="28">
        <v>0</v>
      </c>
      <c r="R7" s="3"/>
      <c r="S7" s="3"/>
      <c r="U7" s="53" t="s">
        <v>11</v>
      </c>
      <c r="V7" s="54"/>
      <c r="W7" s="51">
        <v>1</v>
      </c>
      <c r="X7" s="51"/>
      <c r="Y7" s="53"/>
      <c r="Z7" s="53"/>
      <c r="AA7" s="53" t="s">
        <v>2</v>
      </c>
      <c r="AB7" s="54"/>
      <c r="AC7" s="51"/>
      <c r="AD7" s="51"/>
      <c r="AE7" s="42"/>
      <c r="AF7" s="3"/>
      <c r="AG7" s="3"/>
      <c r="AI7" s="25" t="s">
        <v>68</v>
      </c>
      <c r="AJ7" s="28">
        <v>1</v>
      </c>
      <c r="AK7" s="3"/>
      <c r="AL7" s="3"/>
      <c r="AN7" s="3"/>
      <c r="AO7" s="3"/>
      <c r="AP7" s="3"/>
      <c r="AR7" s="63" t="s">
        <v>25</v>
      </c>
      <c r="AS7" s="63"/>
      <c r="AT7" s="63"/>
      <c r="AU7" s="6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3" t="s">
        <v>0</v>
      </c>
      <c r="C8" s="54"/>
      <c r="D8" s="51">
        <v>0</v>
      </c>
      <c r="E8" s="51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3" t="s">
        <v>0</v>
      </c>
      <c r="V8" s="54"/>
      <c r="W8" s="51">
        <v>0</v>
      </c>
      <c r="X8" s="51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7" t="s">
        <v>26</v>
      </c>
      <c r="AS8" s="68"/>
      <c r="AT8" s="69">
        <v>1</v>
      </c>
      <c r="AU8" s="6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59" t="s">
        <v>27</v>
      </c>
      <c r="AS9" s="59"/>
      <c r="AT9" s="70">
        <v>0</v>
      </c>
      <c r="AU9" s="70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66" t="s">
        <v>9</v>
      </c>
      <c r="C10" s="66"/>
      <c r="D10" s="51">
        <v>10000000000</v>
      </c>
      <c r="E10" s="51"/>
      <c r="F10" s="41" t="str">
        <f>IF(AP16=1,"x Rcv FX","원")</f>
        <v>원</v>
      </c>
      <c r="G10" s="3"/>
      <c r="H10" s="3"/>
      <c r="I10" s="3"/>
      <c r="J10" s="66" t="s">
        <v>69</v>
      </c>
      <c r="K10" s="66"/>
      <c r="L10" s="51">
        <v>0</v>
      </c>
      <c r="M10" s="51"/>
      <c r="N10" s="3"/>
      <c r="P10" s="3"/>
      <c r="Q10" s="3"/>
      <c r="R10" s="3"/>
      <c r="S10" s="3"/>
      <c r="U10" s="66" t="s">
        <v>9</v>
      </c>
      <c r="V10" s="66"/>
      <c r="W10" s="51">
        <v>10000000000</v>
      </c>
      <c r="X10" s="51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59" t="s">
        <v>28</v>
      </c>
      <c r="AS10" s="59"/>
      <c r="AT10" s="60">
        <v>2095933267.4426637</v>
      </c>
      <c r="AU10" s="60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66" t="s">
        <v>20</v>
      </c>
      <c r="C11" s="66"/>
      <c r="D11" s="72">
        <f>K59</f>
        <v>46823</v>
      </c>
      <c r="E11" s="51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66" t="s">
        <v>20</v>
      </c>
      <c r="V11" s="66"/>
      <c r="W11" s="72">
        <f>AD59</f>
        <v>46823</v>
      </c>
      <c r="X11" s="51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59" t="s">
        <v>29</v>
      </c>
      <c r="AS11" s="59"/>
      <c r="AT11" s="60">
        <v>2186684014.4243951</v>
      </c>
      <c r="AU11" s="60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90750746.981731415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3" t="s">
        <v>45</v>
      </c>
      <c r="AS14" s="63"/>
      <c r="AT14" s="63"/>
      <c r="AU14" s="63"/>
      <c r="AV14" s="63" t="s">
        <v>46</v>
      </c>
      <c r="AW14" s="63"/>
      <c r="AX14" s="63"/>
      <c r="AY14" s="6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8" t="s">
        <v>36</v>
      </c>
      <c r="BB15" s="58"/>
      <c r="BC15" s="58"/>
      <c r="BD15" s="58"/>
      <c r="BE15" s="58"/>
      <c r="BF15" s="58"/>
      <c r="BG15" s="58"/>
      <c r="BH15" s="58"/>
      <c r="BJ15" s="58" t="s">
        <v>37</v>
      </c>
      <c r="BK15" s="58"/>
      <c r="BL15" s="58"/>
      <c r="BM15" s="58"/>
      <c r="BN15" s="58"/>
      <c r="BO15" s="58"/>
      <c r="BP15" s="58"/>
      <c r="BQ15" s="58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5" t="s">
        <v>63</v>
      </c>
      <c r="S16" s="6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5" t="s">
        <v>64</v>
      </c>
      <c r="AL16" s="65"/>
      <c r="AM16" s="24"/>
      <c r="AN16" s="64" t="s">
        <v>52</v>
      </c>
      <c r="AO16" s="64"/>
      <c r="AP16" s="30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58"/>
      <c r="BB16" s="58"/>
      <c r="BC16" s="58"/>
      <c r="BD16" s="58"/>
      <c r="BE16" s="58"/>
      <c r="BF16" s="58"/>
      <c r="BG16" s="58"/>
      <c r="BH16" s="58"/>
      <c r="BJ16" s="58"/>
      <c r="BK16" s="58"/>
      <c r="BL16" s="58"/>
      <c r="BM16" s="58"/>
      <c r="BN16" s="58"/>
      <c r="BO16" s="58"/>
      <c r="BP16" s="58"/>
      <c r="BQ16" s="58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65"/>
      <c r="S17" s="6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65"/>
      <c r="AL17" s="65"/>
      <c r="AM17" s="24"/>
      <c r="AN17" s="24"/>
      <c r="AO17" s="24"/>
      <c r="AP17" s="24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5" t="s">
        <v>4</v>
      </c>
      <c r="C18" s="65"/>
      <c r="D18" s="65" t="s">
        <v>5</v>
      </c>
      <c r="E18" s="65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65" t="s">
        <v>60</v>
      </c>
      <c r="Q18" s="73"/>
      <c r="R18" s="71" t="s">
        <v>61</v>
      </c>
      <c r="S18" s="71" t="s">
        <v>62</v>
      </c>
      <c r="U18" s="65" t="s">
        <v>4</v>
      </c>
      <c r="V18" s="65"/>
      <c r="W18" s="65" t="s">
        <v>5</v>
      </c>
      <c r="X18" s="65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65" t="s">
        <v>60</v>
      </c>
      <c r="AJ18" s="44"/>
      <c r="AK18" s="71" t="s">
        <v>61</v>
      </c>
      <c r="AL18" s="71" t="s">
        <v>62</v>
      </c>
      <c r="AM18" s="24"/>
      <c r="AN18" s="64" t="s">
        <v>53</v>
      </c>
      <c r="AO18" s="64"/>
      <c r="AP18" s="64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1" t="s">
        <v>33</v>
      </c>
      <c r="BB18" s="61"/>
      <c r="BD18" s="61" t="s">
        <v>34</v>
      </c>
      <c r="BE18" s="61"/>
      <c r="BG18" s="61" t="s">
        <v>35</v>
      </c>
      <c r="BH18" s="61"/>
      <c r="BJ18" s="61" t="s">
        <v>33</v>
      </c>
      <c r="BK18" s="61"/>
      <c r="BM18" s="61" t="s">
        <v>34</v>
      </c>
      <c r="BN18" s="61"/>
      <c r="BP18" s="61" t="s">
        <v>35</v>
      </c>
      <c r="BQ18" s="61"/>
    </row>
    <row r="19" spans="1:69" ht="16.2" customHeight="1" thickBot="1" x14ac:dyDescent="0.45">
      <c r="A19" s="3">
        <f t="shared" si="2"/>
        <v>19</v>
      </c>
      <c r="B19" s="65"/>
      <c r="C19" s="65"/>
      <c r="D19" s="65"/>
      <c r="E19" s="65"/>
      <c r="G19" s="55"/>
      <c r="H19" s="55"/>
      <c r="I19" s="55"/>
      <c r="J19" s="55"/>
      <c r="K19" s="55"/>
      <c r="L19" s="55"/>
      <c r="M19" s="55"/>
      <c r="N19" s="55"/>
      <c r="O19" s="29"/>
      <c r="P19" s="65"/>
      <c r="Q19" s="73"/>
      <c r="R19" s="71"/>
      <c r="S19" s="71"/>
      <c r="U19" s="65"/>
      <c r="V19" s="65"/>
      <c r="W19" s="65"/>
      <c r="X19" s="65"/>
      <c r="Z19" s="55"/>
      <c r="AA19" s="55"/>
      <c r="AB19" s="55"/>
      <c r="AC19" s="55"/>
      <c r="AD19" s="55"/>
      <c r="AE19" s="55"/>
      <c r="AF19" s="55"/>
      <c r="AG19" s="55"/>
      <c r="AI19" s="65"/>
      <c r="AJ19" s="44"/>
      <c r="AK19" s="71"/>
      <c r="AL19" s="71"/>
      <c r="AM19" s="24"/>
      <c r="AN19" s="40" t="s">
        <v>48</v>
      </c>
      <c r="AO19" s="40" t="s">
        <v>49</v>
      </c>
      <c r="AP19" s="40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2"/>
      <c r="BB19" s="62"/>
      <c r="BD19" s="62"/>
      <c r="BE19" s="62"/>
      <c r="BG19" s="62"/>
      <c r="BH19" s="62"/>
      <c r="BJ19" s="62"/>
      <c r="BK19" s="62"/>
      <c r="BM19" s="62"/>
      <c r="BN19" s="62"/>
      <c r="BP19" s="62"/>
      <c r="BQ19" s="62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50">
        <v>43169</v>
      </c>
      <c r="H20" s="50">
        <f>EDATE(G20,3)</f>
        <v>43261</v>
      </c>
      <c r="I20" s="50">
        <f>G20</f>
        <v>43169</v>
      </c>
      <c r="J20" s="50">
        <f>H20</f>
        <v>43261</v>
      </c>
      <c r="K20" s="50">
        <f>J20+1</f>
        <v>43262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f>$D$3-90</f>
        <v>44758</v>
      </c>
      <c r="S20" s="47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50">
        <v>43169</v>
      </c>
      <c r="AA20" s="50">
        <f>EDATE(Z20,3)</f>
        <v>43261</v>
      </c>
      <c r="AB20" s="50">
        <f>Z20</f>
        <v>43169</v>
      </c>
      <c r="AC20" s="50">
        <f>AA20</f>
        <v>43261</v>
      </c>
      <c r="AD20" s="50">
        <f>AC20+1</f>
        <v>43262</v>
      </c>
      <c r="AE20" s="5">
        <v>1</v>
      </c>
      <c r="AF20" s="6">
        <v>0</v>
      </c>
      <c r="AG20" s="6">
        <v>0</v>
      </c>
      <c r="AI20" s="26">
        <v>43101</v>
      </c>
      <c r="AJ20" s="44"/>
      <c r="AK20" s="46">
        <f>$D$3-90</f>
        <v>44758</v>
      </c>
      <c r="AL20" s="47">
        <v>3.9140000000000001E-2</v>
      </c>
      <c r="AN20" s="1">
        <v>1</v>
      </c>
      <c r="AO20" s="30">
        <v>1200</v>
      </c>
      <c r="AP20" s="30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50">
        <f>H20</f>
        <v>43261</v>
      </c>
      <c r="H21" s="50">
        <f>EDATE(G21,3)</f>
        <v>43353</v>
      </c>
      <c r="I21" s="50">
        <f>G21</f>
        <v>43261</v>
      </c>
      <c r="J21" s="50">
        <f>H21</f>
        <v>43353</v>
      </c>
      <c r="K21" s="50">
        <f>J21+1</f>
        <v>43354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44759</v>
      </c>
      <c r="S21" s="47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50">
        <f>AA20</f>
        <v>43261</v>
      </c>
      <c r="AA21" s="50">
        <f>EDATE(Z21,3)</f>
        <v>43353</v>
      </c>
      <c r="AB21" s="50">
        <f>Z21</f>
        <v>43261</v>
      </c>
      <c r="AC21" s="50">
        <f>AA21</f>
        <v>43353</v>
      </c>
      <c r="AD21" s="50">
        <f>AC21+1</f>
        <v>43354</v>
      </c>
      <c r="AE21" s="5">
        <v>1</v>
      </c>
      <c r="AF21" s="6">
        <v>0</v>
      </c>
      <c r="AG21" s="6">
        <v>0</v>
      </c>
      <c r="AI21" s="26">
        <v>43115</v>
      </c>
      <c r="AJ21" s="44"/>
      <c r="AK21" s="46">
        <f>AK20+1</f>
        <v>44759</v>
      </c>
      <c r="AL21" s="47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50">
        <f t="shared" ref="G22:G59" si="3">H21</f>
        <v>43353</v>
      </c>
      <c r="H22" s="50">
        <f t="shared" ref="H22:H59" si="4">EDATE(G22,3)</f>
        <v>43444</v>
      </c>
      <c r="I22" s="50">
        <f t="shared" ref="I22:J59" si="5">G22</f>
        <v>43353</v>
      </c>
      <c r="J22" s="50">
        <f t="shared" si="5"/>
        <v>43444</v>
      </c>
      <c r="K22" s="50">
        <f t="shared" ref="K22:K59" si="6">J22+1</f>
        <v>43445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85" si="7">R21+1</f>
        <v>44760</v>
      </c>
      <c r="S22" s="47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50">
        <f t="shared" ref="Z22:Z59" si="8">AA21</f>
        <v>43353</v>
      </c>
      <c r="AA22" s="50">
        <f t="shared" ref="AA22:AA59" si="9">EDATE(Z22,3)</f>
        <v>43444</v>
      </c>
      <c r="AB22" s="50">
        <f t="shared" ref="AB22:AC59" si="10">Z22</f>
        <v>43353</v>
      </c>
      <c r="AC22" s="50">
        <f t="shared" si="10"/>
        <v>43444</v>
      </c>
      <c r="AD22" s="50">
        <f t="shared" ref="AD22:AD59" si="11">AC22+1</f>
        <v>43445</v>
      </c>
      <c r="AE22" s="5">
        <v>1</v>
      </c>
      <c r="AF22" s="6">
        <v>0</v>
      </c>
      <c r="AG22" s="6">
        <v>0</v>
      </c>
      <c r="AI22" s="26">
        <v>43150</v>
      </c>
      <c r="AJ22" s="44"/>
      <c r="AK22" s="46">
        <f t="shared" ref="AK22:AK85" si="12">AK21+1</f>
        <v>44760</v>
      </c>
      <c r="AL22" s="47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57" t="s">
        <v>38</v>
      </c>
      <c r="BB22" s="57"/>
      <c r="BD22" s="57" t="s">
        <v>38</v>
      </c>
      <c r="BE22" s="57"/>
      <c r="BG22" s="57" t="s">
        <v>38</v>
      </c>
      <c r="BH22" s="57"/>
      <c r="BJ22" s="57" t="s">
        <v>38</v>
      </c>
      <c r="BK22" s="57"/>
      <c r="BM22" s="57" t="s">
        <v>38</v>
      </c>
      <c r="BN22" s="57"/>
      <c r="BP22" s="57" t="s">
        <v>38</v>
      </c>
      <c r="BQ22" s="57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50">
        <f t="shared" si="3"/>
        <v>43444</v>
      </c>
      <c r="H23" s="50">
        <f t="shared" si="4"/>
        <v>43534</v>
      </c>
      <c r="I23" s="50">
        <f t="shared" si="5"/>
        <v>43444</v>
      </c>
      <c r="J23" s="50">
        <f t="shared" si="5"/>
        <v>43534</v>
      </c>
      <c r="K23" s="50">
        <f t="shared" si="6"/>
        <v>43535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7"/>
        <v>44761</v>
      </c>
      <c r="S23" s="47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50">
        <f t="shared" si="8"/>
        <v>43444</v>
      </c>
      <c r="AA23" s="50">
        <f t="shared" si="9"/>
        <v>43534</v>
      </c>
      <c r="AB23" s="50">
        <f t="shared" si="10"/>
        <v>43444</v>
      </c>
      <c r="AC23" s="50">
        <f t="shared" si="10"/>
        <v>43534</v>
      </c>
      <c r="AD23" s="50">
        <f t="shared" si="11"/>
        <v>43535</v>
      </c>
      <c r="AE23" s="5">
        <v>1</v>
      </c>
      <c r="AF23" s="6">
        <v>0</v>
      </c>
      <c r="AG23" s="6">
        <v>0</v>
      </c>
      <c r="AI23" s="26">
        <v>43248</v>
      </c>
      <c r="AJ23" s="44"/>
      <c r="AK23" s="46">
        <f t="shared" si="12"/>
        <v>44761</v>
      </c>
      <c r="AL23" s="47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50">
        <f t="shared" si="3"/>
        <v>43534</v>
      </c>
      <c r="H24" s="50">
        <f t="shared" si="4"/>
        <v>43626</v>
      </c>
      <c r="I24" s="50">
        <f t="shared" si="5"/>
        <v>43534</v>
      </c>
      <c r="J24" s="50">
        <f t="shared" si="5"/>
        <v>43626</v>
      </c>
      <c r="K24" s="50">
        <f t="shared" si="6"/>
        <v>43627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7"/>
        <v>44762</v>
      </c>
      <c r="S24" s="47">
        <v>3.09E-2</v>
      </c>
      <c r="U24" s="1">
        <v>3</v>
      </c>
      <c r="V24" s="2">
        <v>4.727E-2</v>
      </c>
      <c r="W24" s="1">
        <v>3</v>
      </c>
      <c r="X24" s="2">
        <v>4.727E-2</v>
      </c>
      <c r="Z24" s="50">
        <f t="shared" si="8"/>
        <v>43534</v>
      </c>
      <c r="AA24" s="50">
        <f t="shared" si="9"/>
        <v>43626</v>
      </c>
      <c r="AB24" s="50">
        <f t="shared" si="10"/>
        <v>43534</v>
      </c>
      <c r="AC24" s="50">
        <f t="shared" si="10"/>
        <v>43626</v>
      </c>
      <c r="AD24" s="50">
        <f t="shared" si="11"/>
        <v>43627</v>
      </c>
      <c r="AE24" s="5">
        <v>1</v>
      </c>
      <c r="AF24" s="6">
        <v>0</v>
      </c>
      <c r="AG24" s="6">
        <v>0</v>
      </c>
      <c r="AI24" s="26">
        <v>43270</v>
      </c>
      <c r="AJ24" s="44"/>
      <c r="AK24" s="46">
        <f t="shared" si="12"/>
        <v>44762</v>
      </c>
      <c r="AL24" s="47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50">
        <f t="shared" si="3"/>
        <v>43626</v>
      </c>
      <c r="H25" s="50">
        <f t="shared" si="4"/>
        <v>43718</v>
      </c>
      <c r="I25" s="50">
        <f t="shared" si="5"/>
        <v>43626</v>
      </c>
      <c r="J25" s="50">
        <f t="shared" si="5"/>
        <v>43718</v>
      </c>
      <c r="K25" s="50">
        <f t="shared" si="6"/>
        <v>43719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7"/>
        <v>44763</v>
      </c>
      <c r="S25" s="47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50">
        <f t="shared" si="8"/>
        <v>43626</v>
      </c>
      <c r="AA25" s="50">
        <f t="shared" si="9"/>
        <v>43718</v>
      </c>
      <c r="AB25" s="50">
        <f t="shared" si="10"/>
        <v>43626</v>
      </c>
      <c r="AC25" s="50">
        <f t="shared" si="10"/>
        <v>43718</v>
      </c>
      <c r="AD25" s="50">
        <f t="shared" si="11"/>
        <v>43719</v>
      </c>
      <c r="AE25" s="5">
        <v>1</v>
      </c>
      <c r="AF25" s="6">
        <v>0</v>
      </c>
      <c r="AG25" s="6">
        <v>0</v>
      </c>
      <c r="AI25" s="26">
        <v>43285</v>
      </c>
      <c r="AJ25" s="44"/>
      <c r="AK25" s="46">
        <f t="shared" si="12"/>
        <v>44763</v>
      </c>
      <c r="AL25" s="47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2</v>
      </c>
      <c r="C26" s="2">
        <v>4.222999999999999E-2</v>
      </c>
      <c r="D26" s="1">
        <v>2</v>
      </c>
      <c r="E26" s="2">
        <v>4.222999999999999E-2</v>
      </c>
      <c r="G26" s="50">
        <f t="shared" si="3"/>
        <v>43718</v>
      </c>
      <c r="H26" s="50">
        <f t="shared" si="4"/>
        <v>43809</v>
      </c>
      <c r="I26" s="50">
        <f t="shared" si="5"/>
        <v>43718</v>
      </c>
      <c r="J26" s="50">
        <f t="shared" si="5"/>
        <v>43809</v>
      </c>
      <c r="K26" s="50">
        <f t="shared" si="6"/>
        <v>43810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7"/>
        <v>44764</v>
      </c>
      <c r="S26" s="47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50">
        <f t="shared" si="8"/>
        <v>43718</v>
      </c>
      <c r="AA26" s="50">
        <f t="shared" si="9"/>
        <v>43809</v>
      </c>
      <c r="AB26" s="50">
        <f t="shared" si="10"/>
        <v>43718</v>
      </c>
      <c r="AC26" s="50">
        <f t="shared" si="10"/>
        <v>43809</v>
      </c>
      <c r="AD26" s="50">
        <f t="shared" si="11"/>
        <v>43810</v>
      </c>
      <c r="AE26" s="5">
        <v>1</v>
      </c>
      <c r="AF26" s="6">
        <v>0</v>
      </c>
      <c r="AG26" s="6">
        <v>0</v>
      </c>
      <c r="AI26" s="26">
        <v>43346</v>
      </c>
      <c r="AJ26" s="44"/>
      <c r="AK26" s="46">
        <f t="shared" si="12"/>
        <v>44764</v>
      </c>
      <c r="AL26" s="47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3</v>
      </c>
      <c r="C27" s="2">
        <v>4.2499999999999996E-2</v>
      </c>
      <c r="D27" s="1">
        <v>3</v>
      </c>
      <c r="E27" s="2">
        <v>4.2499999999999996E-2</v>
      </c>
      <c r="G27" s="50">
        <f t="shared" si="3"/>
        <v>43809</v>
      </c>
      <c r="H27" s="50">
        <f t="shared" si="4"/>
        <v>43900</v>
      </c>
      <c r="I27" s="50">
        <f t="shared" si="5"/>
        <v>43809</v>
      </c>
      <c r="J27" s="50">
        <f t="shared" si="5"/>
        <v>43900</v>
      </c>
      <c r="K27" s="50">
        <f t="shared" si="6"/>
        <v>43901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7"/>
        <v>44765</v>
      </c>
      <c r="S27" s="47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50">
        <f t="shared" si="8"/>
        <v>43809</v>
      </c>
      <c r="AA27" s="50">
        <f t="shared" si="9"/>
        <v>43900</v>
      </c>
      <c r="AB27" s="50">
        <f t="shared" si="10"/>
        <v>43809</v>
      </c>
      <c r="AC27" s="50">
        <f t="shared" si="10"/>
        <v>43900</v>
      </c>
      <c r="AD27" s="50">
        <f t="shared" si="11"/>
        <v>43901</v>
      </c>
      <c r="AE27" s="5">
        <v>1</v>
      </c>
      <c r="AF27" s="6">
        <v>0</v>
      </c>
      <c r="AG27" s="6">
        <v>0</v>
      </c>
      <c r="AI27" s="26">
        <v>43381</v>
      </c>
      <c r="AJ27" s="44"/>
      <c r="AK27" s="46">
        <f t="shared" si="12"/>
        <v>44765</v>
      </c>
      <c r="AL27" s="47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4</v>
      </c>
      <c r="C28" s="2">
        <v>4.3450000000000003E-2</v>
      </c>
      <c r="D28" s="1">
        <v>4</v>
      </c>
      <c r="E28" s="2">
        <v>4.3450000000000003E-2</v>
      </c>
      <c r="G28" s="50">
        <f t="shared" si="3"/>
        <v>43900</v>
      </c>
      <c r="H28" s="50">
        <f t="shared" si="4"/>
        <v>43992</v>
      </c>
      <c r="I28" s="50">
        <f t="shared" si="5"/>
        <v>43900</v>
      </c>
      <c r="J28" s="50">
        <f t="shared" si="5"/>
        <v>43992</v>
      </c>
      <c r="K28" s="50">
        <f t="shared" si="6"/>
        <v>43993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7"/>
        <v>44766</v>
      </c>
      <c r="S28" s="47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50">
        <f t="shared" si="8"/>
        <v>43900</v>
      </c>
      <c r="AA28" s="50">
        <f t="shared" si="9"/>
        <v>43992</v>
      </c>
      <c r="AB28" s="50">
        <f t="shared" si="10"/>
        <v>43900</v>
      </c>
      <c r="AC28" s="50">
        <f t="shared" si="10"/>
        <v>43992</v>
      </c>
      <c r="AD28" s="50">
        <f t="shared" si="11"/>
        <v>43993</v>
      </c>
      <c r="AE28" s="5">
        <v>1</v>
      </c>
      <c r="AF28" s="6">
        <v>0</v>
      </c>
      <c r="AG28" s="6">
        <v>0</v>
      </c>
      <c r="AI28" s="26">
        <v>43416</v>
      </c>
      <c r="AJ28" s="44"/>
      <c r="AK28" s="46">
        <f t="shared" si="12"/>
        <v>44766</v>
      </c>
      <c r="AL28" s="47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5</v>
      </c>
      <c r="C29" s="2">
        <v>4.2889999999999998E-2</v>
      </c>
      <c r="D29" s="1">
        <v>5</v>
      </c>
      <c r="E29" s="2">
        <v>4.2889999999999998E-2</v>
      </c>
      <c r="G29" s="50">
        <f t="shared" si="3"/>
        <v>43992</v>
      </c>
      <c r="H29" s="50">
        <f t="shared" si="4"/>
        <v>44084</v>
      </c>
      <c r="I29" s="50">
        <f t="shared" si="5"/>
        <v>43992</v>
      </c>
      <c r="J29" s="50">
        <f t="shared" si="5"/>
        <v>44084</v>
      </c>
      <c r="K29" s="50">
        <f t="shared" si="6"/>
        <v>44085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7"/>
        <v>44767</v>
      </c>
      <c r="S29" s="47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50">
        <f t="shared" si="8"/>
        <v>43992</v>
      </c>
      <c r="AA29" s="50">
        <f t="shared" si="9"/>
        <v>44084</v>
      </c>
      <c r="AB29" s="50">
        <f t="shared" si="10"/>
        <v>43992</v>
      </c>
      <c r="AC29" s="50">
        <f t="shared" si="10"/>
        <v>44084</v>
      </c>
      <c r="AD29" s="50">
        <f t="shared" si="11"/>
        <v>44085</v>
      </c>
      <c r="AE29" s="5">
        <v>1</v>
      </c>
      <c r="AF29" s="6">
        <v>0</v>
      </c>
      <c r="AG29" s="6">
        <v>0</v>
      </c>
      <c r="AI29" s="26">
        <v>43426</v>
      </c>
      <c r="AJ29" s="44"/>
      <c r="AK29" s="46">
        <f t="shared" si="12"/>
        <v>44767</v>
      </c>
      <c r="AL29" s="47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10</v>
      </c>
      <c r="C30" s="2">
        <v>4.274E-2</v>
      </c>
      <c r="D30" s="1">
        <v>10</v>
      </c>
      <c r="E30" s="2">
        <v>4.274E-2</v>
      </c>
      <c r="G30" s="50">
        <f t="shared" si="3"/>
        <v>44084</v>
      </c>
      <c r="H30" s="50">
        <f t="shared" si="4"/>
        <v>44175</v>
      </c>
      <c r="I30" s="50">
        <f t="shared" si="5"/>
        <v>44084</v>
      </c>
      <c r="J30" s="50">
        <f t="shared" si="5"/>
        <v>44175</v>
      </c>
      <c r="K30" s="50">
        <f t="shared" si="6"/>
        <v>44176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7"/>
        <v>44768</v>
      </c>
      <c r="S30" s="47">
        <v>3.09E-2</v>
      </c>
      <c r="U30" s="1"/>
      <c r="V30" s="2"/>
      <c r="W30" s="1"/>
      <c r="X30" s="2"/>
      <c r="Z30" s="50">
        <f t="shared" si="8"/>
        <v>44084</v>
      </c>
      <c r="AA30" s="50">
        <f t="shared" si="9"/>
        <v>44175</v>
      </c>
      <c r="AB30" s="50">
        <f t="shared" si="10"/>
        <v>44084</v>
      </c>
      <c r="AC30" s="50">
        <f t="shared" si="10"/>
        <v>44175</v>
      </c>
      <c r="AD30" s="50">
        <f t="shared" si="11"/>
        <v>44176</v>
      </c>
      <c r="AE30" s="5">
        <v>1</v>
      </c>
      <c r="AF30" s="6">
        <v>0</v>
      </c>
      <c r="AG30" s="6">
        <v>0</v>
      </c>
      <c r="AI30" s="26">
        <v>43459</v>
      </c>
      <c r="AJ30" s="44"/>
      <c r="AK30" s="46">
        <f t="shared" si="12"/>
        <v>44768</v>
      </c>
      <c r="AL30" s="47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2</v>
      </c>
      <c r="BB30" s="22">
        <v>0</v>
      </c>
      <c r="BD30" s="8">
        <v>2</v>
      </c>
      <c r="BE30" s="23">
        <v>0</v>
      </c>
      <c r="BG30" s="8">
        <v>2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20</v>
      </c>
      <c r="C31" s="2">
        <v>4.1399999999999992E-2</v>
      </c>
      <c r="D31" s="1">
        <v>20</v>
      </c>
      <c r="E31" s="2">
        <v>4.1399999999999992E-2</v>
      </c>
      <c r="G31" s="50">
        <f t="shared" si="3"/>
        <v>44175</v>
      </c>
      <c r="H31" s="50">
        <f t="shared" si="4"/>
        <v>44265</v>
      </c>
      <c r="I31" s="50">
        <f t="shared" si="5"/>
        <v>44175</v>
      </c>
      <c r="J31" s="50">
        <f t="shared" si="5"/>
        <v>44265</v>
      </c>
      <c r="K31" s="50">
        <f t="shared" si="6"/>
        <v>44266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7"/>
        <v>44769</v>
      </c>
      <c r="S31" s="47">
        <v>3.09E-2</v>
      </c>
      <c r="U31" s="1"/>
      <c r="V31" s="2"/>
      <c r="W31" s="1"/>
      <c r="X31" s="2"/>
      <c r="Z31" s="50">
        <f t="shared" si="8"/>
        <v>44175</v>
      </c>
      <c r="AA31" s="50">
        <f t="shared" si="9"/>
        <v>44265</v>
      </c>
      <c r="AB31" s="50">
        <f t="shared" si="10"/>
        <v>44175</v>
      </c>
      <c r="AC31" s="50">
        <f t="shared" si="10"/>
        <v>44265</v>
      </c>
      <c r="AD31" s="50">
        <f t="shared" si="11"/>
        <v>44266</v>
      </c>
      <c r="AE31" s="5">
        <v>1</v>
      </c>
      <c r="AF31" s="6">
        <v>0</v>
      </c>
      <c r="AG31" s="6">
        <v>0</v>
      </c>
      <c r="AI31" s="26">
        <v>43466</v>
      </c>
      <c r="AJ31" s="44"/>
      <c r="AK31" s="46">
        <f t="shared" si="12"/>
        <v>44769</v>
      </c>
      <c r="AL31" s="47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3</v>
      </c>
      <c r="BB31" s="22">
        <v>0</v>
      </c>
      <c r="BD31" s="8">
        <v>3</v>
      </c>
      <c r="BE31" s="23">
        <v>0</v>
      </c>
      <c r="BG31" s="8">
        <v>3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>
        <v>30</v>
      </c>
      <c r="C32" s="2">
        <v>4.0489999999999998E-2</v>
      </c>
      <c r="D32" s="1">
        <v>30</v>
      </c>
      <c r="E32" s="2">
        <v>4.0489999999999998E-2</v>
      </c>
      <c r="G32" s="50">
        <f t="shared" si="3"/>
        <v>44265</v>
      </c>
      <c r="H32" s="50">
        <f t="shared" si="4"/>
        <v>44357</v>
      </c>
      <c r="I32" s="50">
        <f t="shared" si="5"/>
        <v>44265</v>
      </c>
      <c r="J32" s="50">
        <f t="shared" si="5"/>
        <v>44357</v>
      </c>
      <c r="K32" s="50">
        <f t="shared" si="6"/>
        <v>44358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7"/>
        <v>44770</v>
      </c>
      <c r="S32" s="47">
        <v>3.09E-2</v>
      </c>
      <c r="U32" s="1"/>
      <c r="V32" s="2"/>
      <c r="W32" s="1"/>
      <c r="X32" s="2"/>
      <c r="Z32" s="50">
        <f t="shared" si="8"/>
        <v>44265</v>
      </c>
      <c r="AA32" s="50">
        <f t="shared" si="9"/>
        <v>44357</v>
      </c>
      <c r="AB32" s="50">
        <f t="shared" si="10"/>
        <v>44265</v>
      </c>
      <c r="AC32" s="50">
        <f t="shared" si="10"/>
        <v>44357</v>
      </c>
      <c r="AD32" s="50">
        <f t="shared" si="11"/>
        <v>44358</v>
      </c>
      <c r="AE32" s="5">
        <v>1</v>
      </c>
      <c r="AF32" s="6">
        <v>0</v>
      </c>
      <c r="AG32" s="6">
        <v>0</v>
      </c>
      <c r="AI32" s="26">
        <v>43486</v>
      </c>
      <c r="AJ32" s="44"/>
      <c r="AK32" s="46">
        <f t="shared" si="12"/>
        <v>44770</v>
      </c>
      <c r="AL32" s="47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4</v>
      </c>
      <c r="BB32" s="22">
        <v>0</v>
      </c>
      <c r="BD32" s="8">
        <v>4</v>
      </c>
      <c r="BE32" s="23">
        <v>0</v>
      </c>
      <c r="BG32" s="8">
        <v>4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50">
        <f t="shared" si="3"/>
        <v>44357</v>
      </c>
      <c r="H33" s="50">
        <f t="shared" si="4"/>
        <v>44449</v>
      </c>
      <c r="I33" s="50">
        <f t="shared" si="5"/>
        <v>44357</v>
      </c>
      <c r="J33" s="50">
        <f t="shared" si="5"/>
        <v>44449</v>
      </c>
      <c r="K33" s="50">
        <f t="shared" si="6"/>
        <v>44450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7"/>
        <v>44771</v>
      </c>
      <c r="S33" s="47">
        <v>3.09E-2</v>
      </c>
      <c r="U33" s="1"/>
      <c r="V33" s="2"/>
      <c r="W33" s="1"/>
      <c r="X33" s="2"/>
      <c r="Z33" s="50">
        <f t="shared" si="8"/>
        <v>44357</v>
      </c>
      <c r="AA33" s="50">
        <f t="shared" si="9"/>
        <v>44449</v>
      </c>
      <c r="AB33" s="50">
        <f t="shared" si="10"/>
        <v>44357</v>
      </c>
      <c r="AC33" s="50">
        <f t="shared" si="10"/>
        <v>44449</v>
      </c>
      <c r="AD33" s="50">
        <f t="shared" si="11"/>
        <v>44450</v>
      </c>
      <c r="AE33" s="5">
        <v>1</v>
      </c>
      <c r="AF33" s="6">
        <v>0</v>
      </c>
      <c r="AG33" s="6">
        <v>0</v>
      </c>
      <c r="AI33" s="26">
        <v>43514</v>
      </c>
      <c r="AJ33" s="44"/>
      <c r="AK33" s="46">
        <f t="shared" si="12"/>
        <v>44771</v>
      </c>
      <c r="AL33" s="47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5</v>
      </c>
      <c r="BB33" s="22">
        <v>0</v>
      </c>
      <c r="BD33" s="8">
        <v>5</v>
      </c>
      <c r="BE33" s="23">
        <v>0</v>
      </c>
      <c r="BG33" s="8">
        <v>5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50">
        <f t="shared" si="3"/>
        <v>44449</v>
      </c>
      <c r="H34" s="50">
        <f t="shared" si="4"/>
        <v>44540</v>
      </c>
      <c r="I34" s="50">
        <f t="shared" si="5"/>
        <v>44449</v>
      </c>
      <c r="J34" s="50">
        <f t="shared" si="5"/>
        <v>44540</v>
      </c>
      <c r="K34" s="50">
        <f t="shared" si="6"/>
        <v>44541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7"/>
        <v>44772</v>
      </c>
      <c r="S34" s="47">
        <v>3.09E-2</v>
      </c>
      <c r="Z34" s="50">
        <f t="shared" si="8"/>
        <v>44449</v>
      </c>
      <c r="AA34" s="50">
        <f t="shared" si="9"/>
        <v>44540</v>
      </c>
      <c r="AB34" s="50">
        <f t="shared" si="10"/>
        <v>44449</v>
      </c>
      <c r="AC34" s="50">
        <f t="shared" si="10"/>
        <v>44540</v>
      </c>
      <c r="AD34" s="50">
        <f t="shared" si="11"/>
        <v>44541</v>
      </c>
      <c r="AE34" s="5">
        <v>1</v>
      </c>
      <c r="AF34" s="6">
        <v>0</v>
      </c>
      <c r="AG34" s="6">
        <v>0</v>
      </c>
      <c r="AI34" s="26">
        <v>43612</v>
      </c>
      <c r="AJ34" s="44"/>
      <c r="AK34" s="46">
        <f t="shared" si="12"/>
        <v>44772</v>
      </c>
      <c r="AL34" s="47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44906</v>
      </c>
      <c r="AW34" s="16">
        <v>3.9140000000000001E-2</v>
      </c>
      <c r="AX34" s="19">
        <v>97581917.80821918</v>
      </c>
      <c r="AY34" s="17">
        <v>0.99332615053886586</v>
      </c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50">
        <f t="shared" si="3"/>
        <v>44540</v>
      </c>
      <c r="H35" s="50">
        <f t="shared" si="4"/>
        <v>44630</v>
      </c>
      <c r="I35" s="50">
        <f t="shared" si="5"/>
        <v>44540</v>
      </c>
      <c r="J35" s="50">
        <f t="shared" si="5"/>
        <v>44630</v>
      </c>
      <c r="K35" s="50">
        <f t="shared" si="6"/>
        <v>44631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7"/>
        <v>44773</v>
      </c>
      <c r="S35" s="47">
        <v>3.09E-2</v>
      </c>
      <c r="Z35" s="50">
        <f t="shared" si="8"/>
        <v>44540</v>
      </c>
      <c r="AA35" s="50">
        <f t="shared" si="9"/>
        <v>44630</v>
      </c>
      <c r="AB35" s="50">
        <f t="shared" si="10"/>
        <v>44540</v>
      </c>
      <c r="AC35" s="50">
        <f t="shared" si="10"/>
        <v>44630</v>
      </c>
      <c r="AD35" s="50">
        <f t="shared" si="11"/>
        <v>44631</v>
      </c>
      <c r="AE35" s="5">
        <v>1</v>
      </c>
      <c r="AF35" s="6">
        <v>0</v>
      </c>
      <c r="AG35" s="6">
        <v>0</v>
      </c>
      <c r="AI35" s="26">
        <v>43635</v>
      </c>
      <c r="AJ35" s="44"/>
      <c r="AK35" s="46">
        <f t="shared" si="12"/>
        <v>44773</v>
      </c>
      <c r="AL35" s="47">
        <v>3.9140000000000001E-2</v>
      </c>
      <c r="AR35" s="14">
        <v>44996</v>
      </c>
      <c r="AS35" s="16">
        <v>3.3901020303944471E-2</v>
      </c>
      <c r="AT35" s="19">
        <v>83591556.913835689</v>
      </c>
      <c r="AU35" s="17">
        <v>0.9866428880365794</v>
      </c>
      <c r="AV35" s="14">
        <v>44996</v>
      </c>
      <c r="AW35" s="16">
        <v>4.5345413633733268E-2</v>
      </c>
      <c r="AX35" s="19">
        <v>111810608.95989026</v>
      </c>
      <c r="AY35" s="17">
        <v>0.98232473119818331</v>
      </c>
      <c r="BA35" s="8">
        <v>20</v>
      </c>
      <c r="BB35" s="22">
        <v>0</v>
      </c>
      <c r="BD35" s="8">
        <v>20</v>
      </c>
      <c r="BE35" s="23">
        <v>0</v>
      </c>
      <c r="BG35" s="8">
        <v>20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50">
        <f t="shared" si="3"/>
        <v>44630</v>
      </c>
      <c r="H36" s="50">
        <f t="shared" si="4"/>
        <v>44722</v>
      </c>
      <c r="I36" s="50">
        <f t="shared" si="5"/>
        <v>44630</v>
      </c>
      <c r="J36" s="50">
        <f t="shared" si="5"/>
        <v>44722</v>
      </c>
      <c r="K36" s="50">
        <f t="shared" si="6"/>
        <v>44723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7"/>
        <v>44774</v>
      </c>
      <c r="S36" s="47">
        <v>3.09E-2</v>
      </c>
      <c r="Z36" s="50">
        <f t="shared" si="8"/>
        <v>44630</v>
      </c>
      <c r="AA36" s="50">
        <f t="shared" si="9"/>
        <v>44722</v>
      </c>
      <c r="AB36" s="50">
        <f t="shared" si="10"/>
        <v>44630</v>
      </c>
      <c r="AC36" s="50">
        <f t="shared" si="10"/>
        <v>44722</v>
      </c>
      <c r="AD36" s="50">
        <f t="shared" si="11"/>
        <v>44723</v>
      </c>
      <c r="AE36" s="5">
        <v>1</v>
      </c>
      <c r="AF36" s="6">
        <v>0</v>
      </c>
      <c r="AG36" s="6">
        <v>0</v>
      </c>
      <c r="AI36" s="26">
        <v>43650</v>
      </c>
      <c r="AJ36" s="44"/>
      <c r="AK36" s="46">
        <f t="shared" si="12"/>
        <v>44774</v>
      </c>
      <c r="AL36" s="47">
        <v>3.9140000000000001E-2</v>
      </c>
      <c r="AR36" s="14">
        <v>45088</v>
      </c>
      <c r="AS36" s="16">
        <v>3.5019192315076539E-2</v>
      </c>
      <c r="AT36" s="19">
        <v>88267553.232521668</v>
      </c>
      <c r="AU36" s="17">
        <v>0.97800877434194999</v>
      </c>
      <c r="AV36" s="14">
        <v>45088</v>
      </c>
      <c r="AW36" s="16">
        <v>4.9750588745791337E-2</v>
      </c>
      <c r="AX36" s="19">
        <v>125398744.23596717</v>
      </c>
      <c r="AY36" s="17">
        <v>0.97015532832664342</v>
      </c>
      <c r="BA36" s="8">
        <v>30</v>
      </c>
      <c r="BB36" s="22">
        <v>0</v>
      </c>
      <c r="BD36" s="8">
        <v>30</v>
      </c>
      <c r="BE36" s="23">
        <v>0</v>
      </c>
      <c r="BG36" s="8">
        <v>30</v>
      </c>
      <c r="BH36" s="21">
        <v>0</v>
      </c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50">
        <f t="shared" si="3"/>
        <v>44722</v>
      </c>
      <c r="H37" s="50">
        <f t="shared" si="4"/>
        <v>44814</v>
      </c>
      <c r="I37" s="50">
        <f t="shared" si="5"/>
        <v>44722</v>
      </c>
      <c r="J37" s="50">
        <f t="shared" si="5"/>
        <v>44814</v>
      </c>
      <c r="K37" s="50">
        <f t="shared" si="6"/>
        <v>44815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7"/>
        <v>44775</v>
      </c>
      <c r="S37" s="47">
        <v>3.09E-2</v>
      </c>
      <c r="Z37" s="50">
        <f t="shared" si="8"/>
        <v>44722</v>
      </c>
      <c r="AA37" s="50">
        <f t="shared" si="9"/>
        <v>44814</v>
      </c>
      <c r="AB37" s="50">
        <f t="shared" si="10"/>
        <v>44722</v>
      </c>
      <c r="AC37" s="50">
        <f t="shared" si="10"/>
        <v>44814</v>
      </c>
      <c r="AD37" s="50">
        <f t="shared" si="11"/>
        <v>44815</v>
      </c>
      <c r="AE37" s="5">
        <v>1</v>
      </c>
      <c r="AF37" s="6">
        <v>0</v>
      </c>
      <c r="AG37" s="6">
        <v>0</v>
      </c>
      <c r="AI37" s="26">
        <v>43710</v>
      </c>
      <c r="AJ37" s="44"/>
      <c r="AK37" s="46">
        <f t="shared" si="12"/>
        <v>44775</v>
      </c>
      <c r="AL37" s="47">
        <v>3.9140000000000001E-2</v>
      </c>
      <c r="AR37" s="14">
        <v>45180</v>
      </c>
      <c r="AS37" s="16">
        <v>3.5805122979881782E-2</v>
      </c>
      <c r="AT37" s="19">
        <v>90248529.154770553</v>
      </c>
      <c r="AU37" s="17">
        <v>0.96925862926540185</v>
      </c>
      <c r="AV37" s="14">
        <v>45180</v>
      </c>
      <c r="AW37" s="16">
        <v>5.2041794950073605E-2</v>
      </c>
      <c r="AX37" s="19">
        <v>131173839.32621296</v>
      </c>
      <c r="AY37" s="17">
        <v>0.95758597133118672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35">
      <c r="A38" s="3">
        <f t="shared" si="2"/>
        <v>38</v>
      </c>
      <c r="G38" s="50">
        <f t="shared" si="3"/>
        <v>44814</v>
      </c>
      <c r="H38" s="50">
        <f t="shared" si="4"/>
        <v>44905</v>
      </c>
      <c r="I38" s="50">
        <f t="shared" si="5"/>
        <v>44814</v>
      </c>
      <c r="J38" s="50">
        <f t="shared" si="5"/>
        <v>44905</v>
      </c>
      <c r="K38" s="50">
        <f t="shared" si="6"/>
        <v>44906</v>
      </c>
      <c r="L38" s="5">
        <v>1</v>
      </c>
      <c r="M38" s="6">
        <v>0</v>
      </c>
      <c r="N38" s="6">
        <v>3.09E-2</v>
      </c>
      <c r="P38" s="26">
        <v>43501</v>
      </c>
      <c r="R38" s="46">
        <f t="shared" si="7"/>
        <v>44776</v>
      </c>
      <c r="S38" s="47">
        <v>3.09E-2</v>
      </c>
      <c r="Z38" s="50">
        <f t="shared" si="8"/>
        <v>44814</v>
      </c>
      <c r="AA38" s="50">
        <f t="shared" si="9"/>
        <v>44905</v>
      </c>
      <c r="AB38" s="50">
        <f t="shared" si="10"/>
        <v>44814</v>
      </c>
      <c r="AC38" s="50">
        <f t="shared" si="10"/>
        <v>44905</v>
      </c>
      <c r="AD38" s="50">
        <f t="shared" si="11"/>
        <v>44906</v>
      </c>
      <c r="AE38" s="5">
        <v>1</v>
      </c>
      <c r="AF38" s="6">
        <v>0</v>
      </c>
      <c r="AG38" s="6">
        <v>3.9140000000000001E-2</v>
      </c>
      <c r="AI38" s="26">
        <v>43752</v>
      </c>
      <c r="AJ38" s="44"/>
      <c r="AK38" s="46">
        <f t="shared" si="12"/>
        <v>44776</v>
      </c>
      <c r="AL38" s="47">
        <v>3.9140000000000001E-2</v>
      </c>
      <c r="AR38" s="14">
        <v>45271</v>
      </c>
      <c r="AS38" s="16">
        <v>4.3378932309931187E-2</v>
      </c>
      <c r="AT38" s="19">
        <v>108150214.80010235</v>
      </c>
      <c r="AU38" s="17">
        <v>0.95885463188112963</v>
      </c>
      <c r="AV38" s="14">
        <v>45271</v>
      </c>
      <c r="AW38" s="16">
        <v>5.0047791842283702E-2</v>
      </c>
      <c r="AX38" s="19">
        <v>124776686.51089904</v>
      </c>
      <c r="AY38" s="17">
        <v>0.94580066711986865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35">
      <c r="A39" s="3">
        <f t="shared" si="2"/>
        <v>39</v>
      </c>
      <c r="G39" s="50">
        <f t="shared" si="3"/>
        <v>44905</v>
      </c>
      <c r="H39" s="50">
        <f t="shared" si="4"/>
        <v>44995</v>
      </c>
      <c r="I39" s="50">
        <f t="shared" si="5"/>
        <v>44905</v>
      </c>
      <c r="J39" s="50">
        <f t="shared" si="5"/>
        <v>44995</v>
      </c>
      <c r="K39" s="50">
        <f t="shared" si="6"/>
        <v>44996</v>
      </c>
      <c r="L39" s="5">
        <v>1</v>
      </c>
      <c r="M39" s="6">
        <v>0</v>
      </c>
      <c r="N39" s="6">
        <v>0</v>
      </c>
      <c r="P39" s="26">
        <v>43502</v>
      </c>
      <c r="R39" s="46">
        <f t="shared" si="7"/>
        <v>44777</v>
      </c>
      <c r="S39" s="47">
        <v>3.09E-2</v>
      </c>
      <c r="Z39" s="50">
        <f t="shared" si="8"/>
        <v>44905</v>
      </c>
      <c r="AA39" s="50">
        <f t="shared" si="9"/>
        <v>44995</v>
      </c>
      <c r="AB39" s="50">
        <f t="shared" si="10"/>
        <v>44905</v>
      </c>
      <c r="AC39" s="50">
        <f t="shared" si="10"/>
        <v>44995</v>
      </c>
      <c r="AD39" s="50">
        <f t="shared" si="11"/>
        <v>44996</v>
      </c>
      <c r="AE39" s="5">
        <v>1</v>
      </c>
      <c r="AF39" s="6">
        <v>0</v>
      </c>
      <c r="AG39" s="6">
        <v>0</v>
      </c>
      <c r="AI39" s="26">
        <v>43780</v>
      </c>
      <c r="AJ39" s="44"/>
      <c r="AK39" s="46">
        <f t="shared" si="12"/>
        <v>44777</v>
      </c>
      <c r="AL39" s="47">
        <v>3.9140000000000001E-2</v>
      </c>
      <c r="AR39" s="14">
        <v>45362</v>
      </c>
      <c r="AS39" s="16">
        <v>5.1990921843325183E-2</v>
      </c>
      <c r="AT39" s="19">
        <v>129621202.40390672</v>
      </c>
      <c r="AU39" s="17">
        <v>0.94657068622658125</v>
      </c>
      <c r="AV39" s="14">
        <v>45362</v>
      </c>
      <c r="AW39" s="16">
        <v>4.7236668953448829E-2</v>
      </c>
      <c r="AX39" s="19">
        <v>117768133.55517389</v>
      </c>
      <c r="AY39" s="17">
        <v>0.93479282020497423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35">
      <c r="A40" s="3">
        <f t="shared" si="2"/>
        <v>40</v>
      </c>
      <c r="G40" s="50">
        <f t="shared" si="3"/>
        <v>44995</v>
      </c>
      <c r="H40" s="50">
        <f t="shared" si="4"/>
        <v>45087</v>
      </c>
      <c r="I40" s="50">
        <f t="shared" si="5"/>
        <v>44995</v>
      </c>
      <c r="J40" s="50">
        <f t="shared" si="5"/>
        <v>45087</v>
      </c>
      <c r="K40" s="50">
        <f t="shared" si="6"/>
        <v>45088</v>
      </c>
      <c r="L40" s="5">
        <v>1</v>
      </c>
      <c r="M40" s="6">
        <v>0</v>
      </c>
      <c r="N40" s="6">
        <v>0</v>
      </c>
      <c r="P40" s="26">
        <v>43525</v>
      </c>
      <c r="R40" s="46">
        <f t="shared" si="7"/>
        <v>44778</v>
      </c>
      <c r="S40" s="47">
        <v>3.09E-2</v>
      </c>
      <c r="Z40" s="50">
        <f t="shared" si="8"/>
        <v>44995</v>
      </c>
      <c r="AA40" s="50">
        <f t="shared" si="9"/>
        <v>45087</v>
      </c>
      <c r="AB40" s="50">
        <f t="shared" si="10"/>
        <v>44995</v>
      </c>
      <c r="AC40" s="50">
        <f t="shared" si="10"/>
        <v>45087</v>
      </c>
      <c r="AD40" s="50">
        <f t="shared" si="11"/>
        <v>45088</v>
      </c>
      <c r="AE40" s="5">
        <v>1</v>
      </c>
      <c r="AF40" s="6">
        <v>0</v>
      </c>
      <c r="AG40" s="6">
        <v>0</v>
      </c>
      <c r="AI40" s="26">
        <v>43797</v>
      </c>
      <c r="AJ40" s="44"/>
      <c r="AK40" s="46">
        <f t="shared" si="12"/>
        <v>44778</v>
      </c>
      <c r="AL40" s="47">
        <v>3.9140000000000001E-2</v>
      </c>
      <c r="AR40" s="14">
        <v>45454</v>
      </c>
      <c r="AS40" s="16">
        <v>5.0729023125224433E-2</v>
      </c>
      <c r="AT40" s="19">
        <v>127864935.00056562</v>
      </c>
      <c r="AU40" s="17">
        <v>0.93463634691431408</v>
      </c>
      <c r="AV40" s="14">
        <v>45454</v>
      </c>
      <c r="AW40" s="16">
        <v>4.6833862512738279E-2</v>
      </c>
      <c r="AX40" s="19">
        <v>118046995.92251833</v>
      </c>
      <c r="AY40" s="17">
        <v>0.92388763704371291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35">
      <c r="A41" s="3">
        <f t="shared" si="2"/>
        <v>41</v>
      </c>
      <c r="G41" s="50">
        <f t="shared" si="3"/>
        <v>45087</v>
      </c>
      <c r="H41" s="50">
        <f t="shared" si="4"/>
        <v>45179</v>
      </c>
      <c r="I41" s="50">
        <f t="shared" si="5"/>
        <v>45087</v>
      </c>
      <c r="J41" s="50">
        <f t="shared" si="5"/>
        <v>45179</v>
      </c>
      <c r="K41" s="50">
        <f t="shared" si="6"/>
        <v>45180</v>
      </c>
      <c r="L41" s="5">
        <v>1</v>
      </c>
      <c r="M41" s="6">
        <v>0</v>
      </c>
      <c r="N41" s="6">
        <v>0</v>
      </c>
      <c r="P41" s="26">
        <v>43586</v>
      </c>
      <c r="R41" s="46">
        <f t="shared" si="7"/>
        <v>44779</v>
      </c>
      <c r="S41" s="47">
        <v>3.09E-2</v>
      </c>
      <c r="Z41" s="50">
        <f t="shared" si="8"/>
        <v>45087</v>
      </c>
      <c r="AA41" s="50">
        <f t="shared" si="9"/>
        <v>45179</v>
      </c>
      <c r="AB41" s="50">
        <f t="shared" si="10"/>
        <v>45087</v>
      </c>
      <c r="AC41" s="50">
        <f t="shared" si="10"/>
        <v>45179</v>
      </c>
      <c r="AD41" s="50">
        <f t="shared" si="11"/>
        <v>45180</v>
      </c>
      <c r="AE41" s="5">
        <v>1</v>
      </c>
      <c r="AF41" s="6">
        <v>0</v>
      </c>
      <c r="AG41" s="6">
        <v>0</v>
      </c>
      <c r="AI41" s="26">
        <v>43824</v>
      </c>
      <c r="AJ41" s="44"/>
      <c r="AK41" s="46">
        <f t="shared" si="12"/>
        <v>44779</v>
      </c>
      <c r="AL41" s="47">
        <v>3.9140000000000001E-2</v>
      </c>
      <c r="AR41" s="14">
        <v>45546</v>
      </c>
      <c r="AS41" s="16">
        <v>4.9525943547117812E-2</v>
      </c>
      <c r="AT41" s="19">
        <v>124832515.24205041</v>
      </c>
      <c r="AU41" s="17">
        <v>0.92310721026500564</v>
      </c>
      <c r="AV41" s="14">
        <v>45546</v>
      </c>
      <c r="AW41" s="16">
        <v>4.642583489017333E-2</v>
      </c>
      <c r="AX41" s="19">
        <v>117018542.73687528</v>
      </c>
      <c r="AY41" s="17">
        <v>0.91320249532299191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35">
      <c r="A42" s="3">
        <f t="shared" si="2"/>
        <v>42</v>
      </c>
      <c r="G42" s="50">
        <f t="shared" si="3"/>
        <v>45179</v>
      </c>
      <c r="H42" s="50">
        <f t="shared" si="4"/>
        <v>45270</v>
      </c>
      <c r="I42" s="50">
        <f t="shared" si="5"/>
        <v>45179</v>
      </c>
      <c r="J42" s="50">
        <f t="shared" si="5"/>
        <v>45270</v>
      </c>
      <c r="K42" s="50">
        <f t="shared" si="6"/>
        <v>45271</v>
      </c>
      <c r="L42" s="5">
        <v>1</v>
      </c>
      <c r="M42" s="6">
        <v>0</v>
      </c>
      <c r="N42" s="6">
        <v>0</v>
      </c>
      <c r="P42" s="26">
        <v>43591</v>
      </c>
      <c r="R42" s="46">
        <f t="shared" si="7"/>
        <v>44780</v>
      </c>
      <c r="S42" s="47">
        <v>3.09E-2</v>
      </c>
      <c r="Z42" s="50">
        <f t="shared" si="8"/>
        <v>45179</v>
      </c>
      <c r="AA42" s="50">
        <f t="shared" si="9"/>
        <v>45270</v>
      </c>
      <c r="AB42" s="50">
        <f t="shared" si="10"/>
        <v>45179</v>
      </c>
      <c r="AC42" s="50">
        <f t="shared" si="10"/>
        <v>45270</v>
      </c>
      <c r="AD42" s="50">
        <f t="shared" si="11"/>
        <v>45271</v>
      </c>
      <c r="AE42" s="5">
        <v>1</v>
      </c>
      <c r="AF42" s="6">
        <v>0</v>
      </c>
      <c r="AG42" s="6">
        <v>0</v>
      </c>
      <c r="AI42" s="26">
        <v>43831</v>
      </c>
      <c r="AJ42" s="44"/>
      <c r="AK42" s="46">
        <f t="shared" si="12"/>
        <v>44780</v>
      </c>
      <c r="AL42" s="47">
        <v>3.9140000000000001E-2</v>
      </c>
      <c r="AR42" s="14">
        <v>45637</v>
      </c>
      <c r="AS42" s="16">
        <v>4.5951242517782848E-2</v>
      </c>
      <c r="AT42" s="19">
        <v>114563371.75666407</v>
      </c>
      <c r="AU42" s="17">
        <v>0.91267031751910499</v>
      </c>
      <c r="AV42" s="14">
        <v>45637</v>
      </c>
      <c r="AW42" s="16">
        <v>4.6935862391273779E-2</v>
      </c>
      <c r="AX42" s="19">
        <v>117018177.46865517</v>
      </c>
      <c r="AY42" s="17">
        <v>0.90263716589671916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35">
      <c r="A43" s="3">
        <f t="shared" si="2"/>
        <v>43</v>
      </c>
      <c r="G43" s="50">
        <f t="shared" si="3"/>
        <v>45270</v>
      </c>
      <c r="H43" s="50">
        <f t="shared" si="4"/>
        <v>45361</v>
      </c>
      <c r="I43" s="50">
        <f t="shared" si="5"/>
        <v>45270</v>
      </c>
      <c r="J43" s="50">
        <f t="shared" si="5"/>
        <v>45361</v>
      </c>
      <c r="K43" s="50">
        <f t="shared" si="6"/>
        <v>45362</v>
      </c>
      <c r="L43" s="5">
        <v>1</v>
      </c>
      <c r="M43" s="6">
        <v>0</v>
      </c>
      <c r="N43" s="6">
        <v>0</v>
      </c>
      <c r="P43" s="26">
        <v>43598</v>
      </c>
      <c r="R43" s="46">
        <f t="shared" si="7"/>
        <v>44781</v>
      </c>
      <c r="S43" s="47">
        <v>3.09E-2</v>
      </c>
      <c r="Z43" s="50">
        <f t="shared" si="8"/>
        <v>45270</v>
      </c>
      <c r="AA43" s="50">
        <f t="shared" si="9"/>
        <v>45361</v>
      </c>
      <c r="AB43" s="50">
        <f t="shared" si="10"/>
        <v>45270</v>
      </c>
      <c r="AC43" s="50">
        <f t="shared" si="10"/>
        <v>45361</v>
      </c>
      <c r="AD43" s="50">
        <f t="shared" si="11"/>
        <v>45362</v>
      </c>
      <c r="AE43" s="5">
        <v>1</v>
      </c>
      <c r="AF43" s="6">
        <v>0</v>
      </c>
      <c r="AG43" s="6">
        <v>0</v>
      </c>
      <c r="AI43" s="26">
        <v>43850</v>
      </c>
      <c r="AJ43" s="44"/>
      <c r="AK43" s="46">
        <f t="shared" si="12"/>
        <v>44781</v>
      </c>
      <c r="AL43" s="47">
        <v>3.9140000000000001E-2</v>
      </c>
      <c r="AR43" s="14">
        <v>45727</v>
      </c>
      <c r="AS43" s="16">
        <v>4.3150323694360504E-2</v>
      </c>
      <c r="AT43" s="19">
        <v>106398058.42445061</v>
      </c>
      <c r="AU43" s="17">
        <v>0.90306158465581365</v>
      </c>
      <c r="AV43" s="14">
        <v>45727</v>
      </c>
      <c r="AW43" s="16">
        <v>4.7324978528699796E-2</v>
      </c>
      <c r="AX43" s="19">
        <v>116691727.87898585</v>
      </c>
      <c r="AY43" s="17">
        <v>0.89222579961238568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35">
      <c r="A44" s="3">
        <f t="shared" si="2"/>
        <v>44</v>
      </c>
      <c r="G44" s="50">
        <f t="shared" si="3"/>
        <v>45361</v>
      </c>
      <c r="H44" s="50">
        <f t="shared" si="4"/>
        <v>45453</v>
      </c>
      <c r="I44" s="50">
        <f t="shared" si="5"/>
        <v>45361</v>
      </c>
      <c r="J44" s="50">
        <f t="shared" si="5"/>
        <v>45453</v>
      </c>
      <c r="K44" s="50">
        <f t="shared" si="6"/>
        <v>45454</v>
      </c>
      <c r="L44" s="5">
        <v>1</v>
      </c>
      <c r="M44" s="6">
        <v>0</v>
      </c>
      <c r="N44" s="6">
        <v>0</v>
      </c>
      <c r="P44" s="26">
        <v>43622</v>
      </c>
      <c r="R44" s="46">
        <f t="shared" si="7"/>
        <v>44782</v>
      </c>
      <c r="S44" s="47">
        <v>3.09E-2</v>
      </c>
      <c r="Z44" s="50">
        <f t="shared" si="8"/>
        <v>45361</v>
      </c>
      <c r="AA44" s="50">
        <f t="shared" si="9"/>
        <v>45453</v>
      </c>
      <c r="AB44" s="50">
        <f t="shared" si="10"/>
        <v>45361</v>
      </c>
      <c r="AC44" s="50">
        <f t="shared" si="10"/>
        <v>45453</v>
      </c>
      <c r="AD44" s="50">
        <f t="shared" si="11"/>
        <v>45454</v>
      </c>
      <c r="AE44" s="5">
        <v>1</v>
      </c>
      <c r="AF44" s="6">
        <v>0</v>
      </c>
      <c r="AG44" s="6">
        <v>0</v>
      </c>
      <c r="AI44" s="26">
        <v>43878</v>
      </c>
      <c r="AJ44" s="44"/>
      <c r="AK44" s="46">
        <f t="shared" si="12"/>
        <v>44782</v>
      </c>
      <c r="AL44" s="47">
        <v>3.9140000000000001E-2</v>
      </c>
      <c r="AR44" s="14">
        <v>45819</v>
      </c>
      <c r="AS44" s="16">
        <v>4.3291504220039648E-2</v>
      </c>
      <c r="AT44" s="19">
        <v>109118312.00667521</v>
      </c>
      <c r="AU44" s="17">
        <v>0.89331356111338067</v>
      </c>
      <c r="AV44" s="14">
        <v>45819</v>
      </c>
      <c r="AW44" s="16">
        <v>4.7260450950812619E-2</v>
      </c>
      <c r="AX44" s="19">
        <v>119122232.53355503</v>
      </c>
      <c r="AY44" s="17">
        <v>0.88172269454562024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35">
      <c r="A45" s="3">
        <f t="shared" si="2"/>
        <v>45</v>
      </c>
      <c r="G45" s="50">
        <f t="shared" si="3"/>
        <v>45453</v>
      </c>
      <c r="H45" s="50">
        <f t="shared" si="4"/>
        <v>45545</v>
      </c>
      <c r="I45" s="50">
        <f t="shared" si="5"/>
        <v>45453</v>
      </c>
      <c r="J45" s="50">
        <f t="shared" si="5"/>
        <v>45545</v>
      </c>
      <c r="K45" s="50">
        <f t="shared" si="6"/>
        <v>45546</v>
      </c>
      <c r="L45" s="5">
        <v>1</v>
      </c>
      <c r="M45" s="6">
        <v>0</v>
      </c>
      <c r="N45" s="6">
        <v>0</v>
      </c>
      <c r="P45" s="26">
        <v>43692</v>
      </c>
      <c r="R45" s="46">
        <f t="shared" si="7"/>
        <v>44783</v>
      </c>
      <c r="S45" s="47">
        <v>3.09E-2</v>
      </c>
      <c r="Z45" s="50">
        <f t="shared" si="8"/>
        <v>45453</v>
      </c>
      <c r="AA45" s="50">
        <f t="shared" si="9"/>
        <v>45545</v>
      </c>
      <c r="AB45" s="50">
        <f t="shared" si="10"/>
        <v>45453</v>
      </c>
      <c r="AC45" s="50">
        <f t="shared" si="10"/>
        <v>45545</v>
      </c>
      <c r="AD45" s="50">
        <f t="shared" si="11"/>
        <v>45546</v>
      </c>
      <c r="AE45" s="5">
        <v>1</v>
      </c>
      <c r="AF45" s="6">
        <v>0</v>
      </c>
      <c r="AG45" s="6">
        <v>0</v>
      </c>
      <c r="AI45" s="26">
        <v>43976</v>
      </c>
      <c r="AJ45" s="44"/>
      <c r="AK45" s="46">
        <f t="shared" si="12"/>
        <v>44783</v>
      </c>
      <c r="AL45" s="47">
        <v>3.9140000000000001E-2</v>
      </c>
      <c r="AR45" s="14">
        <v>45911</v>
      </c>
      <c r="AS45" s="16">
        <v>4.3429101374205803E-2</v>
      </c>
      <c r="AT45" s="19">
        <v>109465132.23087484</v>
      </c>
      <c r="AU45" s="17">
        <v>0.88364044616574222</v>
      </c>
      <c r="AV45" s="14">
        <v>45911</v>
      </c>
      <c r="AW45" s="16">
        <v>4.7189035534312182E-2</v>
      </c>
      <c r="AX45" s="19">
        <v>118942226.55223885</v>
      </c>
      <c r="AY45" s="17">
        <v>0.87135873028242983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35">
      <c r="A46" s="3">
        <f t="shared" si="2"/>
        <v>46</v>
      </c>
      <c r="G46" s="50">
        <f t="shared" si="3"/>
        <v>45545</v>
      </c>
      <c r="H46" s="50">
        <f t="shared" si="4"/>
        <v>45636</v>
      </c>
      <c r="I46" s="50">
        <f t="shared" si="5"/>
        <v>45545</v>
      </c>
      <c r="J46" s="50">
        <f t="shared" si="5"/>
        <v>45636</v>
      </c>
      <c r="K46" s="50">
        <f t="shared" si="6"/>
        <v>45637</v>
      </c>
      <c r="L46" s="5">
        <v>1</v>
      </c>
      <c r="M46" s="6">
        <v>0</v>
      </c>
      <c r="N46" s="6">
        <v>0</v>
      </c>
      <c r="P46" s="26">
        <v>43720</v>
      </c>
      <c r="R46" s="46">
        <f t="shared" si="7"/>
        <v>44784</v>
      </c>
      <c r="S46" s="47">
        <v>3.09E-2</v>
      </c>
      <c r="Z46" s="50">
        <f t="shared" si="8"/>
        <v>45545</v>
      </c>
      <c r="AA46" s="50">
        <f t="shared" si="9"/>
        <v>45636</v>
      </c>
      <c r="AB46" s="50">
        <f t="shared" si="10"/>
        <v>45545</v>
      </c>
      <c r="AC46" s="50">
        <f t="shared" si="10"/>
        <v>45636</v>
      </c>
      <c r="AD46" s="50">
        <f t="shared" si="11"/>
        <v>45637</v>
      </c>
      <c r="AE46" s="5">
        <v>1</v>
      </c>
      <c r="AF46" s="6">
        <v>0</v>
      </c>
      <c r="AG46" s="6">
        <v>0</v>
      </c>
      <c r="AI46" s="26">
        <v>44001</v>
      </c>
      <c r="AJ46" s="44"/>
      <c r="AK46" s="46">
        <f t="shared" si="12"/>
        <v>44784</v>
      </c>
      <c r="AL46" s="47">
        <v>3.9140000000000001E-2</v>
      </c>
      <c r="AR46" s="14">
        <v>46002</v>
      </c>
      <c r="AS46" s="16">
        <v>4.4947560760073335E-2</v>
      </c>
      <c r="AT46" s="19">
        <v>112061041.89497744</v>
      </c>
      <c r="AU46" s="17">
        <v>0.87384228615065296</v>
      </c>
      <c r="AV46" s="14">
        <v>46002</v>
      </c>
      <c r="AW46" s="16">
        <v>4.5180275141353386E-2</v>
      </c>
      <c r="AX46" s="19">
        <v>112641233.91405922</v>
      </c>
      <c r="AY46" s="17">
        <v>0.86166057664864548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35">
      <c r="A47" s="3">
        <f t="shared" si="2"/>
        <v>47</v>
      </c>
      <c r="G47" s="50">
        <f t="shared" si="3"/>
        <v>45636</v>
      </c>
      <c r="H47" s="50">
        <f t="shared" si="4"/>
        <v>45726</v>
      </c>
      <c r="I47" s="50">
        <f t="shared" si="5"/>
        <v>45636</v>
      </c>
      <c r="J47" s="50">
        <f t="shared" si="5"/>
        <v>45726</v>
      </c>
      <c r="K47" s="50">
        <f t="shared" si="6"/>
        <v>45727</v>
      </c>
      <c r="L47" s="5">
        <v>1</v>
      </c>
      <c r="M47" s="6">
        <v>0</v>
      </c>
      <c r="N47" s="6">
        <v>0</v>
      </c>
      <c r="P47" s="26">
        <v>43721</v>
      </c>
      <c r="R47" s="46">
        <f t="shared" si="7"/>
        <v>44785</v>
      </c>
      <c r="S47" s="47">
        <v>3.09E-2</v>
      </c>
      <c r="Z47" s="50">
        <f t="shared" si="8"/>
        <v>45636</v>
      </c>
      <c r="AA47" s="50">
        <f t="shared" si="9"/>
        <v>45726</v>
      </c>
      <c r="AB47" s="50">
        <f t="shared" si="10"/>
        <v>45636</v>
      </c>
      <c r="AC47" s="50">
        <f t="shared" si="10"/>
        <v>45726</v>
      </c>
      <c r="AD47" s="50">
        <f t="shared" si="11"/>
        <v>45727</v>
      </c>
      <c r="AE47" s="5">
        <v>1</v>
      </c>
      <c r="AF47" s="6">
        <v>0</v>
      </c>
      <c r="AG47" s="6">
        <v>0</v>
      </c>
      <c r="AI47" s="26">
        <v>44015</v>
      </c>
      <c r="AJ47" s="44"/>
      <c r="AK47" s="46">
        <f t="shared" si="12"/>
        <v>44785</v>
      </c>
      <c r="AL47" s="47">
        <v>3.9140000000000001E-2</v>
      </c>
      <c r="AR47" s="14">
        <v>46092</v>
      </c>
      <c r="AS47" s="16">
        <v>4.6146733316418144E-2</v>
      </c>
      <c r="AT47" s="19">
        <v>113786465.71171603</v>
      </c>
      <c r="AU47" s="17">
        <v>0.86400990123715893</v>
      </c>
      <c r="AV47" s="14">
        <v>46092</v>
      </c>
      <c r="AW47" s="16">
        <v>4.3617708951352974E-2</v>
      </c>
      <c r="AX47" s="19">
        <v>107550515.22251423</v>
      </c>
      <c r="AY47" s="17">
        <v>0.85249323692861401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35">
      <c r="A48" s="3">
        <f t="shared" si="2"/>
        <v>48</v>
      </c>
      <c r="G48" s="50">
        <f t="shared" si="3"/>
        <v>45726</v>
      </c>
      <c r="H48" s="50">
        <f t="shared" si="4"/>
        <v>45818</v>
      </c>
      <c r="I48" s="50">
        <f t="shared" si="5"/>
        <v>45726</v>
      </c>
      <c r="J48" s="50">
        <f t="shared" si="5"/>
        <v>45818</v>
      </c>
      <c r="K48" s="50">
        <f t="shared" si="6"/>
        <v>45819</v>
      </c>
      <c r="L48" s="5">
        <v>1</v>
      </c>
      <c r="M48" s="6">
        <v>0</v>
      </c>
      <c r="N48" s="6">
        <v>0</v>
      </c>
      <c r="P48" s="26">
        <v>43722</v>
      </c>
      <c r="R48" s="46">
        <f t="shared" si="7"/>
        <v>44786</v>
      </c>
      <c r="S48" s="47">
        <v>3.09E-2</v>
      </c>
      <c r="Z48" s="50">
        <f t="shared" si="8"/>
        <v>45726</v>
      </c>
      <c r="AA48" s="50">
        <f t="shared" si="9"/>
        <v>45818</v>
      </c>
      <c r="AB48" s="50">
        <f t="shared" si="10"/>
        <v>45726</v>
      </c>
      <c r="AC48" s="50">
        <f t="shared" si="10"/>
        <v>45818</v>
      </c>
      <c r="AD48" s="50">
        <f t="shared" si="11"/>
        <v>45819</v>
      </c>
      <c r="AE48" s="5">
        <v>1</v>
      </c>
      <c r="AF48" s="6">
        <v>0</v>
      </c>
      <c r="AG48" s="6">
        <v>0</v>
      </c>
      <c r="AI48" s="26">
        <v>44081</v>
      </c>
      <c r="AJ48" s="44"/>
      <c r="AK48" s="46">
        <f t="shared" si="12"/>
        <v>44786</v>
      </c>
      <c r="AL48" s="47">
        <v>3.9140000000000001E-2</v>
      </c>
      <c r="AR48" s="14">
        <v>46184</v>
      </c>
      <c r="AS48" s="16">
        <v>4.6631783866140329E-2</v>
      </c>
      <c r="AT48" s="19">
        <v>117537647.00506598</v>
      </c>
      <c r="AU48" s="17">
        <v>0.85397138883451529</v>
      </c>
      <c r="AV48" s="14">
        <v>46184</v>
      </c>
      <c r="AW48" s="16">
        <v>4.3073457850272681E-2</v>
      </c>
      <c r="AX48" s="19">
        <v>108568715.67739956</v>
      </c>
      <c r="AY48" s="17">
        <v>0.84333850248305076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35">
      <c r="A49" s="3">
        <f t="shared" si="2"/>
        <v>49</v>
      </c>
      <c r="G49" s="50">
        <f t="shared" si="3"/>
        <v>45818</v>
      </c>
      <c r="H49" s="50">
        <f t="shared" si="4"/>
        <v>45910</v>
      </c>
      <c r="I49" s="50">
        <f t="shared" si="5"/>
        <v>45818</v>
      </c>
      <c r="J49" s="50">
        <f t="shared" si="5"/>
        <v>45910</v>
      </c>
      <c r="K49" s="50">
        <f t="shared" si="6"/>
        <v>45911</v>
      </c>
      <c r="L49" s="5">
        <v>1</v>
      </c>
      <c r="M49" s="6">
        <v>0</v>
      </c>
      <c r="N49" s="6">
        <v>0</v>
      </c>
      <c r="P49" s="26">
        <v>43741</v>
      </c>
      <c r="R49" s="46">
        <f t="shared" si="7"/>
        <v>44787</v>
      </c>
      <c r="S49" s="47">
        <v>3.09E-2</v>
      </c>
      <c r="Z49" s="50">
        <f t="shared" si="8"/>
        <v>45818</v>
      </c>
      <c r="AA49" s="50">
        <f t="shared" si="9"/>
        <v>45910</v>
      </c>
      <c r="AB49" s="50">
        <f t="shared" si="10"/>
        <v>45818</v>
      </c>
      <c r="AC49" s="50">
        <f t="shared" si="10"/>
        <v>45910</v>
      </c>
      <c r="AD49" s="50">
        <f t="shared" si="11"/>
        <v>45911</v>
      </c>
      <c r="AE49" s="5">
        <v>1</v>
      </c>
      <c r="AF49" s="6">
        <v>0</v>
      </c>
      <c r="AG49" s="6">
        <v>0</v>
      </c>
      <c r="AI49" s="26">
        <v>44116</v>
      </c>
      <c r="AJ49" s="44"/>
      <c r="AK49" s="46">
        <f t="shared" si="12"/>
        <v>44787</v>
      </c>
      <c r="AL49" s="47">
        <v>3.9140000000000001E-2</v>
      </c>
      <c r="AR49" s="14">
        <v>46276</v>
      </c>
      <c r="AS49" s="16">
        <v>4.7116346147135023E-2</v>
      </c>
      <c r="AT49" s="19">
        <v>118759009.46675122</v>
      </c>
      <c r="AU49" s="17">
        <v>0.84394762991137162</v>
      </c>
      <c r="AV49" s="14">
        <v>46276</v>
      </c>
      <c r="AW49" s="16">
        <v>4.2518051232877059E-2</v>
      </c>
      <c r="AX49" s="19">
        <v>107168786.66916952</v>
      </c>
      <c r="AY49" s="17">
        <v>0.83439763386324162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35">
      <c r="A50" s="3">
        <f t="shared" si="2"/>
        <v>50</v>
      </c>
      <c r="G50" s="50">
        <f t="shared" si="3"/>
        <v>45910</v>
      </c>
      <c r="H50" s="50">
        <f t="shared" si="4"/>
        <v>46001</v>
      </c>
      <c r="I50" s="50">
        <f t="shared" si="5"/>
        <v>45910</v>
      </c>
      <c r="J50" s="50">
        <f t="shared" si="5"/>
        <v>46001</v>
      </c>
      <c r="K50" s="50">
        <f t="shared" si="6"/>
        <v>46002</v>
      </c>
      <c r="L50" s="5">
        <v>1</v>
      </c>
      <c r="M50" s="6">
        <v>0</v>
      </c>
      <c r="N50" s="6">
        <v>0</v>
      </c>
      <c r="P50" s="26">
        <v>43747</v>
      </c>
      <c r="R50" s="46">
        <f t="shared" si="7"/>
        <v>44788</v>
      </c>
      <c r="S50" s="47">
        <v>3.09E-2</v>
      </c>
      <c r="Z50" s="50">
        <f t="shared" si="8"/>
        <v>45910</v>
      </c>
      <c r="AA50" s="50">
        <f t="shared" si="9"/>
        <v>46001</v>
      </c>
      <c r="AB50" s="50">
        <f t="shared" si="10"/>
        <v>45910</v>
      </c>
      <c r="AC50" s="50">
        <f t="shared" si="10"/>
        <v>46001</v>
      </c>
      <c r="AD50" s="50">
        <f t="shared" si="11"/>
        <v>46002</v>
      </c>
      <c r="AE50" s="5">
        <v>1</v>
      </c>
      <c r="AF50" s="6">
        <v>0</v>
      </c>
      <c r="AG50" s="6">
        <v>0</v>
      </c>
      <c r="AI50" s="26">
        <v>44146</v>
      </c>
      <c r="AJ50" s="44"/>
      <c r="AK50" s="46">
        <f t="shared" si="12"/>
        <v>44788</v>
      </c>
      <c r="AL50" s="47">
        <v>3.9140000000000001E-2</v>
      </c>
      <c r="AR50" s="14">
        <v>46367</v>
      </c>
      <c r="AS50" s="16">
        <v>4.3547163843642045E-2</v>
      </c>
      <c r="AT50" s="19">
        <v>108569641.36360061</v>
      </c>
      <c r="AU50" s="17">
        <v>0.83489717086682858</v>
      </c>
      <c r="AV50" s="14">
        <v>46367</v>
      </c>
      <c r="AW50" s="16">
        <v>4.1963335477280629E-2</v>
      </c>
      <c r="AX50" s="19">
        <v>104620918.58719268</v>
      </c>
      <c r="AY50" s="17">
        <v>0.82575970247170394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35">
      <c r="A51" s="3">
        <f t="shared" si="2"/>
        <v>51</v>
      </c>
      <c r="G51" s="50">
        <f t="shared" si="3"/>
        <v>46001</v>
      </c>
      <c r="H51" s="50">
        <f t="shared" si="4"/>
        <v>46091</v>
      </c>
      <c r="I51" s="50">
        <f t="shared" si="5"/>
        <v>46001</v>
      </c>
      <c r="J51" s="50">
        <f t="shared" si="5"/>
        <v>46091</v>
      </c>
      <c r="K51" s="50">
        <f t="shared" si="6"/>
        <v>46092</v>
      </c>
      <c r="L51" s="5">
        <v>1</v>
      </c>
      <c r="M51" s="6">
        <v>0</v>
      </c>
      <c r="N51" s="6">
        <v>0</v>
      </c>
      <c r="P51" s="26">
        <v>43824</v>
      </c>
      <c r="R51" s="46">
        <f t="shared" si="7"/>
        <v>44789</v>
      </c>
      <c r="S51" s="47">
        <v>3.09E-2</v>
      </c>
      <c r="Z51" s="50">
        <f t="shared" si="8"/>
        <v>46001</v>
      </c>
      <c r="AA51" s="50">
        <f t="shared" si="9"/>
        <v>46091</v>
      </c>
      <c r="AB51" s="50">
        <f t="shared" si="10"/>
        <v>46001</v>
      </c>
      <c r="AC51" s="50">
        <f t="shared" si="10"/>
        <v>46091</v>
      </c>
      <c r="AD51" s="50">
        <f t="shared" si="11"/>
        <v>46092</v>
      </c>
      <c r="AE51" s="5">
        <v>1</v>
      </c>
      <c r="AF51" s="6">
        <v>0</v>
      </c>
      <c r="AG51" s="6">
        <v>0</v>
      </c>
      <c r="AI51" s="26">
        <v>44161</v>
      </c>
      <c r="AJ51" s="44"/>
      <c r="AK51" s="46">
        <f t="shared" si="12"/>
        <v>44789</v>
      </c>
      <c r="AL51" s="47">
        <v>3.9140000000000001E-2</v>
      </c>
      <c r="AR51" s="31">
        <v>46457</v>
      </c>
      <c r="AS51" s="16">
        <v>4.1100815734553292E-2</v>
      </c>
      <c r="AT51" s="32">
        <v>101344477.15369308</v>
      </c>
      <c r="AU51" s="33">
        <v>0.82652146400004256</v>
      </c>
      <c r="AV51" s="31">
        <v>46457</v>
      </c>
      <c r="AW51" s="16">
        <v>4.1414855046783446E-2</v>
      </c>
      <c r="AX51" s="32">
        <v>102118820.66330169</v>
      </c>
      <c r="AY51" s="33">
        <v>0.81741358741201031</v>
      </c>
    </row>
    <row r="52" spans="1:69" x14ac:dyDescent="0.35">
      <c r="A52" s="3">
        <f t="shared" si="2"/>
        <v>52</v>
      </c>
      <c r="G52" s="50">
        <f t="shared" si="3"/>
        <v>46091</v>
      </c>
      <c r="H52" s="50">
        <f t="shared" si="4"/>
        <v>46183</v>
      </c>
      <c r="I52" s="50">
        <f t="shared" si="5"/>
        <v>46091</v>
      </c>
      <c r="J52" s="50">
        <f t="shared" si="5"/>
        <v>46183</v>
      </c>
      <c r="K52" s="50">
        <f t="shared" si="6"/>
        <v>46184</v>
      </c>
      <c r="L52" s="5">
        <v>1</v>
      </c>
      <c r="M52" s="6">
        <v>0</v>
      </c>
      <c r="N52" s="6">
        <v>0</v>
      </c>
      <c r="P52" s="26">
        <v>43831</v>
      </c>
      <c r="R52" s="46">
        <f t="shared" si="7"/>
        <v>44790</v>
      </c>
      <c r="S52" s="47">
        <v>3.09E-2</v>
      </c>
      <c r="Z52" s="50">
        <f t="shared" si="8"/>
        <v>46091</v>
      </c>
      <c r="AA52" s="50">
        <f t="shared" si="9"/>
        <v>46183</v>
      </c>
      <c r="AB52" s="50">
        <f t="shared" si="10"/>
        <v>46091</v>
      </c>
      <c r="AC52" s="50">
        <f t="shared" si="10"/>
        <v>46183</v>
      </c>
      <c r="AD52" s="50">
        <f t="shared" si="11"/>
        <v>46184</v>
      </c>
      <c r="AE52" s="5">
        <v>1</v>
      </c>
      <c r="AF52" s="6">
        <v>0</v>
      </c>
      <c r="AG52" s="6">
        <v>0</v>
      </c>
      <c r="AI52" s="26">
        <v>44190</v>
      </c>
      <c r="AJ52" s="44"/>
      <c r="AK52" s="46">
        <f t="shared" si="12"/>
        <v>44790</v>
      </c>
      <c r="AL52" s="47">
        <v>3.9140000000000001E-2</v>
      </c>
      <c r="AR52" s="31">
        <v>46549</v>
      </c>
      <c r="AS52" s="16">
        <v>4.0823312649509252E-2</v>
      </c>
      <c r="AT52" s="32">
        <v>102897116.81520152</v>
      </c>
      <c r="AU52" s="33">
        <v>0.81810404847121865</v>
      </c>
      <c r="AV52" s="31">
        <v>46549</v>
      </c>
      <c r="AW52" s="16">
        <v>4.0870395194516421E-2</v>
      </c>
      <c r="AX52" s="32">
        <v>103015790.62727439</v>
      </c>
      <c r="AY52" s="33">
        <v>0.80908001621120684</v>
      </c>
    </row>
    <row r="53" spans="1:69" x14ac:dyDescent="0.35">
      <c r="A53" s="3">
        <f t="shared" si="2"/>
        <v>53</v>
      </c>
      <c r="G53" s="50">
        <f t="shared" si="3"/>
        <v>46183</v>
      </c>
      <c r="H53" s="50">
        <f t="shared" si="4"/>
        <v>46275</v>
      </c>
      <c r="I53" s="50">
        <f t="shared" si="5"/>
        <v>46183</v>
      </c>
      <c r="J53" s="50">
        <f t="shared" si="5"/>
        <v>46275</v>
      </c>
      <c r="K53" s="50">
        <f t="shared" si="6"/>
        <v>46276</v>
      </c>
      <c r="L53" s="5">
        <v>1</v>
      </c>
      <c r="M53" s="6">
        <v>0</v>
      </c>
      <c r="N53" s="6">
        <v>0</v>
      </c>
      <c r="P53" s="26">
        <v>43854</v>
      </c>
      <c r="R53" s="46">
        <f t="shared" si="7"/>
        <v>44791</v>
      </c>
      <c r="S53" s="47">
        <v>3.09E-2</v>
      </c>
      <c r="Z53" s="50">
        <f t="shared" si="8"/>
        <v>46183</v>
      </c>
      <c r="AA53" s="50">
        <f t="shared" si="9"/>
        <v>46275</v>
      </c>
      <c r="AB53" s="50">
        <f t="shared" si="10"/>
        <v>46183</v>
      </c>
      <c r="AC53" s="50">
        <f t="shared" si="10"/>
        <v>46275</v>
      </c>
      <c r="AD53" s="50">
        <f t="shared" si="11"/>
        <v>46276</v>
      </c>
      <c r="AE53" s="5">
        <v>1</v>
      </c>
      <c r="AF53" s="6">
        <v>0</v>
      </c>
      <c r="AG53" s="6">
        <v>0</v>
      </c>
      <c r="AI53" s="26">
        <v>44197</v>
      </c>
      <c r="AJ53" s="44"/>
      <c r="AK53" s="46">
        <f t="shared" si="12"/>
        <v>44791</v>
      </c>
      <c r="AL53" s="47">
        <v>3.9140000000000001E-2</v>
      </c>
      <c r="AR53" s="31">
        <v>46641</v>
      </c>
      <c r="AS53" s="16">
        <v>4.0538116626684093E-2</v>
      </c>
      <c r="AT53" s="32">
        <v>102178266.56588879</v>
      </c>
      <c r="AU53" s="33">
        <v>0.80982997887096475</v>
      </c>
      <c r="AV53" s="31">
        <v>46641</v>
      </c>
      <c r="AW53" s="16">
        <v>4.0315293677813765E-2</v>
      </c>
      <c r="AX53" s="32">
        <v>101616630.63996907</v>
      </c>
      <c r="AY53" s="33">
        <v>0.80094232814758637</v>
      </c>
    </row>
    <row r="54" spans="1:69" x14ac:dyDescent="0.35">
      <c r="A54" s="3">
        <f t="shared" si="2"/>
        <v>54</v>
      </c>
      <c r="G54" s="50">
        <f t="shared" si="3"/>
        <v>46275</v>
      </c>
      <c r="H54" s="50">
        <f t="shared" si="4"/>
        <v>46366</v>
      </c>
      <c r="I54" s="50">
        <f t="shared" si="5"/>
        <v>46275</v>
      </c>
      <c r="J54" s="50">
        <f t="shared" si="5"/>
        <v>46366</v>
      </c>
      <c r="K54" s="50">
        <f t="shared" si="6"/>
        <v>46367</v>
      </c>
      <c r="L54" s="5">
        <v>1</v>
      </c>
      <c r="M54" s="6">
        <v>0</v>
      </c>
      <c r="N54" s="6">
        <v>0</v>
      </c>
      <c r="P54" s="26">
        <v>43855</v>
      </c>
      <c r="R54" s="46">
        <f t="shared" si="7"/>
        <v>44792</v>
      </c>
      <c r="S54" s="47">
        <v>3.09E-2</v>
      </c>
      <c r="Z54" s="50">
        <f t="shared" si="8"/>
        <v>46275</v>
      </c>
      <c r="AA54" s="50">
        <f t="shared" si="9"/>
        <v>46366</v>
      </c>
      <c r="AB54" s="50">
        <f t="shared" si="10"/>
        <v>46275</v>
      </c>
      <c r="AC54" s="50">
        <f t="shared" si="10"/>
        <v>46366</v>
      </c>
      <c r="AD54" s="50">
        <f t="shared" si="11"/>
        <v>46367</v>
      </c>
      <c r="AE54" s="5">
        <v>1</v>
      </c>
      <c r="AF54" s="6">
        <v>0</v>
      </c>
      <c r="AG54" s="6">
        <v>0</v>
      </c>
      <c r="AI54" s="26">
        <v>44214</v>
      </c>
      <c r="AJ54" s="44"/>
      <c r="AK54" s="46">
        <f t="shared" si="12"/>
        <v>44792</v>
      </c>
      <c r="AL54" s="47">
        <v>3.9140000000000001E-2</v>
      </c>
      <c r="AR54" s="31">
        <v>46732</v>
      </c>
      <c r="AS54" s="16">
        <v>4.2012838839213668E-2</v>
      </c>
      <c r="AT54" s="32">
        <v>104744337.92790228</v>
      </c>
      <c r="AU54" s="33">
        <v>0.80142981833086158</v>
      </c>
      <c r="AV54" s="31">
        <v>46732</v>
      </c>
      <c r="AW54" s="16">
        <v>4.1770640997631364E-2</v>
      </c>
      <c r="AX54" s="32">
        <v>104140502.21327242</v>
      </c>
      <c r="AY54" s="33">
        <v>0.79268143306400574</v>
      </c>
    </row>
    <row r="55" spans="1:69" x14ac:dyDescent="0.35">
      <c r="A55" s="3">
        <f t="shared" si="2"/>
        <v>55</v>
      </c>
      <c r="G55" s="50">
        <f t="shared" si="3"/>
        <v>46366</v>
      </c>
      <c r="H55" s="50">
        <f t="shared" si="4"/>
        <v>46456</v>
      </c>
      <c r="I55" s="50">
        <f t="shared" si="5"/>
        <v>46366</v>
      </c>
      <c r="J55" s="50">
        <f t="shared" si="5"/>
        <v>46456</v>
      </c>
      <c r="K55" s="50">
        <f t="shared" si="6"/>
        <v>46457</v>
      </c>
      <c r="L55" s="5">
        <v>1</v>
      </c>
      <c r="M55" s="6">
        <v>0</v>
      </c>
      <c r="N55" s="6">
        <v>0</v>
      </c>
      <c r="P55" s="26">
        <v>43857</v>
      </c>
      <c r="R55" s="46">
        <f t="shared" si="7"/>
        <v>44793</v>
      </c>
      <c r="S55" s="47">
        <v>3.09E-2</v>
      </c>
      <c r="Z55" s="50">
        <f t="shared" si="8"/>
        <v>46366</v>
      </c>
      <c r="AA55" s="50">
        <f t="shared" si="9"/>
        <v>46456</v>
      </c>
      <c r="AB55" s="50">
        <f t="shared" si="10"/>
        <v>46366</v>
      </c>
      <c r="AC55" s="50">
        <f t="shared" si="10"/>
        <v>46456</v>
      </c>
      <c r="AD55" s="50">
        <f t="shared" si="11"/>
        <v>46457</v>
      </c>
      <c r="AE55" s="5">
        <v>1</v>
      </c>
      <c r="AF55" s="6">
        <v>0</v>
      </c>
      <c r="AG55" s="6">
        <v>0</v>
      </c>
      <c r="AI55" s="26">
        <v>44216</v>
      </c>
      <c r="AJ55" s="44"/>
      <c r="AK55" s="46">
        <f t="shared" si="12"/>
        <v>44793</v>
      </c>
      <c r="AL55" s="47">
        <v>3.9140000000000001E-2</v>
      </c>
      <c r="AR55" s="31">
        <v>46823</v>
      </c>
      <c r="AS55" s="16">
        <v>4.2951327914919027E-2</v>
      </c>
      <c r="AT55" s="32">
        <v>107084132.60979821</v>
      </c>
      <c r="AU55" s="33">
        <v>0.79293873550566663</v>
      </c>
      <c r="AV55" s="31">
        <v>46823</v>
      </c>
      <c r="AW55" s="16">
        <v>4.2614734451575979E-2</v>
      </c>
      <c r="AX55" s="32">
        <v>106244954.38612102</v>
      </c>
      <c r="AY55" s="33">
        <v>0.78434864961570816</v>
      </c>
    </row>
    <row r="56" spans="1:69" x14ac:dyDescent="0.35">
      <c r="A56" s="3">
        <f t="shared" si="2"/>
        <v>56</v>
      </c>
      <c r="G56" s="50">
        <f t="shared" si="3"/>
        <v>46456</v>
      </c>
      <c r="H56" s="50">
        <f t="shared" si="4"/>
        <v>46548</v>
      </c>
      <c r="I56" s="50">
        <f t="shared" si="5"/>
        <v>46456</v>
      </c>
      <c r="J56" s="50">
        <f t="shared" si="5"/>
        <v>46548</v>
      </c>
      <c r="K56" s="50">
        <f t="shared" si="6"/>
        <v>46549</v>
      </c>
      <c r="L56" s="5">
        <v>1</v>
      </c>
      <c r="M56" s="6">
        <v>0</v>
      </c>
      <c r="N56" s="6">
        <v>0</v>
      </c>
      <c r="P56" s="26">
        <v>43892</v>
      </c>
      <c r="R56" s="46">
        <f t="shared" si="7"/>
        <v>44794</v>
      </c>
      <c r="S56" s="47">
        <v>3.09E-2</v>
      </c>
      <c r="Z56" s="50">
        <f t="shared" si="8"/>
        <v>46456</v>
      </c>
      <c r="AA56" s="50">
        <f t="shared" si="9"/>
        <v>46548</v>
      </c>
      <c r="AB56" s="50">
        <f t="shared" si="10"/>
        <v>46456</v>
      </c>
      <c r="AC56" s="50">
        <f t="shared" si="10"/>
        <v>46548</v>
      </c>
      <c r="AD56" s="50">
        <f t="shared" si="11"/>
        <v>46549</v>
      </c>
      <c r="AE56" s="5">
        <v>1</v>
      </c>
      <c r="AF56" s="6">
        <v>0</v>
      </c>
      <c r="AG56" s="6">
        <v>0</v>
      </c>
      <c r="AI56" s="26">
        <v>44242</v>
      </c>
      <c r="AJ56" s="44"/>
      <c r="AK56" s="46">
        <f t="shared" si="12"/>
        <v>44794</v>
      </c>
      <c r="AL56" s="47">
        <v>3.9140000000000001E-2</v>
      </c>
      <c r="AS56" s="16">
        <v>0</v>
      </c>
      <c r="AT56" s="32">
        <v>0</v>
      </c>
      <c r="AU56" s="33">
        <v>0</v>
      </c>
      <c r="AW56" s="16">
        <v>0</v>
      </c>
      <c r="AX56" s="32">
        <v>0</v>
      </c>
      <c r="AY56" s="33">
        <v>0</v>
      </c>
    </row>
    <row r="57" spans="1:69" x14ac:dyDescent="0.35">
      <c r="G57" s="50">
        <f t="shared" si="3"/>
        <v>46548</v>
      </c>
      <c r="H57" s="50">
        <f t="shared" si="4"/>
        <v>46640</v>
      </c>
      <c r="I57" s="50">
        <f t="shared" si="5"/>
        <v>46548</v>
      </c>
      <c r="J57" s="50">
        <f t="shared" si="5"/>
        <v>46640</v>
      </c>
      <c r="K57" s="50">
        <f t="shared" si="6"/>
        <v>46641</v>
      </c>
      <c r="L57" s="5">
        <v>1</v>
      </c>
      <c r="M57" s="6">
        <v>0</v>
      </c>
      <c r="N57" s="6">
        <v>0</v>
      </c>
      <c r="P57" s="26">
        <v>43951</v>
      </c>
      <c r="R57" s="46">
        <f t="shared" si="7"/>
        <v>44795</v>
      </c>
      <c r="S57" s="47">
        <v>3.09E-2</v>
      </c>
      <c r="Z57" s="50">
        <f t="shared" si="8"/>
        <v>46548</v>
      </c>
      <c r="AA57" s="50">
        <f t="shared" si="9"/>
        <v>46640</v>
      </c>
      <c r="AB57" s="50">
        <f t="shared" si="10"/>
        <v>46548</v>
      </c>
      <c r="AC57" s="50">
        <f t="shared" si="10"/>
        <v>46640</v>
      </c>
      <c r="AD57" s="50">
        <f t="shared" si="11"/>
        <v>46641</v>
      </c>
      <c r="AE57" s="5">
        <v>1</v>
      </c>
      <c r="AF57" s="6">
        <v>0</v>
      </c>
      <c r="AG57" s="6">
        <v>0</v>
      </c>
      <c r="AI57" s="26">
        <v>44347</v>
      </c>
      <c r="AJ57" s="44"/>
      <c r="AK57" s="46">
        <f t="shared" si="12"/>
        <v>44795</v>
      </c>
      <c r="AL57" s="47">
        <v>3.9140000000000001E-2</v>
      </c>
    </row>
    <row r="58" spans="1:69" x14ac:dyDescent="0.35">
      <c r="G58" s="50">
        <f t="shared" si="3"/>
        <v>46640</v>
      </c>
      <c r="H58" s="50">
        <f t="shared" si="4"/>
        <v>46731</v>
      </c>
      <c r="I58" s="50">
        <f t="shared" si="5"/>
        <v>46640</v>
      </c>
      <c r="J58" s="50">
        <f t="shared" si="5"/>
        <v>46731</v>
      </c>
      <c r="K58" s="50">
        <f t="shared" si="6"/>
        <v>46732</v>
      </c>
      <c r="L58" s="5">
        <v>1</v>
      </c>
      <c r="M58" s="6">
        <v>0</v>
      </c>
      <c r="N58" s="6">
        <v>0</v>
      </c>
      <c r="P58" s="26">
        <v>43952</v>
      </c>
      <c r="R58" s="46">
        <f t="shared" si="7"/>
        <v>44796</v>
      </c>
      <c r="S58" s="47">
        <v>3.09E-2</v>
      </c>
      <c r="Z58" s="50">
        <f t="shared" si="8"/>
        <v>46640</v>
      </c>
      <c r="AA58" s="50">
        <f t="shared" si="9"/>
        <v>46731</v>
      </c>
      <c r="AB58" s="50">
        <f t="shared" si="10"/>
        <v>46640</v>
      </c>
      <c r="AC58" s="50">
        <f t="shared" si="10"/>
        <v>46731</v>
      </c>
      <c r="AD58" s="50">
        <f t="shared" si="11"/>
        <v>46732</v>
      </c>
      <c r="AE58" s="5">
        <v>1</v>
      </c>
      <c r="AF58" s="6">
        <v>0</v>
      </c>
      <c r="AG58" s="6">
        <v>0</v>
      </c>
      <c r="AI58" s="26">
        <v>44365</v>
      </c>
      <c r="AJ58" s="44"/>
      <c r="AK58" s="46">
        <f t="shared" si="12"/>
        <v>44796</v>
      </c>
      <c r="AL58" s="47">
        <v>3.9140000000000001E-2</v>
      </c>
    </row>
    <row r="59" spans="1:69" x14ac:dyDescent="0.35">
      <c r="G59" s="50">
        <f t="shared" si="3"/>
        <v>46731</v>
      </c>
      <c r="H59" s="50">
        <f t="shared" si="4"/>
        <v>46822</v>
      </c>
      <c r="I59" s="50">
        <f t="shared" si="5"/>
        <v>46731</v>
      </c>
      <c r="J59" s="50">
        <f t="shared" si="5"/>
        <v>46822</v>
      </c>
      <c r="K59" s="50">
        <f t="shared" si="6"/>
        <v>46823</v>
      </c>
      <c r="L59" s="5">
        <v>1</v>
      </c>
      <c r="M59" s="6">
        <v>0</v>
      </c>
      <c r="N59" s="6">
        <v>0</v>
      </c>
      <c r="P59" s="26">
        <v>43956</v>
      </c>
      <c r="R59" s="46">
        <f t="shared" si="7"/>
        <v>44797</v>
      </c>
      <c r="S59" s="47">
        <v>3.09E-2</v>
      </c>
      <c r="Z59" s="50">
        <f t="shared" si="8"/>
        <v>46731</v>
      </c>
      <c r="AA59" s="50">
        <f t="shared" si="9"/>
        <v>46822</v>
      </c>
      <c r="AB59" s="50">
        <f t="shared" si="10"/>
        <v>46731</v>
      </c>
      <c r="AC59" s="50">
        <f t="shared" si="10"/>
        <v>46822</v>
      </c>
      <c r="AD59" s="50">
        <f t="shared" si="11"/>
        <v>46823</v>
      </c>
      <c r="AE59" s="5">
        <v>1</v>
      </c>
      <c r="AF59" s="6">
        <v>0</v>
      </c>
      <c r="AG59" s="6">
        <v>0</v>
      </c>
      <c r="AI59" s="26">
        <v>44382</v>
      </c>
      <c r="AJ59" s="44"/>
      <c r="AK59" s="46">
        <f t="shared" si="12"/>
        <v>44797</v>
      </c>
      <c r="AL59" s="47">
        <v>3.9140000000000001E-2</v>
      </c>
    </row>
    <row r="60" spans="1:69" x14ac:dyDescent="0.35">
      <c r="G60" s="50"/>
      <c r="H60" s="50"/>
      <c r="I60" s="50"/>
      <c r="J60" s="50"/>
      <c r="K60" s="50"/>
      <c r="P60" s="26">
        <v>43988</v>
      </c>
      <c r="R60" s="46">
        <f t="shared" si="7"/>
        <v>44798</v>
      </c>
      <c r="S60" s="47">
        <v>3.09E-2</v>
      </c>
      <c r="Z60" s="50"/>
      <c r="AA60" s="50"/>
      <c r="AB60" s="50"/>
      <c r="AC60" s="50"/>
      <c r="AD60" s="50"/>
      <c r="AI60" s="26">
        <v>44445</v>
      </c>
      <c r="AJ60" s="44"/>
      <c r="AK60" s="46">
        <f t="shared" si="12"/>
        <v>44798</v>
      </c>
      <c r="AL60" s="47">
        <v>3.9140000000000001E-2</v>
      </c>
    </row>
    <row r="61" spans="1:69" x14ac:dyDescent="0.35">
      <c r="G61" s="50"/>
      <c r="H61" s="50"/>
      <c r="I61" s="50"/>
      <c r="J61" s="50"/>
      <c r="K61" s="50"/>
      <c r="P61" s="26">
        <v>44060</v>
      </c>
      <c r="R61" s="46">
        <f t="shared" si="7"/>
        <v>44799</v>
      </c>
      <c r="S61" s="47">
        <v>3.09E-2</v>
      </c>
      <c r="Z61" s="50"/>
      <c r="AA61" s="50"/>
      <c r="AB61" s="50"/>
      <c r="AC61" s="50"/>
      <c r="AD61" s="50"/>
      <c r="AI61" s="26">
        <v>44480</v>
      </c>
      <c r="AJ61" s="44"/>
      <c r="AK61" s="46">
        <f t="shared" si="12"/>
        <v>44799</v>
      </c>
      <c r="AL61" s="47">
        <v>3.9140000000000001E-2</v>
      </c>
    </row>
    <row r="62" spans="1:69" x14ac:dyDescent="0.35">
      <c r="P62" s="26">
        <v>44060</v>
      </c>
      <c r="R62" s="46">
        <f t="shared" si="7"/>
        <v>44800</v>
      </c>
      <c r="S62" s="47">
        <v>3.09E-2</v>
      </c>
      <c r="AI62" s="26">
        <v>44511</v>
      </c>
      <c r="AJ62" s="44"/>
      <c r="AK62" s="46">
        <f t="shared" si="12"/>
        <v>44800</v>
      </c>
      <c r="AL62" s="47">
        <v>3.9140000000000001E-2</v>
      </c>
    </row>
    <row r="63" spans="1:69" x14ac:dyDescent="0.35">
      <c r="P63" s="26">
        <v>44104</v>
      </c>
      <c r="R63" s="46">
        <f t="shared" si="7"/>
        <v>44801</v>
      </c>
      <c r="S63" s="47">
        <v>3.09E-2</v>
      </c>
      <c r="AI63" s="26">
        <v>44525</v>
      </c>
      <c r="AJ63" s="44"/>
      <c r="AK63" s="46">
        <f t="shared" si="12"/>
        <v>44801</v>
      </c>
      <c r="AL63" s="47">
        <v>3.9140000000000001E-2</v>
      </c>
    </row>
    <row r="64" spans="1:69" x14ac:dyDescent="0.35">
      <c r="P64" s="26">
        <v>44105</v>
      </c>
      <c r="R64" s="46">
        <f t="shared" si="7"/>
        <v>44802</v>
      </c>
      <c r="S64" s="47">
        <v>3.09E-2</v>
      </c>
      <c r="AI64" s="26">
        <v>44554</v>
      </c>
      <c r="AJ64" s="44"/>
      <c r="AK64" s="46">
        <f t="shared" si="12"/>
        <v>44802</v>
      </c>
      <c r="AL64" s="47">
        <v>3.9140000000000001E-2</v>
      </c>
    </row>
    <row r="65" spans="16:38" x14ac:dyDescent="0.35">
      <c r="P65" s="26">
        <v>44106</v>
      </c>
      <c r="R65" s="46">
        <f t="shared" si="7"/>
        <v>44803</v>
      </c>
      <c r="S65" s="47">
        <v>3.09E-2</v>
      </c>
      <c r="AI65" s="26">
        <v>44561</v>
      </c>
      <c r="AJ65" s="44"/>
      <c r="AK65" s="46">
        <f t="shared" si="12"/>
        <v>44803</v>
      </c>
      <c r="AL65" s="47">
        <v>3.9140000000000001E-2</v>
      </c>
    </row>
    <row r="66" spans="16:38" x14ac:dyDescent="0.35">
      <c r="P66" s="26">
        <v>44109</v>
      </c>
      <c r="R66" s="46">
        <f t="shared" si="7"/>
        <v>44804</v>
      </c>
      <c r="S66" s="47">
        <v>3.09E-2</v>
      </c>
      <c r="AI66" s="26">
        <v>44578</v>
      </c>
      <c r="AJ66" s="44"/>
      <c r="AK66" s="46">
        <f t="shared" si="12"/>
        <v>44804</v>
      </c>
      <c r="AL66" s="47">
        <v>3.9140000000000001E-2</v>
      </c>
    </row>
    <row r="67" spans="16:38" x14ac:dyDescent="0.35">
      <c r="P67" s="26">
        <v>44113</v>
      </c>
      <c r="R67" s="46">
        <f t="shared" si="7"/>
        <v>44805</v>
      </c>
      <c r="S67" s="47">
        <v>3.09E-2</v>
      </c>
      <c r="AI67" s="26">
        <v>44613</v>
      </c>
      <c r="AJ67" s="44"/>
      <c r="AK67" s="46">
        <f t="shared" si="12"/>
        <v>44805</v>
      </c>
      <c r="AL67" s="47">
        <v>3.9140000000000001E-2</v>
      </c>
    </row>
    <row r="68" spans="16:38" x14ac:dyDescent="0.35">
      <c r="P68" s="26">
        <v>44190</v>
      </c>
      <c r="R68" s="46">
        <f t="shared" si="7"/>
        <v>44806</v>
      </c>
      <c r="S68" s="47">
        <v>3.09E-2</v>
      </c>
      <c r="AI68" s="26">
        <v>44711</v>
      </c>
      <c r="AJ68" s="44"/>
      <c r="AK68" s="46">
        <f t="shared" si="12"/>
        <v>44806</v>
      </c>
      <c r="AL68" s="47">
        <v>3.9140000000000001E-2</v>
      </c>
    </row>
    <row r="69" spans="16:38" x14ac:dyDescent="0.35">
      <c r="P69" s="26">
        <v>44197</v>
      </c>
      <c r="R69" s="46">
        <f t="shared" si="7"/>
        <v>44807</v>
      </c>
      <c r="S69" s="47">
        <v>3.09E-2</v>
      </c>
      <c r="AI69" s="26">
        <v>44732</v>
      </c>
      <c r="AJ69" s="44"/>
      <c r="AK69" s="46">
        <f t="shared" si="12"/>
        <v>44807</v>
      </c>
      <c r="AL69" s="47">
        <v>3.9140000000000001E-2</v>
      </c>
    </row>
    <row r="70" spans="16:38" x14ac:dyDescent="0.35">
      <c r="P70" s="26">
        <v>44238</v>
      </c>
      <c r="R70" s="46">
        <f t="shared" si="7"/>
        <v>44808</v>
      </c>
      <c r="S70" s="47">
        <v>3.09E-2</v>
      </c>
      <c r="AI70" s="26">
        <v>44746</v>
      </c>
      <c r="AJ70" s="44"/>
      <c r="AK70" s="46">
        <f t="shared" si="12"/>
        <v>44808</v>
      </c>
      <c r="AL70" s="47">
        <v>3.9140000000000001E-2</v>
      </c>
    </row>
    <row r="71" spans="16:38" x14ac:dyDescent="0.35">
      <c r="P71" s="26">
        <v>44239</v>
      </c>
      <c r="R71" s="46">
        <f t="shared" si="7"/>
        <v>44809</v>
      </c>
      <c r="S71" s="47">
        <v>3.09E-2</v>
      </c>
      <c r="AI71" s="26">
        <v>44809</v>
      </c>
      <c r="AJ71" s="44"/>
      <c r="AK71" s="46">
        <f t="shared" si="12"/>
        <v>44809</v>
      </c>
      <c r="AL71" s="47">
        <v>3.9140000000000001E-2</v>
      </c>
    </row>
    <row r="72" spans="16:38" x14ac:dyDescent="0.35">
      <c r="P72" s="26">
        <v>44240</v>
      </c>
      <c r="R72" s="46">
        <f t="shared" si="7"/>
        <v>44810</v>
      </c>
      <c r="S72" s="47">
        <v>3.09E-2</v>
      </c>
      <c r="AI72" s="26">
        <v>44844</v>
      </c>
      <c r="AJ72" s="44"/>
      <c r="AK72" s="46">
        <f t="shared" si="12"/>
        <v>44810</v>
      </c>
      <c r="AL72" s="47">
        <v>3.9140000000000001E-2</v>
      </c>
    </row>
    <row r="73" spans="16:38" x14ac:dyDescent="0.35">
      <c r="P73" s="26">
        <v>44256</v>
      </c>
      <c r="R73" s="46">
        <f t="shared" si="7"/>
        <v>44811</v>
      </c>
      <c r="S73" s="47">
        <v>3.09E-2</v>
      </c>
      <c r="AI73" s="26">
        <v>44876</v>
      </c>
      <c r="AJ73" s="44"/>
      <c r="AK73" s="46">
        <f t="shared" si="12"/>
        <v>44811</v>
      </c>
      <c r="AL73" s="47">
        <v>3.9140000000000001E-2</v>
      </c>
    </row>
    <row r="74" spans="16:38" x14ac:dyDescent="0.35">
      <c r="P74" s="26">
        <v>44317</v>
      </c>
      <c r="R74" s="46">
        <f t="shared" si="7"/>
        <v>44812</v>
      </c>
      <c r="S74" s="47">
        <v>3.09E-2</v>
      </c>
      <c r="AI74" s="26">
        <v>44889</v>
      </c>
      <c r="AJ74" s="44"/>
      <c r="AK74" s="46">
        <f t="shared" si="12"/>
        <v>44812</v>
      </c>
      <c r="AL74" s="47">
        <v>3.9140000000000001E-2</v>
      </c>
    </row>
    <row r="75" spans="16:38" x14ac:dyDescent="0.35">
      <c r="P75" s="26">
        <v>44321</v>
      </c>
      <c r="R75" s="46">
        <f t="shared" si="7"/>
        <v>44813</v>
      </c>
      <c r="S75" s="47">
        <v>3.09E-2</v>
      </c>
      <c r="AI75" s="26">
        <v>44921</v>
      </c>
      <c r="AJ75" s="44"/>
      <c r="AK75" s="46">
        <f t="shared" si="12"/>
        <v>44813</v>
      </c>
      <c r="AL75" s="47">
        <v>3.9140000000000001E-2</v>
      </c>
    </row>
    <row r="76" spans="16:38" x14ac:dyDescent="0.35">
      <c r="P76" s="26">
        <v>44335</v>
      </c>
      <c r="R76" s="46">
        <f t="shared" si="7"/>
        <v>44814</v>
      </c>
      <c r="S76" s="47">
        <v>3.09E-2</v>
      </c>
      <c r="AI76" s="26">
        <v>44928</v>
      </c>
      <c r="AJ76" s="44"/>
      <c r="AK76" s="46">
        <f t="shared" si="12"/>
        <v>44814</v>
      </c>
      <c r="AL76" s="47">
        <v>3.9140000000000001E-2</v>
      </c>
    </row>
    <row r="77" spans="16:38" x14ac:dyDescent="0.35">
      <c r="P77" s="26">
        <v>44353</v>
      </c>
      <c r="R77" s="46">
        <f t="shared" si="7"/>
        <v>44815</v>
      </c>
      <c r="S77" s="47">
        <v>3.09E-2</v>
      </c>
      <c r="AI77" s="26">
        <v>44942</v>
      </c>
      <c r="AJ77" s="44"/>
      <c r="AK77" s="46">
        <f t="shared" si="12"/>
        <v>44815</v>
      </c>
      <c r="AL77" s="47">
        <v>3.9140000000000001E-2</v>
      </c>
    </row>
    <row r="78" spans="16:38" x14ac:dyDescent="0.35">
      <c r="P78" s="26">
        <v>44424</v>
      </c>
      <c r="R78" s="46">
        <f t="shared" si="7"/>
        <v>44816</v>
      </c>
      <c r="S78" s="47">
        <v>3.09E-2</v>
      </c>
      <c r="AI78" s="26">
        <v>44977</v>
      </c>
      <c r="AJ78" s="44"/>
      <c r="AK78" s="46">
        <f t="shared" si="12"/>
        <v>44816</v>
      </c>
      <c r="AL78" s="47">
        <v>3.9140000000000001E-2</v>
      </c>
    </row>
    <row r="79" spans="16:38" x14ac:dyDescent="0.35">
      <c r="P79" s="26">
        <v>44459</v>
      </c>
      <c r="R79" s="46">
        <f t="shared" si="7"/>
        <v>44817</v>
      </c>
      <c r="S79" s="47">
        <v>3.09E-2</v>
      </c>
      <c r="AI79" s="26">
        <v>45075</v>
      </c>
      <c r="AJ79" s="44"/>
      <c r="AK79" s="46">
        <f t="shared" si="12"/>
        <v>44817</v>
      </c>
      <c r="AL79" s="47">
        <v>3.9140000000000001E-2</v>
      </c>
    </row>
    <row r="80" spans="16:38" x14ac:dyDescent="0.35">
      <c r="P80" s="26">
        <v>44460</v>
      </c>
      <c r="R80" s="46">
        <f t="shared" si="7"/>
        <v>44818</v>
      </c>
      <c r="S80" s="47">
        <v>3.09E-2</v>
      </c>
      <c r="AI80" s="26">
        <v>45096</v>
      </c>
      <c r="AJ80" s="44"/>
      <c r="AK80" s="46">
        <f t="shared" si="12"/>
        <v>44818</v>
      </c>
      <c r="AL80" s="47">
        <v>3.9140000000000001E-2</v>
      </c>
    </row>
    <row r="81" spans="16:38" x14ac:dyDescent="0.35">
      <c r="P81" s="26">
        <v>44461</v>
      </c>
      <c r="R81" s="46">
        <f t="shared" si="7"/>
        <v>44819</v>
      </c>
      <c r="S81" s="47">
        <v>3.09E-2</v>
      </c>
      <c r="AI81" s="26">
        <v>45111</v>
      </c>
      <c r="AJ81" s="44"/>
      <c r="AK81" s="46">
        <f t="shared" si="12"/>
        <v>44819</v>
      </c>
      <c r="AL81" s="47">
        <v>3.9140000000000001E-2</v>
      </c>
    </row>
    <row r="82" spans="16:38" x14ac:dyDescent="0.35">
      <c r="P82" s="26">
        <v>44473</v>
      </c>
      <c r="R82" s="46">
        <f t="shared" si="7"/>
        <v>44820</v>
      </c>
      <c r="S82" s="47">
        <v>3.09E-2</v>
      </c>
      <c r="AI82" s="26">
        <v>45173</v>
      </c>
      <c r="AJ82" s="44"/>
      <c r="AK82" s="46">
        <f t="shared" si="12"/>
        <v>44820</v>
      </c>
      <c r="AL82" s="47">
        <v>3.9140000000000001E-2</v>
      </c>
    </row>
    <row r="83" spans="16:38" x14ac:dyDescent="0.35">
      <c r="P83" s="26">
        <v>44480</v>
      </c>
      <c r="R83" s="46">
        <f t="shared" si="7"/>
        <v>44821</v>
      </c>
      <c r="S83" s="47">
        <v>3.09E-2</v>
      </c>
      <c r="AI83" s="26">
        <v>45208</v>
      </c>
      <c r="AJ83" s="44"/>
      <c r="AK83" s="46">
        <f t="shared" si="12"/>
        <v>44821</v>
      </c>
      <c r="AL83" s="47">
        <v>3.9140000000000001E-2</v>
      </c>
    </row>
    <row r="84" spans="16:38" x14ac:dyDescent="0.35">
      <c r="P84" s="26">
        <v>44557</v>
      </c>
      <c r="R84" s="46">
        <f t="shared" si="7"/>
        <v>44822</v>
      </c>
      <c r="S84" s="47">
        <v>3.09E-2</v>
      </c>
      <c r="AI84" s="26">
        <v>45240</v>
      </c>
      <c r="AJ84" s="44"/>
      <c r="AK84" s="46">
        <f t="shared" si="12"/>
        <v>44822</v>
      </c>
      <c r="AL84" s="47">
        <v>3.9140000000000001E-2</v>
      </c>
    </row>
    <row r="85" spans="16:38" x14ac:dyDescent="0.35">
      <c r="P85" s="26">
        <v>44562</v>
      </c>
      <c r="R85" s="46">
        <f t="shared" si="7"/>
        <v>44823</v>
      </c>
      <c r="S85" s="47">
        <v>3.09E-2</v>
      </c>
      <c r="AI85" s="26">
        <v>45253</v>
      </c>
      <c r="AJ85" s="44"/>
      <c r="AK85" s="46">
        <f t="shared" si="12"/>
        <v>44823</v>
      </c>
      <c r="AL85" s="47">
        <v>3.9140000000000001E-2</v>
      </c>
    </row>
    <row r="86" spans="16:38" x14ac:dyDescent="0.4">
      <c r="P86" s="26">
        <v>44592</v>
      </c>
      <c r="AI86" s="26">
        <v>45285</v>
      </c>
      <c r="AJ86" s="44"/>
    </row>
    <row r="87" spans="16:38" x14ac:dyDescent="0.4">
      <c r="P87" s="26">
        <v>44593</v>
      </c>
      <c r="AI87" s="26">
        <v>45292</v>
      </c>
      <c r="AJ87" s="44"/>
    </row>
    <row r="88" spans="16:38" x14ac:dyDescent="0.4">
      <c r="P88" s="26">
        <v>44594</v>
      </c>
      <c r="AI88" s="26">
        <v>45306</v>
      </c>
      <c r="AJ88" s="44"/>
    </row>
    <row r="89" spans="16:38" x14ac:dyDescent="0.4">
      <c r="P89" s="26">
        <v>44621</v>
      </c>
      <c r="AI89" s="26">
        <v>45341</v>
      </c>
      <c r="AJ89" s="44"/>
    </row>
    <row r="90" spans="16:38" x14ac:dyDescent="0.4">
      <c r="P90" s="26">
        <v>44629</v>
      </c>
      <c r="AI90" s="26">
        <v>45439</v>
      </c>
      <c r="AJ90" s="44"/>
    </row>
    <row r="91" spans="16:38" x14ac:dyDescent="0.4">
      <c r="P91" s="26">
        <v>44682</v>
      </c>
      <c r="AI91" s="26">
        <v>45462</v>
      </c>
      <c r="AJ91" s="44"/>
    </row>
    <row r="92" spans="16:38" x14ac:dyDescent="0.4">
      <c r="P92" s="26">
        <v>44686</v>
      </c>
      <c r="AI92" s="26">
        <v>45477</v>
      </c>
      <c r="AJ92" s="44"/>
    </row>
    <row r="93" spans="16:38" x14ac:dyDescent="0.4">
      <c r="P93" s="26">
        <v>44690</v>
      </c>
      <c r="AI93" s="26">
        <v>45537</v>
      </c>
      <c r="AJ93" s="44"/>
    </row>
    <row r="94" spans="16:38" x14ac:dyDescent="0.4">
      <c r="P94" s="26">
        <v>44713</v>
      </c>
      <c r="AI94" s="26">
        <v>45579</v>
      </c>
      <c r="AJ94" s="44"/>
    </row>
    <row r="95" spans="16:38" x14ac:dyDescent="0.4">
      <c r="P95" s="26">
        <v>44718</v>
      </c>
      <c r="AI95" s="26">
        <v>45607</v>
      </c>
      <c r="AJ95" s="44"/>
    </row>
    <row r="96" spans="16:38" x14ac:dyDescent="0.4">
      <c r="P96" s="26">
        <v>44788</v>
      </c>
      <c r="AI96" s="26">
        <v>45624</v>
      </c>
      <c r="AJ96" s="44"/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5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L10:M10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2023-09-06T13:32:52Z</dcterms:modified>
</cp:coreProperties>
</file>