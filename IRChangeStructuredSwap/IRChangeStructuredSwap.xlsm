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0" i="1" l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<sst xmlns="http://schemas.openxmlformats.org/spreadsheetml/2006/main" count="254" uniqueCount="111">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</sst>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abSelected="1" zoomScale="90" zoomScaleNormal="90" workbookViewId="0">
      <selection activeCell="G5" sqref="G5:G40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5" t="s">
        <v>0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</row>
    <row r="3" spans="1:45" x14ac:dyDescent="0.4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</row>
    <row r="4" spans="1:45" x14ac:dyDescent="0.4">
      <c r="A4" s="9">
        <f>4</f>
        <v>4</v>
      </c>
      <c r="B4" s="106" t="s">
        <v>2</v>
      </c>
      <c r="C4" s="106"/>
      <c r="D4" s="107">
        <v>1</v>
      </c>
      <c r="E4" s="107"/>
    </row>
    <row r="5" spans="1:45" x14ac:dyDescent="0.4">
      <c r="A5" s="9">
        <f>A4+1</f>
        <v>5</v>
      </c>
      <c r="G5" s="94" t="s">
        <v>22</v>
      </c>
      <c r="H5" s="96" t="s">
        <v>21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</row>
    <row r="6" spans="1:45" x14ac:dyDescent="0.4">
      <c r="A6" s="9">
        <f t="shared" ref="A6:A82" si="1">A5+1</f>
        <v>6</v>
      </c>
      <c r="B6" s="106" t="s">
        <v>3</v>
      </c>
      <c r="C6" s="106"/>
      <c r="D6" s="107">
        <v>1</v>
      </c>
      <c r="E6" s="107"/>
      <c r="G6" s="95"/>
      <c r="H6" s="97" t="s">
        <v>7</v>
      </c>
      <c r="I6" s="98"/>
      <c r="L6" s="101" t="s">
        <v>11</v>
      </c>
      <c r="M6" s="101"/>
      <c r="N6" s="101"/>
      <c r="Q6" s="101" t="s">
        <v>12</v>
      </c>
      <c r="R6" s="101"/>
      <c r="S6" s="101"/>
      <c r="V6" s="101" t="s">
        <v>13</v>
      </c>
      <c r="W6" s="101"/>
      <c r="X6" s="101"/>
    </row>
    <row r="7" spans="1:45" x14ac:dyDescent="0.4">
      <c r="A7" s="9">
        <f t="shared" si="1"/>
        <v>7</v>
      </c>
      <c r="B7" s="106" t="s">
        <v>4</v>
      </c>
      <c r="C7" s="106"/>
      <c r="D7" s="107">
        <v>1</v>
      </c>
      <c r="E7" s="107"/>
      <c r="G7" s="95"/>
      <c r="H7" s="99"/>
      <c r="I7" s="100"/>
      <c r="L7" s="101"/>
      <c r="M7" s="101"/>
      <c r="N7" s="101"/>
      <c r="Q7" s="101"/>
      <c r="R7" s="101"/>
      <c r="S7" s="101"/>
      <c r="V7" s="101"/>
      <c r="W7" s="101"/>
      <c r="X7" s="101"/>
    </row>
    <row r="8" spans="1:45" x14ac:dyDescent="0.4">
      <c r="A8" s="9">
        <f t="shared" si="1"/>
        <v>8</v>
      </c>
      <c r="B8" s="106" t="s">
        <v>1</v>
      </c>
      <c r="C8" s="106"/>
      <c r="D8" s="107">
        <v>0.01</v>
      </c>
      <c r="E8" s="107"/>
      <c r="G8" s="95"/>
      <c r="I8" s="2" t="s">
        <v>107</v>
      </c>
      <c r="J8" s="2" t="s">
        <v>108</v>
      </c>
      <c r="K8" s="2" t="s">
        <v>110</v>
      </c>
      <c r="V8" s="101" t="s">
        <v>14</v>
      </c>
      <c r="W8" s="101"/>
      <c r="X8" s="4">
        <v>3</v>
      </c>
    </row>
    <row r="9" spans="1:45" x14ac:dyDescent="0.4">
      <c r="A9" s="9">
        <f t="shared" si="1"/>
        <v>9</v>
      </c>
      <c r="G9" s="95"/>
      <c r="H9" s="2" t="s">
        <v>8</v>
      </c>
      <c r="I9" s="3">
        <v>0.01</v>
      </c>
      <c r="J9" s="78">
        <v>0.01</v>
      </c>
      <c r="K9" s="78">
        <v>0.9</v>
      </c>
      <c r="Q9" s="101" t="s">
        <v>15</v>
      </c>
      <c r="R9" s="101"/>
      <c r="S9" s="4">
        <v>3</v>
      </c>
      <c r="V9" s="102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5"/>
      <c r="H10" s="79" t="s">
        <v>9</v>
      </c>
      <c r="I10" s="91" t="s">
        <v>10</v>
      </c>
      <c r="J10" s="92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103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5"/>
      <c r="H11" s="80">
        <v>0.5</v>
      </c>
      <c r="I11" s="81">
        <v>1.4218597055734316E-2</v>
      </c>
      <c r="J11" s="82">
        <v>2.5250547514266328E-3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0.5</v>
      </c>
      <c r="W11" s="8">
        <v>0.29149999999999998</v>
      </c>
      <c r="X11" s="8">
        <v>0.30049999999999999</v>
      </c>
      <c r="Y11" s="8">
        <v>0.29799999999999999</v>
      </c>
      <c r="Z11" s="8">
        <v>0.29612499999999997</v>
      </c>
      <c r="AA11" s="8">
        <v>0.295875</v>
      </c>
      <c r="AB11" s="8">
        <v>0.29459374999999999</v>
      </c>
      <c r="AC11" s="8">
        <v>0.29212499999999997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5"/>
      <c r="H12" s="80">
        <v>1</v>
      </c>
      <c r="I12" s="81">
        <v>1.5422530808846301E-2</v>
      </c>
      <c r="J12" s="82">
        <v>5.131160114749578E-4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1</v>
      </c>
      <c r="W12" s="8">
        <v>0.29549999999999998</v>
      </c>
      <c r="X12" s="8">
        <v>0.30149999999999999</v>
      </c>
      <c r="Y12" s="8">
        <v>0.29549999999999998</v>
      </c>
      <c r="Z12" s="8">
        <v>0.29425000000000001</v>
      </c>
      <c r="AA12" s="8">
        <v>0.29562500000000003</v>
      </c>
      <c r="AB12" s="8">
        <v>0.29331249999999998</v>
      </c>
      <c r="AC12" s="8">
        <v>0.28965624999999995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4" t="s">
        <v>6</v>
      </c>
      <c r="E13" s="104"/>
      <c r="G13" s="95"/>
      <c r="H13" s="80">
        <v>1.5</v>
      </c>
      <c r="I13" s="81">
        <v>1.4637581008658888E-2</v>
      </c>
      <c r="J13" s="82">
        <v>7.9400329928691876E-5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1.5</v>
      </c>
      <c r="W13" s="8">
        <v>0.30300000000000005</v>
      </c>
      <c r="X13" s="8">
        <v>0.30800000000000005</v>
      </c>
      <c r="Y13" s="8">
        <v>0.28949999999999998</v>
      </c>
      <c r="Z13" s="8">
        <v>0.29299999999999998</v>
      </c>
      <c r="AA13" s="8">
        <v>0.29699999999999999</v>
      </c>
      <c r="AB13" s="8">
        <v>0.29099999999999998</v>
      </c>
      <c r="AC13" s="8">
        <v>0.28599999999999998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4"/>
      <c r="E14" s="104"/>
      <c r="G14" s="95"/>
      <c r="H14" s="80">
        <v>2</v>
      </c>
      <c r="I14" s="81">
        <v>1.2868763440783705E-2</v>
      </c>
      <c r="J14" s="82">
        <v>1.0347035433347011E-3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2</v>
      </c>
      <c r="W14" s="8">
        <v>0.314</v>
      </c>
      <c r="X14" s="8">
        <v>0.3155</v>
      </c>
      <c r="Y14" s="8">
        <v>0.29199999999999998</v>
      </c>
      <c r="Z14" s="8">
        <v>0.29249999999999998</v>
      </c>
      <c r="AA14" s="8">
        <v>0.29299999999999998</v>
      </c>
      <c r="AB14" s="8">
        <v>0.28699999999999998</v>
      </c>
      <c r="AC14" s="8">
        <v>0.28199999999999997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4"/>
      <c r="E15" s="104"/>
      <c r="G15" s="95"/>
      <c r="H15" s="80">
        <v>3</v>
      </c>
      <c r="I15" s="81">
        <v>1.1867092417084498E-2</v>
      </c>
      <c r="J15" s="82">
        <v>2.114536427220615E-3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3</v>
      </c>
      <c r="W15" s="8">
        <v>0.32250000000000001</v>
      </c>
      <c r="X15" s="8">
        <v>0.3165</v>
      </c>
      <c r="Y15" s="8">
        <v>0.29249999999999998</v>
      </c>
      <c r="Z15" s="8">
        <v>0.28899999999999998</v>
      </c>
      <c r="AA15" s="8">
        <v>0.28549999999999998</v>
      </c>
      <c r="AB15" s="8">
        <v>0.28199999999999997</v>
      </c>
      <c r="AC15" s="8">
        <v>0.28000000000000003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0.21299999999999999</v>
      </c>
      <c r="G16" s="95"/>
      <c r="H16" s="80">
        <v>4</v>
      </c>
      <c r="I16" s="81">
        <v>1.0684166383289756E-2</v>
      </c>
      <c r="J16" s="82">
        <v>1.7399078486293328E-3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4</v>
      </c>
      <c r="W16" s="8">
        <v>0.31900000000000001</v>
      </c>
      <c r="X16" s="8">
        <v>0.3155</v>
      </c>
      <c r="Y16" s="8">
        <v>0.29049999999999998</v>
      </c>
      <c r="Z16" s="8">
        <v>0.28599999999999998</v>
      </c>
      <c r="AA16" s="8">
        <v>0.28199999999999997</v>
      </c>
      <c r="AB16" s="8">
        <v>0.28000000000000003</v>
      </c>
      <c r="AC16" s="8">
        <v>0.27800000000000002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3">
        <v>44966.781666666669</v>
      </c>
      <c r="E17" s="93"/>
      <c r="G17" s="95"/>
      <c r="H17" s="80">
        <v>5</v>
      </c>
      <c r="I17" s="81">
        <v>8.3672283288146725E-3</v>
      </c>
      <c r="J17" s="82">
        <v>5.1721562821235769E-3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5</v>
      </c>
      <c r="W17" s="8">
        <v>0.32300000000000001</v>
      </c>
      <c r="X17" s="8">
        <v>0.3155</v>
      </c>
      <c r="Y17" s="8">
        <v>0.29199999999999998</v>
      </c>
      <c r="Z17" s="8">
        <v>0.28749999999999998</v>
      </c>
      <c r="AA17" s="8">
        <v>0.28300000000000003</v>
      </c>
      <c r="AB17" s="8">
        <v>0.28199999999999997</v>
      </c>
      <c r="AC17" s="8">
        <v>0.27900000000000003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3">
        <v>44966.782881944448</v>
      </c>
      <c r="E18" s="93"/>
      <c r="G18" s="95"/>
      <c r="H18" s="80">
        <v>7</v>
      </c>
      <c r="I18" s="81">
        <v>6.0537087840152127E-3</v>
      </c>
      <c r="J18" s="82">
        <v>6.2483100715890281E-3</v>
      </c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>
        <v>7</v>
      </c>
      <c r="W18" s="8">
        <v>0.311</v>
      </c>
      <c r="X18" s="8">
        <v>0.3085</v>
      </c>
      <c r="Y18" s="8">
        <v>0.28599999999999998</v>
      </c>
      <c r="Z18" s="8">
        <v>0.28349999999999997</v>
      </c>
      <c r="AA18" s="8">
        <v>0.28000000000000003</v>
      </c>
      <c r="AB18" s="8">
        <v>0.27800000000000002</v>
      </c>
      <c r="AC18" s="8">
        <v>0.27400000000000002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5"/>
      <c r="H19" s="80">
        <v>10</v>
      </c>
      <c r="I19" s="81">
        <v>5.2339410302640124E-3</v>
      </c>
      <c r="J19" s="82">
        <v>5.9252834495421586E-3</v>
      </c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>
        <v>10</v>
      </c>
      <c r="W19" s="8">
        <v>0.311</v>
      </c>
      <c r="X19" s="8">
        <v>0.3095</v>
      </c>
      <c r="Y19" s="8">
        <v>0.28599999999999998</v>
      </c>
      <c r="Z19" s="8">
        <v>0.28349999999999997</v>
      </c>
      <c r="AA19" s="8">
        <v>0.28000000000000003</v>
      </c>
      <c r="AB19" s="8">
        <v>0.27699999999999997</v>
      </c>
      <c r="AC19" s="8">
        <v>0.26800000000000002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5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5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5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5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G24" s="95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G25" s="95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G26" s="95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5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5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5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5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5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5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5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5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5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5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5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5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5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5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4" t="s">
        <v>24</v>
      </c>
      <c r="H55" s="96" t="s">
        <v>23</v>
      </c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</row>
    <row r="56" spans="1:40" x14ac:dyDescent="0.4">
      <c r="A56" s="9">
        <f t="shared" si="1"/>
        <v>56</v>
      </c>
      <c r="B56" s="106" t="s">
        <v>3</v>
      </c>
      <c r="C56" s="106"/>
      <c r="D56" s="107">
        <v>1</v>
      </c>
      <c r="E56" s="107"/>
      <c r="G56" s="95"/>
      <c r="H56" s="97" t="s">
        <v>7</v>
      </c>
      <c r="I56" s="98"/>
      <c r="L56" s="101" t="s">
        <v>11</v>
      </c>
      <c r="M56" s="101"/>
      <c r="N56" s="101"/>
      <c r="Q56" s="101" t="s">
        <v>12</v>
      </c>
      <c r="R56" s="101"/>
      <c r="S56" s="101"/>
      <c r="V56" s="101" t="s">
        <v>13</v>
      </c>
      <c r="W56" s="101"/>
      <c r="X56" s="101"/>
    </row>
    <row r="57" spans="1:40" x14ac:dyDescent="0.4">
      <c r="A57" s="9">
        <f t="shared" si="1"/>
        <v>57</v>
      </c>
      <c r="B57" s="106" t="s">
        <v>4</v>
      </c>
      <c r="C57" s="106"/>
      <c r="D57" s="107">
        <v>1</v>
      </c>
      <c r="E57" s="107"/>
      <c r="G57" s="95"/>
      <c r="H57" s="99"/>
      <c r="I57" s="100"/>
      <c r="L57" s="101"/>
      <c r="M57" s="101"/>
      <c r="N57" s="101"/>
      <c r="Q57" s="101"/>
      <c r="R57" s="101"/>
      <c r="S57" s="101"/>
      <c r="V57" s="101"/>
      <c r="W57" s="101"/>
      <c r="X57" s="101"/>
    </row>
    <row r="58" spans="1:40" x14ac:dyDescent="0.4">
      <c r="A58" s="9">
        <f t="shared" si="1"/>
        <v>58</v>
      </c>
      <c r="B58" s="106" t="s">
        <v>1</v>
      </c>
      <c r="C58" s="106"/>
      <c r="D58" s="107">
        <v>0.01</v>
      </c>
      <c r="E58" s="107"/>
      <c r="G58" s="95"/>
      <c r="I58" s="2" t="s">
        <v>107</v>
      </c>
      <c r="J58" s="2" t="s">
        <v>108</v>
      </c>
      <c r="K58" s="2" t="s">
        <v>110</v>
      </c>
      <c r="V58" s="101" t="s">
        <v>14</v>
      </c>
      <c r="W58" s="101"/>
      <c r="X58" s="4">
        <v>3</v>
      </c>
    </row>
    <row r="59" spans="1:40" x14ac:dyDescent="0.4">
      <c r="A59" s="9">
        <f t="shared" si="1"/>
        <v>59</v>
      </c>
      <c r="G59" s="95"/>
      <c r="H59" s="2" t="s">
        <v>8</v>
      </c>
      <c r="I59" s="3">
        <v>0.01</v>
      </c>
      <c r="J59" s="78">
        <v>9.8470279485373229E-3</v>
      </c>
      <c r="K59" s="78">
        <v>0.9</v>
      </c>
      <c r="Q59" s="101" t="s">
        <v>15</v>
      </c>
      <c r="R59" s="101"/>
      <c r="S59" s="4">
        <v>3</v>
      </c>
      <c r="V59" s="102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5"/>
      <c r="H60" s="79" t="s">
        <v>9</v>
      </c>
      <c r="I60" s="91" t="s">
        <v>10</v>
      </c>
      <c r="J60" s="92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103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5"/>
      <c r="H61" s="80">
        <v>0.5</v>
      </c>
      <c r="I61" s="81">
        <v>1.060372831437008E-2</v>
      </c>
      <c r="J61" s="82">
        <v>6.9667745453369486E-3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0.5</v>
      </c>
      <c r="W61" s="8">
        <v>0.29434168787402887</v>
      </c>
      <c r="X61" s="8">
        <v>0.30331660541725325</v>
      </c>
      <c r="Y61" s="8">
        <v>0.30058675746783731</v>
      </c>
      <c r="Z61" s="8">
        <v>0.29892354593785941</v>
      </c>
      <c r="AA61" s="8">
        <v>0.29900186783208377</v>
      </c>
      <c r="AB61" s="8">
        <v>0.29710065479911291</v>
      </c>
      <c r="AC61" s="8">
        <v>0.29499752732323348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5"/>
      <c r="H62" s="80">
        <v>1</v>
      </c>
      <c r="I62" s="81">
        <v>9.4873385758715532E-3</v>
      </c>
      <c r="J62" s="82">
        <v>5.7206620693692079E-3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1</v>
      </c>
      <c r="W62" s="8">
        <v>0.29711575189940853</v>
      </c>
      <c r="X62" s="8">
        <v>0.30223277511673557</v>
      </c>
      <c r="Y62" s="8">
        <v>0.29785690951842136</v>
      </c>
      <c r="Z62" s="8">
        <v>0.29726033440788158</v>
      </c>
      <c r="AA62" s="8">
        <v>0.29908018972630812</v>
      </c>
      <c r="AB62" s="8">
        <v>0.29519944176614205</v>
      </c>
      <c r="AC62" s="8">
        <v>0.29289439984735399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4" t="s">
        <v>6</v>
      </c>
      <c r="E63" s="104"/>
      <c r="G63" s="95"/>
      <c r="H63" s="80">
        <v>1.5</v>
      </c>
      <c r="I63" s="81">
        <v>9.2034276800541642E-3</v>
      </c>
      <c r="J63" s="82">
        <v>5.4496805567415506E-3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1.5</v>
      </c>
      <c r="W63" s="8">
        <v>0.29748633070891495</v>
      </c>
      <c r="X63" s="8">
        <v>0.29785690951842136</v>
      </c>
      <c r="Y63" s="8">
        <v>0.29348104392010715</v>
      </c>
      <c r="Z63" s="8">
        <v>0.29666375929734184</v>
      </c>
      <c r="AA63" s="8">
        <v>0.30090004504473467</v>
      </c>
      <c r="AB63" s="8">
        <v>0.29131869380597597</v>
      </c>
      <c r="AC63" s="8">
        <v>0.29058935792856599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4"/>
      <c r="E64" s="104"/>
      <c r="G64" s="95"/>
      <c r="H64" s="80">
        <v>2</v>
      </c>
      <c r="I64" s="81">
        <v>8.3051873153973943E-3</v>
      </c>
      <c r="J64" s="82">
        <v>4.7876293443861774E-3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2</v>
      </c>
      <c r="W64" s="8">
        <v>0.29731816815825485</v>
      </c>
      <c r="X64" s="8">
        <v>0.29715000560759469</v>
      </c>
      <c r="Y64" s="8">
        <v>0.29644310169676802</v>
      </c>
      <c r="Z64" s="8">
        <v>0.29438544513377152</v>
      </c>
      <c r="AA64" s="8">
        <v>0.29541479871739407</v>
      </c>
      <c r="AB64" s="8">
        <v>0.28717613046935253</v>
      </c>
      <c r="AC64" s="8">
        <v>0.28649021678069087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4"/>
      <c r="E65" s="104"/>
      <c r="G65" s="95"/>
      <c r="H65" s="80">
        <v>3</v>
      </c>
      <c r="I65" s="81">
        <v>8.8634097523793386E-3</v>
      </c>
      <c r="J65" s="82">
        <v>5.3371633661274832E-3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3</v>
      </c>
      <c r="W65" s="8">
        <v>0.29724033204370953</v>
      </c>
      <c r="X65" s="8">
        <v>0.29716249592916422</v>
      </c>
      <c r="Y65" s="8">
        <v>0.29717498625073369</v>
      </c>
      <c r="Z65" s="8">
        <v>0.28937257030241842</v>
      </c>
      <c r="AA65" s="8">
        <v>0.29040069342335539</v>
      </c>
      <c r="AB65" s="8">
        <v>0.28492963240514568</v>
      </c>
      <c r="AC65" s="8">
        <v>0.28240863276377215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0.20130000000000001</v>
      </c>
      <c r="G66" s="95"/>
      <c r="H66" s="80">
        <v>4</v>
      </c>
      <c r="I66" s="81">
        <v>8.655635043116507E-3</v>
      </c>
      <c r="J66" s="82">
        <v>5.4256925834449375E-3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4</v>
      </c>
      <c r="W66" s="8">
        <v>0.29598553031924729</v>
      </c>
      <c r="X66" s="8">
        <v>0.29473072859478505</v>
      </c>
      <c r="Y66" s="8">
        <v>0.29229896126040589</v>
      </c>
      <c r="Z66" s="8">
        <v>0.28636830666588853</v>
      </c>
      <c r="AA66" s="8">
        <v>0.2849370904526739</v>
      </c>
      <c r="AB66" s="8">
        <v>0.28379388192157057</v>
      </c>
      <c r="AC66" s="8">
        <v>0.2798070663699882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3">
        <v>44951.920474537037</v>
      </c>
      <c r="E67" s="93"/>
      <c r="G67" s="95"/>
      <c r="H67" s="80">
        <v>5</v>
      </c>
      <c r="I67" s="81">
        <v>8.8281993951242737E-3</v>
      </c>
      <c r="J67" s="82">
        <v>5.7466560069613336E-3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5</v>
      </c>
      <c r="W67" s="8">
        <v>0.29504729567195132</v>
      </c>
      <c r="X67" s="8">
        <v>0.29410906102465528</v>
      </c>
      <c r="Y67" s="8">
        <v>0.29348739345452551</v>
      </c>
      <c r="Z67" s="8">
        <v>0.29064634905996189</v>
      </c>
      <c r="AA67" s="8">
        <v>0.28762985175765876</v>
      </c>
      <c r="AB67" s="8">
        <v>0.2824484379257759</v>
      </c>
      <c r="AC67" s="8">
        <v>0.28044120852128707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3">
        <v>44951.920659722222</v>
      </c>
      <c r="E68" s="93"/>
      <c r="G68" s="95"/>
      <c r="H68" s="80">
        <v>7</v>
      </c>
      <c r="I68" s="81">
        <v>9.7025869463819893E-3</v>
      </c>
      <c r="J68" s="82">
        <v>6.6192823415864993E-3</v>
      </c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>
        <v>7</v>
      </c>
      <c r="W68" s="8">
        <v>0.29334100811282815</v>
      </c>
      <c r="X68" s="8">
        <v>0.29163472055370498</v>
      </c>
      <c r="Y68" s="8">
        <v>0.28916038008275469</v>
      </c>
      <c r="Z68" s="8">
        <v>0.28763947086819353</v>
      </c>
      <c r="AA68" s="8">
        <v>0.28099732722068071</v>
      </c>
      <c r="AB68" s="8">
        <v>0.28156800987879538</v>
      </c>
      <c r="AC68" s="8">
        <v>0.27650085643237637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5"/>
      <c r="H69" s="80">
        <v>10</v>
      </c>
      <c r="I69" s="81">
        <v>1.0948768030800806E-2</v>
      </c>
      <c r="J69" s="82">
        <v>7.7555794163098185E-3</v>
      </c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>
        <v>10</v>
      </c>
      <c r="W69" s="8">
        <v>0.29168249543038094</v>
      </c>
      <c r="X69" s="8">
        <v>0.29002398274793367</v>
      </c>
      <c r="Y69" s="8">
        <v>0.28841324494216236</v>
      </c>
      <c r="Z69" s="8">
        <v>0.28657200821606188</v>
      </c>
      <c r="AA69" s="8">
        <v>0.28293319162819597</v>
      </c>
      <c r="AB69" s="8">
        <v>0.27733549492199805</v>
      </c>
      <c r="AC69" s="8">
        <v>0.27242134733632339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5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5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5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5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G74" s="95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G75" s="95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G76" s="95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5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5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5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5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5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5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5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5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5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5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5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5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5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5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4" t="s">
        <v>26</v>
      </c>
      <c r="H105" s="96" t="s">
        <v>25</v>
      </c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</row>
    <row r="106" spans="1:40" x14ac:dyDescent="0.4">
      <c r="A106" s="9">
        <f t="shared" si="6"/>
        <v>106</v>
      </c>
      <c r="B106" s="106" t="s">
        <v>3</v>
      </c>
      <c r="C106" s="106"/>
      <c r="D106" s="107">
        <v>1</v>
      </c>
      <c r="E106" s="107"/>
      <c r="G106" s="95"/>
      <c r="H106" s="97" t="s">
        <v>7</v>
      </c>
      <c r="I106" s="98"/>
      <c r="L106" s="101" t="s">
        <v>11</v>
      </c>
      <c r="M106" s="101"/>
      <c r="N106" s="101"/>
      <c r="Q106" s="101" t="s">
        <v>12</v>
      </c>
      <c r="R106" s="101"/>
      <c r="S106" s="101"/>
      <c r="V106" s="101" t="s">
        <v>13</v>
      </c>
      <c r="W106" s="101"/>
      <c r="X106" s="101"/>
    </row>
    <row r="107" spans="1:40" x14ac:dyDescent="0.4">
      <c r="A107" s="9">
        <f t="shared" si="6"/>
        <v>107</v>
      </c>
      <c r="B107" s="106" t="s">
        <v>4</v>
      </c>
      <c r="C107" s="106"/>
      <c r="D107" s="107">
        <v>1</v>
      </c>
      <c r="E107" s="107"/>
      <c r="G107" s="95"/>
      <c r="H107" s="99"/>
      <c r="I107" s="100"/>
      <c r="L107" s="101"/>
      <c r="M107" s="101"/>
      <c r="N107" s="101"/>
      <c r="Q107" s="101"/>
      <c r="R107" s="101"/>
      <c r="S107" s="101"/>
      <c r="V107" s="101"/>
      <c r="W107" s="101"/>
      <c r="X107" s="101"/>
    </row>
    <row r="108" spans="1:40" x14ac:dyDescent="0.4">
      <c r="A108" s="9">
        <f t="shared" si="6"/>
        <v>108</v>
      </c>
      <c r="B108" s="106" t="s">
        <v>1</v>
      </c>
      <c r="C108" s="106"/>
      <c r="D108" s="107">
        <v>0.01</v>
      </c>
      <c r="E108" s="107"/>
      <c r="G108" s="95"/>
      <c r="I108" s="2" t="s">
        <v>107</v>
      </c>
      <c r="J108" s="2" t="s">
        <v>108</v>
      </c>
      <c r="K108" s="2" t="s">
        <v>110</v>
      </c>
      <c r="V108" s="101" t="s">
        <v>14</v>
      </c>
      <c r="W108" s="101"/>
      <c r="X108" s="4">
        <v>3</v>
      </c>
    </row>
    <row r="109" spans="1:40" x14ac:dyDescent="0.4">
      <c r="A109" s="9">
        <f t="shared" si="6"/>
        <v>109</v>
      </c>
      <c r="G109" s="95"/>
      <c r="H109" s="2" t="s">
        <v>8</v>
      </c>
      <c r="I109" s="3">
        <v>0.01</v>
      </c>
      <c r="J109" s="78">
        <v>0.01</v>
      </c>
      <c r="K109" s="78">
        <v>0.9</v>
      </c>
      <c r="Q109" s="101" t="s">
        <v>15</v>
      </c>
      <c r="R109" s="101"/>
      <c r="S109" s="4">
        <v>3</v>
      </c>
      <c r="V109" s="102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5"/>
      <c r="H110" s="79" t="s">
        <v>9</v>
      </c>
      <c r="I110" s="91" t="s">
        <v>10</v>
      </c>
      <c r="J110" s="92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103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5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5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4" t="s">
        <v>6</v>
      </c>
      <c r="E113" s="104"/>
      <c r="G113" s="95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4"/>
      <c r="E114" s="104"/>
      <c r="G114" s="95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4"/>
      <c r="E115" s="104"/>
      <c r="G115" s="95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5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3">
        <v>44931.461863425924</v>
      </c>
      <c r="E117" s="93"/>
      <c r="G117" s="95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3">
        <v>44931.461875000001</v>
      </c>
      <c r="E118" s="93"/>
      <c r="G118" s="95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5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5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5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5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5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G124" s="95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G125" s="95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G126" s="95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5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5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5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5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5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5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5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5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5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5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5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5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5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5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4" t="s">
        <v>28</v>
      </c>
      <c r="H155" s="96" t="s">
        <v>27</v>
      </c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</row>
    <row r="156" spans="1:40" x14ac:dyDescent="0.4">
      <c r="A156" s="9">
        <f t="shared" si="9"/>
        <v>156</v>
      </c>
      <c r="B156" s="106" t="s">
        <v>3</v>
      </c>
      <c r="C156" s="106"/>
      <c r="D156" s="107">
        <v>1</v>
      </c>
      <c r="E156" s="107"/>
      <c r="G156" s="95"/>
      <c r="H156" s="97" t="s">
        <v>7</v>
      </c>
      <c r="I156" s="98"/>
      <c r="L156" s="101" t="s">
        <v>11</v>
      </c>
      <c r="M156" s="101"/>
      <c r="N156" s="101"/>
      <c r="Q156" s="101" t="s">
        <v>12</v>
      </c>
      <c r="R156" s="101"/>
      <c r="S156" s="101"/>
      <c r="V156" s="101" t="s">
        <v>13</v>
      </c>
      <c r="W156" s="101"/>
      <c r="X156" s="101"/>
    </row>
    <row r="157" spans="1:40" x14ac:dyDescent="0.4">
      <c r="A157" s="9">
        <f t="shared" si="9"/>
        <v>157</v>
      </c>
      <c r="B157" s="106" t="s">
        <v>4</v>
      </c>
      <c r="C157" s="106"/>
      <c r="D157" s="107">
        <v>1</v>
      </c>
      <c r="E157" s="107"/>
      <c r="G157" s="95"/>
      <c r="H157" s="99"/>
      <c r="I157" s="100"/>
      <c r="L157" s="101"/>
      <c r="M157" s="101"/>
      <c r="N157" s="101"/>
      <c r="Q157" s="101"/>
      <c r="R157" s="101"/>
      <c r="S157" s="101"/>
      <c r="V157" s="101"/>
      <c r="W157" s="101"/>
      <c r="X157" s="101"/>
    </row>
    <row r="158" spans="1:40" x14ac:dyDescent="0.4">
      <c r="A158" s="9">
        <f t="shared" si="9"/>
        <v>158</v>
      </c>
      <c r="B158" s="106" t="s">
        <v>1</v>
      </c>
      <c r="C158" s="106"/>
      <c r="D158" s="107">
        <v>0.01</v>
      </c>
      <c r="E158" s="107"/>
      <c r="G158" s="95"/>
      <c r="I158" s="2" t="s">
        <v>107</v>
      </c>
      <c r="J158" s="2" t="s">
        <v>108</v>
      </c>
      <c r="K158" s="2" t="s">
        <v>110</v>
      </c>
      <c r="V158" s="101" t="s">
        <v>14</v>
      </c>
      <c r="W158" s="101"/>
      <c r="X158" s="4">
        <v>3</v>
      </c>
    </row>
    <row r="159" spans="1:40" x14ac:dyDescent="0.4">
      <c r="A159" s="9">
        <f t="shared" si="9"/>
        <v>159</v>
      </c>
      <c r="G159" s="95"/>
      <c r="H159" s="2" t="s">
        <v>8</v>
      </c>
      <c r="I159" s="3">
        <v>0.01</v>
      </c>
      <c r="J159" s="78">
        <v>0.01</v>
      </c>
      <c r="K159" s="78">
        <v>0.9</v>
      </c>
      <c r="Q159" s="101" t="s">
        <v>15</v>
      </c>
      <c r="R159" s="101"/>
      <c r="S159" s="4">
        <v>3</v>
      </c>
      <c r="V159" s="102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5"/>
      <c r="H160" s="79" t="s">
        <v>9</v>
      </c>
      <c r="I160" s="91" t="s">
        <v>10</v>
      </c>
      <c r="J160" s="92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103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5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5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4" t="s">
        <v>6</v>
      </c>
      <c r="E163" s="104"/>
      <c r="G163" s="95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4"/>
      <c r="E164" s="104"/>
      <c r="G164" s="95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4"/>
      <c r="E165" s="104"/>
      <c r="G165" s="95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5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3">
        <v>44931.461875000001</v>
      </c>
      <c r="E167" s="93"/>
      <c r="G167" s="95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3">
        <v>44931.461875000001</v>
      </c>
      <c r="E168" s="93"/>
      <c r="G168" s="95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5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5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5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5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5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G174" s="95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G175" s="95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G176" s="95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5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5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5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5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5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5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5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5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5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5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5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5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5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5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79">
    <mergeCell ref="B106:C106"/>
    <mergeCell ref="D106:E106"/>
    <mergeCell ref="B107:C107"/>
    <mergeCell ref="D107:E107"/>
    <mergeCell ref="B108:C108"/>
    <mergeCell ref="D108:E108"/>
    <mergeCell ref="B156:C156"/>
    <mergeCell ref="D156:E156"/>
    <mergeCell ref="B157:C157"/>
    <mergeCell ref="D157:E157"/>
    <mergeCell ref="B158:C158"/>
    <mergeCell ref="D158:E158"/>
    <mergeCell ref="B56:C56"/>
    <mergeCell ref="D56:E56"/>
    <mergeCell ref="B57:C57"/>
    <mergeCell ref="D57:E57"/>
    <mergeCell ref="B58:C58"/>
    <mergeCell ref="D58:E58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Q6:S7"/>
    <mergeCell ref="V6:X7"/>
    <mergeCell ref="V8:W8"/>
    <mergeCell ref="V58:W58"/>
    <mergeCell ref="Q59:R59"/>
    <mergeCell ref="V59:V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167:E167"/>
    <mergeCell ref="D168:E168"/>
    <mergeCell ref="D17:E17"/>
    <mergeCell ref="D18:E18"/>
    <mergeCell ref="D67:E67"/>
    <mergeCell ref="D68:E68"/>
    <mergeCell ref="D63:E65"/>
    <mergeCell ref="D113:E115"/>
    <mergeCell ref="D163:E165"/>
    <mergeCell ref="I10:J10"/>
    <mergeCell ref="I60:J60"/>
    <mergeCell ref="I110:J110"/>
    <mergeCell ref="I160:J160"/>
    <mergeCell ref="D117:E117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V159:V160"/>
    <mergeCell ref="Q109:R10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AW13" sqref="AW13:AW52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0" t="s">
        <v>29</v>
      </c>
      <c r="C3" s="160"/>
      <c r="D3" s="161">
        <v>44846</v>
      </c>
      <c r="E3" s="132"/>
      <c r="F3" s="129" t="s">
        <v>31</v>
      </c>
      <c r="G3" s="129"/>
      <c r="H3" s="132">
        <v>0</v>
      </c>
      <c r="I3" s="132"/>
      <c r="J3" s="129" t="s">
        <v>67</v>
      </c>
      <c r="K3" s="129"/>
      <c r="L3" s="132">
        <v>10000000000</v>
      </c>
      <c r="M3" s="132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4" t="s">
        <v>46</v>
      </c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D5" s="164" t="s">
        <v>47</v>
      </c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  <c r="BB5" s="164"/>
    </row>
    <row r="6" spans="1:57" ht="16.2" customHeight="1" x14ac:dyDescent="0.4">
      <c r="A6" s="34">
        <f t="shared" si="1"/>
        <v>6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</row>
    <row r="7" spans="1:57" ht="16.2" customHeight="1" x14ac:dyDescent="0.4">
      <c r="A7" s="34">
        <f t="shared" si="1"/>
        <v>7</v>
      </c>
      <c r="B7" s="160" t="str">
        <f>IF(D7&gt;0,"레퍼런스금리 개수","기초금리는 1개 - 3개 입력가능")</f>
        <v>레퍼런스금리 개수</v>
      </c>
      <c r="C7" s="160"/>
      <c r="D7" s="131">
        <v>1</v>
      </c>
      <c r="E7" s="131"/>
      <c r="F7" s="147" t="s">
        <v>32</v>
      </c>
      <c r="G7" s="148"/>
      <c r="H7" s="132">
        <v>1</v>
      </c>
      <c r="I7" s="132"/>
      <c r="J7" s="129" t="s">
        <v>92</v>
      </c>
      <c r="K7" s="129"/>
      <c r="L7" s="132">
        <v>0</v>
      </c>
      <c r="M7" s="132"/>
      <c r="N7" s="35"/>
      <c r="O7" s="35"/>
      <c r="P7" s="35"/>
      <c r="Q7" s="35"/>
      <c r="R7" s="35"/>
      <c r="S7" s="35"/>
      <c r="T7" s="35"/>
      <c r="U7" s="35"/>
      <c r="AD7" s="160" t="str">
        <f>IF(AF7&gt;0,"레퍼런스금리 개수","기초금리는 1개 - 3개 입력가능")</f>
        <v>레퍼런스금리 개수</v>
      </c>
      <c r="AE7" s="160"/>
      <c r="AF7" s="131">
        <v>1</v>
      </c>
      <c r="AG7" s="131"/>
      <c r="AH7" s="147" t="s">
        <v>32</v>
      </c>
      <c r="AI7" s="148"/>
      <c r="AJ7" s="132">
        <v>0</v>
      </c>
      <c r="AK7" s="132"/>
      <c r="AL7" s="129" t="s">
        <v>92</v>
      </c>
      <c r="AM7" s="129"/>
      <c r="AN7" s="132">
        <v>0</v>
      </c>
      <c r="AO7" s="132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29" t="s">
        <v>50</v>
      </c>
      <c r="C8" s="129"/>
      <c r="D8" s="130">
        <v>1</v>
      </c>
      <c r="E8" s="131"/>
      <c r="F8" s="129" t="s">
        <v>51</v>
      </c>
      <c r="G8" s="129"/>
      <c r="H8" s="130">
        <v>1</v>
      </c>
      <c r="I8" s="131"/>
      <c r="J8" s="129" t="s">
        <v>42</v>
      </c>
      <c r="K8" s="129"/>
      <c r="L8" s="132">
        <v>0</v>
      </c>
      <c r="M8" s="132"/>
      <c r="N8" s="35"/>
      <c r="O8" s="35"/>
      <c r="P8" s="35"/>
      <c r="Q8" s="35"/>
      <c r="R8" s="35"/>
      <c r="S8" s="35"/>
      <c r="T8" s="35"/>
      <c r="U8" s="35"/>
      <c r="AD8" s="129" t="s">
        <v>50</v>
      </c>
      <c r="AE8" s="129"/>
      <c r="AF8" s="130">
        <v>1</v>
      </c>
      <c r="AG8" s="131"/>
      <c r="AH8" s="129" t="s">
        <v>51</v>
      </c>
      <c r="AI8" s="129"/>
      <c r="AJ8" s="130">
        <v>1</v>
      </c>
      <c r="AK8" s="131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5" t="str">
        <f>IF(D7&gt;=1,"기초금리1", "")</f>
        <v>기초금리1</v>
      </c>
      <c r="C10" s="162" t="str">
        <f>IF($D$7&gt;=1,"커브번호", "")</f>
        <v>커브번호</v>
      </c>
      <c r="D10" s="162"/>
      <c r="E10" s="163">
        <v>1</v>
      </c>
      <c r="F10" s="163"/>
      <c r="G10" s="71"/>
      <c r="H10" s="36"/>
      <c r="I10" s="165" t="str">
        <f>IF(OR(E11 = 0, E11 = 2, E11 = 4), "RefType = "&amp;E11&amp;" 이므로 Ref Swap 금리정보 사용안함", "사용")</f>
        <v>RefType = 0 이므로 Ref Swap 금리정보 사용안함</v>
      </c>
      <c r="J10" s="166"/>
      <c r="K10" s="166"/>
      <c r="L10" s="194"/>
      <c r="N10" s="149" t="s">
        <v>34</v>
      </c>
      <c r="O10" s="149"/>
      <c r="P10" s="149"/>
      <c r="Q10" s="149"/>
      <c r="R10" s="34"/>
      <c r="S10" s="34"/>
      <c r="T10" s="34"/>
      <c r="U10" s="34"/>
      <c r="W10" s="149" t="s">
        <v>52</v>
      </c>
      <c r="X10" s="149"/>
      <c r="Y10" s="149"/>
      <c r="AD10" s="117" t="str">
        <f>IF($AF$7&gt;=1,"기초금리1", "")</f>
        <v>기초금리1</v>
      </c>
      <c r="AE10" s="123" t="str">
        <f>IF($AF$7&gt;=1,"커브번호", "")</f>
        <v>커브번호</v>
      </c>
      <c r="AF10" s="123"/>
      <c r="AG10" s="163">
        <v>2</v>
      </c>
      <c r="AH10" s="163"/>
      <c r="AI10" s="71"/>
      <c r="AJ10" s="36"/>
      <c r="AK10" s="187" t="str">
        <f>IF(OR(AG11 = 0, AG11 = 2, AG11 = 4), "RefType = "&amp;AG11&amp;" 이므로 Ref Swap 금리정보 사용안함", "사용")</f>
        <v>RefType = 0 이므로 Ref Swap 금리정보 사용안함</v>
      </c>
      <c r="AL10" s="187"/>
      <c r="AM10" s="187"/>
      <c r="AN10" s="188"/>
      <c r="AP10" s="149" t="s">
        <v>54</v>
      </c>
      <c r="AQ10" s="149"/>
      <c r="AR10" s="149"/>
      <c r="AS10" s="149"/>
      <c r="AT10" s="34"/>
      <c r="AU10" s="34"/>
      <c r="AV10" s="34"/>
      <c r="AW10" s="34"/>
      <c r="AY10" s="149" t="s">
        <v>53</v>
      </c>
      <c r="AZ10" s="149"/>
      <c r="BA10" s="149"/>
    </row>
    <row r="11" spans="1:57" ht="16.2" customHeight="1" x14ac:dyDescent="0.4">
      <c r="A11" s="34">
        <f t="shared" si="1"/>
        <v>11</v>
      </c>
      <c r="B11" s="146"/>
      <c r="C11" s="143" t="str">
        <f>IF($D$7&gt;=1,"Reference Rate Type", "")</f>
        <v>Reference Rate Type</v>
      </c>
      <c r="D11" s="144"/>
      <c r="E11" s="170">
        <v>0</v>
      </c>
      <c r="F11" s="171"/>
      <c r="G11" s="165" t="str">
        <f>IF(OR(E11 = 0, E11 = 2, E11 = 4), "", "Zero/Swap 레퍼런스금리정보")</f>
        <v/>
      </c>
      <c r="H11" s="166"/>
      <c r="I11" s="137" t="str">
        <f>IF(OR(E11 = 0, E11 = 2, E11 = 4), "", "연 지급횟수")</f>
        <v/>
      </c>
      <c r="J11" s="138"/>
      <c r="K11" s="139">
        <v>4</v>
      </c>
      <c r="L11" s="140"/>
      <c r="M11" s="34"/>
      <c r="N11" s="150" t="str">
        <f>IF(OR(E11 = 0, E11 = 2, E11 = 4), "ForwardStart", "ResetStart")</f>
        <v>ForwardStart</v>
      </c>
      <c r="O11" s="150" t="str">
        <f>IF(OR(E11 = 0, E11 = 2, E11 = 4), "ForwardEnd", "ResetEnd")</f>
        <v>ForwardEnd</v>
      </c>
      <c r="P11" s="151" t="s">
        <v>35</v>
      </c>
      <c r="Q11" s="151" t="s">
        <v>36</v>
      </c>
      <c r="R11" s="151" t="s">
        <v>37</v>
      </c>
      <c r="S11" s="151" t="s">
        <v>38</v>
      </c>
      <c r="T11" s="151" t="s">
        <v>91</v>
      </c>
      <c r="U11" s="151" t="s">
        <v>71</v>
      </c>
      <c r="W11" s="37" t="s">
        <v>43</v>
      </c>
      <c r="X11" s="184">
        <v>0</v>
      </c>
      <c r="Y11" s="184"/>
      <c r="AD11" s="189"/>
      <c r="AE11" s="174" t="str">
        <f>IF($AF$7&gt;=1,"Reference Rate Type", "")</f>
        <v>Reference Rate Type</v>
      </c>
      <c r="AF11" s="175"/>
      <c r="AG11" s="170">
        <v>0</v>
      </c>
      <c r="AH11" s="170"/>
      <c r="AI11" s="176" t="str">
        <f>IF(OR(AG11 = 0, AG11 = 2, AG11 = 4), "", "Zero/Swap 레퍼런스금리정보")</f>
        <v/>
      </c>
      <c r="AJ11" s="176"/>
      <c r="AK11" s="176" t="str">
        <f>IF(OR(AG11 = 0, AG11 = 2, AG11 = 4), "", "연 지급횟수")</f>
        <v/>
      </c>
      <c r="AL11" s="177"/>
      <c r="AM11" s="139">
        <v>4</v>
      </c>
      <c r="AN11" s="140"/>
      <c r="AO11" s="34"/>
      <c r="AP11" s="151" t="str">
        <f>IF(OR(AG11 = 0, AG11 = 2, AG11 = 4), "ForwardStart", "ResetEnd")</f>
        <v>ForwardStart</v>
      </c>
      <c r="AQ11" s="151" t="str">
        <f>IF(OR(AG11 = 0, AG11 = 2, AG11 = 4), "ForwardEnd", "ResetEnd")</f>
        <v>ForwardEnd</v>
      </c>
      <c r="AR11" s="151" t="s">
        <v>35</v>
      </c>
      <c r="AS11" s="151" t="s">
        <v>36</v>
      </c>
      <c r="AT11" s="151" t="s">
        <v>37</v>
      </c>
      <c r="AU11" s="151" t="s">
        <v>38</v>
      </c>
      <c r="AV11" s="151" t="s">
        <v>91</v>
      </c>
      <c r="AW11" s="151" t="s">
        <v>71</v>
      </c>
      <c r="AY11" s="37" t="s">
        <v>43</v>
      </c>
      <c r="AZ11" s="184">
        <v>0</v>
      </c>
      <c r="BA11" s="184"/>
    </row>
    <row r="12" spans="1:57" ht="16.2" customHeight="1" x14ac:dyDescent="0.4">
      <c r="A12" s="34">
        <f t="shared" si="1"/>
        <v>12</v>
      </c>
      <c r="B12" s="146"/>
      <c r="C12" s="143" t="str">
        <f>IF($D$7&gt;=1,"DayCount", "")</f>
        <v>DayCount</v>
      </c>
      <c r="D12" s="143"/>
      <c r="E12" s="156">
        <v>0</v>
      </c>
      <c r="F12" s="157"/>
      <c r="G12" s="167"/>
      <c r="H12" s="137"/>
      <c r="I12" s="137" t="str">
        <f>IF(OR(E11 = 0, E11 = 2, E11 = 4,E14=1), "", "만기")</f>
        <v/>
      </c>
      <c r="J12" s="138"/>
      <c r="K12" s="168">
        <v>5</v>
      </c>
      <c r="L12" s="169"/>
      <c r="N12" s="151"/>
      <c r="O12" s="151"/>
      <c r="P12" s="151"/>
      <c r="Q12" s="151"/>
      <c r="R12" s="151"/>
      <c r="S12" s="151"/>
      <c r="T12" s="151"/>
      <c r="U12" s="151"/>
      <c r="W12" s="37" t="s">
        <v>44</v>
      </c>
      <c r="X12" s="184">
        <v>0</v>
      </c>
      <c r="Y12" s="184"/>
      <c r="AD12" s="189"/>
      <c r="AE12" s="174" t="str">
        <f>IF($AF$7&gt;=1,"DayCount", "")</f>
        <v>DayCount</v>
      </c>
      <c r="AF12" s="174"/>
      <c r="AG12" s="156">
        <v>0</v>
      </c>
      <c r="AH12" s="156"/>
      <c r="AI12" s="176"/>
      <c r="AJ12" s="176"/>
      <c r="AK12" s="137" t="str">
        <f>IF(OR(AG11 = 0, AG11 = 2, AG11 = 4,AG14=1), "", "만기")</f>
        <v/>
      </c>
      <c r="AL12" s="138"/>
      <c r="AM12" s="141">
        <v>0.25</v>
      </c>
      <c r="AN12" s="142"/>
      <c r="AP12" s="151"/>
      <c r="AQ12" s="151"/>
      <c r="AR12" s="151"/>
      <c r="AS12" s="151"/>
      <c r="AT12" s="151"/>
      <c r="AU12" s="151"/>
      <c r="AV12" s="151"/>
      <c r="AW12" s="151"/>
      <c r="AY12" s="37" t="s">
        <v>44</v>
      </c>
      <c r="AZ12" s="184">
        <v>0</v>
      </c>
      <c r="BA12" s="184"/>
    </row>
    <row r="13" spans="1:57" ht="16.2" customHeight="1" x14ac:dyDescent="0.4">
      <c r="A13" s="34">
        <f t="shared" si="1"/>
        <v>13</v>
      </c>
      <c r="B13" s="146"/>
      <c r="C13" s="143" t="str">
        <f>IF($D$7&gt;=1,"금리결정조건Multiple", "")</f>
        <v>금리결정조건Multiple</v>
      </c>
      <c r="D13" s="144"/>
      <c r="E13" s="133">
        <v>1</v>
      </c>
      <c r="F13" s="183"/>
      <c r="G13" s="158" t="str">
        <f>IF(OR(E11 = 0, E11 = 2, E11 = 4), "", "ex) Zero Rate 5년 -&gt; 연 지급횟수= 0, 만기= 5 // CD91일 -&gt; 연 지급횟수= 4, 만기= 0.25")</f>
        <v/>
      </c>
      <c r="H13" s="158"/>
      <c r="I13" s="158"/>
      <c r="J13" s="158"/>
      <c r="K13" s="158"/>
      <c r="L13" s="159"/>
      <c r="M13" s="34"/>
      <c r="N13" s="38">
        <v>43109</v>
      </c>
      <c r="O13" s="38">
        <f t="shared" ref="O13:O24" si="2">EDATE(N13,3)</f>
        <v>43199</v>
      </c>
      <c r="P13" s="38">
        <f>N13</f>
        <v>43109</v>
      </c>
      <c r="Q13" s="38">
        <f>O13</f>
        <v>43199</v>
      </c>
      <c r="R13" s="38">
        <f>Q13+3</f>
        <v>43202</v>
      </c>
      <c r="S13" s="39">
        <v>0</v>
      </c>
      <c r="T13" s="39">
        <v>0</v>
      </c>
      <c r="U13" s="39"/>
      <c r="W13" s="37" t="s">
        <v>45</v>
      </c>
      <c r="X13" s="184">
        <v>0</v>
      </c>
      <c r="Y13" s="184"/>
      <c r="AD13" s="189"/>
      <c r="AE13" s="174" t="str">
        <f>IF($AF$7&gt;=1,"금리결정조건Multiple", "")</f>
        <v>금리결정조건Multiple</v>
      </c>
      <c r="AF13" s="175"/>
      <c r="AG13" s="133">
        <v>1</v>
      </c>
      <c r="AH13" s="133"/>
      <c r="AI13" s="158" t="str">
        <f>IF(OR(AG11 = 0, AG11 = 2, AG11 = 4), "", "ex) Zero Rate 5년 -&gt; 연 지급횟수= 0, 만기= 5 // CD91일 -&gt; 연 지급횟수= 4, 만기= 0.25")</f>
        <v/>
      </c>
      <c r="AJ13" s="158"/>
      <c r="AK13" s="158"/>
      <c r="AL13" s="158"/>
      <c r="AM13" s="158"/>
      <c r="AN13" s="159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f>AS13+3</f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84">
        <v>0</v>
      </c>
      <c r="BA13" s="184"/>
    </row>
    <row r="14" spans="1:57" ht="16.2" customHeight="1" x14ac:dyDescent="0.4">
      <c r="A14" s="34">
        <f t="shared" si="1"/>
        <v>14</v>
      </c>
      <c r="B14" s="146"/>
      <c r="C14" s="178" t="str">
        <f>IF($D$7&gt;=1,"Power Spread Flag", "")</f>
        <v>Power Spread Flag</v>
      </c>
      <c r="D14" s="178"/>
      <c r="E14" s="156">
        <v>0</v>
      </c>
      <c r="F14" s="157"/>
      <c r="G14" s="134" t="str">
        <f>IF(E14&gt;0,"PowerSpreadFlag 1일때 입력","입력필요X")</f>
        <v>입력필요X</v>
      </c>
      <c r="H14" s="134"/>
      <c r="I14" s="134" t="str">
        <f>IF(E14&gt;0,"만기1","")</f>
        <v/>
      </c>
      <c r="J14" s="134"/>
      <c r="K14" s="135">
        <v>10</v>
      </c>
      <c r="L14" s="136"/>
      <c r="M14" s="34"/>
      <c r="N14" s="38">
        <f>EDATE(N13,3)</f>
        <v>43199</v>
      </c>
      <c r="O14" s="38">
        <f t="shared" si="2"/>
        <v>43290</v>
      </c>
      <c r="P14" s="38">
        <f>N14</f>
        <v>43199</v>
      </c>
      <c r="Q14" s="38">
        <f>O14</f>
        <v>43290</v>
      </c>
      <c r="R14" s="38">
        <f t="shared" ref="R14:R52" si="3">Q14+3</f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89"/>
      <c r="AE14" s="172" t="str">
        <f>IF($AF$7&gt;=1,"Power Spread Flag", "")</f>
        <v>Power Spread Flag</v>
      </c>
      <c r="AF14" s="172"/>
      <c r="AG14" s="156">
        <v>0</v>
      </c>
      <c r="AH14" s="156"/>
      <c r="AI14" s="173" t="str">
        <f>IF(AG14&gt;0,"PowerSpreadFlag 1일때 입력","입력필요X")</f>
        <v>입력필요X</v>
      </c>
      <c r="AJ14" s="173"/>
      <c r="AK14" s="173" t="str">
        <f>IF(AG14&gt;0,"만기1","")</f>
        <v/>
      </c>
      <c r="AL14" s="173"/>
      <c r="AM14" s="135">
        <v>10</v>
      </c>
      <c r="AN14" s="136"/>
      <c r="AP14" s="38">
        <v>43199</v>
      </c>
      <c r="AQ14" s="38">
        <v>43290</v>
      </c>
      <c r="AR14" s="38">
        <v>43199</v>
      </c>
      <c r="AS14" s="38">
        <v>43290</v>
      </c>
      <c r="AT14" s="38">
        <f t="shared" ref="AT14:AT52" si="4">AS14+3</f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6" t="str">
        <f>IF($D$7&gt;0, "사용", "커브개수"&amp;"="&amp;$D$7&amp;"이므로 사용안함")</f>
        <v>사용</v>
      </c>
      <c r="C15" s="178" t="str">
        <f>IF($D$7&gt;=1,"기초금리 Range상한", "")</f>
        <v>기초금리 Range상한</v>
      </c>
      <c r="D15" s="178"/>
      <c r="E15" s="181">
        <v>10</v>
      </c>
      <c r="F15" s="185"/>
      <c r="G15" s="134"/>
      <c r="H15" s="134"/>
      <c r="I15" s="134" t="str">
        <f>IF(E14&gt;0,"만기2","")</f>
        <v/>
      </c>
      <c r="J15" s="134"/>
      <c r="K15" s="135">
        <v>5</v>
      </c>
      <c r="L15" s="136"/>
      <c r="M15" s="34"/>
      <c r="N15" s="38">
        <f t="shared" ref="N15" si="5">EDATE(N14,3)</f>
        <v>43290</v>
      </c>
      <c r="O15" s="38">
        <f t="shared" si="2"/>
        <v>43382</v>
      </c>
      <c r="P15" s="38">
        <f t="shared" ref="P15:P16" si="6">N15</f>
        <v>43290</v>
      </c>
      <c r="Q15" s="38">
        <f t="shared" ref="Q15:Q16" si="7">O15</f>
        <v>43382</v>
      </c>
      <c r="R15" s="38">
        <f t="shared" si="3"/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89" t="str">
        <f>IF($AF$7&gt;0, "사용", "커브개수"&amp;"="&amp;$AF$7&amp;"이므로 사용안함")</f>
        <v>사용</v>
      </c>
      <c r="AE15" s="172" t="str">
        <f>IF($AF$7&gt;=1,"기초금리 Range상한", "")</f>
        <v>기초금리 Range상한</v>
      </c>
      <c r="AF15" s="172"/>
      <c r="AG15" s="181">
        <v>10</v>
      </c>
      <c r="AH15" s="181"/>
      <c r="AI15" s="173"/>
      <c r="AJ15" s="173"/>
      <c r="AK15" s="173" t="str">
        <f>IF(AG14&gt;0,"만기2","")</f>
        <v/>
      </c>
      <c r="AL15" s="173"/>
      <c r="AM15" s="135">
        <v>5</v>
      </c>
      <c r="AN15" s="136"/>
      <c r="AP15" s="38">
        <v>43290</v>
      </c>
      <c r="AQ15" s="38">
        <v>43382</v>
      </c>
      <c r="AR15" s="38">
        <v>43290</v>
      </c>
      <c r="AS15" s="38">
        <v>43382</v>
      </c>
      <c r="AT15" s="38">
        <f t="shared" si="4"/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6"/>
      <c r="C16" s="178" t="str">
        <f>IF($D$7&gt;=1,"기초금리 Range하한", "")</f>
        <v>기초금리 Range하한</v>
      </c>
      <c r="D16" s="143"/>
      <c r="E16" s="180">
        <v>-1</v>
      </c>
      <c r="F16" s="186"/>
      <c r="G16" s="182"/>
      <c r="H16" s="182"/>
      <c r="I16" s="152" t="str">
        <f>IF(E14&gt;0,"Spread1","")</f>
        <v/>
      </c>
      <c r="J16" s="152"/>
      <c r="K16" s="153" t="str">
        <f>IF(E14&gt;0, I14&amp;"-"&amp;I15, "")</f>
        <v/>
      </c>
      <c r="L16" s="154"/>
      <c r="M16" s="34"/>
      <c r="N16" s="38">
        <f>EDATE(N15,3)</f>
        <v>43382</v>
      </c>
      <c r="O16" s="38">
        <f t="shared" si="2"/>
        <v>43474</v>
      </c>
      <c r="P16" s="38">
        <f t="shared" si="6"/>
        <v>43382</v>
      </c>
      <c r="Q16" s="38">
        <f t="shared" si="7"/>
        <v>43474</v>
      </c>
      <c r="R16" s="38">
        <f t="shared" si="3"/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89"/>
      <c r="AE16" s="172" t="str">
        <f>IF($AF$7&gt;=1,"기초금리 Range하한", "")</f>
        <v>기초금리 Range하한</v>
      </c>
      <c r="AF16" s="174"/>
      <c r="AG16" s="180">
        <v>-1</v>
      </c>
      <c r="AH16" s="180"/>
      <c r="AI16" s="193"/>
      <c r="AJ16" s="193"/>
      <c r="AK16" s="190" t="str">
        <f>IF(AG14&gt;0,"Spread1","")</f>
        <v/>
      </c>
      <c r="AL16" s="190"/>
      <c r="AM16" s="191" t="str">
        <f>IF(AG14&gt;0, AK14&amp;"-"&amp;AK15, "")</f>
        <v/>
      </c>
      <c r="AN16" s="192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f t="shared" si="4"/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79" t="str">
        <f>IF($D$7&gt;=1,"Payoff조건Multiple", "")</f>
        <v>Payoff조건Multiple</v>
      </c>
      <c r="D17" s="179"/>
      <c r="E17" s="195">
        <v>1</v>
      </c>
      <c r="F17" s="196"/>
      <c r="G17" s="198" t="str">
        <f>IF(E14&gt;0,"예시) 10년-5년 스왑: 연 지급횟수=4, 만기1=10, 만기2=5","")</f>
        <v/>
      </c>
      <c r="H17" s="198"/>
      <c r="I17" s="198"/>
      <c r="J17" s="198"/>
      <c r="K17" s="198"/>
      <c r="L17" s="199"/>
      <c r="M17" s="34"/>
      <c r="N17" s="38">
        <f>EDATE(N16,3)</f>
        <v>43474</v>
      </c>
      <c r="O17" s="38">
        <f t="shared" si="2"/>
        <v>43564</v>
      </c>
      <c r="P17" s="38">
        <f>N17</f>
        <v>43474</v>
      </c>
      <c r="Q17" s="38">
        <f>O17</f>
        <v>43564</v>
      </c>
      <c r="R17" s="38">
        <f t="shared" si="3"/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24" t="str">
        <f>IF($AF$7&gt;=1,"Payoff조건Multiple", "")</f>
        <v>Payoff조건Multiple</v>
      </c>
      <c r="AF17" s="124"/>
      <c r="AG17" s="195">
        <v>1</v>
      </c>
      <c r="AH17" s="195"/>
      <c r="AI17" s="198" t="str">
        <f>IF(AG14&gt;0,"예시) 10년-5년 스왑: 연 지급횟수=4, 만기1=10, 만기2=5","")</f>
        <v/>
      </c>
      <c r="AJ17" s="198"/>
      <c r="AK17" s="198"/>
      <c r="AL17" s="198"/>
      <c r="AM17" s="198"/>
      <c r="AN17" s="199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f t="shared" si="4"/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ref="N18:N52" si="8">EDATE(N17,3)</f>
        <v>43564</v>
      </c>
      <c r="O18" s="38">
        <f t="shared" si="2"/>
        <v>43655</v>
      </c>
      <c r="P18" s="38">
        <f t="shared" ref="P18:P24" si="9">N18</f>
        <v>43564</v>
      </c>
      <c r="Q18" s="38">
        <f t="shared" ref="Q18:Q24" si="10">O18</f>
        <v>43655</v>
      </c>
      <c r="R18" s="38">
        <f t="shared" si="3"/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f t="shared" si="4"/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5" t="str">
        <f>IF(D7&gt;=2,"기초금리2", "")</f>
        <v/>
      </c>
      <c r="C19" s="162" t="str">
        <f>IF($D$7&gt;=2,"커브번호", "")</f>
        <v/>
      </c>
      <c r="D19" s="162"/>
      <c r="E19" s="163">
        <v>2</v>
      </c>
      <c r="F19" s="163"/>
      <c r="G19" s="71"/>
      <c r="H19" s="36"/>
      <c r="I19" s="166" t="str">
        <f>IF(OR(E20 = 0, E20 = 2, E20 = 4), "RefType = "&amp;E20&amp;" 이므로 Ref Swap 금리정보 사용안함", "사용")</f>
        <v>RefType = 0 이므로 Ref Swap 금리정보 사용안함</v>
      </c>
      <c r="J19" s="166"/>
      <c r="K19" s="166"/>
      <c r="L19" s="194"/>
      <c r="M19" s="34"/>
      <c r="N19" s="38">
        <f t="shared" si="8"/>
        <v>43655</v>
      </c>
      <c r="O19" s="38">
        <f t="shared" si="2"/>
        <v>43747</v>
      </c>
      <c r="P19" s="38">
        <f t="shared" si="9"/>
        <v>43655</v>
      </c>
      <c r="Q19" s="38">
        <f t="shared" si="10"/>
        <v>43747</v>
      </c>
      <c r="R19" s="38">
        <f t="shared" si="3"/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17" t="str">
        <f>IF($AF$7&gt;=2,"기초금리2", "")</f>
        <v/>
      </c>
      <c r="AE19" s="123" t="str">
        <f>IF($AF$7&gt;=2,"커브번호", "")</f>
        <v/>
      </c>
      <c r="AF19" s="123"/>
      <c r="AG19" s="163">
        <v>2</v>
      </c>
      <c r="AH19" s="163"/>
      <c r="AI19" s="71"/>
      <c r="AJ19" s="36"/>
      <c r="AK19" s="187" t="str">
        <f>IF(OR(AG20 = 0, AG20 = 2, AG20 = 4), "RefType = "&amp;AG20&amp;" 이므로 Ref Swap 금리정보 사용안함", "사용")</f>
        <v>RefType = 0 이므로 Ref Swap 금리정보 사용안함</v>
      </c>
      <c r="AL19" s="187"/>
      <c r="AM19" s="187"/>
      <c r="AN19" s="188"/>
      <c r="AP19" s="38">
        <v>43655</v>
      </c>
      <c r="AQ19" s="38">
        <v>43747</v>
      </c>
      <c r="AR19" s="38">
        <v>43655</v>
      </c>
      <c r="AS19" s="38">
        <v>43747</v>
      </c>
      <c r="AT19" s="38">
        <f t="shared" si="4"/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6"/>
      <c r="C20" s="143" t="str">
        <f>IF($D$7&gt;=2,"Reference Rate Type", "")</f>
        <v/>
      </c>
      <c r="D20" s="144"/>
      <c r="E20" s="155">
        <v>0</v>
      </c>
      <c r="F20" s="155"/>
      <c r="G20" s="137" t="str">
        <f>IF(OR(E20 = 0, E20 = 2, E20 = 4), "", "Zero/Swap 레퍼런스금리정보")</f>
        <v/>
      </c>
      <c r="H20" s="137"/>
      <c r="I20" s="137" t="str">
        <f>IF(OR(E20 = 0, E20 = 2, E20 = 4), "", "연 지급횟수")</f>
        <v/>
      </c>
      <c r="J20" s="138"/>
      <c r="K20" s="139">
        <v>4</v>
      </c>
      <c r="L20" s="140"/>
      <c r="M20" s="34"/>
      <c r="N20" s="38">
        <f t="shared" si="8"/>
        <v>43747</v>
      </c>
      <c r="O20" s="38">
        <f t="shared" si="2"/>
        <v>43839</v>
      </c>
      <c r="P20" s="38">
        <f t="shared" si="9"/>
        <v>43747</v>
      </c>
      <c r="Q20" s="38">
        <f t="shared" si="10"/>
        <v>43839</v>
      </c>
      <c r="R20" s="38">
        <f t="shared" si="3"/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89"/>
      <c r="AE20" s="174" t="str">
        <f>IF($AF$7&gt;=2,"Reference Rate Type", "")</f>
        <v/>
      </c>
      <c r="AF20" s="175"/>
      <c r="AG20" s="155">
        <v>0</v>
      </c>
      <c r="AH20" s="155"/>
      <c r="AI20" s="176" t="str">
        <f>IF(OR(AG20 = 0, AG20 = 2, AG20 = 4), "", "Zero/Swap 레퍼런스금리정보")</f>
        <v/>
      </c>
      <c r="AJ20" s="176"/>
      <c r="AK20" s="176" t="str">
        <f>IF(OR(AG20 = 0, AG20 = 2, AG20 = 4), "", "연 지급횟수")</f>
        <v/>
      </c>
      <c r="AL20" s="177"/>
      <c r="AM20" s="139">
        <v>4</v>
      </c>
      <c r="AN20" s="140"/>
      <c r="AP20" s="38">
        <v>43747</v>
      </c>
      <c r="AQ20" s="38">
        <v>43839</v>
      </c>
      <c r="AR20" s="38">
        <v>43747</v>
      </c>
      <c r="AS20" s="38">
        <v>43839</v>
      </c>
      <c r="AT20" s="38">
        <f t="shared" si="4"/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6"/>
      <c r="C21" s="143" t="str">
        <f>IF($D$7&gt;=2,"DayCount", "")</f>
        <v/>
      </c>
      <c r="D21" s="143"/>
      <c r="E21" s="156">
        <v>0</v>
      </c>
      <c r="F21" s="156"/>
      <c r="G21" s="137"/>
      <c r="H21" s="137"/>
      <c r="I21" s="137" t="str">
        <f>IF(OR(E20 = 0, E20 = 2, E20 = 4,E23=1), "", "만기")</f>
        <v/>
      </c>
      <c r="J21" s="138"/>
      <c r="K21" s="141">
        <v>1</v>
      </c>
      <c r="L21" s="142"/>
      <c r="M21" s="34"/>
      <c r="N21" s="38">
        <f t="shared" si="8"/>
        <v>43839</v>
      </c>
      <c r="O21" s="38">
        <f t="shared" si="2"/>
        <v>43930</v>
      </c>
      <c r="P21" s="38">
        <f t="shared" si="9"/>
        <v>43839</v>
      </c>
      <c r="Q21" s="38">
        <f t="shared" si="10"/>
        <v>43930</v>
      </c>
      <c r="R21" s="38">
        <f t="shared" si="3"/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89"/>
      <c r="AE21" s="174" t="str">
        <f>IF($AF$7&gt;=2,"DayCount", "")</f>
        <v/>
      </c>
      <c r="AF21" s="174"/>
      <c r="AG21" s="156">
        <v>0</v>
      </c>
      <c r="AH21" s="156"/>
      <c r="AI21" s="176"/>
      <c r="AJ21" s="176"/>
      <c r="AK21" s="137" t="str">
        <f>IF(OR(AG20 = 0, AG20 = 2, AG20 = 4,AG23=1), "", "만기")</f>
        <v/>
      </c>
      <c r="AL21" s="138"/>
      <c r="AM21" s="141">
        <v>5</v>
      </c>
      <c r="AN21" s="142"/>
      <c r="AP21" s="38">
        <v>43839</v>
      </c>
      <c r="AQ21" s="38">
        <v>43930</v>
      </c>
      <c r="AR21" s="38">
        <v>43839</v>
      </c>
      <c r="AS21" s="38">
        <v>43930</v>
      </c>
      <c r="AT21" s="38">
        <f t="shared" si="4"/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6"/>
      <c r="C22" s="143" t="str">
        <f>IF($D$7&gt;=2,"금리결정조건Multiple", "")</f>
        <v/>
      </c>
      <c r="D22" s="144"/>
      <c r="E22" s="133">
        <v>1</v>
      </c>
      <c r="F22" s="133"/>
      <c r="G22" s="158" t="str">
        <f>IF(OR(E20 = 0, E20 = 2, E20 = 4), "", "ex) Zero Rate 5년 -&gt; 연 지급횟수= 0, 만기= 5 // CD91일 -&gt; 연 지급횟수= 4, 만기= 0.25")</f>
        <v/>
      </c>
      <c r="H22" s="158"/>
      <c r="I22" s="158"/>
      <c r="J22" s="158"/>
      <c r="K22" s="158"/>
      <c r="L22" s="159"/>
      <c r="M22" s="34"/>
      <c r="N22" s="38">
        <f t="shared" si="8"/>
        <v>43930</v>
      </c>
      <c r="O22" s="38">
        <f t="shared" si="2"/>
        <v>44021</v>
      </c>
      <c r="P22" s="38">
        <f t="shared" si="9"/>
        <v>43930</v>
      </c>
      <c r="Q22" s="38">
        <f t="shared" si="10"/>
        <v>44021</v>
      </c>
      <c r="R22" s="38">
        <f t="shared" si="3"/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89"/>
      <c r="AE22" s="174" t="str">
        <f>IF($AF$7&gt;=2,"금리결정조건Multiple", "")</f>
        <v/>
      </c>
      <c r="AF22" s="175"/>
      <c r="AG22" s="133">
        <v>1</v>
      </c>
      <c r="AH22" s="133"/>
      <c r="AI22" s="158" t="str">
        <f>IF(OR(AG20 = 0, AG20 = 2, AG20 = 4), "", "ex) Zero Rate 5년 -&gt; 연 지급횟수= 0, 만기= 5 // CD91일 -&gt; 연 지급횟수= 4, 만기= 0.25")</f>
        <v/>
      </c>
      <c r="AJ22" s="158"/>
      <c r="AK22" s="158"/>
      <c r="AL22" s="158"/>
      <c r="AM22" s="158"/>
      <c r="AN22" s="159"/>
      <c r="AP22" s="38">
        <v>43930</v>
      </c>
      <c r="AQ22" s="38">
        <v>44021</v>
      </c>
      <c r="AR22" s="38">
        <v>43930</v>
      </c>
      <c r="AS22" s="38">
        <v>44021</v>
      </c>
      <c r="AT22" s="38">
        <f t="shared" si="4"/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6"/>
      <c r="C23" s="178" t="str">
        <f>IF($D$7&gt;=2,"Power Spread Flag", "")</f>
        <v/>
      </c>
      <c r="D23" s="178"/>
      <c r="E23" s="156">
        <v>0</v>
      </c>
      <c r="F23" s="156"/>
      <c r="G23" s="134" t="str">
        <f>IF(E23&gt;0,"PowerSpreadFlag 1일때 입력","입력필요X")</f>
        <v>입력필요X</v>
      </c>
      <c r="H23" s="134"/>
      <c r="I23" s="134" t="str">
        <f>IF(E23&gt;0,"만기1","")</f>
        <v/>
      </c>
      <c r="J23" s="134"/>
      <c r="K23" s="135">
        <v>10</v>
      </c>
      <c r="L23" s="136"/>
      <c r="M23" s="34"/>
      <c r="N23" s="38">
        <f t="shared" si="8"/>
        <v>44021</v>
      </c>
      <c r="O23" s="38">
        <f t="shared" si="2"/>
        <v>44113</v>
      </c>
      <c r="P23" s="38">
        <f t="shared" si="9"/>
        <v>44021</v>
      </c>
      <c r="Q23" s="38">
        <f t="shared" si="10"/>
        <v>44113</v>
      </c>
      <c r="R23" s="38">
        <f t="shared" si="3"/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89"/>
      <c r="AE23" s="172" t="str">
        <f>IF($AF$7&gt;=2,"Power Spread Flag", "")</f>
        <v/>
      </c>
      <c r="AF23" s="172"/>
      <c r="AG23" s="156">
        <v>0</v>
      </c>
      <c r="AH23" s="156"/>
      <c r="AI23" s="173" t="str">
        <f>IF(AG23&gt;0,"PowerSpreadFlag 1일때 입력","입력필요X")</f>
        <v>입력필요X</v>
      </c>
      <c r="AJ23" s="173"/>
      <c r="AK23" s="173" t="str">
        <f>IF(AG23&gt;0,"만기1","")</f>
        <v/>
      </c>
      <c r="AL23" s="173"/>
      <c r="AM23" s="135">
        <v>10</v>
      </c>
      <c r="AN23" s="136"/>
      <c r="AP23" s="38">
        <v>44021</v>
      </c>
      <c r="AQ23" s="38">
        <v>44113</v>
      </c>
      <c r="AR23" s="38">
        <v>44021</v>
      </c>
      <c r="AS23" s="38">
        <v>44113</v>
      </c>
      <c r="AT23" s="38">
        <f t="shared" si="4"/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6" t="str">
        <f>IF($D$7&gt;1, "사용", "커브개수"&amp;"="&amp;$D$7&amp;"이므로 사용안함")</f>
        <v>커브개수=1이므로 사용안함</v>
      </c>
      <c r="C24" s="178" t="str">
        <f>IF($D$7&gt;=2,"기초금리 Range상한", "")</f>
        <v/>
      </c>
      <c r="D24" s="178"/>
      <c r="E24" s="181">
        <v>10</v>
      </c>
      <c r="F24" s="181"/>
      <c r="G24" s="134"/>
      <c r="H24" s="134"/>
      <c r="I24" s="134" t="str">
        <f>IF(E23&gt;0,"만기2","")</f>
        <v/>
      </c>
      <c r="J24" s="134"/>
      <c r="K24" s="135">
        <v>5</v>
      </c>
      <c r="L24" s="136"/>
      <c r="M24" s="34"/>
      <c r="N24" s="38">
        <f t="shared" si="8"/>
        <v>44113</v>
      </c>
      <c r="O24" s="38">
        <f t="shared" si="2"/>
        <v>44205</v>
      </c>
      <c r="P24" s="38">
        <f t="shared" si="9"/>
        <v>44113</v>
      </c>
      <c r="Q24" s="38">
        <f t="shared" si="10"/>
        <v>44205</v>
      </c>
      <c r="R24" s="38">
        <f t="shared" si="3"/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89" t="str">
        <f>IF($AF$7&gt;1, "사용", "커브개수"&amp;"="&amp;$AF$7&amp;"이므로 사용안함")</f>
        <v>커브개수=1이므로 사용안함</v>
      </c>
      <c r="AE24" s="172" t="str">
        <f>IF($AF$7&gt;=2,"기초금리 Range상한", "")</f>
        <v/>
      </c>
      <c r="AF24" s="172"/>
      <c r="AG24" s="181">
        <v>0.5</v>
      </c>
      <c r="AH24" s="181"/>
      <c r="AI24" s="173"/>
      <c r="AJ24" s="173"/>
      <c r="AK24" s="173" t="str">
        <f>IF(AG23&gt;0,"만기2","")</f>
        <v/>
      </c>
      <c r="AL24" s="173"/>
      <c r="AM24" s="135">
        <v>5</v>
      </c>
      <c r="AN24" s="136"/>
      <c r="AP24" s="38">
        <v>44113</v>
      </c>
      <c r="AQ24" s="38">
        <v>44205</v>
      </c>
      <c r="AR24" s="38">
        <v>44113</v>
      </c>
      <c r="AS24" s="38">
        <v>44205</v>
      </c>
      <c r="AT24" s="38">
        <f t="shared" si="4"/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6"/>
      <c r="C25" s="178" t="str">
        <f>IF($D$7&gt;=2,"기초금리 Range하한", "")</f>
        <v/>
      </c>
      <c r="D25" s="143"/>
      <c r="E25" s="180">
        <v>-1</v>
      </c>
      <c r="F25" s="180"/>
      <c r="G25" s="182"/>
      <c r="H25" s="182"/>
      <c r="I25" s="152" t="str">
        <f>IF(E23&gt;0,"Spread1","")</f>
        <v/>
      </c>
      <c r="J25" s="152"/>
      <c r="K25" s="153" t="str">
        <f>IF(E23&gt;0, I23&amp;"-"&amp;I24, "")</f>
        <v/>
      </c>
      <c r="L25" s="154"/>
      <c r="N25" s="38">
        <f t="shared" si="8"/>
        <v>44205</v>
      </c>
      <c r="O25" s="38">
        <f t="shared" ref="O25:O40" si="11">EDATE(N25,3)</f>
        <v>44295</v>
      </c>
      <c r="P25" s="38">
        <f t="shared" ref="P25:P40" si="12">N25</f>
        <v>44205</v>
      </c>
      <c r="Q25" s="38">
        <f t="shared" ref="Q25:Q40" si="13">O25</f>
        <v>44295</v>
      </c>
      <c r="R25" s="38">
        <f t="shared" si="3"/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89"/>
      <c r="AE25" s="172" t="str">
        <f>IF($AF$7&gt;=2,"기초금리 Range하한", "")</f>
        <v/>
      </c>
      <c r="AF25" s="174"/>
      <c r="AG25" s="180">
        <v>-0.1</v>
      </c>
      <c r="AH25" s="180"/>
      <c r="AI25" s="193"/>
      <c r="AJ25" s="193"/>
      <c r="AK25" s="190" t="str">
        <f>IF(AG23&gt;0,"Spread1","")</f>
        <v/>
      </c>
      <c r="AL25" s="190"/>
      <c r="AM25" s="191" t="str">
        <f>IF(AG23&gt;0, AK23&amp;"-"&amp;AK24, "")</f>
        <v/>
      </c>
      <c r="AN25" s="192"/>
      <c r="AP25" s="38">
        <v>44205</v>
      </c>
      <c r="AQ25" s="38">
        <v>44295</v>
      </c>
      <c r="AR25" s="38">
        <v>44205</v>
      </c>
      <c r="AS25" s="38">
        <v>44295</v>
      </c>
      <c r="AT25" s="38">
        <f t="shared" si="4"/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79" t="str">
        <f>IF($D$7&gt;=2,"Payoff조건Multiple", "")</f>
        <v/>
      </c>
      <c r="D26" s="179"/>
      <c r="E26" s="195">
        <v>0</v>
      </c>
      <c r="F26" s="195"/>
      <c r="G26" s="198" t="str">
        <f>IF(E23&gt;0,"예시) 10년-5년 스왑: 연 지급횟수=4, 만기1=10, 만기2=5","")</f>
        <v/>
      </c>
      <c r="H26" s="198"/>
      <c r="I26" s="198"/>
      <c r="J26" s="198"/>
      <c r="K26" s="198"/>
      <c r="L26" s="199"/>
      <c r="N26" s="38">
        <f t="shared" si="8"/>
        <v>44295</v>
      </c>
      <c r="O26" s="38">
        <f t="shared" si="11"/>
        <v>44386</v>
      </c>
      <c r="P26" s="38">
        <f t="shared" si="12"/>
        <v>44295</v>
      </c>
      <c r="Q26" s="38">
        <f t="shared" si="13"/>
        <v>44386</v>
      </c>
      <c r="R26" s="38">
        <f t="shared" si="3"/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24" t="str">
        <f>IF($AF$7&gt;=2,"Payoff조건Multiple", "")</f>
        <v/>
      </c>
      <c r="AF26" s="124"/>
      <c r="AG26" s="195">
        <v>0</v>
      </c>
      <c r="AH26" s="195"/>
      <c r="AI26" s="198" t="str">
        <f>IF(AG23&gt;0,"예시) 10년-5년 스왑: 연 지급횟수=4, 만기1=10, 만기2=5","")</f>
        <v/>
      </c>
      <c r="AJ26" s="198"/>
      <c r="AK26" s="198"/>
      <c r="AL26" s="198"/>
      <c r="AM26" s="198"/>
      <c r="AN26" s="199"/>
      <c r="AP26" s="38">
        <v>44295</v>
      </c>
      <c r="AQ26" s="38">
        <v>44386</v>
      </c>
      <c r="AR26" s="38">
        <v>44295</v>
      </c>
      <c r="AS26" s="38">
        <v>44386</v>
      </c>
      <c r="AT26" s="38">
        <f t="shared" si="4"/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8"/>
        <v>44386</v>
      </c>
      <c r="O27" s="38">
        <f t="shared" si="11"/>
        <v>44478</v>
      </c>
      <c r="P27" s="38">
        <f t="shared" si="12"/>
        <v>44386</v>
      </c>
      <c r="Q27" s="38">
        <f t="shared" si="13"/>
        <v>44478</v>
      </c>
      <c r="R27" s="38">
        <f t="shared" si="3"/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f t="shared" si="4"/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5" t="str">
        <f>IF($D$7&gt;=3,"기초금리3", "")</f>
        <v/>
      </c>
      <c r="C28" s="162" t="str">
        <f>IF($D$7&gt;=3,"커브번호", "")</f>
        <v/>
      </c>
      <c r="D28" s="162"/>
      <c r="E28" s="163">
        <v>3</v>
      </c>
      <c r="F28" s="163"/>
      <c r="G28" s="71"/>
      <c r="H28" s="36"/>
      <c r="I28" s="166" t="str">
        <f>IF(OR(E29 = 0, E29 = 2, E29 = 4), "RefType = "&amp;E29&amp;" 이므로 Ref Swap 금리정보 사용안함", "사용")</f>
        <v>RefType = 0 이므로 Ref Swap 금리정보 사용안함</v>
      </c>
      <c r="J28" s="166"/>
      <c r="K28" s="166"/>
      <c r="L28" s="194"/>
      <c r="N28" s="38">
        <f t="shared" si="8"/>
        <v>44478</v>
      </c>
      <c r="O28" s="38">
        <f t="shared" si="11"/>
        <v>44570</v>
      </c>
      <c r="P28" s="38">
        <f t="shared" si="12"/>
        <v>44478</v>
      </c>
      <c r="Q28" s="38">
        <f t="shared" si="13"/>
        <v>44570</v>
      </c>
      <c r="R28" s="38">
        <f t="shared" si="3"/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17" t="str">
        <f>IF($AF$7&gt;=3,"기초금리3", "")</f>
        <v/>
      </c>
      <c r="AE28" s="123" t="str">
        <f>IF($AF$7&gt;=3,"커브번호", "")</f>
        <v/>
      </c>
      <c r="AF28" s="123"/>
      <c r="AG28" s="163">
        <v>3</v>
      </c>
      <c r="AH28" s="163"/>
      <c r="AI28" s="71"/>
      <c r="AJ28" s="36"/>
      <c r="AK28" s="187" t="str">
        <f>IF(OR(AG29 = 0, AG29 = 2, AG29 = 4), "RefType = "&amp;AG29&amp;" 이므로 Ref Swap 금리정보 사용안함", "사용")</f>
        <v>RefType = 0 이므로 Ref Swap 금리정보 사용안함</v>
      </c>
      <c r="AL28" s="187"/>
      <c r="AM28" s="187"/>
      <c r="AN28" s="188"/>
      <c r="AP28" s="38">
        <v>44478</v>
      </c>
      <c r="AQ28" s="38">
        <v>44570</v>
      </c>
      <c r="AR28" s="38">
        <v>44478</v>
      </c>
      <c r="AS28" s="38">
        <v>44570</v>
      </c>
      <c r="AT28" s="38">
        <f t="shared" si="4"/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6"/>
      <c r="C29" s="143" t="str">
        <f>IF($D$7&gt;=3,"Reference Rate Type", "")</f>
        <v/>
      </c>
      <c r="D29" s="144"/>
      <c r="E29" s="155">
        <v>0</v>
      </c>
      <c r="F29" s="155"/>
      <c r="G29" s="137" t="str">
        <f>IF(OR(E29 = 0, E29 = 2, E29 = 4), "", "Zero/Swap 레퍼런스금리정보")</f>
        <v/>
      </c>
      <c r="H29" s="137"/>
      <c r="I29" s="137" t="str">
        <f>IF(OR(E29 = 0, E29 = 2, E29 = 4), "", "연 지급횟수")</f>
        <v/>
      </c>
      <c r="J29" s="138"/>
      <c r="K29" s="139">
        <v>4</v>
      </c>
      <c r="L29" s="140"/>
      <c r="N29" s="38">
        <f t="shared" si="8"/>
        <v>44570</v>
      </c>
      <c r="O29" s="38">
        <f t="shared" si="11"/>
        <v>44660</v>
      </c>
      <c r="P29" s="38">
        <f t="shared" si="12"/>
        <v>44570</v>
      </c>
      <c r="Q29" s="38">
        <f t="shared" si="13"/>
        <v>44660</v>
      </c>
      <c r="R29" s="38">
        <f t="shared" si="3"/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89"/>
      <c r="AE29" s="174" t="str">
        <f>IF($AF$7&gt;=3,"Reference Rate Type", "")</f>
        <v/>
      </c>
      <c r="AF29" s="175"/>
      <c r="AG29" s="155">
        <v>0</v>
      </c>
      <c r="AH29" s="155"/>
      <c r="AI29" s="176" t="str">
        <f>IF(OR(AG29 = 0, AG29 = 2, AG29 = 4), "", "Zero/Swap 레퍼런스금리정보")</f>
        <v/>
      </c>
      <c r="AJ29" s="176"/>
      <c r="AK29" s="176" t="str">
        <f>IF(OR(AG29 = 0, AG29 = 2, AG29 = 4), "", "연 지급횟수")</f>
        <v/>
      </c>
      <c r="AL29" s="177"/>
      <c r="AM29" s="139">
        <v>4</v>
      </c>
      <c r="AN29" s="140"/>
      <c r="AP29" s="38">
        <v>44570</v>
      </c>
      <c r="AQ29" s="38">
        <v>44660</v>
      </c>
      <c r="AR29" s="38">
        <v>44570</v>
      </c>
      <c r="AS29" s="38">
        <v>44660</v>
      </c>
      <c r="AT29" s="38">
        <f t="shared" si="4"/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6"/>
      <c r="C30" s="143" t="str">
        <f>IF($D$7&gt;=3,"DayCount", "")</f>
        <v/>
      </c>
      <c r="D30" s="143"/>
      <c r="E30" s="156">
        <v>0</v>
      </c>
      <c r="F30" s="156"/>
      <c r="G30" s="137"/>
      <c r="H30" s="137"/>
      <c r="I30" s="137" t="str">
        <f>IF(OR(E29 = 0, E29 = 2, E29 = 4,E32=1), "", "만기")</f>
        <v/>
      </c>
      <c r="J30" s="138"/>
      <c r="K30" s="141">
        <v>5</v>
      </c>
      <c r="L30" s="142"/>
      <c r="N30" s="38">
        <f t="shared" si="8"/>
        <v>44660</v>
      </c>
      <c r="O30" s="38">
        <f t="shared" si="11"/>
        <v>44751</v>
      </c>
      <c r="P30" s="38">
        <f t="shared" si="12"/>
        <v>44660</v>
      </c>
      <c r="Q30" s="38">
        <f t="shared" si="13"/>
        <v>44751</v>
      </c>
      <c r="R30" s="38">
        <f t="shared" si="3"/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89"/>
      <c r="AE30" s="174" t="str">
        <f>IF($AF$7&gt;=3,"DayCount", "")</f>
        <v/>
      </c>
      <c r="AF30" s="174"/>
      <c r="AG30" s="156">
        <v>0</v>
      </c>
      <c r="AH30" s="156"/>
      <c r="AI30" s="176"/>
      <c r="AJ30" s="176"/>
      <c r="AK30" s="137" t="str">
        <f>IF(OR(AG29 = 0, AG29 = 2, AG29 = 4,AG32=1), "", "만기")</f>
        <v/>
      </c>
      <c r="AL30" s="138"/>
      <c r="AM30" s="141">
        <v>5</v>
      </c>
      <c r="AN30" s="142"/>
      <c r="AP30" s="38">
        <v>44660</v>
      </c>
      <c r="AQ30" s="38">
        <v>44751</v>
      </c>
      <c r="AR30" s="38">
        <v>44660</v>
      </c>
      <c r="AS30" s="38">
        <v>44751</v>
      </c>
      <c r="AT30" s="38">
        <f t="shared" si="4"/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6"/>
      <c r="C31" s="143" t="str">
        <f>IF($D$7&gt;=3,"금리결정조건Multiple", "")</f>
        <v/>
      </c>
      <c r="D31" s="144"/>
      <c r="E31" s="133">
        <v>1</v>
      </c>
      <c r="F31" s="133"/>
      <c r="G31" s="158" t="str">
        <f>IF(OR(E29 = 0, E29 = 2, E29 = 4), "", "ex) Zero Rate 5년 -&gt; 연 지급횟수= 0, 만기= 5 // CD91일 -&gt; 연 지급횟수= 4, 만기= 0.25")</f>
        <v/>
      </c>
      <c r="H31" s="158"/>
      <c r="I31" s="158"/>
      <c r="J31" s="158"/>
      <c r="K31" s="158"/>
      <c r="L31" s="159"/>
      <c r="N31" s="38">
        <f t="shared" si="8"/>
        <v>44751</v>
      </c>
      <c r="O31" s="38">
        <f t="shared" si="11"/>
        <v>44843</v>
      </c>
      <c r="P31" s="38">
        <f t="shared" si="12"/>
        <v>44751</v>
      </c>
      <c r="Q31" s="38">
        <f t="shared" si="13"/>
        <v>44843</v>
      </c>
      <c r="R31" s="38">
        <f t="shared" si="3"/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89"/>
      <c r="AE31" s="174" t="str">
        <f>IF($AF$7&gt;=3,"금리결정조건Multiple", "")</f>
        <v/>
      </c>
      <c r="AF31" s="175"/>
      <c r="AG31" s="133">
        <v>1</v>
      </c>
      <c r="AH31" s="133"/>
      <c r="AI31" s="158" t="str">
        <f>IF(OR(AG29 = 0, AG29 = 2, AG29 = 4), "", "ex) Zero Rate 5년 -&gt; 연 지급횟수= 0, 만기= 5 // CD91일 -&gt; 연 지급횟수= 4, 만기= 0.25")</f>
        <v/>
      </c>
      <c r="AJ31" s="158"/>
      <c r="AK31" s="158"/>
      <c r="AL31" s="158"/>
      <c r="AM31" s="158"/>
      <c r="AN31" s="159"/>
      <c r="AP31" s="38">
        <v>44751</v>
      </c>
      <c r="AQ31" s="38">
        <v>44843</v>
      </c>
      <c r="AR31" s="38">
        <v>44751</v>
      </c>
      <c r="AS31" s="38">
        <v>44843</v>
      </c>
      <c r="AT31" s="38">
        <f t="shared" si="4"/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6"/>
      <c r="C32" s="178" t="str">
        <f>IF($D$7&gt;=3,"Power Spread Flag", "")</f>
        <v/>
      </c>
      <c r="D32" s="178"/>
      <c r="E32" s="156">
        <v>0</v>
      </c>
      <c r="F32" s="156"/>
      <c r="G32" s="134" t="str">
        <f>IF(E32&gt;0,"PowerSpreadFlag 1일때 입력","입력필요X")</f>
        <v>입력필요X</v>
      </c>
      <c r="H32" s="134"/>
      <c r="I32" s="134" t="str">
        <f>IF(E32&gt;0,"만기1","")</f>
        <v/>
      </c>
      <c r="J32" s="134"/>
      <c r="K32" s="135">
        <v>10</v>
      </c>
      <c r="L32" s="136"/>
      <c r="N32" s="38">
        <f t="shared" si="8"/>
        <v>44843</v>
      </c>
      <c r="O32" s="38">
        <f t="shared" si="11"/>
        <v>44935</v>
      </c>
      <c r="P32" s="38">
        <f t="shared" si="12"/>
        <v>44843</v>
      </c>
      <c r="Q32" s="38">
        <f t="shared" si="13"/>
        <v>44935</v>
      </c>
      <c r="R32" s="38">
        <f t="shared" si="3"/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89"/>
      <c r="AE32" s="172" t="str">
        <f>IF($AF$7&gt;=3,"Power Spread Flag", "")</f>
        <v/>
      </c>
      <c r="AF32" s="172"/>
      <c r="AG32" s="156">
        <v>0</v>
      </c>
      <c r="AH32" s="156"/>
      <c r="AI32" s="173" t="str">
        <f>IF(AG32&gt;0,"PowerSpreadFlag 1일때 입력","입력필요X")</f>
        <v>입력필요X</v>
      </c>
      <c r="AJ32" s="173"/>
      <c r="AK32" s="173" t="str">
        <f>IF(AG32&gt;0,"만기1","")</f>
        <v/>
      </c>
      <c r="AL32" s="173"/>
      <c r="AM32" s="135">
        <v>10</v>
      </c>
      <c r="AN32" s="136"/>
      <c r="AP32" s="38">
        <v>44843</v>
      </c>
      <c r="AQ32" s="38">
        <v>44935</v>
      </c>
      <c r="AR32" s="38">
        <v>44843</v>
      </c>
      <c r="AS32" s="38">
        <v>44935</v>
      </c>
      <c r="AT32" s="38">
        <f t="shared" si="4"/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6" t="str">
        <f>IF($D$7&gt;2, "사용", "커브개수"&amp;"="&amp;$D$7&amp;"이므로 사용안함")</f>
        <v>커브개수=1이므로 사용안함</v>
      </c>
      <c r="C33" s="178" t="str">
        <f>IF($D$7&gt;=3,"기초금리 Range상한", "")</f>
        <v/>
      </c>
      <c r="D33" s="178"/>
      <c r="E33" s="181">
        <v>0.5</v>
      </c>
      <c r="F33" s="181"/>
      <c r="G33" s="134"/>
      <c r="H33" s="134"/>
      <c r="I33" s="134" t="str">
        <f>IF(E32&gt;0,"만기2","")</f>
        <v/>
      </c>
      <c r="J33" s="134"/>
      <c r="K33" s="135">
        <v>5</v>
      </c>
      <c r="L33" s="136"/>
      <c r="N33" s="38">
        <f t="shared" si="8"/>
        <v>44935</v>
      </c>
      <c r="O33" s="38">
        <f t="shared" si="11"/>
        <v>45025</v>
      </c>
      <c r="P33" s="38">
        <f t="shared" si="12"/>
        <v>44935</v>
      </c>
      <c r="Q33" s="38">
        <f t="shared" si="13"/>
        <v>45025</v>
      </c>
      <c r="R33" s="38">
        <f t="shared" si="3"/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89" t="str">
        <f>IF($AF$7&gt;2, "사용", "커브개수"&amp;"="&amp;$AF$7&amp;"이므로 사용안함")</f>
        <v>커브개수=1이므로 사용안함</v>
      </c>
      <c r="AE33" s="172" t="str">
        <f>IF($AF$7&gt;=3,"기초금리 Range상한", "")</f>
        <v/>
      </c>
      <c r="AF33" s="172"/>
      <c r="AG33" s="181">
        <v>0.5</v>
      </c>
      <c r="AH33" s="181"/>
      <c r="AI33" s="173"/>
      <c r="AJ33" s="173"/>
      <c r="AK33" s="173" t="str">
        <f>IF(AG32&gt;0,"만기2","")</f>
        <v/>
      </c>
      <c r="AL33" s="173"/>
      <c r="AM33" s="135">
        <v>5</v>
      </c>
      <c r="AN33" s="136"/>
      <c r="AP33" s="38">
        <v>44935</v>
      </c>
      <c r="AQ33" s="38">
        <v>45025</v>
      </c>
      <c r="AR33" s="38">
        <v>44935</v>
      </c>
      <c r="AS33" s="38">
        <v>45025</v>
      </c>
      <c r="AT33" s="38">
        <f t="shared" si="4"/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6"/>
      <c r="C34" s="178" t="str">
        <f>IF($D$7&gt;=3,"기초금리 Range하한", "")</f>
        <v/>
      </c>
      <c r="D34" s="143"/>
      <c r="E34" s="180">
        <v>-0.1</v>
      </c>
      <c r="F34" s="180"/>
      <c r="G34" s="182"/>
      <c r="H34" s="182"/>
      <c r="I34" s="152" t="str">
        <f>IF(E32&gt;0,"Spread1","")</f>
        <v/>
      </c>
      <c r="J34" s="152"/>
      <c r="K34" s="153" t="str">
        <f>IF(E32&gt;0, I32&amp;"-"&amp;I33, "")</f>
        <v/>
      </c>
      <c r="L34" s="154"/>
      <c r="N34" s="38">
        <f t="shared" si="8"/>
        <v>45025</v>
      </c>
      <c r="O34" s="38">
        <f t="shared" si="11"/>
        <v>45116</v>
      </c>
      <c r="P34" s="38">
        <f t="shared" si="12"/>
        <v>45025</v>
      </c>
      <c r="Q34" s="38">
        <f t="shared" si="13"/>
        <v>45116</v>
      </c>
      <c r="R34" s="38">
        <f t="shared" si="3"/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89"/>
      <c r="AE34" s="172" t="str">
        <f>IF($AF$7&gt;=3,"기초금리 Range하한", "")</f>
        <v/>
      </c>
      <c r="AF34" s="174"/>
      <c r="AG34" s="180">
        <v>-0.1</v>
      </c>
      <c r="AH34" s="180"/>
      <c r="AI34" s="193"/>
      <c r="AJ34" s="193"/>
      <c r="AK34" s="190" t="str">
        <f>IF(AG32&gt;0,"Spread1","")</f>
        <v/>
      </c>
      <c r="AL34" s="190"/>
      <c r="AM34" s="191" t="str">
        <f>IF(AG32&gt;0, AK32&amp;"-"&amp;AK33, "")</f>
        <v/>
      </c>
      <c r="AN34" s="192"/>
      <c r="AP34" s="38">
        <v>45025</v>
      </c>
      <c r="AQ34" s="38">
        <v>45116</v>
      </c>
      <c r="AR34" s="38">
        <v>45025</v>
      </c>
      <c r="AS34" s="38">
        <v>45116</v>
      </c>
      <c r="AT34" s="38">
        <f t="shared" si="4"/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79" t="str">
        <f>IF($D$7&gt;=3,"Payoff조건Multiple", "")</f>
        <v/>
      </c>
      <c r="D35" s="179"/>
      <c r="E35" s="195">
        <v>0</v>
      </c>
      <c r="F35" s="195"/>
      <c r="G35" s="198" t="str">
        <f>IF(E32&gt;0,"예시) 10년-5년 스왑: 연 지급횟수=4, 만기1=10, 만기2=5","")</f>
        <v/>
      </c>
      <c r="H35" s="198"/>
      <c r="I35" s="198"/>
      <c r="J35" s="198"/>
      <c r="K35" s="198"/>
      <c r="L35" s="199"/>
      <c r="N35" s="38">
        <f t="shared" si="8"/>
        <v>45116</v>
      </c>
      <c r="O35" s="38">
        <f t="shared" si="11"/>
        <v>45208</v>
      </c>
      <c r="P35" s="38">
        <f t="shared" si="12"/>
        <v>45116</v>
      </c>
      <c r="Q35" s="38">
        <f t="shared" si="13"/>
        <v>45208</v>
      </c>
      <c r="R35" s="38">
        <f t="shared" si="3"/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24" t="str">
        <f>IF($AF$7&gt;=3,"Payoff조건Multiple", "")</f>
        <v/>
      </c>
      <c r="AF35" s="124"/>
      <c r="AG35" s="195">
        <v>0</v>
      </c>
      <c r="AH35" s="195"/>
      <c r="AI35" s="198" t="str">
        <f>IF(AG32&gt;0,"예시) 10년-5년 스왑: 연 지급횟수=4, 만기1=10, 만기2=5","")</f>
        <v/>
      </c>
      <c r="AJ35" s="198"/>
      <c r="AK35" s="198"/>
      <c r="AL35" s="198"/>
      <c r="AM35" s="198"/>
      <c r="AN35" s="199"/>
      <c r="AP35" s="38">
        <v>45116</v>
      </c>
      <c r="AQ35" s="38">
        <v>45208</v>
      </c>
      <c r="AR35" s="38">
        <v>45116</v>
      </c>
      <c r="AS35" s="38">
        <v>45208</v>
      </c>
      <c r="AT35" s="38">
        <f t="shared" si="4"/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8"/>
        <v>45208</v>
      </c>
      <c r="O36" s="38">
        <f t="shared" si="11"/>
        <v>45300</v>
      </c>
      <c r="P36" s="38">
        <f t="shared" si="12"/>
        <v>45208</v>
      </c>
      <c r="Q36" s="38">
        <f t="shared" si="13"/>
        <v>45300</v>
      </c>
      <c r="R36" s="38">
        <f t="shared" si="3"/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f t="shared" si="4"/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18" t="s">
        <v>94</v>
      </c>
      <c r="C37" s="123" t="s">
        <v>33</v>
      </c>
      <c r="D37" s="123"/>
      <c r="E37" s="125">
        <v>1</v>
      </c>
      <c r="F37" s="126"/>
      <c r="G37" s="35"/>
      <c r="H37" s="117" t="s">
        <v>48</v>
      </c>
      <c r="I37" s="118"/>
      <c r="J37" s="119">
        <v>0</v>
      </c>
      <c r="K37" s="119"/>
      <c r="L37" s="120"/>
      <c r="N37" s="38">
        <f t="shared" si="8"/>
        <v>45300</v>
      </c>
      <c r="O37" s="38">
        <f t="shared" si="11"/>
        <v>45391</v>
      </c>
      <c r="P37" s="38">
        <f t="shared" si="12"/>
        <v>45300</v>
      </c>
      <c r="Q37" s="38">
        <f t="shared" si="13"/>
        <v>45391</v>
      </c>
      <c r="R37" s="38">
        <f t="shared" si="3"/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18" t="s">
        <v>94</v>
      </c>
      <c r="AE37" s="123" t="s">
        <v>33</v>
      </c>
      <c r="AF37" s="123"/>
      <c r="AG37" s="125">
        <v>1</v>
      </c>
      <c r="AH37" s="126"/>
      <c r="AJ37" s="117" t="s">
        <v>48</v>
      </c>
      <c r="AK37" s="118"/>
      <c r="AL37" s="119">
        <v>0</v>
      </c>
      <c r="AM37" s="119"/>
      <c r="AN37" s="120"/>
      <c r="AP37" s="38">
        <v>45300</v>
      </c>
      <c r="AQ37" s="38">
        <v>45391</v>
      </c>
      <c r="AR37" s="38">
        <v>45300</v>
      </c>
      <c r="AS37" s="38">
        <v>45391</v>
      </c>
      <c r="AT37" s="38">
        <f t="shared" si="4"/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1"/>
      <c r="C38" s="124"/>
      <c r="D38" s="124"/>
      <c r="E38" s="127"/>
      <c r="F38" s="128"/>
      <c r="G38" s="35"/>
      <c r="H38" s="108" t="s">
        <v>49</v>
      </c>
      <c r="I38" s="109"/>
      <c r="J38" s="109"/>
      <c r="K38" s="109"/>
      <c r="L38" s="110"/>
      <c r="N38" s="38">
        <f t="shared" si="8"/>
        <v>45391</v>
      </c>
      <c r="O38" s="38">
        <f t="shared" si="11"/>
        <v>45482</v>
      </c>
      <c r="P38" s="38">
        <f t="shared" si="12"/>
        <v>45391</v>
      </c>
      <c r="Q38" s="38">
        <f t="shared" si="13"/>
        <v>45482</v>
      </c>
      <c r="R38" s="38">
        <f t="shared" si="3"/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21"/>
      <c r="AE38" s="124"/>
      <c r="AF38" s="124"/>
      <c r="AG38" s="127"/>
      <c r="AH38" s="128"/>
      <c r="AJ38" s="108" t="s">
        <v>49</v>
      </c>
      <c r="AK38" s="109"/>
      <c r="AL38" s="109"/>
      <c r="AM38" s="109"/>
      <c r="AN38" s="110"/>
      <c r="AP38" s="38">
        <v>45391</v>
      </c>
      <c r="AQ38" s="38">
        <v>45482</v>
      </c>
      <c r="AR38" s="38">
        <v>45391</v>
      </c>
      <c r="AS38" s="38">
        <v>45482</v>
      </c>
      <c r="AT38" s="38">
        <f t="shared" si="4"/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1"/>
      <c r="C39" s="122"/>
      <c r="D39" s="122"/>
      <c r="E39" s="122"/>
      <c r="F39" s="122"/>
      <c r="G39" s="35"/>
      <c r="H39" s="11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5"/>
      <c r="J39" s="115"/>
      <c r="K39" s="115"/>
      <c r="L39" s="116"/>
      <c r="N39" s="38">
        <f t="shared" si="8"/>
        <v>45482</v>
      </c>
      <c r="O39" s="38">
        <f t="shared" si="11"/>
        <v>45574</v>
      </c>
      <c r="P39" s="38">
        <f t="shared" si="12"/>
        <v>45482</v>
      </c>
      <c r="Q39" s="38">
        <f t="shared" si="13"/>
        <v>45574</v>
      </c>
      <c r="R39" s="38">
        <f t="shared" si="3"/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21"/>
      <c r="AE39" s="122"/>
      <c r="AF39" s="122"/>
      <c r="AG39" s="122"/>
      <c r="AH39" s="122"/>
      <c r="AJ39" s="11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2"/>
      <c r="AL39" s="112"/>
      <c r="AM39" s="112"/>
      <c r="AN39" s="113"/>
      <c r="AP39" s="38">
        <v>45482</v>
      </c>
      <c r="AQ39" s="38">
        <v>45574</v>
      </c>
      <c r="AR39" s="38">
        <v>45482</v>
      </c>
      <c r="AS39" s="38">
        <v>45574</v>
      </c>
      <c r="AT39" s="38">
        <f t="shared" si="4"/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8"/>
        <v>45574</v>
      </c>
      <c r="O40" s="38">
        <f t="shared" si="11"/>
        <v>45666</v>
      </c>
      <c r="P40" s="38">
        <f t="shared" si="12"/>
        <v>45574</v>
      </c>
      <c r="Q40" s="38">
        <f t="shared" si="13"/>
        <v>45666</v>
      </c>
      <c r="R40" s="38">
        <f t="shared" si="3"/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f t="shared" si="4"/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8"/>
        <v>45666</v>
      </c>
      <c r="O41" s="38">
        <f t="shared" ref="O41:O52" si="14">EDATE(N41,3)</f>
        <v>45756</v>
      </c>
      <c r="P41" s="38">
        <f t="shared" ref="P41:P52" si="15">N41</f>
        <v>45666</v>
      </c>
      <c r="Q41" s="38">
        <f t="shared" ref="Q41:Q52" si="16">O41</f>
        <v>45756</v>
      </c>
      <c r="R41" s="38">
        <f t="shared" si="3"/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f t="shared" si="4"/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97" t="s">
        <v>89</v>
      </c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N42" s="38">
        <f t="shared" si="8"/>
        <v>45756</v>
      </c>
      <c r="O42" s="38">
        <f t="shared" si="14"/>
        <v>45847</v>
      </c>
      <c r="P42" s="38">
        <f t="shared" si="15"/>
        <v>45756</v>
      </c>
      <c r="Q42" s="38">
        <f t="shared" si="16"/>
        <v>45847</v>
      </c>
      <c r="R42" s="38">
        <f t="shared" si="3"/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f t="shared" si="4"/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f t="shared" si="8"/>
        <v>45847</v>
      </c>
      <c r="O43" s="38">
        <f t="shared" si="14"/>
        <v>45939</v>
      </c>
      <c r="P43" s="38">
        <f t="shared" si="15"/>
        <v>45847</v>
      </c>
      <c r="Q43" s="38">
        <f t="shared" si="16"/>
        <v>45939</v>
      </c>
      <c r="R43" s="38">
        <f t="shared" si="3"/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f t="shared" si="4"/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f t="shared" si="8"/>
        <v>45939</v>
      </c>
      <c r="O44" s="38">
        <f t="shared" si="14"/>
        <v>46031</v>
      </c>
      <c r="P44" s="38">
        <f t="shared" si="15"/>
        <v>45939</v>
      </c>
      <c r="Q44" s="38">
        <f t="shared" si="16"/>
        <v>46031</v>
      </c>
      <c r="R44" s="38">
        <f t="shared" si="3"/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f t="shared" si="4"/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17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8"/>
        <v>46031</v>
      </c>
      <c r="O45" s="38">
        <f t="shared" si="14"/>
        <v>46121</v>
      </c>
      <c r="P45" s="38">
        <f t="shared" si="15"/>
        <v>46031</v>
      </c>
      <c r="Q45" s="38">
        <f t="shared" si="16"/>
        <v>46121</v>
      </c>
      <c r="R45" s="38">
        <f t="shared" si="3"/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f t="shared" si="4"/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17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8"/>
        <v>46121</v>
      </c>
      <c r="O46" s="38">
        <f t="shared" si="14"/>
        <v>46212</v>
      </c>
      <c r="P46" s="38">
        <f t="shared" si="15"/>
        <v>46121</v>
      </c>
      <c r="Q46" s="38">
        <f t="shared" si="16"/>
        <v>46212</v>
      </c>
      <c r="R46" s="38">
        <f t="shared" si="3"/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f t="shared" si="4"/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17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8"/>
        <v>46212</v>
      </c>
      <c r="O47" s="38">
        <f t="shared" si="14"/>
        <v>46304</v>
      </c>
      <c r="P47" s="38">
        <f t="shared" si="15"/>
        <v>46212</v>
      </c>
      <c r="Q47" s="38">
        <f t="shared" si="16"/>
        <v>46304</v>
      </c>
      <c r="R47" s="38">
        <f t="shared" si="3"/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f t="shared" si="4"/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17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8"/>
        <v>46304</v>
      </c>
      <c r="O48" s="38">
        <f t="shared" si="14"/>
        <v>46396</v>
      </c>
      <c r="P48" s="38">
        <f t="shared" si="15"/>
        <v>46304</v>
      </c>
      <c r="Q48" s="38">
        <f t="shared" si="16"/>
        <v>46396</v>
      </c>
      <c r="R48" s="38">
        <f t="shared" si="3"/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f t="shared" si="4"/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17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8"/>
        <v>46396</v>
      </c>
      <c r="O49" s="38">
        <f t="shared" si="14"/>
        <v>46486</v>
      </c>
      <c r="P49" s="38">
        <f t="shared" si="15"/>
        <v>46396</v>
      </c>
      <c r="Q49" s="38">
        <f t="shared" si="16"/>
        <v>46486</v>
      </c>
      <c r="R49" s="38">
        <f t="shared" si="3"/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f t="shared" si="4"/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17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8"/>
        <v>46486</v>
      </c>
      <c r="O50" s="38">
        <f t="shared" si="14"/>
        <v>46577</v>
      </c>
      <c r="P50" s="38">
        <f t="shared" si="15"/>
        <v>46486</v>
      </c>
      <c r="Q50" s="38">
        <f t="shared" si="16"/>
        <v>46577</v>
      </c>
      <c r="R50" s="38">
        <f t="shared" si="3"/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f t="shared" si="4"/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17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8"/>
        <v>46577</v>
      </c>
      <c r="O51" s="38">
        <f t="shared" si="14"/>
        <v>46669</v>
      </c>
      <c r="P51" s="38">
        <f t="shared" si="15"/>
        <v>46577</v>
      </c>
      <c r="Q51" s="38">
        <f t="shared" si="16"/>
        <v>46669</v>
      </c>
      <c r="R51" s="38">
        <f t="shared" si="3"/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f t="shared" si="4"/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17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8"/>
        <v>46669</v>
      </c>
      <c r="O52" s="38">
        <f t="shared" si="14"/>
        <v>46761</v>
      </c>
      <c r="P52" s="38">
        <f t="shared" si="15"/>
        <v>46669</v>
      </c>
      <c r="Q52" s="38">
        <f t="shared" si="16"/>
        <v>46761</v>
      </c>
      <c r="R52" s="38">
        <f t="shared" si="3"/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f t="shared" si="4"/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17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17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17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17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17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17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17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17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17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17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17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17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17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17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17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17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17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17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17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17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17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17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17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17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17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17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17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17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17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17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17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zoomScale="85" zoomScaleNormal="85" workbookViewId="0">
      <selection activeCell="D19" sqref="D19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13"/>
      <c r="C3" s="13"/>
      <c r="D3" s="13"/>
      <c r="E3" s="13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2" t="s">
        <v>55</v>
      </c>
      <c r="C4" s="202"/>
      <c r="D4" s="203">
        <v>10000</v>
      </c>
      <c r="E4" s="203"/>
      <c r="F4" s="13"/>
      <c r="G4" s="204" t="s">
        <v>73</v>
      </c>
      <c r="H4" s="205"/>
      <c r="I4" s="206">
        <v>2023396114.984447</v>
      </c>
      <c r="J4" s="207"/>
      <c r="K4" s="13"/>
      <c r="L4" s="69">
        <v>44959.977986111109</v>
      </c>
      <c r="M4" s="1" t="s">
        <v>5</v>
      </c>
      <c r="N4" s="104" t="s">
        <v>6</v>
      </c>
      <c r="O4" s="10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2" t="s">
        <v>30</v>
      </c>
      <c r="C5" s="202"/>
      <c r="D5" s="203">
        <v>0</v>
      </c>
      <c r="E5" s="203"/>
      <c r="F5" s="13"/>
      <c r="G5" s="204" t="s">
        <v>74</v>
      </c>
      <c r="H5" s="205"/>
      <c r="I5" s="206">
        <v>2235780921.2042298</v>
      </c>
      <c r="J5" s="207"/>
      <c r="K5" s="13"/>
      <c r="L5" s="69">
        <v>44959.977997685186</v>
      </c>
      <c r="M5" s="13"/>
      <c r="N5" s="104"/>
      <c r="O5" s="10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4" t="s">
        <v>106</v>
      </c>
      <c r="H6" s="205"/>
      <c r="I6" s="206">
        <v>303107894.2694006</v>
      </c>
      <c r="J6" s="207"/>
      <c r="K6" s="64"/>
      <c r="L6" s="23"/>
      <c r="M6" s="13"/>
      <c r="N6" s="104"/>
      <c r="O6" s="10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4" t="s">
        <v>88</v>
      </c>
      <c r="H7" s="205"/>
      <c r="I7" s="206">
        <v>515492700.48918343</v>
      </c>
      <c r="J7" s="207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1" t="s">
        <v>61</v>
      </c>
      <c r="C10" s="201"/>
      <c r="D10" s="201"/>
      <c r="E10" s="201"/>
      <c r="F10" s="201"/>
      <c r="G10" s="201"/>
      <c r="H10" s="201"/>
      <c r="I10" s="201" t="s">
        <v>64</v>
      </c>
      <c r="J10" s="201"/>
      <c r="K10" s="201"/>
      <c r="L10" s="201"/>
      <c r="M10" s="201"/>
      <c r="N10" s="201"/>
      <c r="O10" s="201"/>
      <c r="P10" s="13"/>
      <c r="Q10" s="201" t="s">
        <v>98</v>
      </c>
      <c r="R10" s="201"/>
      <c r="S10" s="13"/>
      <c r="T10" s="13"/>
      <c r="U10" s="201" t="s">
        <v>99</v>
      </c>
      <c r="V10" s="201"/>
      <c r="W10" s="13"/>
      <c r="Y10" s="201" t="s">
        <v>100</v>
      </c>
      <c r="Z10" s="201"/>
      <c r="AA10" s="13"/>
      <c r="AB10" s="13"/>
      <c r="AC10" s="201" t="s">
        <v>101</v>
      </c>
      <c r="AD10" s="201"/>
      <c r="AE10" s="13"/>
      <c r="AF10" s="13"/>
      <c r="AG10" s="201" t="s">
        <v>102</v>
      </c>
      <c r="AH10" s="201"/>
      <c r="AI10" s="13"/>
      <c r="AJ10" s="13"/>
      <c r="AK10" s="201" t="s">
        <v>103</v>
      </c>
      <c r="AL10" s="201"/>
      <c r="AM10" s="13"/>
      <c r="AN10" s="13"/>
      <c r="AO10" s="201" t="s">
        <v>104</v>
      </c>
      <c r="AP10" s="201"/>
      <c r="AQ10" s="13"/>
      <c r="AR10" s="13"/>
      <c r="AS10" s="201" t="s">
        <v>105</v>
      </c>
      <c r="AT10" s="201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76624657.534227997</v>
      </c>
      <c r="H12" s="54">
        <v>0.99169594970938235</v>
      </c>
      <c r="I12" s="52">
        <v>44938</v>
      </c>
      <c r="J12" s="53">
        <v>3.9140000000005316E-2</v>
      </c>
      <c r="M12" s="54"/>
      <c r="N12" s="55">
        <v>103695342.46577621</v>
      </c>
      <c r="O12" s="54">
        <v>0.99169594970938235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3.4449476173363622E-2</v>
      </c>
      <c r="F13" s="54"/>
      <c r="G13" s="55">
        <v>84943913.852128789</v>
      </c>
      <c r="H13" s="54">
        <v>0.98322155481975249</v>
      </c>
      <c r="I13" s="52">
        <v>45028</v>
      </c>
      <c r="J13" s="53">
        <v>4.8363109347443693E-2</v>
      </c>
      <c r="M13" s="54"/>
      <c r="N13" s="55">
        <v>124183009.34986126</v>
      </c>
      <c r="O13" s="54">
        <v>0.98322155481975249</v>
      </c>
      <c r="P13" s="13"/>
      <c r="Q13" s="201" t="s">
        <v>97</v>
      </c>
      <c r="R13" s="201"/>
      <c r="S13" s="72"/>
      <c r="T13" s="13"/>
      <c r="U13" s="201" t="s">
        <v>97</v>
      </c>
      <c r="V13" s="201"/>
      <c r="W13" s="72"/>
      <c r="Y13" s="201" t="s">
        <v>97</v>
      </c>
      <c r="Z13" s="201"/>
      <c r="AA13" s="72"/>
      <c r="AB13" s="13"/>
      <c r="AC13" s="201" t="s">
        <v>97</v>
      </c>
      <c r="AD13" s="201"/>
      <c r="AE13" s="72"/>
      <c r="AF13" s="13"/>
      <c r="AG13" s="201" t="s">
        <v>97</v>
      </c>
      <c r="AH13" s="201"/>
      <c r="AI13" s="72"/>
      <c r="AJ13" s="13"/>
      <c r="AK13" s="201" t="s">
        <v>97</v>
      </c>
      <c r="AL13" s="201"/>
      <c r="AM13" s="72"/>
      <c r="AN13" s="13"/>
      <c r="AO13" s="201" t="s">
        <v>97</v>
      </c>
      <c r="AP13" s="201"/>
      <c r="AQ13" s="72"/>
      <c r="AR13" s="13"/>
      <c r="AS13" s="201" t="s">
        <v>97</v>
      </c>
      <c r="AT13" s="201"/>
      <c r="AU13" s="72"/>
    </row>
    <row r="14" spans="1:47" x14ac:dyDescent="0.4">
      <c r="B14" s="52">
        <v>45119</v>
      </c>
      <c r="C14" s="53">
        <v>3.5133880434718101E-2</v>
      </c>
      <c r="F14" s="54"/>
      <c r="G14" s="55">
        <v>87594058.070119292</v>
      </c>
      <c r="H14" s="54">
        <v>0.97454545580912755</v>
      </c>
      <c r="I14" s="52">
        <v>45119</v>
      </c>
      <c r="J14" s="53">
        <v>5.0224212163800998E-2</v>
      </c>
      <c r="M14" s="54"/>
      <c r="N14" s="55">
        <v>130202830.32618894</v>
      </c>
      <c r="O14" s="54">
        <v>0.97454545580912755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3.6402162203987357E-2</v>
      </c>
      <c r="F15" s="54"/>
      <c r="G15" s="55">
        <v>91753395.14429684</v>
      </c>
      <c r="H15" s="54">
        <v>0.96547430818113811</v>
      </c>
      <c r="I15" s="52">
        <v>45211</v>
      </c>
      <c r="J15" s="53">
        <v>5.3269488203988899E-2</v>
      </c>
      <c r="M15" s="54"/>
      <c r="N15" s="55">
        <v>139309394.92512408</v>
      </c>
      <c r="O15" s="54">
        <v>0.96547430818113811</v>
      </c>
      <c r="P15" s="13"/>
      <c r="Q15" s="74">
        <v>2.7397260273972603E-3</v>
      </c>
      <c r="R15" s="66">
        <v>0</v>
      </c>
      <c r="U15" s="74">
        <v>0.25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2.7397260273972603E-3</v>
      </c>
      <c r="AH15" s="66">
        <v>0</v>
      </c>
      <c r="AK15" s="74">
        <v>0.25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45303</v>
      </c>
      <c r="C16" s="53">
        <v>4.8760183953482646E-2</v>
      </c>
      <c r="F16" s="54"/>
      <c r="G16" s="55">
        <v>122902381.47179209</v>
      </c>
      <c r="H16" s="54">
        <v>0.95355000623918629</v>
      </c>
      <c r="I16" s="52">
        <v>45303</v>
      </c>
      <c r="J16" s="53">
        <v>4.7670372851793832E-2</v>
      </c>
      <c r="M16" s="54"/>
      <c r="N16" s="55">
        <v>125196556.22917946</v>
      </c>
      <c r="O16" s="54">
        <v>0.95355000623918629</v>
      </c>
      <c r="P16" s="13"/>
      <c r="Q16" s="74">
        <v>0.25</v>
      </c>
      <c r="R16" s="66">
        <v>0</v>
      </c>
      <c r="U16" s="74">
        <v>0.5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0.25</v>
      </c>
      <c r="AH16" s="66">
        <v>0</v>
      </c>
      <c r="AK16" s="74">
        <v>0.5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45394</v>
      </c>
      <c r="C17" s="53">
        <v>5.3935128621558547E-2</v>
      </c>
      <c r="F17" s="54"/>
      <c r="G17" s="55">
        <v>134468402.86470786</v>
      </c>
      <c r="H17" s="54">
        <v>0.94077125783767357</v>
      </c>
      <c r="I17" s="52">
        <v>45394</v>
      </c>
      <c r="J17" s="53">
        <v>4.7309226497173701E-2</v>
      </c>
      <c r="M17" s="54"/>
      <c r="N17" s="55">
        <v>122935331.81487119</v>
      </c>
      <c r="O17" s="54">
        <v>0.94077125783767357</v>
      </c>
      <c r="P17" s="13"/>
      <c r="Q17" s="74">
        <v>0.5</v>
      </c>
      <c r="R17" s="66">
        <v>0</v>
      </c>
      <c r="U17" s="74">
        <v>1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0.5</v>
      </c>
      <c r="AH17" s="66">
        <v>0</v>
      </c>
      <c r="AK17" s="74">
        <v>1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45485</v>
      </c>
      <c r="C18" s="53">
        <v>4.8412058196647997E-2</v>
      </c>
      <c r="F18" s="54"/>
      <c r="G18" s="55">
        <v>120698556.0519173</v>
      </c>
      <c r="H18" s="54">
        <v>0.92940896884428281</v>
      </c>
      <c r="I18" s="52">
        <v>45485</v>
      </c>
      <c r="J18" s="53">
        <v>4.6936398350626678E-2</v>
      </c>
      <c r="M18" s="54"/>
      <c r="N18" s="55">
        <v>122005815.06594624</v>
      </c>
      <c r="O18" s="54">
        <v>0.92940896884428281</v>
      </c>
      <c r="P18" s="13"/>
      <c r="Q18" s="74">
        <v>1</v>
      </c>
      <c r="R18" s="66">
        <v>0</v>
      </c>
      <c r="U18" s="74">
        <v>2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1</v>
      </c>
      <c r="AH18" s="66">
        <v>0</v>
      </c>
      <c r="AK18" s="74">
        <v>2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45577</v>
      </c>
      <c r="C19" s="53">
        <v>5.0060549369101398E-2</v>
      </c>
      <c r="F19" s="54"/>
      <c r="G19" s="55">
        <v>126180014.84814551</v>
      </c>
      <c r="H19" s="54">
        <v>0.9177604458866333</v>
      </c>
      <c r="I19" s="52">
        <v>45577</v>
      </c>
      <c r="J19" s="53">
        <v>4.6709230387062602E-2</v>
      </c>
      <c r="M19" s="54"/>
      <c r="N19" s="55">
        <v>122773950.56465127</v>
      </c>
      <c r="O19" s="54">
        <v>0.9177604458866333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45669</v>
      </c>
      <c r="C20" s="53">
        <v>4.3330033635950858E-2</v>
      </c>
      <c r="F20" s="54"/>
      <c r="G20" s="56">
        <v>109215427.24678096</v>
      </c>
      <c r="H20" s="54">
        <v>0.90777384386796822</v>
      </c>
      <c r="I20" s="52">
        <v>45669</v>
      </c>
      <c r="J20" s="53">
        <v>4.7832626306952244E-2</v>
      </c>
      <c r="M20" s="54"/>
      <c r="N20" s="56">
        <v>125605523.84218138</v>
      </c>
      <c r="O20" s="54">
        <v>0.90777384386796822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45759</v>
      </c>
      <c r="C21" s="53">
        <v>4.3509050992342514E-2</v>
      </c>
      <c r="F21" s="54"/>
      <c r="G21" s="56">
        <v>107282591.48796837</v>
      </c>
      <c r="H21" s="54">
        <v>0.89806140805681012</v>
      </c>
      <c r="I21" s="52">
        <v>45759</v>
      </c>
      <c r="J21" s="53">
        <v>4.778348678594193E-2</v>
      </c>
      <c r="M21" s="54"/>
      <c r="N21" s="56">
        <v>122753803.03382948</v>
      </c>
      <c r="O21" s="54">
        <v>0.89806140805681012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45850</v>
      </c>
      <c r="C22" s="53">
        <v>4.3724563100779851E-2</v>
      </c>
      <c r="F22" s="54"/>
      <c r="G22" s="56">
        <v>109011924.44304003</v>
      </c>
      <c r="H22" s="54">
        <v>0.8883091323403145</v>
      </c>
      <c r="I22" s="52">
        <v>45850</v>
      </c>
      <c r="J22" s="53">
        <v>4.7822523865872602E-2</v>
      </c>
      <c r="M22" s="54"/>
      <c r="N22" s="56">
        <v>124215059.50121662</v>
      </c>
      <c r="O22" s="54">
        <v>0.8883091323403145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45942</v>
      </c>
      <c r="C23" s="53">
        <v>4.4188609799016204E-2</v>
      </c>
      <c r="F23" s="54"/>
      <c r="G23" s="56">
        <v>111379509.63039629</v>
      </c>
      <c r="H23" s="54">
        <v>0.878456273453181</v>
      </c>
      <c r="I23" s="52">
        <v>45942</v>
      </c>
      <c r="J23" s="53">
        <v>4.7458212372022496E-2</v>
      </c>
      <c r="M23" s="54"/>
      <c r="N23" s="56">
        <v>124661795.56783843</v>
      </c>
      <c r="O23" s="54">
        <v>0.878456273453181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46034</v>
      </c>
      <c r="C24" s="53">
        <v>4.6411914210431365E-2</v>
      </c>
      <c r="F24" s="54"/>
      <c r="G24" s="56">
        <v>116983454.99615642</v>
      </c>
      <c r="H24" s="54">
        <v>0.86824374885889755</v>
      </c>
      <c r="I24" s="52">
        <v>46034</v>
      </c>
      <c r="J24" s="53">
        <v>4.4601995647119502E-2</v>
      </c>
      <c r="M24" s="54"/>
      <c r="N24" s="56">
        <v>117462564.37082195</v>
      </c>
      <c r="O24" s="54">
        <v>0.86824374885889755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46124</v>
      </c>
      <c r="C25" s="53">
        <v>4.6998738297777981E-2</v>
      </c>
      <c r="F25" s="54"/>
      <c r="G25" s="56">
        <v>115887299.91232909</v>
      </c>
      <c r="H25" s="54">
        <v>0.85826226140845108</v>
      </c>
      <c r="I25" s="52">
        <v>46124</v>
      </c>
      <c r="J25" s="53">
        <v>4.4122840806644734E-2</v>
      </c>
      <c r="M25" s="54"/>
      <c r="N25" s="56">
        <v>113727552.67391869</v>
      </c>
      <c r="O25" s="54">
        <v>0.85826226140845108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46215</v>
      </c>
      <c r="C26" s="53">
        <v>4.7566421247090505E-2</v>
      </c>
      <c r="F26" s="54"/>
      <c r="G26" s="56">
        <v>118590255.71192414</v>
      </c>
      <c r="H26" s="54">
        <v>0.84818756328768352</v>
      </c>
      <c r="I26" s="52">
        <v>46215</v>
      </c>
      <c r="J26" s="53">
        <v>4.3675900321258815E-2</v>
      </c>
      <c r="M26" s="54"/>
      <c r="N26" s="56">
        <v>113876902.17080899</v>
      </c>
      <c r="O26" s="54">
        <v>0.84818756328768352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46307</v>
      </c>
      <c r="C27" s="53">
        <v>4.6958260182670512E-2</v>
      </c>
      <c r="F27" s="54"/>
      <c r="G27" s="56">
        <v>118360546.21385372</v>
      </c>
      <c r="H27" s="54">
        <v>0.83831223568300695</v>
      </c>
      <c r="I27" s="52">
        <v>46307</v>
      </c>
      <c r="J27" s="53">
        <v>4.31783753010073E-2</v>
      </c>
      <c r="M27" s="54"/>
      <c r="N27" s="56">
        <v>113874261.0326761</v>
      </c>
      <c r="O27" s="54">
        <v>0.83831223568300695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46399</v>
      </c>
      <c r="C28" s="53">
        <v>4.2030075466431671E-2</v>
      </c>
      <c r="F28" s="54"/>
      <c r="G28" s="56">
        <v>105938820.35374548</v>
      </c>
      <c r="H28" s="54">
        <v>0.82957130864098561</v>
      </c>
      <c r="I28" s="52">
        <v>46399</v>
      </c>
      <c r="J28" s="53">
        <v>4.263951222475372E-2</v>
      </c>
      <c r="M28" s="54"/>
      <c r="N28" s="56">
        <v>112516030.81307785</v>
      </c>
      <c r="O28" s="54">
        <v>0.82957130864098561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46489</v>
      </c>
      <c r="C29" s="53">
        <v>4.1935496508942807E-2</v>
      </c>
      <c r="F29" s="54"/>
      <c r="G29" s="56">
        <v>103402594.13163932</v>
      </c>
      <c r="H29" s="54">
        <v>0.82113219137473681</v>
      </c>
      <c r="I29" s="52">
        <v>46489</v>
      </c>
      <c r="J29" s="53">
        <v>4.2227401960228492E-2</v>
      </c>
      <c r="M29" s="54"/>
      <c r="N29" s="56">
        <v>109053867.84713914</v>
      </c>
      <c r="O29" s="54">
        <v>0.82113219137473681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46580</v>
      </c>
      <c r="C30" s="53">
        <v>4.1760992471659375E-2</v>
      </c>
      <c r="F30" s="54"/>
      <c r="G30" s="56">
        <v>104116446.98413736</v>
      </c>
      <c r="H30" s="54">
        <v>0.81275975886920648</v>
      </c>
      <c r="I30" s="52">
        <v>46580</v>
      </c>
      <c r="J30" s="53">
        <v>4.1688710431783141E-2</v>
      </c>
      <c r="M30" s="54"/>
      <c r="N30" s="56">
        <v>108922538.33677438</v>
      </c>
      <c r="O30" s="54">
        <v>0.81275975886920648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46672</v>
      </c>
      <c r="C31" s="53">
        <v>4.2309561741536342E-2</v>
      </c>
      <c r="F31" s="54"/>
      <c r="G31" s="56">
        <v>106643278.91017343</v>
      </c>
      <c r="H31" s="54">
        <v>0.8042738480245758</v>
      </c>
      <c r="I31" s="52">
        <v>46672</v>
      </c>
      <c r="J31" s="53">
        <v>4.1962818208889474E-2</v>
      </c>
      <c r="M31" s="54"/>
      <c r="N31" s="56">
        <v>110810391.10185874</v>
      </c>
      <c r="O31" s="54">
        <v>0.8042738480245758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>
        <v>46764</v>
      </c>
      <c r="C32" s="53">
        <v>4.4359215109934833E-2</v>
      </c>
      <c r="F32" s="54"/>
      <c r="G32" s="56">
        <v>111809528.49627425</v>
      </c>
      <c r="H32" s="54">
        <v>0.79551358269105177</v>
      </c>
      <c r="I32" s="52">
        <v>46764</v>
      </c>
      <c r="J32" s="53">
        <v>4.3921094692099219E-2</v>
      </c>
      <c r="M32" s="54"/>
      <c r="N32" s="56">
        <v>115746320.86775689</v>
      </c>
      <c r="O32" s="54">
        <v>0.79551358269105177</v>
      </c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1"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Q10:R10"/>
    <mergeCell ref="Q13:R13"/>
    <mergeCell ref="U10:V10"/>
    <mergeCell ref="U13:V13"/>
    <mergeCell ref="Y10:Z10"/>
    <mergeCell ref="Y13:Z1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2023-02-09T09:48:13Z</dcterms:modified>
</cp:coreProperties>
</file>