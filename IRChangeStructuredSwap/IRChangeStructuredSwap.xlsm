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firstSheet="1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32" i="2" l="1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<sst xmlns="http://schemas.openxmlformats.org/spreadsheetml/2006/main" count="254" uniqueCount="111">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</sst>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2Factor(미완성)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B1" zoomScale="90" zoomScaleNormal="90" workbookViewId="0">
      <selection activeCell="B68" sqref="B68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5" t="s">
        <v>0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</row>
    <row r="3" spans="1:45" x14ac:dyDescent="0.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</row>
    <row r="4" spans="1:45" x14ac:dyDescent="0.4">
      <c r="A4" s="9">
        <f>4</f>
        <v>4</v>
      </c>
      <c r="B4" s="106" t="s">
        <v>2</v>
      </c>
      <c r="C4" s="106"/>
      <c r="D4" s="107">
        <v>2</v>
      </c>
      <c r="E4" s="107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106" t="s">
        <v>3</v>
      </c>
      <c r="C6" s="106"/>
      <c r="D6" s="107">
        <v>1</v>
      </c>
      <c r="E6" s="107"/>
      <c r="G6" s="95"/>
      <c r="H6" s="97" t="s">
        <v>7</v>
      </c>
      <c r="I6" s="98"/>
      <c r="L6" s="101" t="s">
        <v>11</v>
      </c>
      <c r="M6" s="101"/>
      <c r="N6" s="101"/>
      <c r="Q6" s="101" t="s">
        <v>12</v>
      </c>
      <c r="R6" s="101"/>
      <c r="S6" s="101"/>
      <c r="V6" s="101" t="s">
        <v>13</v>
      </c>
      <c r="W6" s="101"/>
      <c r="X6" s="101"/>
    </row>
    <row r="7" spans="1:45" x14ac:dyDescent="0.4">
      <c r="A7" s="9">
        <f t="shared" si="1"/>
        <v>7</v>
      </c>
      <c r="B7" s="106" t="s">
        <v>4</v>
      </c>
      <c r="C7" s="106"/>
      <c r="D7" s="107">
        <v>1</v>
      </c>
      <c r="E7" s="107"/>
      <c r="G7" s="95"/>
      <c r="H7" s="99"/>
      <c r="I7" s="100"/>
      <c r="L7" s="101"/>
      <c r="M7" s="101"/>
      <c r="N7" s="101"/>
      <c r="Q7" s="101"/>
      <c r="R7" s="101"/>
      <c r="S7" s="101"/>
      <c r="V7" s="101"/>
      <c r="W7" s="101"/>
      <c r="X7" s="101"/>
    </row>
    <row r="8" spans="1:45" x14ac:dyDescent="0.4">
      <c r="A8" s="9">
        <f t="shared" si="1"/>
        <v>8</v>
      </c>
      <c r="B8" s="106" t="s">
        <v>1</v>
      </c>
      <c r="C8" s="106"/>
      <c r="D8" s="107">
        <v>0.01</v>
      </c>
      <c r="E8" s="107"/>
      <c r="G8" s="95"/>
      <c r="I8" s="2" t="s">
        <v>107</v>
      </c>
      <c r="J8" s="2" t="s">
        <v>108</v>
      </c>
      <c r="K8" s="2" t="s">
        <v>110</v>
      </c>
      <c r="V8" s="101" t="s">
        <v>14</v>
      </c>
      <c r="W8" s="101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0.01</v>
      </c>
      <c r="J9" s="78">
        <v>0.01</v>
      </c>
      <c r="K9" s="78">
        <v>0.9</v>
      </c>
      <c r="Q9" s="101" t="s">
        <v>15</v>
      </c>
      <c r="R9" s="101"/>
      <c r="S9" s="4">
        <v>3</v>
      </c>
      <c r="V9" s="102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9" t="s">
        <v>9</v>
      </c>
      <c r="I10" s="91" t="s">
        <v>10</v>
      </c>
      <c r="J10" s="92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103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80">
        <v>1</v>
      </c>
      <c r="I11" s="81">
        <v>1.0511010339293849E-2</v>
      </c>
      <c r="J11" s="82">
        <v>1.6423046929029779E-3</v>
      </c>
      <c r="L11" s="84">
        <v>1</v>
      </c>
      <c r="M11" s="85">
        <v>1</v>
      </c>
      <c r="N11" s="86">
        <v>3.4000000000000002E-2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0.2455</v>
      </c>
      <c r="X11" s="8">
        <v>0.2515</v>
      </c>
      <c r="Y11" s="8">
        <v>0.2455</v>
      </c>
      <c r="Z11" s="8">
        <v>0.24425000000000002</v>
      </c>
      <c r="AA11" s="8">
        <v>0.24562500000000004</v>
      </c>
      <c r="AB11" s="8">
        <v>0.24331249999999999</v>
      </c>
      <c r="AC11" s="8">
        <v>0.23965624999999996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80">
        <v>2</v>
      </c>
      <c r="I12" s="81">
        <v>1.0133228548986377E-2</v>
      </c>
      <c r="J12" s="82">
        <v>2.4610576101066583E-3</v>
      </c>
      <c r="L12" s="84">
        <f>L11+1</f>
        <v>2</v>
      </c>
      <c r="M12" s="85">
        <v>2</v>
      </c>
      <c r="N12" s="86">
        <v>3.6999999999999998E-2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0.26400000000000001</v>
      </c>
      <c r="X12" s="8">
        <v>0.26550000000000001</v>
      </c>
      <c r="Y12" s="8">
        <v>0.24199999999999999</v>
      </c>
      <c r="Z12" s="8">
        <v>0.24249999999999999</v>
      </c>
      <c r="AA12" s="8">
        <v>0.24299999999999999</v>
      </c>
      <c r="AB12" s="8">
        <v>0.23699999999999999</v>
      </c>
      <c r="AC12" s="8">
        <v>0.23199999999999998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5"/>
      <c r="H13" s="80">
        <v>3</v>
      </c>
      <c r="I13" s="81">
        <v>9.7982216087303016E-3</v>
      </c>
      <c r="J13" s="82">
        <v>3.6091015854135687E-3</v>
      </c>
      <c r="L13" s="84">
        <f t="shared" ref="L13:L53" si="2">L12+1</f>
        <v>3</v>
      </c>
      <c r="M13" s="85">
        <v>3</v>
      </c>
      <c r="N13" s="86">
        <v>3.9E-2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0.27250000000000002</v>
      </c>
      <c r="X13" s="8">
        <v>0.26650000000000001</v>
      </c>
      <c r="Y13" s="8">
        <v>0.24249999999999999</v>
      </c>
      <c r="Z13" s="8">
        <v>0.23899999999999999</v>
      </c>
      <c r="AA13" s="8">
        <v>0.23549999999999999</v>
      </c>
      <c r="AB13" s="8">
        <v>0.23199999999999998</v>
      </c>
      <c r="AC13" s="8">
        <v>0.23000000000000004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5"/>
      <c r="H14" s="80">
        <v>4</v>
      </c>
      <c r="I14" s="81">
        <v>8.9211980216804109E-3</v>
      </c>
      <c r="J14" s="82">
        <v>3.9555322130836266E-3</v>
      </c>
      <c r="L14" s="84">
        <f t="shared" si="2"/>
        <v>4</v>
      </c>
      <c r="M14" s="85">
        <v>4</v>
      </c>
      <c r="N14" s="86">
        <v>4.1000000000000002E-2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0.26900000000000002</v>
      </c>
      <c r="X14" s="8">
        <v>0.26550000000000001</v>
      </c>
      <c r="Y14" s="8">
        <v>0.24049999999999999</v>
      </c>
      <c r="Z14" s="8">
        <v>0.23599999999999999</v>
      </c>
      <c r="AA14" s="8">
        <v>0.23199999999999998</v>
      </c>
      <c r="AB14" s="8">
        <v>0.23000000000000004</v>
      </c>
      <c r="AC14" s="8">
        <v>0.22800000000000004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5"/>
      <c r="H15" s="80">
        <v>5</v>
      </c>
      <c r="I15" s="81">
        <v>1.011890780353559E-2</v>
      </c>
      <c r="J15" s="82">
        <v>5.6636467584696504E-3</v>
      </c>
      <c r="L15" s="84">
        <f t="shared" si="2"/>
        <v>5</v>
      </c>
      <c r="M15" s="85"/>
      <c r="N15" s="86"/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0.27300000000000002</v>
      </c>
      <c r="X15" s="8">
        <v>0.26550000000000001</v>
      </c>
      <c r="Y15" s="8">
        <v>0.24199999999999999</v>
      </c>
      <c r="Z15" s="8">
        <v>0.23749999999999999</v>
      </c>
      <c r="AA15" s="8">
        <v>0.23300000000000004</v>
      </c>
      <c r="AB15" s="8">
        <v>0.23199999999999998</v>
      </c>
      <c r="AC15" s="8">
        <v>0.22900000000000004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7.0499999999999993E-2</v>
      </c>
      <c r="G16" s="95"/>
      <c r="H16" s="80">
        <v>7</v>
      </c>
      <c r="I16" s="81">
        <v>9.4201284437175018E-3</v>
      </c>
      <c r="J16" s="82">
        <v>5.6671547987877284E-3</v>
      </c>
      <c r="L16" s="84">
        <f t="shared" si="2"/>
        <v>6</v>
      </c>
      <c r="M16" s="85"/>
      <c r="N16" s="86"/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0.26100000000000001</v>
      </c>
      <c r="X16" s="8">
        <v>0.25850000000000001</v>
      </c>
      <c r="Y16" s="8">
        <v>0.23599999999999999</v>
      </c>
      <c r="Z16" s="8">
        <v>0.23349999999999999</v>
      </c>
      <c r="AA16" s="8">
        <v>0.23000000000000004</v>
      </c>
      <c r="AB16" s="8">
        <v>0.22800000000000004</v>
      </c>
      <c r="AC16" s="8">
        <v>0.22400000000000003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3">
        <v>45012.659131944441</v>
      </c>
      <c r="E17" s="93"/>
      <c r="G17" s="95"/>
      <c r="H17" s="80">
        <v>10</v>
      </c>
      <c r="I17" s="81">
        <v>9.3096886492935269E-3</v>
      </c>
      <c r="J17" s="82">
        <v>5.1957432596151957E-3</v>
      </c>
      <c r="L17" s="84">
        <f t="shared" si="2"/>
        <v>7</v>
      </c>
      <c r="M17" s="85"/>
      <c r="N17" s="86"/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0.26100000000000001</v>
      </c>
      <c r="X17" s="8">
        <v>0.25950000000000001</v>
      </c>
      <c r="Y17" s="8">
        <v>0.23599999999999999</v>
      </c>
      <c r="Z17" s="8">
        <v>0.23349999999999999</v>
      </c>
      <c r="AA17" s="8">
        <v>0.23000000000000004</v>
      </c>
      <c r="AB17" s="8">
        <v>0.22699999999999998</v>
      </c>
      <c r="AC17" s="8">
        <v>0.21800000000000003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3">
        <v>45012.659131944441</v>
      </c>
      <c r="E18" s="93"/>
      <c r="G18" s="95"/>
      <c r="H18" s="80"/>
      <c r="I18" s="81"/>
      <c r="J18" s="82"/>
      <c r="L18" s="84">
        <f t="shared" si="2"/>
        <v>8</v>
      </c>
      <c r="M18" s="85"/>
      <c r="N18" s="86"/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80"/>
      <c r="I19" s="81"/>
      <c r="J19" s="82"/>
      <c r="L19" s="84">
        <f t="shared" si="2"/>
        <v>9</v>
      </c>
      <c r="M19" s="85"/>
      <c r="N19" s="86"/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80"/>
      <c r="I20" s="81"/>
      <c r="J20" s="82"/>
      <c r="L20" s="84">
        <f t="shared" si="2"/>
        <v>10</v>
      </c>
      <c r="M20" s="85"/>
      <c r="N20" s="86"/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80"/>
      <c r="I21" s="81"/>
      <c r="J21" s="82"/>
      <c r="L21" s="84">
        <f t="shared" si="2"/>
        <v>11</v>
      </c>
      <c r="M21" s="85"/>
      <c r="N21" s="86"/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80"/>
      <c r="I22" s="81"/>
      <c r="J22" s="82"/>
      <c r="L22" s="84">
        <f t="shared" si="2"/>
        <v>12</v>
      </c>
      <c r="M22" s="85"/>
      <c r="N22" s="86"/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5"/>
      <c r="H23" s="80"/>
      <c r="I23" s="81"/>
      <c r="J23" s="82"/>
      <c r="L23" s="84">
        <f t="shared" si="2"/>
        <v>13</v>
      </c>
      <c r="M23" s="85"/>
      <c r="N23" s="86"/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G24" s="95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G25" s="95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G26" s="95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106" t="s">
        <v>3</v>
      </c>
      <c r="C56" s="106"/>
      <c r="D56" s="107">
        <v>1</v>
      </c>
      <c r="E56" s="107"/>
      <c r="G56" s="95"/>
      <c r="H56" s="97" t="s">
        <v>7</v>
      </c>
      <c r="I56" s="98"/>
      <c r="L56" s="101" t="s">
        <v>11</v>
      </c>
      <c r="M56" s="101"/>
      <c r="N56" s="101"/>
      <c r="Q56" s="101" t="s">
        <v>12</v>
      </c>
      <c r="R56" s="101"/>
      <c r="S56" s="101"/>
      <c r="V56" s="101" t="s">
        <v>13</v>
      </c>
      <c r="W56" s="101"/>
      <c r="X56" s="101"/>
    </row>
    <row r="57" spans="1:40" x14ac:dyDescent="0.4">
      <c r="A57" s="9">
        <f t="shared" si="1"/>
        <v>57</v>
      </c>
      <c r="B57" s="106" t="s">
        <v>4</v>
      </c>
      <c r="C57" s="106"/>
      <c r="D57" s="107">
        <v>1</v>
      </c>
      <c r="E57" s="107"/>
      <c r="G57" s="95"/>
      <c r="H57" s="99"/>
      <c r="I57" s="100"/>
      <c r="L57" s="101"/>
      <c r="M57" s="101"/>
      <c r="N57" s="101"/>
      <c r="Q57" s="101"/>
      <c r="R57" s="101"/>
      <c r="S57" s="101"/>
      <c r="V57" s="101"/>
      <c r="W57" s="101"/>
      <c r="X57" s="101"/>
    </row>
    <row r="58" spans="1:40" x14ac:dyDescent="0.4">
      <c r="A58" s="9">
        <f t="shared" si="1"/>
        <v>58</v>
      </c>
      <c r="B58" s="106" t="s">
        <v>1</v>
      </c>
      <c r="C58" s="106"/>
      <c r="D58" s="107">
        <v>0.01</v>
      </c>
      <c r="E58" s="107"/>
      <c r="G58" s="95"/>
      <c r="I58" s="2" t="s">
        <v>107</v>
      </c>
      <c r="J58" s="2" t="s">
        <v>108</v>
      </c>
      <c r="K58" s="2" t="s">
        <v>110</v>
      </c>
      <c r="V58" s="101" t="s">
        <v>14</v>
      </c>
      <c r="W58" s="101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8">
        <v>9.8470279485373229E-3</v>
      </c>
      <c r="K59" s="78">
        <v>0.9</v>
      </c>
      <c r="Q59" s="101" t="s">
        <v>15</v>
      </c>
      <c r="R59" s="101"/>
      <c r="S59" s="4">
        <v>3</v>
      </c>
      <c r="V59" s="102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9" t="s">
        <v>9</v>
      </c>
      <c r="I60" s="91" t="s">
        <v>10</v>
      </c>
      <c r="J60" s="92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103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80">
        <v>1</v>
      </c>
      <c r="I61" s="81">
        <v>1.2949019215976606E-2</v>
      </c>
      <c r="J61" s="82">
        <v>6.9667745453369486E-3</v>
      </c>
      <c r="L61" s="84">
        <v>1</v>
      </c>
      <c r="M61" s="85">
        <v>1</v>
      </c>
      <c r="N61" s="86">
        <v>4.1000000000000002E-2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0.24711575189940854</v>
      </c>
      <c r="X61" s="8">
        <v>0.25223277511673559</v>
      </c>
      <c r="Y61" s="8">
        <v>0.24785690951842138</v>
      </c>
      <c r="Z61" s="8">
        <v>0.24726033440788159</v>
      </c>
      <c r="AA61" s="8">
        <v>0.24908018972630813</v>
      </c>
      <c r="AB61" s="8">
        <v>0.24519944176614206</v>
      </c>
      <c r="AC61" s="8">
        <v>0.242894399847354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80">
        <v>2</v>
      </c>
      <c r="I62" s="81">
        <v>1.2656441949569299E-2</v>
      </c>
      <c r="J62" s="82">
        <v>5.7206620693692079E-3</v>
      </c>
      <c r="L62" s="84">
        <f>L61+1</f>
        <v>2</v>
      </c>
      <c r="M62" s="85">
        <v>2</v>
      </c>
      <c r="N62" s="86">
        <v>4.3999999999999997E-2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0.24731816815825486</v>
      </c>
      <c r="X62" s="8">
        <v>0.2471500056075947</v>
      </c>
      <c r="Y62" s="8">
        <v>0.24644310169676803</v>
      </c>
      <c r="Z62" s="8">
        <v>0.24438544513377153</v>
      </c>
      <c r="AA62" s="8">
        <v>0.24541479871739408</v>
      </c>
      <c r="AB62" s="8">
        <v>0.23717613046935254</v>
      </c>
      <c r="AC62" s="8">
        <v>0.23649021678069088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5"/>
      <c r="H63" s="80">
        <v>3</v>
      </c>
      <c r="I63" s="81">
        <v>1.2072459549075721E-2</v>
      </c>
      <c r="J63" s="82">
        <v>5.4496805567415506E-3</v>
      </c>
      <c r="L63" s="84">
        <f t="shared" ref="L63:L103" si="4">L62+1</f>
        <v>3</v>
      </c>
      <c r="M63" s="85">
        <v>3</v>
      </c>
      <c r="N63" s="86">
        <v>4.7E-2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0.24724033204370954</v>
      </c>
      <c r="X63" s="8">
        <v>0.24716249592916423</v>
      </c>
      <c r="Y63" s="8">
        <v>0.2471749862507337</v>
      </c>
      <c r="Z63" s="8">
        <v>0.23937257030241843</v>
      </c>
      <c r="AA63" s="8">
        <v>0.2404006934233554</v>
      </c>
      <c r="AB63" s="8">
        <v>0.23492963240514569</v>
      </c>
      <c r="AC63" s="8">
        <v>0.23240863276377216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5"/>
      <c r="H64" s="80">
        <v>4</v>
      </c>
      <c r="I64" s="81">
        <v>1.0535690645839868E-2</v>
      </c>
      <c r="J64" s="82">
        <v>4.7876293443861774E-3</v>
      </c>
      <c r="L64" s="84">
        <f t="shared" si="4"/>
        <v>4</v>
      </c>
      <c r="M64" s="85">
        <v>4</v>
      </c>
      <c r="N64" s="86">
        <v>0.05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0.2459855303192473</v>
      </c>
      <c r="X64" s="8">
        <v>0.24473072859478506</v>
      </c>
      <c r="Y64" s="8">
        <v>0.2422989612604059</v>
      </c>
      <c r="Z64" s="8">
        <v>0.23636830666588854</v>
      </c>
      <c r="AA64" s="8">
        <v>0.23493709045267391</v>
      </c>
      <c r="AB64" s="8">
        <v>0.23379388192157058</v>
      </c>
      <c r="AC64" s="8">
        <v>0.22980706636998821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5"/>
      <c r="H65" s="80">
        <v>5</v>
      </c>
      <c r="I65" s="81">
        <v>1.2399568809025666E-2</v>
      </c>
      <c r="J65" s="82">
        <v>5.3371633661274832E-3</v>
      </c>
      <c r="L65" s="84">
        <f t="shared" si="4"/>
        <v>5</v>
      </c>
      <c r="M65" s="85"/>
      <c r="N65" s="86"/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0.24504729567195133</v>
      </c>
      <c r="X65" s="8">
        <v>0.24410906102465529</v>
      </c>
      <c r="Y65" s="8">
        <v>0.24348739345452552</v>
      </c>
      <c r="Z65" s="8">
        <v>0.24064634905996191</v>
      </c>
      <c r="AA65" s="8">
        <v>0.23762985175765877</v>
      </c>
      <c r="AB65" s="8">
        <v>0.23244843792577591</v>
      </c>
      <c r="AC65" s="8">
        <v>0.23044120852128708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3.6600000000000001E-2</v>
      </c>
      <c r="G66" s="95"/>
      <c r="H66" s="80">
        <v>7</v>
      </c>
      <c r="I66" s="81">
        <v>1.167710242919201E-2</v>
      </c>
      <c r="J66" s="82">
        <v>5.4256925834449375E-3</v>
      </c>
      <c r="L66" s="84">
        <f t="shared" si="4"/>
        <v>6</v>
      </c>
      <c r="M66" s="85"/>
      <c r="N66" s="86"/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0.24334100811282816</v>
      </c>
      <c r="X66" s="8">
        <v>0.241634720553705</v>
      </c>
      <c r="Y66" s="8">
        <v>0.2391603800827547</v>
      </c>
      <c r="Z66" s="8">
        <v>0.23763947086819354</v>
      </c>
      <c r="AA66" s="8">
        <v>0.23099732722068073</v>
      </c>
      <c r="AB66" s="8">
        <v>0.23156800987879539</v>
      </c>
      <c r="AC66" s="8">
        <v>0.22650085643237639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3">
        <v>45012.659131944441</v>
      </c>
      <c r="E67" s="93"/>
      <c r="G67" s="95"/>
      <c r="H67" s="80">
        <v>10</v>
      </c>
      <c r="I67" s="81">
        <v>1.1410896230007976E-2</v>
      </c>
      <c r="J67" s="82">
        <v>5.7466560069613336E-3</v>
      </c>
      <c r="L67" s="84">
        <f t="shared" si="4"/>
        <v>7</v>
      </c>
      <c r="M67" s="85"/>
      <c r="N67" s="86"/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0.24168249543038095</v>
      </c>
      <c r="X67" s="8">
        <v>0.24002398274793368</v>
      </c>
      <c r="Y67" s="8">
        <v>0.23841324494216237</v>
      </c>
      <c r="Z67" s="8">
        <v>0.23657200821606189</v>
      </c>
      <c r="AA67" s="8">
        <v>0.23293319162819598</v>
      </c>
      <c r="AB67" s="8">
        <v>0.22733549492199806</v>
      </c>
      <c r="AC67" s="8">
        <v>0.22242134733632341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3">
        <v>45012.659131944441</v>
      </c>
      <c r="E68" s="93"/>
      <c r="G68" s="95"/>
      <c r="H68" s="80"/>
      <c r="I68" s="81"/>
      <c r="J68" s="82">
        <v>6.6192823415864993E-3</v>
      </c>
      <c r="L68" s="84">
        <f t="shared" si="4"/>
        <v>8</v>
      </c>
      <c r="M68" s="85"/>
      <c r="N68" s="86"/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80"/>
      <c r="I69" s="81"/>
      <c r="J69" s="82">
        <v>7.7555794163098185E-3</v>
      </c>
      <c r="L69" s="84">
        <f t="shared" si="4"/>
        <v>9</v>
      </c>
      <c r="M69" s="85"/>
      <c r="N69" s="86"/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80"/>
      <c r="I70" s="81"/>
      <c r="J70" s="82"/>
      <c r="L70" s="84">
        <f t="shared" si="4"/>
        <v>10</v>
      </c>
      <c r="M70" s="85"/>
      <c r="N70" s="86"/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5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G74" s="95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G75" s="95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G76" s="95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106" t="s">
        <v>3</v>
      </c>
      <c r="C106" s="106"/>
      <c r="D106" s="107">
        <v>1</v>
      </c>
      <c r="E106" s="107"/>
      <c r="G106" s="95"/>
      <c r="H106" s="97" t="s">
        <v>7</v>
      </c>
      <c r="I106" s="98"/>
      <c r="L106" s="101" t="s">
        <v>11</v>
      </c>
      <c r="M106" s="101"/>
      <c r="N106" s="101"/>
      <c r="Q106" s="101" t="s">
        <v>12</v>
      </c>
      <c r="R106" s="101"/>
      <c r="S106" s="101"/>
      <c r="V106" s="101" t="s">
        <v>13</v>
      </c>
      <c r="W106" s="101"/>
      <c r="X106" s="101"/>
    </row>
    <row r="107" spans="1:40" x14ac:dyDescent="0.4">
      <c r="A107" s="9">
        <f t="shared" si="6"/>
        <v>107</v>
      </c>
      <c r="B107" s="106" t="s">
        <v>4</v>
      </c>
      <c r="C107" s="106"/>
      <c r="D107" s="107">
        <v>1</v>
      </c>
      <c r="E107" s="107"/>
      <c r="G107" s="95"/>
      <c r="H107" s="99"/>
      <c r="I107" s="100"/>
      <c r="L107" s="101"/>
      <c r="M107" s="101"/>
      <c r="N107" s="101"/>
      <c r="Q107" s="101"/>
      <c r="R107" s="101"/>
      <c r="S107" s="101"/>
      <c r="V107" s="101"/>
      <c r="W107" s="101"/>
      <c r="X107" s="101"/>
    </row>
    <row r="108" spans="1:40" x14ac:dyDescent="0.4">
      <c r="A108" s="9">
        <f t="shared" si="6"/>
        <v>108</v>
      </c>
      <c r="B108" s="106" t="s">
        <v>1</v>
      </c>
      <c r="C108" s="106"/>
      <c r="D108" s="107">
        <v>0.01</v>
      </c>
      <c r="E108" s="107"/>
      <c r="G108" s="95"/>
      <c r="I108" s="2" t="s">
        <v>107</v>
      </c>
      <c r="J108" s="2" t="s">
        <v>108</v>
      </c>
      <c r="K108" s="2" t="s">
        <v>110</v>
      </c>
      <c r="V108" s="101" t="s">
        <v>14</v>
      </c>
      <c r="W108" s="101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8">
        <v>0.01</v>
      </c>
      <c r="K109" s="78">
        <v>0.9</v>
      </c>
      <c r="Q109" s="101" t="s">
        <v>15</v>
      </c>
      <c r="R109" s="101"/>
      <c r="S109" s="4">
        <v>3</v>
      </c>
      <c r="V109" s="102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9" t="s">
        <v>9</v>
      </c>
      <c r="I110" s="91" t="s">
        <v>10</v>
      </c>
      <c r="J110" s="92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103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5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5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5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5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3">
        <v>44931.461863425924</v>
      </c>
      <c r="E117" s="93"/>
      <c r="G117" s="95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3">
        <v>44931.461875000001</v>
      </c>
      <c r="E118" s="93"/>
      <c r="G118" s="95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5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G124" s="95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G125" s="95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G126" s="95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106" t="s">
        <v>3</v>
      </c>
      <c r="C156" s="106"/>
      <c r="D156" s="107">
        <v>1</v>
      </c>
      <c r="E156" s="107"/>
      <c r="G156" s="95"/>
      <c r="H156" s="97" t="s">
        <v>7</v>
      </c>
      <c r="I156" s="98"/>
      <c r="L156" s="101" t="s">
        <v>11</v>
      </c>
      <c r="M156" s="101"/>
      <c r="N156" s="101"/>
      <c r="Q156" s="101" t="s">
        <v>12</v>
      </c>
      <c r="R156" s="101"/>
      <c r="S156" s="101"/>
      <c r="V156" s="101" t="s">
        <v>13</v>
      </c>
      <c r="W156" s="101"/>
      <c r="X156" s="101"/>
    </row>
    <row r="157" spans="1:40" x14ac:dyDescent="0.4">
      <c r="A157" s="9">
        <f t="shared" si="9"/>
        <v>157</v>
      </c>
      <c r="B157" s="106" t="s">
        <v>4</v>
      </c>
      <c r="C157" s="106"/>
      <c r="D157" s="107">
        <v>1</v>
      </c>
      <c r="E157" s="107"/>
      <c r="G157" s="95"/>
      <c r="H157" s="99"/>
      <c r="I157" s="100"/>
      <c r="L157" s="101"/>
      <c r="M157" s="101"/>
      <c r="N157" s="101"/>
      <c r="Q157" s="101"/>
      <c r="R157" s="101"/>
      <c r="S157" s="101"/>
      <c r="V157" s="101"/>
      <c r="W157" s="101"/>
      <c r="X157" s="101"/>
    </row>
    <row r="158" spans="1:40" x14ac:dyDescent="0.4">
      <c r="A158" s="9">
        <f t="shared" si="9"/>
        <v>158</v>
      </c>
      <c r="B158" s="106" t="s">
        <v>1</v>
      </c>
      <c r="C158" s="106"/>
      <c r="D158" s="107">
        <v>0.01</v>
      </c>
      <c r="E158" s="107"/>
      <c r="G158" s="95"/>
      <c r="I158" s="2" t="s">
        <v>107</v>
      </c>
      <c r="J158" s="2" t="s">
        <v>108</v>
      </c>
      <c r="K158" s="2" t="s">
        <v>110</v>
      </c>
      <c r="V158" s="101" t="s">
        <v>14</v>
      </c>
      <c r="W158" s="101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8">
        <v>0.01</v>
      </c>
      <c r="K159" s="78">
        <v>0.9</v>
      </c>
      <c r="Q159" s="101" t="s">
        <v>15</v>
      </c>
      <c r="R159" s="101"/>
      <c r="S159" s="4">
        <v>3</v>
      </c>
      <c r="V159" s="102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9" t="s">
        <v>9</v>
      </c>
      <c r="I160" s="91" t="s">
        <v>10</v>
      </c>
      <c r="J160" s="92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103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5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5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5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5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3">
        <v>44931.461875000001</v>
      </c>
      <c r="E167" s="93"/>
      <c r="G167" s="95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3">
        <v>44931.461875000001</v>
      </c>
      <c r="E168" s="93"/>
      <c r="G168" s="95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5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G174" s="95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G175" s="95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G176" s="95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79">
    <mergeCell ref="B106:C106"/>
    <mergeCell ref="D106:E106"/>
    <mergeCell ref="B107:C107"/>
    <mergeCell ref="D107:E107"/>
    <mergeCell ref="B108:C108"/>
    <mergeCell ref="D108:E108"/>
    <mergeCell ref="B156:C156"/>
    <mergeCell ref="D156:E156"/>
    <mergeCell ref="B157:C157"/>
    <mergeCell ref="D157:E157"/>
    <mergeCell ref="B158:C158"/>
    <mergeCell ref="D158:E158"/>
    <mergeCell ref="B56:C56"/>
    <mergeCell ref="D56:E56"/>
    <mergeCell ref="B57:C57"/>
    <mergeCell ref="D57:E57"/>
    <mergeCell ref="B58:C58"/>
    <mergeCell ref="D58:E58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Q6:S7"/>
    <mergeCell ref="V6:X7"/>
    <mergeCell ref="V8:W8"/>
    <mergeCell ref="V58:W58"/>
    <mergeCell ref="Q59:R59"/>
    <mergeCell ref="V59:V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I10:J10"/>
    <mergeCell ref="I60:J60"/>
    <mergeCell ref="I110:J110"/>
    <mergeCell ref="I160:J160"/>
    <mergeCell ref="D117:E117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V159:V160"/>
    <mergeCell ref="Q109:R10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E1" zoomScale="85" zoomScaleNormal="85" workbookViewId="0">
      <selection activeCell="I14" sqref="I14:J14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0" t="s">
        <v>29</v>
      </c>
      <c r="C3" s="160"/>
      <c r="D3" s="161">
        <v>45011</v>
      </c>
      <c r="E3" s="162"/>
      <c r="F3" s="129" t="s">
        <v>31</v>
      </c>
      <c r="G3" s="129"/>
      <c r="H3" s="132">
        <v>0</v>
      </c>
      <c r="I3" s="132"/>
      <c r="J3" s="129" t="s">
        <v>67</v>
      </c>
      <c r="K3" s="129"/>
      <c r="L3" s="132">
        <v>10000</v>
      </c>
      <c r="M3" s="132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5" t="s">
        <v>46</v>
      </c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D5" s="165" t="s">
        <v>47</v>
      </c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</row>
    <row r="6" spans="1:57" ht="16.2" customHeight="1" x14ac:dyDescent="0.4">
      <c r="A6" s="34">
        <f t="shared" si="1"/>
        <v>6</v>
      </c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</row>
    <row r="7" spans="1:57" ht="16.2" customHeight="1" x14ac:dyDescent="0.4">
      <c r="A7" s="34">
        <f t="shared" si="1"/>
        <v>7</v>
      </c>
      <c r="B7" s="160" t="str">
        <f>IF(D7&gt;0,"레퍼런스금리 개수","기초금리는 1개 - 3개 입력가능")</f>
        <v>레퍼런스금리 개수</v>
      </c>
      <c r="C7" s="160"/>
      <c r="D7" s="131">
        <v>1</v>
      </c>
      <c r="E7" s="131"/>
      <c r="F7" s="147" t="s">
        <v>32</v>
      </c>
      <c r="G7" s="148"/>
      <c r="H7" s="132">
        <v>1</v>
      </c>
      <c r="I7" s="132"/>
      <c r="J7" s="129" t="s">
        <v>92</v>
      </c>
      <c r="K7" s="129"/>
      <c r="L7" s="132">
        <v>0</v>
      </c>
      <c r="M7" s="132"/>
      <c r="N7" s="35"/>
      <c r="O7" s="35"/>
      <c r="P7" s="35"/>
      <c r="Q7" s="35"/>
      <c r="R7" s="35"/>
      <c r="S7" s="35"/>
      <c r="T7" s="35"/>
      <c r="U7" s="35"/>
      <c r="AD7" s="160" t="str">
        <f>IF(AF7&gt;0,"레퍼런스금리 개수","기초금리는 1개 - 3개 입력가능")</f>
        <v>레퍼런스금리 개수</v>
      </c>
      <c r="AE7" s="160"/>
      <c r="AF7" s="131">
        <v>1</v>
      </c>
      <c r="AG7" s="131"/>
      <c r="AH7" s="147" t="s">
        <v>32</v>
      </c>
      <c r="AI7" s="148"/>
      <c r="AJ7" s="132">
        <v>0</v>
      </c>
      <c r="AK7" s="132"/>
      <c r="AL7" s="129" t="s">
        <v>92</v>
      </c>
      <c r="AM7" s="129"/>
      <c r="AN7" s="132">
        <v>0</v>
      </c>
      <c r="AO7" s="132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9" t="s">
        <v>50</v>
      </c>
      <c r="C8" s="129"/>
      <c r="D8" s="130">
        <v>1</v>
      </c>
      <c r="E8" s="131"/>
      <c r="F8" s="129" t="s">
        <v>51</v>
      </c>
      <c r="G8" s="129"/>
      <c r="H8" s="130">
        <v>1</v>
      </c>
      <c r="I8" s="131"/>
      <c r="J8" s="129" t="s">
        <v>42</v>
      </c>
      <c r="K8" s="129"/>
      <c r="L8" s="132">
        <v>0</v>
      </c>
      <c r="M8" s="132"/>
      <c r="N8" s="35"/>
      <c r="O8" s="35"/>
      <c r="P8" s="35"/>
      <c r="Q8" s="35"/>
      <c r="R8" s="35"/>
      <c r="S8" s="35"/>
      <c r="T8" s="35"/>
      <c r="U8" s="35"/>
      <c r="AD8" s="129" t="s">
        <v>50</v>
      </c>
      <c r="AE8" s="129"/>
      <c r="AF8" s="130">
        <v>1</v>
      </c>
      <c r="AG8" s="131"/>
      <c r="AH8" s="129" t="s">
        <v>51</v>
      </c>
      <c r="AI8" s="129"/>
      <c r="AJ8" s="130">
        <v>1</v>
      </c>
      <c r="AK8" s="131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5" t="str">
        <f>IF(D7&gt;=1,"기초금리1", "")</f>
        <v>기초금리1</v>
      </c>
      <c r="C10" s="163" t="str">
        <f>IF($D$7&gt;=1,"커브번호", "")</f>
        <v>커브번호</v>
      </c>
      <c r="D10" s="163"/>
      <c r="E10" s="164">
        <v>1</v>
      </c>
      <c r="F10" s="164"/>
      <c r="G10" s="71"/>
      <c r="H10" s="36"/>
      <c r="I10" s="166" t="str">
        <f>IF(OR(E11 = 0, E11 = 2, E11 = 4), "RefType = "&amp;E11&amp;" 이므로 Ref Swap 금리정보 사용안함", "사용")</f>
        <v>사용</v>
      </c>
      <c r="J10" s="167"/>
      <c r="K10" s="167"/>
      <c r="L10" s="195"/>
      <c r="N10" s="149" t="s">
        <v>34</v>
      </c>
      <c r="O10" s="149"/>
      <c r="P10" s="149"/>
      <c r="Q10" s="149"/>
      <c r="R10" s="34"/>
      <c r="S10" s="34"/>
      <c r="T10" s="34"/>
      <c r="U10" s="34"/>
      <c r="W10" s="149" t="s">
        <v>52</v>
      </c>
      <c r="X10" s="149"/>
      <c r="Y10" s="149"/>
      <c r="AD10" s="117" t="str">
        <f>IF($AF$7&gt;=1,"기초금리1", "")</f>
        <v>기초금리1</v>
      </c>
      <c r="AE10" s="123" t="str">
        <f>IF($AF$7&gt;=1,"커브번호", "")</f>
        <v>커브번호</v>
      </c>
      <c r="AF10" s="123"/>
      <c r="AG10" s="164">
        <v>2</v>
      </c>
      <c r="AH10" s="164"/>
      <c r="AI10" s="71"/>
      <c r="AJ10" s="36"/>
      <c r="AK10" s="188" t="str">
        <f>IF(OR(AG11 = 0, AG11 = 2, AG11 = 4), "RefType = "&amp;AG11&amp;" 이므로 Ref Swap 금리정보 사용안함", "사용")</f>
        <v>사용</v>
      </c>
      <c r="AL10" s="188"/>
      <c r="AM10" s="188"/>
      <c r="AN10" s="189"/>
      <c r="AP10" s="149" t="s">
        <v>54</v>
      </c>
      <c r="AQ10" s="149"/>
      <c r="AR10" s="149"/>
      <c r="AS10" s="149"/>
      <c r="AT10" s="34"/>
      <c r="AU10" s="34"/>
      <c r="AV10" s="34"/>
      <c r="AW10" s="34"/>
      <c r="AY10" s="149" t="s">
        <v>53</v>
      </c>
      <c r="AZ10" s="149"/>
      <c r="BA10" s="149"/>
    </row>
    <row r="11" spans="1:57" ht="16.2" customHeight="1" x14ac:dyDescent="0.4">
      <c r="A11" s="34">
        <f t="shared" si="1"/>
        <v>11</v>
      </c>
      <c r="B11" s="146"/>
      <c r="C11" s="143" t="str">
        <f>IF($D$7&gt;=1,"Reference Rate Type", "")</f>
        <v>Reference Rate Type</v>
      </c>
      <c r="D11" s="144"/>
      <c r="E11" s="171">
        <v>1</v>
      </c>
      <c r="F11" s="172"/>
      <c r="G11" s="166" t="str">
        <f>IF(OR(E11 = 0, E11 = 2, E11 = 4), "", "Zero/Swap 레퍼런스금리정보")</f>
        <v>Zero/Swap 레퍼런스금리정보</v>
      </c>
      <c r="H11" s="167"/>
      <c r="I11" s="137" t="str">
        <f>IF(OR(E11 = 0, E11 = 2, E11 = 4), "", "연 지급횟수")</f>
        <v>연 지급횟수</v>
      </c>
      <c r="J11" s="138"/>
      <c r="K11" s="139">
        <v>4</v>
      </c>
      <c r="L11" s="140"/>
      <c r="M11" s="34"/>
      <c r="N11" s="150" t="str">
        <f>IF(OR(E11 = 0, E11 = 2, E11 = 4), "ForwardStart", "ResetStart")</f>
        <v>ResetStart</v>
      </c>
      <c r="O11" s="150" t="str">
        <f>IF(OR(E11 = 0, E11 = 2, E11 = 4), "ForwardEnd", "ResetEnd")</f>
        <v>ResetEnd</v>
      </c>
      <c r="P11" s="151" t="s">
        <v>35</v>
      </c>
      <c r="Q11" s="151" t="s">
        <v>36</v>
      </c>
      <c r="R11" s="151" t="s">
        <v>37</v>
      </c>
      <c r="S11" s="151" t="s">
        <v>38</v>
      </c>
      <c r="T11" s="151" t="s">
        <v>91</v>
      </c>
      <c r="U11" s="151" t="s">
        <v>71</v>
      </c>
      <c r="W11" s="37" t="s">
        <v>43</v>
      </c>
      <c r="X11" s="185">
        <v>0</v>
      </c>
      <c r="Y11" s="185"/>
      <c r="AD11" s="190"/>
      <c r="AE11" s="175" t="str">
        <f>IF($AF$7&gt;=1,"Reference Rate Type", "")</f>
        <v>Reference Rate Type</v>
      </c>
      <c r="AF11" s="176"/>
      <c r="AG11" s="171">
        <v>1</v>
      </c>
      <c r="AH11" s="171"/>
      <c r="AI11" s="177" t="str">
        <f>IF(OR(AG11 = 0, AG11 = 2, AG11 = 4), "", "Zero/Swap 레퍼런스금리정보")</f>
        <v>Zero/Swap 레퍼런스금리정보</v>
      </c>
      <c r="AJ11" s="177"/>
      <c r="AK11" s="177" t="str">
        <f>IF(OR(AG11 = 0, AG11 = 2, AG11 = 4), "", "연 지급횟수")</f>
        <v>연 지급횟수</v>
      </c>
      <c r="AL11" s="178"/>
      <c r="AM11" s="139">
        <v>4</v>
      </c>
      <c r="AN11" s="140"/>
      <c r="AO11" s="34"/>
      <c r="AP11" s="151" t="str">
        <f>IF(OR(AG11 = 0, AG11 = 2, AG11 = 4), "ForwardStart", "ResetEnd")</f>
        <v>ResetEnd</v>
      </c>
      <c r="AQ11" s="151" t="str">
        <f>IF(OR(AG11 = 0, AG11 = 2, AG11 = 4), "ForwardEnd", "ResetEnd")</f>
        <v>ResetEnd</v>
      </c>
      <c r="AR11" s="151" t="s">
        <v>35</v>
      </c>
      <c r="AS11" s="151" t="s">
        <v>36</v>
      </c>
      <c r="AT11" s="151" t="s">
        <v>37</v>
      </c>
      <c r="AU11" s="151" t="s">
        <v>38</v>
      </c>
      <c r="AV11" s="151" t="s">
        <v>91</v>
      </c>
      <c r="AW11" s="151" t="s">
        <v>71</v>
      </c>
      <c r="AY11" s="37" t="s">
        <v>43</v>
      </c>
      <c r="AZ11" s="185">
        <v>0</v>
      </c>
      <c r="BA11" s="185"/>
    </row>
    <row r="12" spans="1:57" ht="16.2" customHeight="1" x14ac:dyDescent="0.4">
      <c r="A12" s="34">
        <f t="shared" si="1"/>
        <v>12</v>
      </c>
      <c r="B12" s="146"/>
      <c r="C12" s="143" t="str">
        <f>IF($D$7&gt;=1,"DayCount", "")</f>
        <v>DayCount</v>
      </c>
      <c r="D12" s="143"/>
      <c r="E12" s="156">
        <v>0</v>
      </c>
      <c r="F12" s="157"/>
      <c r="G12" s="168"/>
      <c r="H12" s="137"/>
      <c r="I12" s="137" t="str">
        <f>IF(OR(E11 = 0, E11 = 2, E11 = 4,E14=1), "", "만기")</f>
        <v>만기</v>
      </c>
      <c r="J12" s="138"/>
      <c r="K12" s="169">
        <v>0.25</v>
      </c>
      <c r="L12" s="170"/>
      <c r="N12" s="151"/>
      <c r="O12" s="151"/>
      <c r="P12" s="151"/>
      <c r="Q12" s="151"/>
      <c r="R12" s="151"/>
      <c r="S12" s="151"/>
      <c r="T12" s="151"/>
      <c r="U12" s="151"/>
      <c r="W12" s="37" t="s">
        <v>44</v>
      </c>
      <c r="X12" s="185">
        <v>0</v>
      </c>
      <c r="Y12" s="185"/>
      <c r="AD12" s="190"/>
      <c r="AE12" s="175" t="str">
        <f>IF($AF$7&gt;=1,"DayCount", "")</f>
        <v>DayCount</v>
      </c>
      <c r="AF12" s="175"/>
      <c r="AG12" s="156">
        <v>0</v>
      </c>
      <c r="AH12" s="156"/>
      <c r="AI12" s="177"/>
      <c r="AJ12" s="177"/>
      <c r="AK12" s="137" t="str">
        <f>IF(OR(AG11 = 0, AG11 = 2, AG11 = 4,AG14=1), "", "만기")</f>
        <v>만기</v>
      </c>
      <c r="AL12" s="138"/>
      <c r="AM12" s="141">
        <v>0.25</v>
      </c>
      <c r="AN12" s="142"/>
      <c r="AP12" s="151"/>
      <c r="AQ12" s="151"/>
      <c r="AR12" s="151"/>
      <c r="AS12" s="151"/>
      <c r="AT12" s="151"/>
      <c r="AU12" s="151"/>
      <c r="AV12" s="151"/>
      <c r="AW12" s="151"/>
      <c r="AY12" s="37" t="s">
        <v>44</v>
      </c>
      <c r="AZ12" s="185">
        <v>0</v>
      </c>
      <c r="BA12" s="185"/>
    </row>
    <row r="13" spans="1:57" ht="16.2" customHeight="1" x14ac:dyDescent="0.4">
      <c r="A13" s="34">
        <f t="shared" si="1"/>
        <v>13</v>
      </c>
      <c r="B13" s="146"/>
      <c r="C13" s="143" t="str">
        <f>IF($D$7&gt;=1,"금리결정조건Multiple", "")</f>
        <v>금리결정조건Multiple</v>
      </c>
      <c r="D13" s="144"/>
      <c r="E13" s="133">
        <v>1</v>
      </c>
      <c r="F13" s="184"/>
      <c r="G13" s="158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58"/>
      <c r="I13" s="158"/>
      <c r="J13" s="158"/>
      <c r="K13" s="158"/>
      <c r="L13" s="159"/>
      <c r="M13" s="34"/>
      <c r="N13" s="38">
        <v>45011</v>
      </c>
      <c r="O13" s="38">
        <v>45102</v>
      </c>
      <c r="P13" s="38">
        <v>45011</v>
      </c>
      <c r="Q13" s="38">
        <v>45102</v>
      </c>
      <c r="R13" s="38">
        <v>45104</v>
      </c>
      <c r="S13" s="39">
        <v>0</v>
      </c>
      <c r="T13" s="39">
        <v>0</v>
      </c>
      <c r="U13" s="39"/>
      <c r="W13" s="37" t="s">
        <v>45</v>
      </c>
      <c r="X13" s="185">
        <v>0</v>
      </c>
      <c r="Y13" s="185"/>
      <c r="AD13" s="190"/>
      <c r="AE13" s="175" t="str">
        <f>IF($AF$7&gt;=1,"금리결정조건Multiple", "")</f>
        <v>금리결정조건Multiple</v>
      </c>
      <c r="AF13" s="176"/>
      <c r="AG13" s="133">
        <v>1</v>
      </c>
      <c r="AH13" s="133"/>
      <c r="AI13" s="158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58"/>
      <c r="AK13" s="158"/>
      <c r="AL13" s="158"/>
      <c r="AM13" s="158"/>
      <c r="AN13" s="159"/>
      <c r="AO13" s="34"/>
      <c r="AP13" s="38">
        <v>45011</v>
      </c>
      <c r="AQ13" s="38">
        <v>45102</v>
      </c>
      <c r="AR13" s="38">
        <v>45011</v>
      </c>
      <c r="AS13" s="38">
        <v>45102</v>
      </c>
      <c r="AT13" s="38">
        <f>AS13+3</f>
        <v>45105</v>
      </c>
      <c r="AU13" s="39">
        <v>0</v>
      </c>
      <c r="AV13" s="39">
        <v>0</v>
      </c>
      <c r="AW13" s="39">
        <v>0</v>
      </c>
      <c r="AY13" s="37" t="s">
        <v>45</v>
      </c>
      <c r="AZ13" s="185">
        <v>0</v>
      </c>
      <c r="BA13" s="185"/>
    </row>
    <row r="14" spans="1:57" ht="16.2" customHeight="1" x14ac:dyDescent="0.4">
      <c r="A14" s="34">
        <f t="shared" si="1"/>
        <v>14</v>
      </c>
      <c r="B14" s="146"/>
      <c r="C14" s="179" t="str">
        <f>IF($D$7&gt;=1,"Power Spread Flag", "")</f>
        <v>Power Spread Flag</v>
      </c>
      <c r="D14" s="179"/>
      <c r="E14" s="156">
        <v>0</v>
      </c>
      <c r="F14" s="157"/>
      <c r="G14" s="134" t="str">
        <f>IF(E14&gt;0,"PowerSpreadFlag 1일때 입력","입력필요X")</f>
        <v>입력필요X</v>
      </c>
      <c r="H14" s="134"/>
      <c r="I14" s="134" t="str">
        <f>IF(E14&gt;0,"만기1","")</f>
        <v/>
      </c>
      <c r="J14" s="134"/>
      <c r="K14" s="135">
        <v>10</v>
      </c>
      <c r="L14" s="136"/>
      <c r="M14" s="34"/>
      <c r="N14" s="38">
        <v>45102</v>
      </c>
      <c r="O14" s="38">
        <v>45194</v>
      </c>
      <c r="P14" s="38">
        <v>45102</v>
      </c>
      <c r="Q14" s="38">
        <v>45194</v>
      </c>
      <c r="R14" s="38">
        <v>45196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90"/>
      <c r="AE14" s="173" t="str">
        <f>IF($AF$7&gt;=1,"Power Spread Flag", "")</f>
        <v>Power Spread Flag</v>
      </c>
      <c r="AF14" s="173"/>
      <c r="AG14" s="156">
        <v>0</v>
      </c>
      <c r="AH14" s="156"/>
      <c r="AI14" s="174" t="str">
        <f>IF(AG14&gt;0,"PowerSpreadFlag 1일때 입력","입력필요X")</f>
        <v>입력필요X</v>
      </c>
      <c r="AJ14" s="174"/>
      <c r="AK14" s="174" t="str">
        <f>IF(AG14&gt;0,"만기1","")</f>
        <v/>
      </c>
      <c r="AL14" s="174"/>
      <c r="AM14" s="135">
        <v>10</v>
      </c>
      <c r="AN14" s="136"/>
      <c r="AP14" s="38">
        <v>45102</v>
      </c>
      <c r="AQ14" s="38">
        <v>45194</v>
      </c>
      <c r="AR14" s="38">
        <v>45102</v>
      </c>
      <c r="AS14" s="38">
        <v>45194</v>
      </c>
      <c r="AT14" s="38">
        <f t="shared" ref="AT14:AT32" si="2">AS14+3</f>
        <v>45197</v>
      </c>
      <c r="AU14" s="39">
        <v>0</v>
      </c>
      <c r="AV14" s="39">
        <v>0</v>
      </c>
      <c r="AW14" s="39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6" t="str">
        <f>IF($D$7&gt;0, "사용", "커브개수"&amp;"="&amp;$D$7&amp;"이므로 사용안함")</f>
        <v>사용</v>
      </c>
      <c r="C15" s="179" t="str">
        <f>IF($D$7&gt;=1,"기초금리 Range상한", "")</f>
        <v>기초금리 Range상한</v>
      </c>
      <c r="D15" s="179"/>
      <c r="E15" s="182">
        <v>10</v>
      </c>
      <c r="F15" s="186"/>
      <c r="G15" s="134"/>
      <c r="H15" s="134"/>
      <c r="I15" s="134" t="str">
        <f>IF(E14&gt;0,"만기2","")</f>
        <v/>
      </c>
      <c r="J15" s="134"/>
      <c r="K15" s="135">
        <v>5</v>
      </c>
      <c r="L15" s="136"/>
      <c r="M15" s="34"/>
      <c r="N15" s="38">
        <v>45194</v>
      </c>
      <c r="O15" s="38">
        <v>45285</v>
      </c>
      <c r="P15" s="38">
        <v>45194</v>
      </c>
      <c r="Q15" s="38">
        <v>45285</v>
      </c>
      <c r="R15" s="38">
        <v>45287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90" t="str">
        <f>IF($AF$7&gt;0, "사용", "커브개수"&amp;"="&amp;$AF$7&amp;"이므로 사용안함")</f>
        <v>사용</v>
      </c>
      <c r="AE15" s="173" t="str">
        <f>IF($AF$7&gt;=1,"기초금리 Range상한", "")</f>
        <v>기초금리 Range상한</v>
      </c>
      <c r="AF15" s="173"/>
      <c r="AG15" s="182">
        <v>10</v>
      </c>
      <c r="AH15" s="182"/>
      <c r="AI15" s="174"/>
      <c r="AJ15" s="174"/>
      <c r="AK15" s="174" t="str">
        <f>IF(AG14&gt;0,"만기2","")</f>
        <v/>
      </c>
      <c r="AL15" s="174"/>
      <c r="AM15" s="135">
        <v>5</v>
      </c>
      <c r="AN15" s="136"/>
      <c r="AP15" s="38">
        <v>45194</v>
      </c>
      <c r="AQ15" s="38">
        <v>45285</v>
      </c>
      <c r="AR15" s="38">
        <v>45194</v>
      </c>
      <c r="AS15" s="38">
        <v>45285</v>
      </c>
      <c r="AT15" s="38">
        <f t="shared" si="2"/>
        <v>45288</v>
      </c>
      <c r="AU15" s="39">
        <v>0</v>
      </c>
      <c r="AV15" s="39">
        <v>0</v>
      </c>
      <c r="AW15" s="39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6"/>
      <c r="C16" s="179" t="str">
        <f>IF($D$7&gt;=1,"기초금리 Range하한", "")</f>
        <v>기초금리 Range하한</v>
      </c>
      <c r="D16" s="143"/>
      <c r="E16" s="181">
        <v>-1</v>
      </c>
      <c r="F16" s="187"/>
      <c r="G16" s="183"/>
      <c r="H16" s="183"/>
      <c r="I16" s="152" t="str">
        <f>IF(E14&gt;0,"Spread1","")</f>
        <v/>
      </c>
      <c r="J16" s="152"/>
      <c r="K16" s="153" t="str">
        <f>IF(E14&gt;0, I14&amp;"-"&amp;I15, "")</f>
        <v/>
      </c>
      <c r="L16" s="154"/>
      <c r="M16" s="34"/>
      <c r="N16" s="38">
        <v>45285</v>
      </c>
      <c r="O16" s="38">
        <v>45376</v>
      </c>
      <c r="P16" s="38">
        <v>45285</v>
      </c>
      <c r="Q16" s="38">
        <v>45376</v>
      </c>
      <c r="R16" s="38">
        <v>45378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90"/>
      <c r="AE16" s="173" t="str">
        <f>IF($AF$7&gt;=1,"기초금리 Range하한", "")</f>
        <v>기초금리 Range하한</v>
      </c>
      <c r="AF16" s="175"/>
      <c r="AG16" s="181">
        <v>-1</v>
      </c>
      <c r="AH16" s="181"/>
      <c r="AI16" s="194"/>
      <c r="AJ16" s="194"/>
      <c r="AK16" s="191" t="str">
        <f>IF(AG14&gt;0,"Spread1","")</f>
        <v/>
      </c>
      <c r="AL16" s="191"/>
      <c r="AM16" s="192" t="str">
        <f>IF(AG14&gt;0, AK14&amp;"-"&amp;AK15, "")</f>
        <v/>
      </c>
      <c r="AN16" s="193"/>
      <c r="AO16" s="34"/>
      <c r="AP16" s="38">
        <v>45285</v>
      </c>
      <c r="AQ16" s="38">
        <v>45376</v>
      </c>
      <c r="AR16" s="38">
        <v>45285</v>
      </c>
      <c r="AS16" s="38">
        <v>45376</v>
      </c>
      <c r="AT16" s="38">
        <f t="shared" si="2"/>
        <v>45379</v>
      </c>
      <c r="AU16" s="39">
        <v>0</v>
      </c>
      <c r="AV16" s="39">
        <v>0</v>
      </c>
      <c r="AW16" s="39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0" t="str">
        <f>IF($D$7&gt;=1,"Payoff조건Multiple", "")</f>
        <v>Payoff조건Multiple</v>
      </c>
      <c r="D17" s="180"/>
      <c r="E17" s="196">
        <v>1</v>
      </c>
      <c r="F17" s="197"/>
      <c r="G17" s="199" t="str">
        <f>IF(E14&gt;0,"예시) 10년-5년 스왑: 연 지급횟수=4, 만기1=10, 만기2=5","")</f>
        <v/>
      </c>
      <c r="H17" s="199"/>
      <c r="I17" s="199"/>
      <c r="J17" s="199"/>
      <c r="K17" s="199"/>
      <c r="L17" s="200"/>
      <c r="M17" s="34"/>
      <c r="N17" s="38">
        <v>45376</v>
      </c>
      <c r="O17" s="38">
        <v>45467</v>
      </c>
      <c r="P17" s="38">
        <v>45376</v>
      </c>
      <c r="Q17" s="38">
        <v>45467</v>
      </c>
      <c r="R17" s="38">
        <v>45469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24" t="str">
        <f>IF($AF$7&gt;=1,"Payoff조건Multiple", "")</f>
        <v>Payoff조건Multiple</v>
      </c>
      <c r="AF17" s="124"/>
      <c r="AG17" s="196">
        <v>1</v>
      </c>
      <c r="AH17" s="196"/>
      <c r="AI17" s="199" t="str">
        <f>IF(AG14&gt;0,"예시) 10년-5년 스왑: 연 지급횟수=4, 만기1=10, 만기2=5","")</f>
        <v/>
      </c>
      <c r="AJ17" s="199"/>
      <c r="AK17" s="199"/>
      <c r="AL17" s="199"/>
      <c r="AM17" s="199"/>
      <c r="AN17" s="200"/>
      <c r="AO17" s="34"/>
      <c r="AP17" s="38">
        <v>45376</v>
      </c>
      <c r="AQ17" s="38">
        <v>45467</v>
      </c>
      <c r="AR17" s="38">
        <v>45376</v>
      </c>
      <c r="AS17" s="38">
        <v>45467</v>
      </c>
      <c r="AT17" s="38">
        <f t="shared" si="2"/>
        <v>45470</v>
      </c>
      <c r="AU17" s="39">
        <v>0</v>
      </c>
      <c r="AV17" s="39">
        <v>0</v>
      </c>
      <c r="AW17" s="39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45467</v>
      </c>
      <c r="O18" s="38">
        <v>45559</v>
      </c>
      <c r="P18" s="38">
        <v>45467</v>
      </c>
      <c r="Q18" s="38">
        <v>45559</v>
      </c>
      <c r="R18" s="38">
        <v>45561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45467</v>
      </c>
      <c r="AQ18" s="38">
        <v>45559</v>
      </c>
      <c r="AR18" s="38">
        <v>45467</v>
      </c>
      <c r="AS18" s="38">
        <v>45559</v>
      </c>
      <c r="AT18" s="38">
        <f t="shared" si="2"/>
        <v>45562</v>
      </c>
      <c r="AU18" s="39">
        <v>0</v>
      </c>
      <c r="AV18" s="39">
        <v>0</v>
      </c>
      <c r="AW18" s="39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5" t="str">
        <f>IF(D7&gt;=2,"기초금리2", "")</f>
        <v/>
      </c>
      <c r="C19" s="163" t="str">
        <f>IF($D$7&gt;=2,"커브번호", "")</f>
        <v/>
      </c>
      <c r="D19" s="163"/>
      <c r="E19" s="164">
        <v>2</v>
      </c>
      <c r="F19" s="164"/>
      <c r="G19" s="71"/>
      <c r="H19" s="36"/>
      <c r="I19" s="167" t="str">
        <f>IF(OR(E20 = 0, E20 = 2, E20 = 4), "RefType = "&amp;E20&amp;" 이므로 Ref Swap 금리정보 사용안함", "사용")</f>
        <v>RefType = 0 이므로 Ref Swap 금리정보 사용안함</v>
      </c>
      <c r="J19" s="167"/>
      <c r="K19" s="167"/>
      <c r="L19" s="195"/>
      <c r="M19" s="34"/>
      <c r="N19" s="38">
        <v>45559</v>
      </c>
      <c r="O19" s="38">
        <v>45650</v>
      </c>
      <c r="P19" s="38">
        <v>45559</v>
      </c>
      <c r="Q19" s="38">
        <v>45650</v>
      </c>
      <c r="R19" s="38">
        <v>45652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17" t="str">
        <f>IF($AF$7&gt;=2,"기초금리2", "")</f>
        <v/>
      </c>
      <c r="AE19" s="123" t="str">
        <f>IF($AF$7&gt;=2,"커브번호", "")</f>
        <v/>
      </c>
      <c r="AF19" s="123"/>
      <c r="AG19" s="164">
        <v>2</v>
      </c>
      <c r="AH19" s="164"/>
      <c r="AI19" s="71"/>
      <c r="AJ19" s="36"/>
      <c r="AK19" s="188" t="str">
        <f>IF(OR(AG20 = 0, AG20 = 2, AG20 = 4), "RefType = "&amp;AG20&amp;" 이므로 Ref Swap 금리정보 사용안함", "사용")</f>
        <v>RefType = 0 이므로 Ref Swap 금리정보 사용안함</v>
      </c>
      <c r="AL19" s="188"/>
      <c r="AM19" s="188"/>
      <c r="AN19" s="189"/>
      <c r="AP19" s="38">
        <v>45559</v>
      </c>
      <c r="AQ19" s="38">
        <v>45650</v>
      </c>
      <c r="AR19" s="38">
        <v>45559</v>
      </c>
      <c r="AS19" s="38">
        <v>45650</v>
      </c>
      <c r="AT19" s="38">
        <f t="shared" si="2"/>
        <v>45653</v>
      </c>
      <c r="AU19" s="39">
        <v>0</v>
      </c>
      <c r="AV19" s="39">
        <v>0</v>
      </c>
      <c r="AW19" s="39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6"/>
      <c r="C20" s="143" t="str">
        <f>IF($D$7&gt;=2,"Reference Rate Type", "")</f>
        <v/>
      </c>
      <c r="D20" s="144"/>
      <c r="E20" s="155">
        <v>0</v>
      </c>
      <c r="F20" s="155"/>
      <c r="G20" s="137" t="str">
        <f>IF(OR(E20 = 0, E20 = 2, E20 = 4), "", "Zero/Swap 레퍼런스금리정보")</f>
        <v/>
      </c>
      <c r="H20" s="137"/>
      <c r="I20" s="137" t="str">
        <f>IF(OR(E20 = 0, E20 = 2, E20 = 4), "", "연 지급횟수")</f>
        <v/>
      </c>
      <c r="J20" s="138"/>
      <c r="K20" s="139">
        <v>4</v>
      </c>
      <c r="L20" s="140"/>
      <c r="M20" s="34"/>
      <c r="N20" s="38">
        <v>45650</v>
      </c>
      <c r="O20" s="38">
        <v>45741</v>
      </c>
      <c r="P20" s="38">
        <v>45650</v>
      </c>
      <c r="Q20" s="38">
        <v>45741</v>
      </c>
      <c r="R20" s="38">
        <v>45743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90"/>
      <c r="AE20" s="175" t="str">
        <f>IF($AF$7&gt;=2,"Reference Rate Type", "")</f>
        <v/>
      </c>
      <c r="AF20" s="176"/>
      <c r="AG20" s="155">
        <v>0</v>
      </c>
      <c r="AH20" s="155"/>
      <c r="AI20" s="177" t="str">
        <f>IF(OR(AG20 = 0, AG20 = 2, AG20 = 4), "", "Zero/Swap 레퍼런스금리정보")</f>
        <v/>
      </c>
      <c r="AJ20" s="177"/>
      <c r="AK20" s="177" t="str">
        <f>IF(OR(AG20 = 0, AG20 = 2, AG20 = 4), "", "연 지급횟수")</f>
        <v/>
      </c>
      <c r="AL20" s="178"/>
      <c r="AM20" s="139">
        <v>4</v>
      </c>
      <c r="AN20" s="140"/>
      <c r="AP20" s="38">
        <v>45650</v>
      </c>
      <c r="AQ20" s="38">
        <v>45741</v>
      </c>
      <c r="AR20" s="38">
        <v>45650</v>
      </c>
      <c r="AS20" s="38">
        <v>45741</v>
      </c>
      <c r="AT20" s="38">
        <f t="shared" si="2"/>
        <v>45744</v>
      </c>
      <c r="AU20" s="39">
        <v>0</v>
      </c>
      <c r="AV20" s="39">
        <v>0</v>
      </c>
      <c r="AW20" s="39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6"/>
      <c r="C21" s="143" t="str">
        <f>IF($D$7&gt;=2,"DayCount", "")</f>
        <v/>
      </c>
      <c r="D21" s="143"/>
      <c r="E21" s="156">
        <v>0</v>
      </c>
      <c r="F21" s="156"/>
      <c r="G21" s="137"/>
      <c r="H21" s="137"/>
      <c r="I21" s="137" t="str">
        <f>IF(OR(E20 = 0, E20 = 2, E20 = 4,E23=1), "", "만기")</f>
        <v/>
      </c>
      <c r="J21" s="138"/>
      <c r="K21" s="141">
        <v>1</v>
      </c>
      <c r="L21" s="142"/>
      <c r="M21" s="34"/>
      <c r="N21" s="38">
        <v>45741</v>
      </c>
      <c r="O21" s="38">
        <v>45832.25</v>
      </c>
      <c r="P21" s="38">
        <v>45741</v>
      </c>
      <c r="Q21" s="38">
        <v>45832.25</v>
      </c>
      <c r="R21" s="38">
        <v>45834.25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90"/>
      <c r="AE21" s="175" t="str">
        <f>IF($AF$7&gt;=2,"DayCount", "")</f>
        <v/>
      </c>
      <c r="AF21" s="175"/>
      <c r="AG21" s="156">
        <v>0</v>
      </c>
      <c r="AH21" s="156"/>
      <c r="AI21" s="177"/>
      <c r="AJ21" s="177"/>
      <c r="AK21" s="137" t="str">
        <f>IF(OR(AG20 = 0, AG20 = 2, AG20 = 4,AG23=1), "", "만기")</f>
        <v/>
      </c>
      <c r="AL21" s="138"/>
      <c r="AM21" s="141">
        <v>5</v>
      </c>
      <c r="AN21" s="142"/>
      <c r="AP21" s="38">
        <v>45741</v>
      </c>
      <c r="AQ21" s="38">
        <v>45832.25</v>
      </c>
      <c r="AR21" s="38">
        <v>45741</v>
      </c>
      <c r="AS21" s="38">
        <v>45832.25</v>
      </c>
      <c r="AT21" s="38">
        <f t="shared" si="2"/>
        <v>45835.25</v>
      </c>
      <c r="AU21" s="39">
        <v>0</v>
      </c>
      <c r="AV21" s="39">
        <v>0</v>
      </c>
      <c r="AW21" s="39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6"/>
      <c r="C22" s="143" t="str">
        <f>IF($D$7&gt;=2,"금리결정조건Multiple", "")</f>
        <v/>
      </c>
      <c r="D22" s="144"/>
      <c r="E22" s="133">
        <v>1</v>
      </c>
      <c r="F22" s="133"/>
      <c r="G22" s="158" t="str">
        <f>IF(OR(E20 = 0, E20 = 2, E20 = 4), "", "ex) Zero Rate 5년 -&gt; 연 지급횟수= 0, 만기= 5 // CD91일 -&gt; 연 지급횟수= 4, 만기= 0.25")</f>
        <v/>
      </c>
      <c r="H22" s="158"/>
      <c r="I22" s="158"/>
      <c r="J22" s="158"/>
      <c r="K22" s="158"/>
      <c r="L22" s="159"/>
      <c r="M22" s="34"/>
      <c r="N22" s="38">
        <v>45832.25</v>
      </c>
      <c r="O22" s="38">
        <v>45923.5</v>
      </c>
      <c r="P22" s="38">
        <v>45832.25</v>
      </c>
      <c r="Q22" s="38">
        <v>45923.5</v>
      </c>
      <c r="R22" s="38">
        <v>45925.5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90"/>
      <c r="AE22" s="175" t="str">
        <f>IF($AF$7&gt;=2,"금리결정조건Multiple", "")</f>
        <v/>
      </c>
      <c r="AF22" s="176"/>
      <c r="AG22" s="133">
        <v>1</v>
      </c>
      <c r="AH22" s="133"/>
      <c r="AI22" s="158" t="str">
        <f>IF(OR(AG20 = 0, AG20 = 2, AG20 = 4), "", "ex) Zero Rate 5년 -&gt; 연 지급횟수= 0, 만기= 5 // CD91일 -&gt; 연 지급횟수= 4, 만기= 0.25")</f>
        <v/>
      </c>
      <c r="AJ22" s="158"/>
      <c r="AK22" s="158"/>
      <c r="AL22" s="158"/>
      <c r="AM22" s="158"/>
      <c r="AN22" s="159"/>
      <c r="AP22" s="38">
        <v>45832.25</v>
      </c>
      <c r="AQ22" s="38">
        <v>45923.5</v>
      </c>
      <c r="AR22" s="38">
        <v>45832.25</v>
      </c>
      <c r="AS22" s="38">
        <v>45923.5</v>
      </c>
      <c r="AT22" s="38">
        <f t="shared" si="2"/>
        <v>45926.5</v>
      </c>
      <c r="AU22" s="39">
        <v>0</v>
      </c>
      <c r="AV22" s="39">
        <v>0</v>
      </c>
      <c r="AW22" s="39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6"/>
      <c r="C23" s="179" t="str">
        <f>IF($D$7&gt;=2,"Power Spread Flag", "")</f>
        <v/>
      </c>
      <c r="D23" s="179"/>
      <c r="E23" s="156">
        <v>0</v>
      </c>
      <c r="F23" s="156"/>
      <c r="G23" s="134" t="str">
        <f>IF(E23&gt;0,"PowerSpreadFlag 1일때 입력","입력필요X")</f>
        <v>입력필요X</v>
      </c>
      <c r="H23" s="134"/>
      <c r="I23" s="134" t="str">
        <f>IF(E23&gt;0,"만기1","")</f>
        <v/>
      </c>
      <c r="J23" s="134"/>
      <c r="K23" s="135">
        <v>10</v>
      </c>
      <c r="L23" s="136"/>
      <c r="M23" s="34"/>
      <c r="N23" s="38">
        <v>45923.5</v>
      </c>
      <c r="O23" s="38">
        <v>46014.75</v>
      </c>
      <c r="P23" s="38">
        <v>45923.5</v>
      </c>
      <c r="Q23" s="38">
        <v>46014.75</v>
      </c>
      <c r="R23" s="38">
        <v>46016.75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90"/>
      <c r="AE23" s="173" t="str">
        <f>IF($AF$7&gt;=2,"Power Spread Flag", "")</f>
        <v/>
      </c>
      <c r="AF23" s="173"/>
      <c r="AG23" s="156">
        <v>0</v>
      </c>
      <c r="AH23" s="156"/>
      <c r="AI23" s="174" t="str">
        <f>IF(AG23&gt;0,"PowerSpreadFlag 1일때 입력","입력필요X")</f>
        <v>입력필요X</v>
      </c>
      <c r="AJ23" s="174"/>
      <c r="AK23" s="174" t="str">
        <f>IF(AG23&gt;0,"만기1","")</f>
        <v/>
      </c>
      <c r="AL23" s="174"/>
      <c r="AM23" s="135">
        <v>10</v>
      </c>
      <c r="AN23" s="136"/>
      <c r="AP23" s="38">
        <v>45923.5</v>
      </c>
      <c r="AQ23" s="38">
        <v>46014.75</v>
      </c>
      <c r="AR23" s="38">
        <v>45923.5</v>
      </c>
      <c r="AS23" s="38">
        <v>46014.75</v>
      </c>
      <c r="AT23" s="38">
        <f t="shared" si="2"/>
        <v>46017.75</v>
      </c>
      <c r="AU23" s="39">
        <v>0</v>
      </c>
      <c r="AV23" s="39">
        <v>0</v>
      </c>
      <c r="AW23" s="39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79" t="str">
        <f>IF($D$7&gt;=2,"기초금리 Range상한", "")</f>
        <v/>
      </c>
      <c r="D24" s="179"/>
      <c r="E24" s="182">
        <v>10</v>
      </c>
      <c r="F24" s="182"/>
      <c r="G24" s="134"/>
      <c r="H24" s="134"/>
      <c r="I24" s="134" t="str">
        <f>IF(E23&gt;0,"만기2","")</f>
        <v/>
      </c>
      <c r="J24" s="134"/>
      <c r="K24" s="135">
        <v>5</v>
      </c>
      <c r="L24" s="136"/>
      <c r="M24" s="34"/>
      <c r="N24" s="38">
        <v>46014.75</v>
      </c>
      <c r="O24" s="38">
        <v>46106</v>
      </c>
      <c r="P24" s="38">
        <v>46014.75</v>
      </c>
      <c r="Q24" s="38">
        <v>46106</v>
      </c>
      <c r="R24" s="38">
        <v>46108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90" t="str">
        <f>IF($AF$7&gt;1, "사용", "커브개수"&amp;"="&amp;$AF$7&amp;"이므로 사용안함")</f>
        <v>커브개수=1이므로 사용안함</v>
      </c>
      <c r="AE24" s="173" t="str">
        <f>IF($AF$7&gt;=2,"기초금리 Range상한", "")</f>
        <v/>
      </c>
      <c r="AF24" s="173"/>
      <c r="AG24" s="182">
        <v>0.5</v>
      </c>
      <c r="AH24" s="182"/>
      <c r="AI24" s="174"/>
      <c r="AJ24" s="174"/>
      <c r="AK24" s="174" t="str">
        <f>IF(AG23&gt;0,"만기2","")</f>
        <v/>
      </c>
      <c r="AL24" s="174"/>
      <c r="AM24" s="135">
        <v>5</v>
      </c>
      <c r="AN24" s="136"/>
      <c r="AP24" s="38">
        <v>46014.75</v>
      </c>
      <c r="AQ24" s="38">
        <v>46106</v>
      </c>
      <c r="AR24" s="38">
        <v>46014.75</v>
      </c>
      <c r="AS24" s="38">
        <v>46106</v>
      </c>
      <c r="AT24" s="38">
        <f t="shared" si="2"/>
        <v>46109</v>
      </c>
      <c r="AU24" s="39">
        <v>0</v>
      </c>
      <c r="AV24" s="39">
        <v>0</v>
      </c>
      <c r="AW24" s="39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6"/>
      <c r="C25" s="179" t="str">
        <f>IF($D$7&gt;=2,"기초금리 Range하한", "")</f>
        <v/>
      </c>
      <c r="D25" s="143"/>
      <c r="E25" s="181">
        <v>-1</v>
      </c>
      <c r="F25" s="181"/>
      <c r="G25" s="183"/>
      <c r="H25" s="183"/>
      <c r="I25" s="152" t="str">
        <f>IF(E23&gt;0,"Spread1","")</f>
        <v/>
      </c>
      <c r="J25" s="152"/>
      <c r="K25" s="153" t="str">
        <f>IF(E23&gt;0, I23&amp;"-"&amp;I24, "")</f>
        <v/>
      </c>
      <c r="L25" s="154"/>
      <c r="N25" s="38">
        <v>46106</v>
      </c>
      <c r="O25" s="38">
        <v>46197.25</v>
      </c>
      <c r="P25" s="38">
        <v>46106</v>
      </c>
      <c r="Q25" s="38">
        <v>46197.25</v>
      </c>
      <c r="R25" s="38">
        <v>46199.25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90"/>
      <c r="AE25" s="173" t="str">
        <f>IF($AF$7&gt;=2,"기초금리 Range하한", "")</f>
        <v/>
      </c>
      <c r="AF25" s="175"/>
      <c r="AG25" s="181">
        <v>-0.1</v>
      </c>
      <c r="AH25" s="181"/>
      <c r="AI25" s="194"/>
      <c r="AJ25" s="194"/>
      <c r="AK25" s="191" t="str">
        <f>IF(AG23&gt;0,"Spread1","")</f>
        <v/>
      </c>
      <c r="AL25" s="191"/>
      <c r="AM25" s="192" t="str">
        <f>IF(AG23&gt;0, AK23&amp;"-"&amp;AK24, "")</f>
        <v/>
      </c>
      <c r="AN25" s="193"/>
      <c r="AP25" s="38">
        <v>46106</v>
      </c>
      <c r="AQ25" s="38">
        <v>46197.25</v>
      </c>
      <c r="AR25" s="38">
        <v>46106</v>
      </c>
      <c r="AS25" s="38">
        <v>46197.25</v>
      </c>
      <c r="AT25" s="38">
        <f t="shared" si="2"/>
        <v>46200.25</v>
      </c>
      <c r="AU25" s="39">
        <v>0</v>
      </c>
      <c r="AV25" s="39">
        <v>0</v>
      </c>
      <c r="AW25" s="39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0" t="str">
        <f>IF($D$7&gt;=2,"Payoff조건Multiple", "")</f>
        <v/>
      </c>
      <c r="D26" s="180"/>
      <c r="E26" s="196">
        <v>0</v>
      </c>
      <c r="F26" s="196"/>
      <c r="G26" s="199" t="str">
        <f>IF(E23&gt;0,"예시) 10년-5년 스왑: 연 지급횟수=4, 만기1=10, 만기2=5","")</f>
        <v/>
      </c>
      <c r="H26" s="199"/>
      <c r="I26" s="199"/>
      <c r="J26" s="199"/>
      <c r="K26" s="199"/>
      <c r="L26" s="200"/>
      <c r="N26" s="38">
        <v>46197.25</v>
      </c>
      <c r="O26" s="38">
        <v>46288.5</v>
      </c>
      <c r="P26" s="38">
        <v>46197.25</v>
      </c>
      <c r="Q26" s="38">
        <v>46288.5</v>
      </c>
      <c r="R26" s="38">
        <v>46290.5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24" t="str">
        <f>IF($AF$7&gt;=2,"Payoff조건Multiple", "")</f>
        <v/>
      </c>
      <c r="AF26" s="124"/>
      <c r="AG26" s="196">
        <v>0</v>
      </c>
      <c r="AH26" s="196"/>
      <c r="AI26" s="199" t="str">
        <f>IF(AG23&gt;0,"예시) 10년-5년 스왑: 연 지급횟수=4, 만기1=10, 만기2=5","")</f>
        <v/>
      </c>
      <c r="AJ26" s="199"/>
      <c r="AK26" s="199"/>
      <c r="AL26" s="199"/>
      <c r="AM26" s="199"/>
      <c r="AN26" s="200"/>
      <c r="AP26" s="38">
        <v>46197.25</v>
      </c>
      <c r="AQ26" s="38">
        <v>46288.5</v>
      </c>
      <c r="AR26" s="38">
        <v>46197.25</v>
      </c>
      <c r="AS26" s="38">
        <v>46288.5</v>
      </c>
      <c r="AT26" s="38">
        <f t="shared" si="2"/>
        <v>46291.5</v>
      </c>
      <c r="AU26" s="39">
        <v>0</v>
      </c>
      <c r="AV26" s="39">
        <v>0</v>
      </c>
      <c r="AW26" s="39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46288.5</v>
      </c>
      <c r="O27" s="38">
        <v>46379.75</v>
      </c>
      <c r="P27" s="38">
        <v>46288.5</v>
      </c>
      <c r="Q27" s="38">
        <v>46379.75</v>
      </c>
      <c r="R27" s="38">
        <v>46381.75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46288.5</v>
      </c>
      <c r="AQ27" s="38">
        <v>46379.75</v>
      </c>
      <c r="AR27" s="38">
        <v>46288.5</v>
      </c>
      <c r="AS27" s="38">
        <v>46379.75</v>
      </c>
      <c r="AT27" s="38">
        <f t="shared" si="2"/>
        <v>46382.75</v>
      </c>
      <c r="AU27" s="39">
        <v>0</v>
      </c>
      <c r="AV27" s="39">
        <v>0</v>
      </c>
      <c r="AW27" s="39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5" t="str">
        <f>IF($D$7&gt;=3,"기초금리3", "")</f>
        <v/>
      </c>
      <c r="C28" s="163" t="str">
        <f>IF($D$7&gt;=3,"커브번호", "")</f>
        <v/>
      </c>
      <c r="D28" s="163"/>
      <c r="E28" s="164">
        <v>3</v>
      </c>
      <c r="F28" s="164"/>
      <c r="G28" s="71"/>
      <c r="H28" s="36"/>
      <c r="I28" s="167" t="str">
        <f>IF(OR(E29 = 0, E29 = 2, E29 = 4), "RefType = "&amp;E29&amp;" 이므로 Ref Swap 금리정보 사용안함", "사용")</f>
        <v>RefType = 0 이므로 Ref Swap 금리정보 사용안함</v>
      </c>
      <c r="J28" s="167"/>
      <c r="K28" s="167"/>
      <c r="L28" s="195"/>
      <c r="N28" s="38">
        <v>46379.75</v>
      </c>
      <c r="O28" s="38">
        <v>46469</v>
      </c>
      <c r="P28" s="38">
        <v>46379.75</v>
      </c>
      <c r="Q28" s="38">
        <v>46469</v>
      </c>
      <c r="R28" s="38">
        <v>46471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17" t="str">
        <f>IF($AF$7&gt;=3,"기초금리3", "")</f>
        <v/>
      </c>
      <c r="AE28" s="123" t="str">
        <f>IF($AF$7&gt;=3,"커브번호", "")</f>
        <v/>
      </c>
      <c r="AF28" s="123"/>
      <c r="AG28" s="164">
        <v>3</v>
      </c>
      <c r="AH28" s="164"/>
      <c r="AI28" s="71"/>
      <c r="AJ28" s="36"/>
      <c r="AK28" s="188" t="str">
        <f>IF(OR(AG29 = 0, AG29 = 2, AG29 = 4), "RefType = "&amp;AG29&amp;" 이므로 Ref Swap 금리정보 사용안함", "사용")</f>
        <v>RefType = 0 이므로 Ref Swap 금리정보 사용안함</v>
      </c>
      <c r="AL28" s="188"/>
      <c r="AM28" s="188"/>
      <c r="AN28" s="189"/>
      <c r="AP28" s="38">
        <v>46379.75</v>
      </c>
      <c r="AQ28" s="38">
        <v>46469</v>
      </c>
      <c r="AR28" s="38">
        <v>46379.75</v>
      </c>
      <c r="AS28" s="38">
        <v>46469</v>
      </c>
      <c r="AT28" s="38">
        <f t="shared" si="2"/>
        <v>46472</v>
      </c>
      <c r="AU28" s="39">
        <v>0</v>
      </c>
      <c r="AV28" s="39">
        <v>0</v>
      </c>
      <c r="AW28" s="39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6"/>
      <c r="C29" s="143" t="str">
        <f>IF($D$7&gt;=3,"Reference Rate Type", "")</f>
        <v/>
      </c>
      <c r="D29" s="144"/>
      <c r="E29" s="155">
        <v>0</v>
      </c>
      <c r="F29" s="155"/>
      <c r="G29" s="137" t="str">
        <f>IF(OR(E29 = 0, E29 = 2, E29 = 4), "", "Zero/Swap 레퍼런스금리정보")</f>
        <v/>
      </c>
      <c r="H29" s="137"/>
      <c r="I29" s="137" t="str">
        <f>IF(OR(E29 = 0, E29 = 2, E29 = 4), "", "연 지급횟수")</f>
        <v/>
      </c>
      <c r="J29" s="138"/>
      <c r="K29" s="139">
        <v>4</v>
      </c>
      <c r="L29" s="140"/>
      <c r="N29" s="38">
        <v>46469</v>
      </c>
      <c r="O29" s="38">
        <v>46561</v>
      </c>
      <c r="P29" s="38">
        <v>46469</v>
      </c>
      <c r="Q29" s="38">
        <v>46561</v>
      </c>
      <c r="R29" s="38">
        <v>46563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90"/>
      <c r="AE29" s="175" t="str">
        <f>IF($AF$7&gt;=3,"Reference Rate Type", "")</f>
        <v/>
      </c>
      <c r="AF29" s="176"/>
      <c r="AG29" s="155">
        <v>0</v>
      </c>
      <c r="AH29" s="155"/>
      <c r="AI29" s="177" t="str">
        <f>IF(OR(AG29 = 0, AG29 = 2, AG29 = 4), "", "Zero/Swap 레퍼런스금리정보")</f>
        <v/>
      </c>
      <c r="AJ29" s="177"/>
      <c r="AK29" s="177" t="str">
        <f>IF(OR(AG29 = 0, AG29 = 2, AG29 = 4), "", "연 지급횟수")</f>
        <v/>
      </c>
      <c r="AL29" s="178"/>
      <c r="AM29" s="139">
        <v>4</v>
      </c>
      <c r="AN29" s="140"/>
      <c r="AP29" s="38">
        <v>46469</v>
      </c>
      <c r="AQ29" s="38">
        <v>46561</v>
      </c>
      <c r="AR29" s="38">
        <v>46469</v>
      </c>
      <c r="AS29" s="38">
        <v>46561</v>
      </c>
      <c r="AT29" s="38">
        <f t="shared" si="2"/>
        <v>46564</v>
      </c>
      <c r="AU29" s="39">
        <v>0</v>
      </c>
      <c r="AV29" s="39">
        <v>0</v>
      </c>
      <c r="AW29" s="39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6"/>
      <c r="C30" s="143" t="str">
        <f>IF($D$7&gt;=3,"DayCount", "")</f>
        <v/>
      </c>
      <c r="D30" s="143"/>
      <c r="E30" s="156">
        <v>0</v>
      </c>
      <c r="F30" s="156"/>
      <c r="G30" s="137"/>
      <c r="H30" s="137"/>
      <c r="I30" s="137" t="str">
        <f>IF(OR(E29 = 0, E29 = 2, E29 = 4,E32=1), "", "만기")</f>
        <v/>
      </c>
      <c r="J30" s="138"/>
      <c r="K30" s="141">
        <v>5</v>
      </c>
      <c r="L30" s="142"/>
      <c r="N30" s="38">
        <v>46561</v>
      </c>
      <c r="O30" s="38">
        <v>46653</v>
      </c>
      <c r="P30" s="38">
        <v>46561</v>
      </c>
      <c r="Q30" s="38">
        <v>46653</v>
      </c>
      <c r="R30" s="38">
        <v>46655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90"/>
      <c r="AE30" s="175" t="str">
        <f>IF($AF$7&gt;=3,"DayCount", "")</f>
        <v/>
      </c>
      <c r="AF30" s="175"/>
      <c r="AG30" s="156">
        <v>0</v>
      </c>
      <c r="AH30" s="156"/>
      <c r="AI30" s="177"/>
      <c r="AJ30" s="177"/>
      <c r="AK30" s="137" t="str">
        <f>IF(OR(AG29 = 0, AG29 = 2, AG29 = 4,AG32=1), "", "만기")</f>
        <v/>
      </c>
      <c r="AL30" s="138"/>
      <c r="AM30" s="141">
        <v>5</v>
      </c>
      <c r="AN30" s="142"/>
      <c r="AP30" s="38">
        <v>46561</v>
      </c>
      <c r="AQ30" s="38">
        <v>46653</v>
      </c>
      <c r="AR30" s="38">
        <v>46561</v>
      </c>
      <c r="AS30" s="38">
        <v>46653</v>
      </c>
      <c r="AT30" s="38">
        <f t="shared" si="2"/>
        <v>46656</v>
      </c>
      <c r="AU30" s="39">
        <v>0</v>
      </c>
      <c r="AV30" s="39">
        <v>0</v>
      </c>
      <c r="AW30" s="39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6"/>
      <c r="C31" s="143" t="str">
        <f>IF($D$7&gt;=3,"금리결정조건Multiple", "")</f>
        <v/>
      </c>
      <c r="D31" s="144"/>
      <c r="E31" s="133">
        <v>1</v>
      </c>
      <c r="F31" s="133"/>
      <c r="G31" s="158" t="str">
        <f>IF(OR(E29 = 0, E29 = 2, E29 = 4), "", "ex) Zero Rate 5년 -&gt; 연 지급횟수= 0, 만기= 5 // CD91일 -&gt; 연 지급횟수= 4, 만기= 0.25")</f>
        <v/>
      </c>
      <c r="H31" s="158"/>
      <c r="I31" s="158"/>
      <c r="J31" s="158"/>
      <c r="K31" s="158"/>
      <c r="L31" s="159"/>
      <c r="N31" s="38">
        <v>46653</v>
      </c>
      <c r="O31" s="38">
        <v>46744</v>
      </c>
      <c r="P31" s="38">
        <v>46653</v>
      </c>
      <c r="Q31" s="38">
        <v>46744</v>
      </c>
      <c r="R31" s="38">
        <v>46746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90"/>
      <c r="AE31" s="175" t="str">
        <f>IF($AF$7&gt;=3,"금리결정조건Multiple", "")</f>
        <v/>
      </c>
      <c r="AF31" s="176"/>
      <c r="AG31" s="133">
        <v>1</v>
      </c>
      <c r="AH31" s="133"/>
      <c r="AI31" s="158" t="str">
        <f>IF(OR(AG29 = 0, AG29 = 2, AG29 = 4), "", "ex) Zero Rate 5년 -&gt; 연 지급횟수= 0, 만기= 5 // CD91일 -&gt; 연 지급횟수= 4, 만기= 0.25")</f>
        <v/>
      </c>
      <c r="AJ31" s="158"/>
      <c r="AK31" s="158"/>
      <c r="AL31" s="158"/>
      <c r="AM31" s="158"/>
      <c r="AN31" s="159"/>
      <c r="AP31" s="38">
        <v>46653</v>
      </c>
      <c r="AQ31" s="38">
        <v>46744</v>
      </c>
      <c r="AR31" s="38">
        <v>46653</v>
      </c>
      <c r="AS31" s="38">
        <v>46744</v>
      </c>
      <c r="AT31" s="38">
        <f t="shared" si="2"/>
        <v>46747</v>
      </c>
      <c r="AU31" s="39">
        <v>0</v>
      </c>
      <c r="AV31" s="39">
        <v>0</v>
      </c>
      <c r="AW31" s="39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6"/>
      <c r="C32" s="179" t="str">
        <f>IF($D$7&gt;=3,"Power Spread Flag", "")</f>
        <v/>
      </c>
      <c r="D32" s="179"/>
      <c r="E32" s="156">
        <v>0</v>
      </c>
      <c r="F32" s="156"/>
      <c r="G32" s="134" t="str">
        <f>IF(E32&gt;0,"PowerSpreadFlag 1일때 입력","입력필요X")</f>
        <v>입력필요X</v>
      </c>
      <c r="H32" s="134"/>
      <c r="I32" s="134" t="str">
        <f>IF(E32&gt;0,"만기1","")</f>
        <v/>
      </c>
      <c r="J32" s="134"/>
      <c r="K32" s="135">
        <v>10</v>
      </c>
      <c r="L32" s="136"/>
      <c r="N32" s="38">
        <v>46744</v>
      </c>
      <c r="O32" s="38">
        <v>46835</v>
      </c>
      <c r="P32" s="38">
        <v>46744</v>
      </c>
      <c r="Q32" s="38">
        <v>46835</v>
      </c>
      <c r="R32" s="38">
        <v>46837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90"/>
      <c r="AE32" s="173" t="str">
        <f>IF($AF$7&gt;=3,"Power Spread Flag", "")</f>
        <v/>
      </c>
      <c r="AF32" s="173"/>
      <c r="AG32" s="156">
        <v>0</v>
      </c>
      <c r="AH32" s="156"/>
      <c r="AI32" s="174" t="str">
        <f>IF(AG32&gt;0,"PowerSpreadFlag 1일때 입력","입력필요X")</f>
        <v>입력필요X</v>
      </c>
      <c r="AJ32" s="174"/>
      <c r="AK32" s="174" t="str">
        <f>IF(AG32&gt;0,"만기1","")</f>
        <v/>
      </c>
      <c r="AL32" s="174"/>
      <c r="AM32" s="135">
        <v>10</v>
      </c>
      <c r="AN32" s="136"/>
      <c r="AP32" s="38">
        <v>46744</v>
      </c>
      <c r="AQ32" s="38">
        <v>46835</v>
      </c>
      <c r="AR32" s="38">
        <v>46744</v>
      </c>
      <c r="AS32" s="38">
        <v>46835</v>
      </c>
      <c r="AT32" s="38">
        <f t="shared" si="2"/>
        <v>46838</v>
      </c>
      <c r="AU32" s="39">
        <v>0</v>
      </c>
      <c r="AV32" s="39">
        <v>0</v>
      </c>
      <c r="AW32" s="39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79" t="str">
        <f>IF($D$7&gt;=3,"기초금리 Range상한", "")</f>
        <v/>
      </c>
      <c r="D33" s="179"/>
      <c r="E33" s="182">
        <v>0.5</v>
      </c>
      <c r="F33" s="182"/>
      <c r="G33" s="134"/>
      <c r="H33" s="134"/>
      <c r="I33" s="134" t="str">
        <f>IF(E32&gt;0,"만기2","")</f>
        <v/>
      </c>
      <c r="J33" s="134"/>
      <c r="K33" s="135">
        <v>5</v>
      </c>
      <c r="L33" s="136"/>
      <c r="N33" s="38"/>
      <c r="O33" s="38"/>
      <c r="P33" s="38"/>
      <c r="Q33" s="38"/>
      <c r="R33" s="38"/>
      <c r="S33" s="39"/>
      <c r="T33" s="39"/>
      <c r="U33" s="39"/>
      <c r="W33" s="41">
        <v>41251</v>
      </c>
      <c r="X33" s="41">
        <v>41251</v>
      </c>
      <c r="Y33" s="41">
        <v>41251</v>
      </c>
      <c r="AD33" s="190" t="str">
        <f>IF($AF$7&gt;2, "사용", "커브개수"&amp;"="&amp;$AF$7&amp;"이므로 사용안함")</f>
        <v>커브개수=1이므로 사용안함</v>
      </c>
      <c r="AE33" s="173" t="str">
        <f>IF($AF$7&gt;=3,"기초금리 Range상한", "")</f>
        <v/>
      </c>
      <c r="AF33" s="173"/>
      <c r="AG33" s="182">
        <v>0.5</v>
      </c>
      <c r="AH33" s="182"/>
      <c r="AI33" s="174"/>
      <c r="AJ33" s="174"/>
      <c r="AK33" s="174" t="str">
        <f>IF(AG32&gt;0,"만기2","")</f>
        <v/>
      </c>
      <c r="AL33" s="174"/>
      <c r="AM33" s="135">
        <v>5</v>
      </c>
      <c r="AN33" s="136"/>
      <c r="AP33" s="38"/>
      <c r="AQ33" s="38"/>
      <c r="AR33" s="38"/>
      <c r="AS33" s="38"/>
      <c r="AT33" s="38"/>
      <c r="AU33" s="39"/>
      <c r="AV33" s="39"/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6"/>
      <c r="C34" s="179" t="str">
        <f>IF($D$7&gt;=3,"기초금리 Range하한", "")</f>
        <v/>
      </c>
      <c r="D34" s="143"/>
      <c r="E34" s="181">
        <v>-0.1</v>
      </c>
      <c r="F34" s="181"/>
      <c r="G34" s="183"/>
      <c r="H34" s="183"/>
      <c r="I34" s="152" t="str">
        <f>IF(E32&gt;0,"Spread1","")</f>
        <v/>
      </c>
      <c r="J34" s="152"/>
      <c r="K34" s="153" t="str">
        <f>IF(E32&gt;0, I32&amp;"-"&amp;I33, "")</f>
        <v/>
      </c>
      <c r="L34" s="154"/>
      <c r="N34" s="38"/>
      <c r="O34" s="38"/>
      <c r="P34" s="38"/>
      <c r="Q34" s="38"/>
      <c r="R34" s="38"/>
      <c r="S34" s="39"/>
      <c r="T34" s="39"/>
      <c r="U34" s="39"/>
      <c r="W34" s="41">
        <v>41252</v>
      </c>
      <c r="X34" s="41">
        <v>41252</v>
      </c>
      <c r="Y34" s="41">
        <v>41252</v>
      </c>
      <c r="AD34" s="190"/>
      <c r="AE34" s="173" t="str">
        <f>IF($AF$7&gt;=3,"기초금리 Range하한", "")</f>
        <v/>
      </c>
      <c r="AF34" s="175"/>
      <c r="AG34" s="181">
        <v>-0.1</v>
      </c>
      <c r="AH34" s="181"/>
      <c r="AI34" s="194"/>
      <c r="AJ34" s="194"/>
      <c r="AK34" s="191" t="str">
        <f>IF(AG32&gt;0,"Spread1","")</f>
        <v/>
      </c>
      <c r="AL34" s="191"/>
      <c r="AM34" s="192" t="str">
        <f>IF(AG32&gt;0, AK32&amp;"-"&amp;AK33, "")</f>
        <v/>
      </c>
      <c r="AN34" s="193"/>
      <c r="AP34" s="38"/>
      <c r="AQ34" s="38"/>
      <c r="AR34" s="38"/>
      <c r="AS34" s="38"/>
      <c r="AT34" s="38"/>
      <c r="AU34" s="39"/>
      <c r="AV34" s="39"/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0" t="str">
        <f>IF($D$7&gt;=3,"Payoff조건Multiple", "")</f>
        <v/>
      </c>
      <c r="D35" s="180"/>
      <c r="E35" s="196">
        <v>0</v>
      </c>
      <c r="F35" s="196"/>
      <c r="G35" s="199" t="str">
        <f>IF(E32&gt;0,"예시) 10년-5년 스왑: 연 지급횟수=4, 만기1=10, 만기2=5","")</f>
        <v/>
      </c>
      <c r="H35" s="199"/>
      <c r="I35" s="199"/>
      <c r="J35" s="199"/>
      <c r="K35" s="199"/>
      <c r="L35" s="200"/>
      <c r="N35" s="38"/>
      <c r="O35" s="38"/>
      <c r="P35" s="38"/>
      <c r="Q35" s="38"/>
      <c r="R35" s="38"/>
      <c r="S35" s="39"/>
      <c r="T35" s="39"/>
      <c r="U35" s="39"/>
      <c r="W35" s="41">
        <v>41258</v>
      </c>
      <c r="X35" s="41">
        <v>41258</v>
      </c>
      <c r="Y35" s="41">
        <v>41258</v>
      </c>
      <c r="AD35" s="32"/>
      <c r="AE35" s="124" t="str">
        <f>IF($AF$7&gt;=3,"Payoff조건Multiple", "")</f>
        <v/>
      </c>
      <c r="AF35" s="124"/>
      <c r="AG35" s="196">
        <v>0</v>
      </c>
      <c r="AH35" s="196"/>
      <c r="AI35" s="199" t="str">
        <f>IF(AG32&gt;0,"예시) 10년-5년 스왑: 연 지급횟수=4, 만기1=10, 만기2=5","")</f>
        <v/>
      </c>
      <c r="AJ35" s="199"/>
      <c r="AK35" s="199"/>
      <c r="AL35" s="199"/>
      <c r="AM35" s="199"/>
      <c r="AN35" s="200"/>
      <c r="AP35" s="38"/>
      <c r="AQ35" s="38"/>
      <c r="AR35" s="38"/>
      <c r="AS35" s="38"/>
      <c r="AT35" s="38"/>
      <c r="AU35" s="39"/>
      <c r="AV35" s="39"/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/>
      <c r="O36" s="38"/>
      <c r="P36" s="38"/>
      <c r="Q36" s="38"/>
      <c r="R36" s="38"/>
      <c r="S36" s="39"/>
      <c r="T36" s="39"/>
      <c r="U36" s="39"/>
      <c r="W36" s="41">
        <v>41259</v>
      </c>
      <c r="X36" s="41">
        <v>41259</v>
      </c>
      <c r="Y36" s="41">
        <v>41259</v>
      </c>
      <c r="AP36" s="38"/>
      <c r="AQ36" s="38"/>
      <c r="AR36" s="38"/>
      <c r="AS36" s="38"/>
      <c r="AT36" s="38"/>
      <c r="AU36" s="39"/>
      <c r="AV36" s="39"/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8" t="s">
        <v>94</v>
      </c>
      <c r="C37" s="123" t="s">
        <v>33</v>
      </c>
      <c r="D37" s="123"/>
      <c r="E37" s="125">
        <v>1</v>
      </c>
      <c r="F37" s="126"/>
      <c r="G37" s="35"/>
      <c r="H37" s="117" t="s">
        <v>48</v>
      </c>
      <c r="I37" s="118"/>
      <c r="J37" s="119">
        <v>0</v>
      </c>
      <c r="K37" s="119"/>
      <c r="L37" s="120"/>
      <c r="N37" s="38"/>
      <c r="O37" s="38"/>
      <c r="P37" s="38"/>
      <c r="Q37" s="38"/>
      <c r="R37" s="38"/>
      <c r="S37" s="39"/>
      <c r="T37" s="39"/>
      <c r="U37" s="39"/>
      <c r="W37" s="41">
        <v>41262</v>
      </c>
      <c r="X37" s="41">
        <v>41262</v>
      </c>
      <c r="Y37" s="41">
        <v>41262</v>
      </c>
      <c r="AD37" s="118" t="s">
        <v>94</v>
      </c>
      <c r="AE37" s="123" t="s">
        <v>33</v>
      </c>
      <c r="AF37" s="123"/>
      <c r="AG37" s="125">
        <v>1</v>
      </c>
      <c r="AH37" s="126"/>
      <c r="AJ37" s="117" t="s">
        <v>48</v>
      </c>
      <c r="AK37" s="118"/>
      <c r="AL37" s="119">
        <v>0</v>
      </c>
      <c r="AM37" s="119"/>
      <c r="AN37" s="120"/>
      <c r="AP37" s="38"/>
      <c r="AQ37" s="38"/>
      <c r="AR37" s="38"/>
      <c r="AS37" s="38"/>
      <c r="AT37" s="38"/>
      <c r="AU37" s="39"/>
      <c r="AV37" s="39"/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1"/>
      <c r="C38" s="124"/>
      <c r="D38" s="124"/>
      <c r="E38" s="127"/>
      <c r="F38" s="128"/>
      <c r="G38" s="35"/>
      <c r="H38" s="108" t="s">
        <v>49</v>
      </c>
      <c r="I38" s="109"/>
      <c r="J38" s="109"/>
      <c r="K38" s="109"/>
      <c r="L38" s="110"/>
      <c r="N38" s="38"/>
      <c r="O38" s="38"/>
      <c r="P38" s="38"/>
      <c r="Q38" s="38"/>
      <c r="R38" s="38"/>
      <c r="S38" s="39"/>
      <c r="T38" s="39"/>
      <c r="U38" s="39"/>
      <c r="W38" s="41">
        <v>41265</v>
      </c>
      <c r="X38" s="41">
        <v>41265</v>
      </c>
      <c r="Y38" s="41">
        <v>41265</v>
      </c>
      <c r="AD38" s="121"/>
      <c r="AE38" s="124"/>
      <c r="AF38" s="124"/>
      <c r="AG38" s="127"/>
      <c r="AH38" s="128"/>
      <c r="AJ38" s="108" t="s">
        <v>49</v>
      </c>
      <c r="AK38" s="109"/>
      <c r="AL38" s="109"/>
      <c r="AM38" s="109"/>
      <c r="AN38" s="110"/>
      <c r="AP38" s="38"/>
      <c r="AQ38" s="38"/>
      <c r="AR38" s="38"/>
      <c r="AS38" s="38"/>
      <c r="AT38" s="38"/>
      <c r="AU38" s="39"/>
      <c r="AV38" s="39"/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1"/>
      <c r="C39" s="122"/>
      <c r="D39" s="122"/>
      <c r="E39" s="122"/>
      <c r="F39" s="122"/>
      <c r="G39" s="35"/>
      <c r="H39" s="11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5"/>
      <c r="J39" s="115"/>
      <c r="K39" s="115"/>
      <c r="L39" s="116"/>
      <c r="N39" s="38"/>
      <c r="O39" s="38"/>
      <c r="P39" s="38"/>
      <c r="Q39" s="38"/>
      <c r="R39" s="38"/>
      <c r="S39" s="39"/>
      <c r="T39" s="39"/>
      <c r="U39" s="39"/>
      <c r="W39" s="41">
        <v>41266</v>
      </c>
      <c r="X39" s="41">
        <v>41266</v>
      </c>
      <c r="Y39" s="41">
        <v>41266</v>
      </c>
      <c r="AD39" s="121"/>
      <c r="AE39" s="122"/>
      <c r="AF39" s="122"/>
      <c r="AG39" s="122"/>
      <c r="AH39" s="122"/>
      <c r="AJ39" s="11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2"/>
      <c r="AL39" s="112"/>
      <c r="AM39" s="112"/>
      <c r="AN39" s="113"/>
      <c r="AP39" s="38"/>
      <c r="AQ39" s="38"/>
      <c r="AR39" s="38"/>
      <c r="AS39" s="38"/>
      <c r="AT39" s="38"/>
      <c r="AU39" s="39"/>
      <c r="AV39" s="39"/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/>
      <c r="O40" s="38"/>
      <c r="P40" s="38"/>
      <c r="Q40" s="38"/>
      <c r="R40" s="38"/>
      <c r="S40" s="39"/>
      <c r="T40" s="39"/>
      <c r="U40" s="39"/>
      <c r="W40" s="41">
        <v>41268</v>
      </c>
      <c r="X40" s="41">
        <v>41268</v>
      </c>
      <c r="Y40" s="41">
        <v>41268</v>
      </c>
      <c r="AP40" s="38"/>
      <c r="AQ40" s="38"/>
      <c r="AR40" s="38"/>
      <c r="AS40" s="38"/>
      <c r="AT40" s="38"/>
      <c r="AU40" s="39"/>
      <c r="AV40" s="39"/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/>
      <c r="O41" s="38"/>
      <c r="P41" s="38"/>
      <c r="Q41" s="38"/>
      <c r="R41" s="38"/>
      <c r="S41" s="39"/>
      <c r="T41" s="39"/>
      <c r="U41" s="39"/>
      <c r="W41" s="41">
        <v>41272</v>
      </c>
      <c r="X41" s="41">
        <v>41272</v>
      </c>
      <c r="Y41" s="41">
        <v>41272</v>
      </c>
      <c r="AP41" s="38"/>
      <c r="AQ41" s="38"/>
      <c r="AR41" s="38"/>
      <c r="AS41" s="38"/>
      <c r="AT41" s="38"/>
      <c r="AU41" s="39"/>
      <c r="AV41" s="39"/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8" t="s">
        <v>89</v>
      </c>
      <c r="C42" s="198"/>
      <c r="D42" s="198"/>
      <c r="E42" s="198"/>
      <c r="F42" s="198"/>
      <c r="G42" s="198"/>
      <c r="H42" s="198"/>
      <c r="I42" s="198"/>
      <c r="J42" s="198"/>
      <c r="K42" s="198"/>
      <c r="L42" s="198"/>
      <c r="N42" s="38"/>
      <c r="O42" s="38"/>
      <c r="P42" s="38"/>
      <c r="Q42" s="38"/>
      <c r="R42" s="38"/>
      <c r="S42" s="39"/>
      <c r="T42" s="39"/>
      <c r="U42" s="39"/>
      <c r="W42" s="41">
        <v>41273</v>
      </c>
      <c r="X42" s="41">
        <v>41273</v>
      </c>
      <c r="Y42" s="41">
        <v>41273</v>
      </c>
      <c r="AP42" s="38"/>
      <c r="AQ42" s="38"/>
      <c r="AR42" s="38"/>
      <c r="AS42" s="38"/>
      <c r="AT42" s="38"/>
      <c r="AU42" s="39"/>
      <c r="AV42" s="39"/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/>
      <c r="O43" s="38"/>
      <c r="P43" s="38"/>
      <c r="Q43" s="38"/>
      <c r="R43" s="38"/>
      <c r="S43" s="39"/>
      <c r="T43" s="39"/>
      <c r="U43" s="39"/>
      <c r="W43" s="41">
        <v>41275</v>
      </c>
      <c r="X43" s="41">
        <v>41275</v>
      </c>
      <c r="Y43" s="41">
        <v>41275</v>
      </c>
      <c r="AP43" s="38"/>
      <c r="AQ43" s="38"/>
      <c r="AR43" s="38"/>
      <c r="AS43" s="38"/>
      <c r="AT43" s="38"/>
      <c r="AU43" s="39"/>
      <c r="AV43" s="39"/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45450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</v>
      </c>
      <c r="N44" s="38"/>
      <c r="O44" s="38"/>
      <c r="P44" s="38"/>
      <c r="Q44" s="38"/>
      <c r="R44" s="38"/>
      <c r="S44" s="39"/>
      <c r="T44" s="39"/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/>
      <c r="AQ44" s="38"/>
      <c r="AR44" s="38"/>
      <c r="AS44" s="38"/>
      <c r="AT44" s="38"/>
      <c r="AU44" s="39"/>
      <c r="AV44" s="39"/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45519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/>
      <c r="O45" s="38"/>
      <c r="P45" s="38"/>
      <c r="Q45" s="38"/>
      <c r="R45" s="38"/>
      <c r="S45" s="39"/>
      <c r="T45" s="39"/>
      <c r="U45" s="39"/>
      <c r="W45" s="41">
        <v>41280</v>
      </c>
      <c r="X45" s="41">
        <v>41280</v>
      </c>
      <c r="Y45" s="41">
        <v>41280</v>
      </c>
      <c r="AP45" s="38"/>
      <c r="AQ45" s="38"/>
      <c r="AR45" s="38"/>
      <c r="AS45" s="38"/>
      <c r="AT45" s="38"/>
      <c r="AU45" s="39"/>
      <c r="AV45" s="39"/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45610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/>
      <c r="O46" s="38"/>
      <c r="P46" s="38"/>
      <c r="Q46" s="38"/>
      <c r="R46" s="38"/>
      <c r="S46" s="39"/>
      <c r="T46" s="39"/>
      <c r="U46" s="39"/>
      <c r="W46" s="41">
        <v>41286</v>
      </c>
      <c r="X46" s="41">
        <v>41286</v>
      </c>
      <c r="Y46" s="41">
        <v>41286</v>
      </c>
      <c r="AT46" s="38"/>
      <c r="AV46" s="39"/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v>45701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/>
      <c r="O47" s="38"/>
      <c r="P47" s="38"/>
      <c r="Q47" s="38"/>
      <c r="R47" s="38"/>
      <c r="S47" s="39"/>
      <c r="T47" s="39"/>
      <c r="U47" s="39"/>
      <c r="W47" s="41">
        <v>41287</v>
      </c>
      <c r="X47" s="41">
        <v>41287</v>
      </c>
      <c r="Y47" s="41">
        <v>41287</v>
      </c>
      <c r="AT47" s="38"/>
      <c r="AV47" s="39"/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N48" s="38"/>
      <c r="O48" s="38"/>
      <c r="P48" s="38"/>
      <c r="Q48" s="38"/>
      <c r="R48" s="38"/>
      <c r="S48" s="39"/>
      <c r="T48" s="39"/>
      <c r="U48" s="39"/>
      <c r="W48" s="41">
        <v>41293</v>
      </c>
      <c r="X48" s="41">
        <v>41293</v>
      </c>
      <c r="Y48" s="41">
        <v>41293</v>
      </c>
      <c r="AT48" s="38"/>
      <c r="AV48" s="39"/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N49" s="38"/>
      <c r="O49" s="38"/>
      <c r="P49" s="38"/>
      <c r="Q49" s="38"/>
      <c r="R49" s="38"/>
      <c r="S49" s="39"/>
      <c r="T49" s="39"/>
      <c r="U49" s="39"/>
      <c r="W49" s="41">
        <v>41294</v>
      </c>
      <c r="X49" s="41">
        <v>41294</v>
      </c>
      <c r="Y49" s="41">
        <v>41294</v>
      </c>
      <c r="AT49" s="38"/>
      <c r="AV49" s="39"/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N50" s="38"/>
      <c r="O50" s="38"/>
      <c r="P50" s="38"/>
      <c r="Q50" s="38"/>
      <c r="R50" s="38"/>
      <c r="S50" s="39"/>
      <c r="T50" s="39"/>
      <c r="U50" s="39"/>
      <c r="W50" s="41">
        <v>41300</v>
      </c>
      <c r="X50" s="41">
        <v>41300</v>
      </c>
      <c r="Y50" s="41">
        <v>41300</v>
      </c>
      <c r="AT50" s="38"/>
      <c r="AV50" s="39"/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N51" s="38"/>
      <c r="O51" s="38"/>
      <c r="P51" s="38"/>
      <c r="Q51" s="38"/>
      <c r="R51" s="38"/>
      <c r="S51" s="39"/>
      <c r="T51" s="39"/>
      <c r="U51" s="39"/>
      <c r="W51" s="41">
        <v>41301</v>
      </c>
      <c r="X51" s="41">
        <v>41301</v>
      </c>
      <c r="Y51" s="41">
        <v>41301</v>
      </c>
      <c r="AT51" s="38"/>
      <c r="AV51" s="39"/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N52" s="38"/>
      <c r="O52" s="38"/>
      <c r="P52" s="38"/>
      <c r="Q52" s="38"/>
      <c r="R52" s="38"/>
      <c r="S52" s="39"/>
      <c r="T52" s="39"/>
      <c r="U52" s="39"/>
      <c r="W52" s="41">
        <v>41307</v>
      </c>
      <c r="X52" s="41">
        <v>41307</v>
      </c>
      <c r="Y52" s="41">
        <v>41307</v>
      </c>
      <c r="AT52" s="38"/>
      <c r="AV52" s="39"/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1" t="s">
        <v>56</v>
      </c>
      <c r="B3" s="201"/>
      <c r="C3" s="201"/>
      <c r="D3" s="201"/>
      <c r="E3" s="201"/>
      <c r="G3" s="201" t="s">
        <v>76</v>
      </c>
      <c r="H3" s="201"/>
      <c r="I3" s="201"/>
      <c r="J3" s="201"/>
      <c r="K3" s="201"/>
      <c r="L3" s="13"/>
      <c r="M3" s="13"/>
      <c r="N3" s="13"/>
      <c r="P3" s="201" t="s">
        <v>77</v>
      </c>
      <c r="Q3" s="201"/>
      <c r="R3" s="201"/>
      <c r="S3" s="201"/>
      <c r="T3" s="201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4.1000000000000002E-2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4.1000000000000002E-2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4.1000000000000002E-2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4.1000000000000002E-2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4.1000000000000002E-2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4.1000000000000002E-2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4.1000000000000002E-2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4.1000000000000002E-2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4.1000000000000002E-2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4.1000000000000002E-2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4.1000000000000002E-2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4.1000000000000002E-2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4.1000000000000002E-2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4.1000000000000002E-2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4.1000000000000002E-2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4.1000000000000002E-2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4.1000000000000002E-2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4.1000000000000002E-2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4.1000000000000002E-2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4.1000000000000002E-2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4.1000000000000002E-2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4.1000000000000002E-2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4.1000000000000002E-2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4.1000000000000002E-2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4.1000000000000002E-2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4.1000000000000002E-2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4.1000000000000002E-2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4.1000000000000002E-2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4.1000000000000002E-2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4.1000000000000002E-2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4.1000000000000002E-2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4.1000000000000002E-2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4.1000000000000002E-2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4.1000000000000002E-2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4.1000000000000002E-2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4.1000000000000002E-2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4.1000000000000002E-2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4.1000000000000002E-2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4.1000000000000002E-2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4.1000000000000002E-2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4.1000000000000002E-2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4.1000000000000002E-2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4.1000000000000002E-2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4.1000000000000002E-2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4.1000000000000002E-2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4.1000000000000002E-2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4.1000000000000002E-2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4.1000000000000002E-2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4.1000000000000002E-2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4.1000000000000002E-2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4.1000000000000002E-2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4.1000000000000002E-2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4.1000000000000002E-2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4.1000000000000002E-2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4.1000000000000002E-2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4.1000000000000002E-2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4.1000000000000002E-2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4.1000000000000002E-2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4.1000000000000002E-2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4.1000000000000002E-2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4.1000000000000002E-2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4.1000000000000002E-2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4.1000000000000002E-2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4.1000000000000002E-2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4.1000000000000002E-2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4.1000000000000002E-2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4.1000000000000002E-2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4.1000000000000002E-2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4.1000000000000002E-2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4.1000000000000002E-2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4.1000000000000002E-2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4.1000000000000002E-2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4.1000000000000002E-2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4.1000000000000002E-2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4.1000000000000002E-2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4.1000000000000002E-2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4.1000000000000002E-2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4.1000000000000002E-2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4.1000000000000002E-2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4.1000000000000002E-2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4.1000000000000002E-2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4.1000000000000002E-2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4.1000000000000002E-2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4.1000000000000002E-2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4.1000000000000002E-2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4.1000000000000002E-2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4.1000000000000002E-2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4.1000000000000002E-2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4.1000000000000002E-2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4.1000000000000002E-2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4.1000000000000002E-2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4.1000000000000002E-2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4.1000000000000002E-2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4.1000000000000002E-2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4.1000000000000002E-2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4.1000000000000002E-2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4.1000000000000002E-2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4.1000000000000002E-2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4.1000000000000002E-2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4.1000000000000002E-2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4.1000000000000002E-2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4.1000000000000002E-2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4.1000000000000002E-2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4.1000000000000002E-2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4.1000000000000002E-2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4.1000000000000002E-2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4.1000000000000002E-2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4.1000000000000002E-2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4.1000000000000002E-2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4.1000000000000002E-2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4.1000000000000002E-2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4.1000000000000002E-2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4.1000000000000002E-2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4.1000000000000002E-2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4.1000000000000002E-2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4.1000000000000002E-2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4.1000000000000002E-2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4.1000000000000002E-2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4.1000000000000002E-2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4.1000000000000002E-2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4.1000000000000002E-2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4.1000000000000002E-2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4.1000000000000002E-2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4.1000000000000002E-2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4.1000000000000002E-2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4.1000000000000002E-2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4.1000000000000002E-2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4.1000000000000002E-2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4.1000000000000002E-2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4.1000000000000002E-2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4.1000000000000002E-2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4.1000000000000002E-2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4.1000000000000002E-2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4.1000000000000002E-2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4.1000000000000002E-2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4.1000000000000002E-2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4.1000000000000002E-2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4.1000000000000002E-2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4.1000000000000002E-2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4.1000000000000002E-2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4.1000000000000002E-2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4.1000000000000002E-2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4.1000000000000002E-2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4.1000000000000002E-2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4.1000000000000002E-2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4.1000000000000002E-2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4.1000000000000002E-2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4.1000000000000002E-2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4.1000000000000002E-2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4.1000000000000002E-2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4.1000000000000002E-2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4.1000000000000002E-2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4.1000000000000002E-2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4.1000000000000002E-2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4.1000000000000002E-2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4.1000000000000002E-2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4.1000000000000002E-2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4.1000000000000002E-2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4.1000000000000002E-2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4.1000000000000002E-2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4.1000000000000002E-2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4.1000000000000002E-2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4.1000000000000002E-2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4.1000000000000002E-2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4.1000000000000002E-2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4.1000000000000002E-2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4.1000000000000002E-2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4.1000000000000002E-2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4.1000000000000002E-2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4.1000000000000002E-2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4.1000000000000002E-2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4.1000000000000002E-2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4.1000000000000002E-2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4.1000000000000002E-2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4.1000000000000002E-2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4.1000000000000002E-2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4.1000000000000002E-2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4.1000000000000002E-2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4.1000000000000002E-2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4.1000000000000002E-2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4.1000000000000002E-2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4.1000000000000002E-2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4.1000000000000002E-2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4.1000000000000002E-2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4.1000000000000002E-2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4.1000000000000002E-2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4.1000000000000002E-2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4.1000000000000002E-2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4.1000000000000002E-2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4.1000000000000002E-2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4.1000000000000002E-2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4.1000000000000002E-2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4.1000000000000002E-2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4.1000000000000002E-2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4.1000000000000002E-2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4.1000000000000002E-2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4.1000000000000002E-2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4.1000000000000002E-2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4.1000000000000002E-2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4.1000000000000002E-2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4.1000000000000002E-2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4.1000000000000002E-2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4.1000000000000002E-2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4.1000000000000002E-2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4.1000000000000002E-2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4.1000000000000002E-2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4.1000000000000002E-2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4.1000000000000002E-2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4.1000000000000002E-2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4.1000000000000002E-2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4.1000000000000002E-2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4.1000000000000002E-2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4.1000000000000002E-2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topLeftCell="E1" zoomScale="85" zoomScaleNormal="85" workbookViewId="0">
      <selection activeCell="C7" sqref="C7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13"/>
      <c r="C3" s="13"/>
      <c r="D3" s="13"/>
      <c r="E3" s="13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3" t="s">
        <v>55</v>
      </c>
      <c r="C4" s="203"/>
      <c r="D4" s="204">
        <v>10000</v>
      </c>
      <c r="E4" s="204"/>
      <c r="F4" s="13"/>
      <c r="G4" s="205" t="s">
        <v>73</v>
      </c>
      <c r="H4" s="206"/>
      <c r="I4" s="207">
        <v>9980.7273838019537</v>
      </c>
      <c r="J4" s="208"/>
      <c r="K4" s="13"/>
      <c r="L4" s="69">
        <v>45012.678784722222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3" t="s">
        <v>30</v>
      </c>
      <c r="C5" s="203"/>
      <c r="D5" s="204">
        <v>0</v>
      </c>
      <c r="E5" s="204"/>
      <c r="F5" s="13"/>
      <c r="G5" s="205" t="s">
        <v>74</v>
      </c>
      <c r="H5" s="206"/>
      <c r="I5" s="207">
        <v>10408.068456268775</v>
      </c>
      <c r="J5" s="208"/>
      <c r="K5" s="13"/>
      <c r="L5" s="69">
        <v>45012.678796296299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5" t="s">
        <v>106</v>
      </c>
      <c r="H6" s="206"/>
      <c r="I6" s="207">
        <v>49.762782042108256</v>
      </c>
      <c r="J6" s="208"/>
      <c r="K6" s="64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5" t="s">
        <v>88</v>
      </c>
      <c r="H7" s="206"/>
      <c r="I7" s="207">
        <v>478.04409447856187</v>
      </c>
      <c r="J7" s="208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2" t="s">
        <v>61</v>
      </c>
      <c r="C10" s="202"/>
      <c r="D10" s="202"/>
      <c r="E10" s="202"/>
      <c r="F10" s="202"/>
      <c r="G10" s="202"/>
      <c r="H10" s="202"/>
      <c r="I10" s="202" t="s">
        <v>64</v>
      </c>
      <c r="J10" s="202"/>
      <c r="K10" s="202"/>
      <c r="L10" s="202"/>
      <c r="M10" s="202"/>
      <c r="N10" s="202"/>
      <c r="O10" s="202"/>
      <c r="P10" s="13"/>
      <c r="Q10" s="202" t="s">
        <v>98</v>
      </c>
      <c r="R10" s="202"/>
      <c r="S10" s="13"/>
      <c r="T10" s="13"/>
      <c r="U10" s="202" t="s">
        <v>99</v>
      </c>
      <c r="V10" s="202"/>
      <c r="W10" s="13"/>
      <c r="Y10" s="202" t="s">
        <v>100</v>
      </c>
      <c r="Z10" s="202"/>
      <c r="AA10" s="13"/>
      <c r="AB10" s="13"/>
      <c r="AC10" s="202" t="s">
        <v>101</v>
      </c>
      <c r="AD10" s="202"/>
      <c r="AE10" s="13"/>
      <c r="AF10" s="13"/>
      <c r="AG10" s="202" t="s">
        <v>102</v>
      </c>
      <c r="AH10" s="202"/>
      <c r="AI10" s="13"/>
      <c r="AJ10" s="13"/>
      <c r="AK10" s="202" t="s">
        <v>103</v>
      </c>
      <c r="AL10" s="202"/>
      <c r="AM10" s="13"/>
      <c r="AN10" s="13"/>
      <c r="AO10" s="202" t="s">
        <v>104</v>
      </c>
      <c r="AP10" s="202"/>
      <c r="AQ10" s="13"/>
      <c r="AR10" s="13"/>
      <c r="AS10" s="202" t="s">
        <v>105</v>
      </c>
      <c r="AT10" s="202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45104</v>
      </c>
      <c r="C12" s="53">
        <v>3.4144910288152218E-2</v>
      </c>
      <c r="F12" s="54"/>
      <c r="G12" s="55">
        <v>85.128406471852031</v>
      </c>
      <c r="H12" s="54">
        <v>0.99125512745178468</v>
      </c>
      <c r="I12" s="52">
        <v>45105</v>
      </c>
      <c r="J12" s="53">
        <v>4.1210844770550911E-2</v>
      </c>
      <c r="M12" s="54"/>
      <c r="N12" s="55">
        <v>102.74484586630939</v>
      </c>
      <c r="O12" s="54">
        <v>0.99116151333288038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45196</v>
      </c>
      <c r="C13" s="53">
        <v>3.4166939352530304E-2</v>
      </c>
      <c r="F13" s="54"/>
      <c r="G13" s="55">
        <v>86.119408778980514</v>
      </c>
      <c r="H13" s="54">
        <v>0.98267567275502865</v>
      </c>
      <c r="I13" s="52">
        <v>45197</v>
      </c>
      <c r="J13" s="53">
        <v>4.1188607575615564E-2</v>
      </c>
      <c r="M13" s="54"/>
      <c r="N13" s="55">
        <v>103.81786019059228</v>
      </c>
      <c r="O13" s="54">
        <v>0.98258282767144933</v>
      </c>
      <c r="P13" s="13"/>
      <c r="Q13" s="202" t="s">
        <v>97</v>
      </c>
      <c r="R13" s="202"/>
      <c r="S13" s="72"/>
      <c r="T13" s="13"/>
      <c r="U13" s="202" t="s">
        <v>97</v>
      </c>
      <c r="V13" s="202"/>
      <c r="W13" s="72"/>
      <c r="Y13" s="202" t="s">
        <v>97</v>
      </c>
      <c r="Z13" s="202"/>
      <c r="AA13" s="72"/>
      <c r="AB13" s="13"/>
      <c r="AC13" s="202" t="s">
        <v>97</v>
      </c>
      <c r="AD13" s="202"/>
      <c r="AE13" s="72"/>
      <c r="AF13" s="13"/>
      <c r="AG13" s="202" t="s">
        <v>97</v>
      </c>
      <c r="AH13" s="202"/>
      <c r="AI13" s="72"/>
      <c r="AJ13" s="13"/>
      <c r="AK13" s="202" t="s">
        <v>97</v>
      </c>
      <c r="AL13" s="202"/>
      <c r="AM13" s="72"/>
      <c r="AN13" s="13"/>
      <c r="AO13" s="202" t="s">
        <v>97</v>
      </c>
      <c r="AP13" s="202"/>
      <c r="AQ13" s="72"/>
      <c r="AR13" s="13"/>
      <c r="AS13" s="202" t="s">
        <v>97</v>
      </c>
      <c r="AT13" s="202"/>
      <c r="AU13" s="72"/>
    </row>
    <row r="14" spans="1:47" x14ac:dyDescent="0.4">
      <c r="B14" s="52">
        <v>45287</v>
      </c>
      <c r="C14" s="53">
        <v>3.4178705169365144E-2</v>
      </c>
      <c r="F14" s="54"/>
      <c r="G14" s="55">
        <v>85.212662203074345</v>
      </c>
      <c r="H14" s="54">
        <v>0.97426516640655114</v>
      </c>
      <c r="I14" s="52">
        <v>45288</v>
      </c>
      <c r="J14" s="53">
        <v>4.1182151017637655E-2</v>
      </c>
      <c r="M14" s="54"/>
      <c r="N14" s="55">
        <v>102.6733080165769</v>
      </c>
      <c r="O14" s="54">
        <v>0.97417310319248973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45378</v>
      </c>
      <c r="C15" s="53">
        <v>3.4414757317890898E-2</v>
      </c>
      <c r="F15" s="54"/>
      <c r="G15" s="55">
        <v>85.801175778851345</v>
      </c>
      <c r="H15" s="54">
        <v>0.965847250029233</v>
      </c>
      <c r="I15" s="52">
        <v>45379</v>
      </c>
      <c r="J15" s="53">
        <v>4.1457104290059783E-2</v>
      </c>
      <c r="M15" s="54"/>
      <c r="N15" s="55">
        <v>103.35880795604002</v>
      </c>
      <c r="O15" s="54">
        <v>0.96574735082345209</v>
      </c>
      <c r="P15" s="13"/>
      <c r="Q15" s="74">
        <v>1</v>
      </c>
      <c r="R15" s="66">
        <v>0</v>
      </c>
      <c r="U15" s="74">
        <v>1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1</v>
      </c>
      <c r="AH15" s="66">
        <v>0</v>
      </c>
      <c r="AK15" s="74">
        <v>1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45469</v>
      </c>
      <c r="C16" s="53">
        <v>3.8160143381086246E-2</v>
      </c>
      <c r="F16" s="54"/>
      <c r="G16" s="55">
        <v>95.138987607639692</v>
      </c>
      <c r="H16" s="54">
        <v>0.95664279531310159</v>
      </c>
      <c r="I16" s="52">
        <v>45470</v>
      </c>
      <c r="J16" s="53">
        <v>4.5328610396589454E-2</v>
      </c>
      <c r="M16" s="54"/>
      <c r="N16" s="55">
        <v>113.01105605725051</v>
      </c>
      <c r="O16" s="54">
        <v>0.95653980092604363</v>
      </c>
      <c r="P16" s="13"/>
      <c r="Q16" s="74">
        <v>2</v>
      </c>
      <c r="R16" s="66">
        <v>0</v>
      </c>
      <c r="U16" s="74">
        <v>2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2</v>
      </c>
      <c r="AH16" s="66">
        <v>0</v>
      </c>
      <c r="AK16" s="74">
        <v>2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45561</v>
      </c>
      <c r="C17" s="53">
        <v>3.9656600326816269E-2</v>
      </c>
      <c r="F17" s="54"/>
      <c r="G17" s="55">
        <v>99.956362467592371</v>
      </c>
      <c r="H17" s="54">
        <v>0.947068764785165</v>
      </c>
      <c r="I17" s="52">
        <v>45562</v>
      </c>
      <c r="J17" s="53">
        <v>4.6832830062601485E-2</v>
      </c>
      <c r="M17" s="54"/>
      <c r="N17" s="55">
        <v>118.04439358244763</v>
      </c>
      <c r="O17" s="54">
        <v>0.94696287736006191</v>
      </c>
      <c r="P17" s="13"/>
      <c r="Q17" s="74">
        <v>3</v>
      </c>
      <c r="R17" s="66">
        <v>0</v>
      </c>
      <c r="U17" s="74">
        <v>3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3</v>
      </c>
      <c r="AH17" s="66">
        <v>0</v>
      </c>
      <c r="AK17" s="74">
        <v>3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45652</v>
      </c>
      <c r="C18" s="53">
        <v>4.11676190090128E-2</v>
      </c>
      <c r="F18" s="54"/>
      <c r="G18" s="55">
        <v>102.63707752931913</v>
      </c>
      <c r="H18" s="54">
        <v>0.93733285951211764</v>
      </c>
      <c r="I18" s="52">
        <v>45653</v>
      </c>
      <c r="J18" s="53">
        <v>4.8476639753850324E-2</v>
      </c>
      <c r="M18" s="54"/>
      <c r="N18" s="55">
        <v>120.85956760549007</v>
      </c>
      <c r="O18" s="54">
        <v>0.93722422811872141</v>
      </c>
      <c r="P18" s="13"/>
      <c r="Q18" s="74">
        <v>4</v>
      </c>
      <c r="R18" s="66">
        <v>0</v>
      </c>
      <c r="U18" s="74">
        <v>4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4</v>
      </c>
      <c r="AH18" s="66">
        <v>0</v>
      </c>
      <c r="AK18" s="74">
        <v>4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45743</v>
      </c>
      <c r="C19" s="53">
        <v>4.2514415676701243E-2</v>
      </c>
      <c r="F19" s="54"/>
      <c r="G19" s="55">
        <v>105.99484456383045</v>
      </c>
      <c r="H19" s="54">
        <v>0.92739053500701818</v>
      </c>
      <c r="I19" s="52">
        <v>45744</v>
      </c>
      <c r="J19" s="53">
        <v>5.0108365465394024E-2</v>
      </c>
      <c r="M19" s="54"/>
      <c r="N19" s="55">
        <v>124.92770568084599</v>
      </c>
      <c r="O19" s="54">
        <v>0.92728444840012436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45834</v>
      </c>
      <c r="C20" s="53">
        <v>4.1949134137443458E-2</v>
      </c>
      <c r="F20" s="54"/>
      <c r="G20" s="56">
        <v>104.58551250705088</v>
      </c>
      <c r="H20" s="54">
        <v>0.91767574858513978</v>
      </c>
      <c r="I20" s="52">
        <v>45835</v>
      </c>
      <c r="J20" s="53">
        <v>5.1685230811427972E-2</v>
      </c>
      <c r="M20" s="54"/>
      <c r="N20" s="56">
        <v>128.85906859835401</v>
      </c>
      <c r="O20" s="54">
        <v>0.91756814482296711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45926</v>
      </c>
      <c r="C21" s="53">
        <v>4.3019022264287471E-2</v>
      </c>
      <c r="F21" s="54"/>
      <c r="G21" s="56">
        <v>108.43150817299903</v>
      </c>
      <c r="H21" s="54">
        <v>0.90771678942610168</v>
      </c>
      <c r="I21" s="52">
        <v>45926</v>
      </c>
      <c r="J21" s="53">
        <v>5.3455706088549798E-2</v>
      </c>
      <c r="M21" s="54"/>
      <c r="N21" s="56">
        <v>134.7376701410027</v>
      </c>
      <c r="O21" s="54">
        <v>0.90771678942610168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46017</v>
      </c>
      <c r="C22" s="53">
        <v>4.4167037626712022E-2</v>
      </c>
      <c r="F22" s="54"/>
      <c r="G22" s="56">
        <v>110.11508011043247</v>
      </c>
      <c r="H22" s="54">
        <v>0.89772663521534868</v>
      </c>
      <c r="I22" s="52">
        <v>46018</v>
      </c>
      <c r="J22" s="53">
        <v>5.5052448618487716E-2</v>
      </c>
      <c r="M22" s="54"/>
      <c r="N22" s="56">
        <v>137.25404998033878</v>
      </c>
      <c r="O22" s="54">
        <v>0.89761593299942988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46108</v>
      </c>
      <c r="C23" s="53">
        <v>4.5221263546601546E-2</v>
      </c>
      <c r="F23" s="54"/>
      <c r="G23" s="56">
        <v>112.74342418467832</v>
      </c>
      <c r="H23" s="54">
        <v>0.88763814926894791</v>
      </c>
      <c r="I23" s="52">
        <v>46109</v>
      </c>
      <c r="J23" s="53">
        <v>5.6635976301487152E-2</v>
      </c>
      <c r="M23" s="54"/>
      <c r="N23" s="56">
        <v>141.20202310781769</v>
      </c>
      <c r="O23" s="54">
        <v>0.88752613744629605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46199</v>
      </c>
      <c r="C24" s="53">
        <v>4.6365008446043736E-2</v>
      </c>
      <c r="F24" s="54"/>
      <c r="G24" s="56">
        <v>115.59495256410904</v>
      </c>
      <c r="H24" s="54">
        <v>0.87741892410023814</v>
      </c>
      <c r="I24" s="52">
        <v>46200</v>
      </c>
      <c r="J24" s="53">
        <v>5.8354238911989736E-2</v>
      </c>
      <c r="M24" s="54"/>
      <c r="N24" s="56">
        <v>145.48591071208352</v>
      </c>
      <c r="O24" s="54">
        <v>0.87730546600123915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46290</v>
      </c>
      <c r="C25" s="53">
        <v>4.7406567122376869E-2</v>
      </c>
      <c r="F25" s="54"/>
      <c r="G25" s="56">
        <v>118.19171529140536</v>
      </c>
      <c r="H25" s="54">
        <v>0.86711813542179306</v>
      </c>
      <c r="I25" s="52">
        <v>46292</v>
      </c>
      <c r="J25" s="53">
        <v>5.9986951505374253E-2</v>
      </c>
      <c r="M25" s="54"/>
      <c r="N25" s="56">
        <v>149.55650923257721</v>
      </c>
      <c r="O25" s="54">
        <v>0.86688894458208043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46382</v>
      </c>
      <c r="C26" s="53">
        <v>4.8418539927818548E-2</v>
      </c>
      <c r="F26" s="54"/>
      <c r="G26" s="56">
        <v>122.0412513249123</v>
      </c>
      <c r="H26" s="54">
        <v>0.85661021885823552</v>
      </c>
      <c r="I26" s="52">
        <v>46383</v>
      </c>
      <c r="J26" s="53">
        <v>6.1712839037368579E-2</v>
      </c>
      <c r="M26" s="54"/>
      <c r="N26" s="56">
        <v>155.55016962843587</v>
      </c>
      <c r="O26" s="54">
        <v>0.85649462795798148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46471</v>
      </c>
      <c r="C27" s="53">
        <v>4.7832405729070666E-2</v>
      </c>
      <c r="F27" s="54"/>
      <c r="G27" s="56">
        <v>116.63244136677532</v>
      </c>
      <c r="H27" s="54">
        <v>0.84671457040536613</v>
      </c>
      <c r="I27" s="52">
        <v>46472</v>
      </c>
      <c r="J27" s="53">
        <v>6.0816448926792901E-2</v>
      </c>
      <c r="M27" s="54"/>
      <c r="N27" s="56">
        <v>148.29216313656306</v>
      </c>
      <c r="O27" s="54">
        <v>0.84661709596267976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46563</v>
      </c>
      <c r="C28" s="53">
        <v>4.1841291666636769E-2</v>
      </c>
      <c r="F28" s="54"/>
      <c r="G28" s="56">
        <v>105.46298173508453</v>
      </c>
      <c r="H28" s="54">
        <v>0.83787082904184296</v>
      </c>
      <c r="I28" s="52">
        <v>46564</v>
      </c>
      <c r="J28" s="53">
        <v>5.1816336182147517E-2</v>
      </c>
      <c r="M28" s="54"/>
      <c r="N28" s="56">
        <v>130.60555969198853</v>
      </c>
      <c r="O28" s="54">
        <v>0.83777421246355599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46655</v>
      </c>
      <c r="C29" s="53">
        <v>4.1925522878441771E-2</v>
      </c>
      <c r="F29" s="54"/>
      <c r="G29" s="56">
        <v>105.675290542922</v>
      </c>
      <c r="H29" s="54">
        <v>0.82912081041247643</v>
      </c>
      <c r="I29" s="52">
        <v>46656</v>
      </c>
      <c r="J29" s="53">
        <v>5.2013873777834216E-2</v>
      </c>
      <c r="M29" s="54"/>
      <c r="N29" s="56">
        <v>131.10346267289688</v>
      </c>
      <c r="O29" s="54">
        <v>0.82902502353335539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46746</v>
      </c>
      <c r="C30" s="53">
        <v>4.2005003020788488E-2</v>
      </c>
      <c r="F30" s="54"/>
      <c r="G30" s="56">
        <v>104.72480205182961</v>
      </c>
      <c r="H30" s="54">
        <v>0.82055807443894291</v>
      </c>
      <c r="I30" s="52">
        <v>46747</v>
      </c>
      <c r="J30" s="53">
        <v>5.203251263334259E-2</v>
      </c>
      <c r="M30" s="54"/>
      <c r="N30" s="56">
        <v>129.72489451052584</v>
      </c>
      <c r="O30" s="54">
        <v>0.82046310864167127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46837</v>
      </c>
      <c r="C31" s="53">
        <v>4.2026934669037758E-2</v>
      </c>
      <c r="F31" s="54"/>
      <c r="G31" s="56">
        <v>104.7794809556826</v>
      </c>
      <c r="H31" s="54">
        <v>0.81209439336605871</v>
      </c>
      <c r="I31" s="52">
        <v>46838</v>
      </c>
      <c r="J31" s="53">
        <v>5.2234585851701598E-2</v>
      </c>
      <c r="M31" s="54"/>
      <c r="N31" s="56">
        <v>130.22869349328391</v>
      </c>
      <c r="O31" s="54">
        <v>0.81200036936910247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/>
      <c r="F32" s="54"/>
      <c r="G32" s="56"/>
      <c r="H32" s="54"/>
      <c r="I32" s="52"/>
      <c r="M32" s="54"/>
      <c r="N32" s="56"/>
      <c r="O32" s="54"/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1"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Q10:R10"/>
    <mergeCell ref="Q13:R13"/>
    <mergeCell ref="U10:V10"/>
    <mergeCell ref="U13:V13"/>
    <mergeCell ref="Y10:Z10"/>
    <mergeCell ref="Y13:Z1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2023-03-27T07:20:30Z</dcterms:modified>
</cp:coreProperties>
</file>