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1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33" i="2" l="1"/>
  <c r="AP34" i="2" s="1"/>
  <c r="AR13" i="2"/>
  <c r="AQ13" i="2"/>
  <c r="AP14" i="2" s="1"/>
  <c r="N15" i="2"/>
  <c r="O15" i="2" s="1"/>
  <c r="Q14" i="2"/>
  <c r="R14" i="2" s="1"/>
  <c r="P14" i="2"/>
  <c r="O14" i="2"/>
  <c r="N14" i="2"/>
  <c r="R13" i="2"/>
  <c r="Q13" i="2"/>
  <c r="P13" i="2"/>
  <c r="O13" i="2"/>
  <c r="AQ34" i="2" l="1"/>
  <c r="AR34" i="2"/>
  <c r="AR14" i="2"/>
  <c r="AQ14" i="2"/>
  <c r="AS13" i="2"/>
  <c r="AT13" i="2" s="1"/>
  <c r="N16" i="2"/>
  <c r="Q15" i="2"/>
  <c r="R15" i="2" s="1"/>
  <c r="P15" i="2"/>
  <c r="B46" i="2"/>
  <c r="B45" i="2"/>
  <c r="B44" i="2"/>
  <c r="N70" i="1"/>
  <c r="AS34" i="2" l="1"/>
  <c r="AT34" i="2" s="1"/>
  <c r="AP35" i="2"/>
  <c r="AP15" i="2"/>
  <c r="AS14" i="2"/>
  <c r="AT14" i="2" s="1"/>
  <c r="P16" i="2"/>
  <c r="O16" i="2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R35" i="2" l="1"/>
  <c r="AQ35" i="2"/>
  <c r="AQ15" i="2"/>
  <c r="AR15" i="2"/>
  <c r="Q16" i="2"/>
  <c r="R16" i="2" s="1"/>
  <c r="B47" i="2" s="1"/>
  <c r="N17" i="2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S35" i="2" l="1"/>
  <c r="AT35" i="2" s="1"/>
  <c r="AP36" i="2"/>
  <c r="AP16" i="2"/>
  <c r="AS15" i="2"/>
  <c r="AT15" i="2" s="1"/>
  <c r="P17" i="2"/>
  <c r="O17" i="2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R36" i="2" l="1"/>
  <c r="AQ36" i="2"/>
  <c r="AR16" i="2"/>
  <c r="AQ16" i="2"/>
  <c r="Q17" i="2"/>
  <c r="R17" i="2" s="1"/>
  <c r="B48" i="2" s="1"/>
  <c r="N18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AP37" i="2" l="1"/>
  <c r="AS36" i="2"/>
  <c r="AT36" i="2" s="1"/>
  <c r="AP17" i="2"/>
  <c r="AS16" i="2"/>
  <c r="AT16" i="2" s="1"/>
  <c r="P18" i="2"/>
  <c r="O18" i="2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R37" i="2" l="1"/>
  <c r="AQ37" i="2"/>
  <c r="AR17" i="2"/>
  <c r="AQ17" i="2"/>
  <c r="N19" i="2"/>
  <c r="Q18" i="2"/>
  <c r="R18" i="2" s="1"/>
  <c r="B49" i="2" s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P38" i="2" l="1"/>
  <c r="AS37" i="2"/>
  <c r="AT37" i="2" s="1"/>
  <c r="AS17" i="2"/>
  <c r="AT17" i="2" s="1"/>
  <c r="AP18" i="2"/>
  <c r="P19" i="2"/>
  <c r="O19" i="2"/>
  <c r="AI29" i="2"/>
  <c r="AI20" i="2"/>
  <c r="AI11" i="2"/>
  <c r="G29" i="2"/>
  <c r="G20" i="2"/>
  <c r="G11" i="2"/>
  <c r="AR38" i="2" l="1"/>
  <c r="AQ38" i="2"/>
  <c r="AQ18" i="2"/>
  <c r="AR18" i="2"/>
  <c r="N20" i="2"/>
  <c r="Q19" i="2"/>
  <c r="R19" i="2" s="1"/>
  <c r="B50" i="2" s="1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P39" i="2" l="1"/>
  <c r="AS38" i="2"/>
  <c r="AT38" i="2" s="1"/>
  <c r="AP19" i="2"/>
  <c r="AS18" i="2"/>
  <c r="AT18" i="2" s="1"/>
  <c r="P20" i="2"/>
  <c r="O20" i="2"/>
  <c r="AE31" i="2"/>
  <c r="AE22" i="2"/>
  <c r="AE13" i="2"/>
  <c r="C31" i="2"/>
  <c r="C22" i="2"/>
  <c r="C13" i="2"/>
  <c r="AR39" i="2" l="1"/>
  <c r="AQ39" i="2"/>
  <c r="AR19" i="2"/>
  <c r="AQ19" i="2"/>
  <c r="Q20" i="2"/>
  <c r="R20" i="2" s="1"/>
  <c r="B51" i="2" s="1"/>
  <c r="N21" i="2"/>
  <c r="O11" i="2"/>
  <c r="AQ11" i="2"/>
  <c r="N11" i="2"/>
  <c r="AP11" i="2"/>
  <c r="AP40" i="2" l="1"/>
  <c r="AS39" i="2"/>
  <c r="AT39" i="2" s="1"/>
  <c r="AS19" i="2"/>
  <c r="AT19" i="2" s="1"/>
  <c r="AP20" i="2"/>
  <c r="O21" i="2"/>
  <c r="P21" i="2"/>
  <c r="AJ39" i="2"/>
  <c r="H39" i="2"/>
  <c r="AR40" i="2" l="1"/>
  <c r="AQ40" i="2"/>
  <c r="AR20" i="2"/>
  <c r="AQ20" i="2"/>
  <c r="N22" i="2"/>
  <c r="Q21" i="2"/>
  <c r="R21" i="2" s="1"/>
  <c r="B52" i="2" s="1"/>
  <c r="L11" i="3"/>
  <c r="K11" i="3"/>
  <c r="J11" i="3"/>
  <c r="E11" i="3"/>
  <c r="D11" i="3"/>
  <c r="C11" i="3"/>
  <c r="AP41" i="2" l="1"/>
  <c r="AS40" i="2"/>
  <c r="AT40" i="2" s="1"/>
  <c r="AS20" i="2"/>
  <c r="AT20" i="2" s="1"/>
  <c r="AP21" i="2"/>
  <c r="P22" i="2"/>
  <c r="O22" i="2"/>
  <c r="Q1" i="4"/>
  <c r="R1" i="4" s="1"/>
  <c r="S1" i="4" s="1"/>
  <c r="T1" i="4" s="1"/>
  <c r="U1" i="4" s="1"/>
  <c r="V1" i="4" s="1"/>
  <c r="W1" i="4" s="1"/>
  <c r="AQ41" i="2" l="1"/>
  <c r="AR41" i="2"/>
  <c r="AR21" i="2"/>
  <c r="AQ21" i="2"/>
  <c r="N23" i="2"/>
  <c r="Q22" i="2"/>
  <c r="R22" i="2" s="1"/>
  <c r="B53" i="2" s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AP42" i="2" l="1"/>
  <c r="AS41" i="2"/>
  <c r="AT41" i="2" s="1"/>
  <c r="AP22" i="2"/>
  <c r="AS21" i="2"/>
  <c r="AT21" i="2" s="1"/>
  <c r="P23" i="2"/>
  <c r="O23" i="2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Q42" i="2" l="1"/>
  <c r="AR42" i="2"/>
  <c r="AQ22" i="2"/>
  <c r="AR22" i="2"/>
  <c r="N24" i="2"/>
  <c r="Q23" i="2"/>
  <c r="R23" i="2" s="1"/>
  <c r="B54" i="2" s="1"/>
  <c r="K25" i="2"/>
  <c r="K16" i="2"/>
  <c r="K34" i="2"/>
  <c r="AP43" i="2" l="1"/>
  <c r="AS42" i="2"/>
  <c r="AT42" i="2" s="1"/>
  <c r="AP23" i="2"/>
  <c r="AS22" i="2"/>
  <c r="AT22" i="2" s="1"/>
  <c r="O24" i="2"/>
  <c r="P24" i="2"/>
  <c r="AQ43" i="2" l="1"/>
  <c r="AR43" i="2"/>
  <c r="AR23" i="2"/>
  <c r="AQ23" i="2"/>
  <c r="N25" i="2"/>
  <c r="Q24" i="2"/>
  <c r="R24" i="2" s="1"/>
  <c r="B55" i="2" s="1"/>
  <c r="AP44" i="2" l="1"/>
  <c r="AS43" i="2"/>
  <c r="AT43" i="2" s="1"/>
  <c r="AP24" i="2"/>
  <c r="AS23" i="2"/>
  <c r="AT23" i="2" s="1"/>
  <c r="P25" i="2"/>
  <c r="O25" i="2"/>
  <c r="AR44" i="2" l="1"/>
  <c r="AQ44" i="2"/>
  <c r="AQ24" i="2"/>
  <c r="AR24" i="2"/>
  <c r="N26" i="2"/>
  <c r="Q25" i="2"/>
  <c r="R25" i="2" s="1"/>
  <c r="B56" i="2" s="1"/>
  <c r="AP45" i="2" l="1"/>
  <c r="AS44" i="2"/>
  <c r="AT44" i="2" s="1"/>
  <c r="AS24" i="2"/>
  <c r="AT24" i="2" s="1"/>
  <c r="AP25" i="2"/>
  <c r="P26" i="2"/>
  <c r="O26" i="2"/>
  <c r="AR45" i="2" l="1"/>
  <c r="AQ45" i="2"/>
  <c r="AQ25" i="2"/>
  <c r="AR25" i="2"/>
  <c r="N27" i="2"/>
  <c r="Q26" i="2"/>
  <c r="R26" i="2" s="1"/>
  <c r="B57" i="2" s="1"/>
  <c r="AP46" i="2" l="1"/>
  <c r="AS45" i="2"/>
  <c r="AT45" i="2" s="1"/>
  <c r="AP26" i="2"/>
  <c r="AS25" i="2"/>
  <c r="AT25" i="2" s="1"/>
  <c r="O27" i="2"/>
  <c r="P27" i="2"/>
  <c r="AR46" i="2" l="1"/>
  <c r="AQ46" i="2"/>
  <c r="AR26" i="2"/>
  <c r="AQ26" i="2"/>
  <c r="Q27" i="2"/>
  <c r="R27" i="2" s="1"/>
  <c r="B58" i="2" s="1"/>
  <c r="N28" i="2"/>
  <c r="AP47" i="2" l="1"/>
  <c r="AS46" i="2"/>
  <c r="AT46" i="2" s="1"/>
  <c r="AP27" i="2"/>
  <c r="AS26" i="2"/>
  <c r="AT26" i="2" s="1"/>
  <c r="P28" i="2"/>
  <c r="O28" i="2"/>
  <c r="AR47" i="2" l="1"/>
  <c r="AQ47" i="2"/>
  <c r="AQ27" i="2"/>
  <c r="AR27" i="2"/>
  <c r="N29" i="2"/>
  <c r="Q28" i="2"/>
  <c r="R28" i="2" s="1"/>
  <c r="B59" i="2" s="1"/>
  <c r="AP48" i="2" l="1"/>
  <c r="AS47" i="2"/>
  <c r="AT47" i="2" s="1"/>
  <c r="AP28" i="2"/>
  <c r="AS27" i="2"/>
  <c r="AT27" i="2" s="1"/>
  <c r="P29" i="2"/>
  <c r="O29" i="2"/>
  <c r="AR48" i="2" l="1"/>
  <c r="AQ48" i="2"/>
  <c r="AR28" i="2"/>
  <c r="AQ28" i="2"/>
  <c r="N30" i="2"/>
  <c r="Q29" i="2"/>
  <c r="R29" i="2" s="1"/>
  <c r="B60" i="2" s="1"/>
  <c r="AS48" i="2" l="1"/>
  <c r="AT48" i="2" s="1"/>
  <c r="AP49" i="2"/>
  <c r="AP29" i="2"/>
  <c r="AS28" i="2"/>
  <c r="AT28" i="2" s="1"/>
  <c r="P30" i="2"/>
  <c r="O30" i="2"/>
  <c r="AQ49" i="2" l="1"/>
  <c r="AR49" i="2"/>
  <c r="AR29" i="2"/>
  <c r="AQ29" i="2"/>
  <c r="N31" i="2"/>
  <c r="Q30" i="2"/>
  <c r="R30" i="2" s="1"/>
  <c r="B61" i="2" s="1"/>
  <c r="AS49" i="2" l="1"/>
  <c r="AT49" i="2" s="1"/>
  <c r="AP50" i="2"/>
  <c r="AP30" i="2"/>
  <c r="AS29" i="2"/>
  <c r="AT29" i="2" s="1"/>
  <c r="P31" i="2"/>
  <c r="O31" i="2"/>
  <c r="AQ50" i="2" l="1"/>
  <c r="AR50" i="2"/>
  <c r="AR30" i="2"/>
  <c r="AQ30" i="2"/>
  <c r="N32" i="2"/>
  <c r="Q31" i="2"/>
  <c r="R31" i="2" s="1"/>
  <c r="B62" i="2" s="1"/>
  <c r="AS50" i="2" l="1"/>
  <c r="AT50" i="2" s="1"/>
  <c r="AP51" i="2"/>
  <c r="AS30" i="2"/>
  <c r="AT30" i="2" s="1"/>
  <c r="AP31" i="2"/>
  <c r="P32" i="2"/>
  <c r="O32" i="2"/>
  <c r="AR51" i="2" l="1"/>
  <c r="AQ51" i="2"/>
  <c r="AR31" i="2"/>
  <c r="AQ31" i="2"/>
  <c r="Q32" i="2"/>
  <c r="R32" i="2" s="1"/>
  <c r="B63" i="2" s="1"/>
  <c r="N33" i="2"/>
  <c r="AS51" i="2" l="1"/>
  <c r="AT51" i="2" s="1"/>
  <c r="AP52" i="2"/>
  <c r="AP32" i="2"/>
  <c r="AS31" i="2"/>
  <c r="AT31" i="2" s="1"/>
  <c r="O33" i="2"/>
  <c r="P33" i="2"/>
  <c r="AQ52" i="2" l="1"/>
  <c r="AR52" i="2"/>
  <c r="AR32" i="2"/>
  <c r="AQ32" i="2"/>
  <c r="Q33" i="2"/>
  <c r="R33" i="2" s="1"/>
  <c r="B64" i="2" s="1"/>
  <c r="N34" i="2"/>
  <c r="AS52" i="2" l="1"/>
  <c r="AT52" i="2" s="1"/>
  <c r="AP53" i="2"/>
  <c r="AP33" i="2"/>
  <c r="AS32" i="2"/>
  <c r="AT32" i="2" s="1"/>
  <c r="O34" i="2"/>
  <c r="P34" i="2"/>
  <c r="AR53" i="2" l="1"/>
  <c r="AQ53" i="2"/>
  <c r="AR33" i="2"/>
  <c r="N35" i="2"/>
  <c r="Q34" i="2"/>
  <c r="R34" i="2" s="1"/>
  <c r="B65" i="2" s="1"/>
  <c r="AP54" i="2" l="1"/>
  <c r="AS53" i="2"/>
  <c r="AT53" i="2" s="1"/>
  <c r="AS33" i="2"/>
  <c r="AT33" i="2" s="1"/>
  <c r="P35" i="2"/>
  <c r="O35" i="2"/>
  <c r="AR54" i="2" l="1"/>
  <c r="AQ54" i="2"/>
  <c r="N36" i="2"/>
  <c r="Q35" i="2"/>
  <c r="R35" i="2" s="1"/>
  <c r="B66" i="2" s="1"/>
  <c r="AP55" i="2" l="1"/>
  <c r="AS54" i="2"/>
  <c r="AT54" i="2" s="1"/>
  <c r="P36" i="2"/>
  <c r="O36" i="2"/>
  <c r="AR55" i="2" l="1"/>
  <c r="AQ55" i="2"/>
  <c r="Q36" i="2"/>
  <c r="R36" i="2" s="1"/>
  <c r="B67" i="2" s="1"/>
  <c r="N37" i="2"/>
  <c r="AS55" i="2" l="1"/>
  <c r="AT55" i="2" s="1"/>
  <c r="AP56" i="2"/>
  <c r="O37" i="2"/>
  <c r="P37" i="2"/>
  <c r="AR56" i="2" l="1"/>
  <c r="AQ56" i="2"/>
  <c r="N38" i="2"/>
  <c r="Q37" i="2"/>
  <c r="R37" i="2" s="1"/>
  <c r="B68" i="2" s="1"/>
  <c r="AP57" i="2" l="1"/>
  <c r="AS56" i="2"/>
  <c r="AT56" i="2" s="1"/>
  <c r="P38" i="2"/>
  <c r="O38" i="2"/>
  <c r="AR57" i="2" l="1"/>
  <c r="AQ57" i="2"/>
  <c r="N39" i="2"/>
  <c r="Q38" i="2"/>
  <c r="R38" i="2" s="1"/>
  <c r="B69" i="2" s="1"/>
  <c r="AP58" i="2" l="1"/>
  <c r="AS57" i="2"/>
  <c r="AT57" i="2" s="1"/>
  <c r="P39" i="2"/>
  <c r="O39" i="2"/>
  <c r="AQ58" i="2" l="1"/>
  <c r="AR58" i="2"/>
  <c r="N40" i="2"/>
  <c r="Q39" i="2"/>
  <c r="R39" i="2" s="1"/>
  <c r="B70" i="2" s="1"/>
  <c r="AP59" i="2" l="1"/>
  <c r="AS58" i="2"/>
  <c r="AT58" i="2" s="1"/>
  <c r="P40" i="2"/>
  <c r="O40" i="2"/>
  <c r="AR59" i="2" l="1"/>
  <c r="AQ59" i="2"/>
  <c r="N41" i="2"/>
  <c r="Q40" i="2"/>
  <c r="R40" i="2" s="1"/>
  <c r="B71" i="2" s="1"/>
  <c r="AP60" i="2" l="1"/>
  <c r="AS59" i="2"/>
  <c r="AT59" i="2" s="1"/>
  <c r="O41" i="2"/>
  <c r="P41" i="2"/>
  <c r="AQ60" i="2" l="1"/>
  <c r="AR60" i="2"/>
  <c r="N42" i="2"/>
  <c r="Q41" i="2"/>
  <c r="R41" i="2" s="1"/>
  <c r="B72" i="2" s="1"/>
  <c r="AP61" i="2" l="1"/>
  <c r="AS60" i="2"/>
  <c r="AT60" i="2" s="1"/>
  <c r="P42" i="2"/>
  <c r="O42" i="2"/>
  <c r="AR61" i="2" l="1"/>
  <c r="AQ61" i="2"/>
  <c r="Q42" i="2"/>
  <c r="R42" i="2" s="1"/>
  <c r="B73" i="2" s="1"/>
  <c r="N43" i="2"/>
  <c r="AS61" i="2" l="1"/>
  <c r="AT61" i="2" s="1"/>
  <c r="AP62" i="2"/>
  <c r="O43" i="2"/>
  <c r="P43" i="2"/>
  <c r="AQ62" i="2" l="1"/>
  <c r="AR62" i="2"/>
  <c r="Q43" i="2"/>
  <c r="R43" i="2" s="1"/>
  <c r="B74" i="2" s="1"/>
  <c r="N44" i="2"/>
  <c r="AP63" i="2" l="1"/>
  <c r="AS62" i="2"/>
  <c r="AT62" i="2" s="1"/>
  <c r="P44" i="2"/>
  <c r="O44" i="2"/>
  <c r="AR63" i="2" l="1"/>
  <c r="AQ63" i="2"/>
  <c r="N45" i="2"/>
  <c r="Q44" i="2"/>
  <c r="R44" i="2" s="1"/>
  <c r="B75" i="2" s="1"/>
  <c r="AP64" i="2" l="1"/>
  <c r="AS63" i="2"/>
  <c r="AT63" i="2" s="1"/>
  <c r="P45" i="2"/>
  <c r="O45" i="2"/>
  <c r="AR64" i="2" l="1"/>
  <c r="AQ64" i="2"/>
  <c r="N46" i="2"/>
  <c r="Q45" i="2"/>
  <c r="R45" i="2" s="1"/>
  <c r="B76" i="2" s="1"/>
  <c r="AS64" i="2" l="1"/>
  <c r="AT64" i="2" s="1"/>
  <c r="AP65" i="2"/>
  <c r="P46" i="2"/>
  <c r="O46" i="2"/>
  <c r="AQ65" i="2" l="1"/>
  <c r="AR65" i="2"/>
  <c r="N47" i="2"/>
  <c r="Q46" i="2"/>
  <c r="R46" i="2" s="1"/>
  <c r="B77" i="2" s="1"/>
  <c r="AS65" i="2" l="1"/>
  <c r="AT65" i="2" s="1"/>
  <c r="AP66" i="2"/>
  <c r="P47" i="2"/>
  <c r="O47" i="2"/>
  <c r="AR66" i="2" l="1"/>
  <c r="AQ66" i="2"/>
  <c r="N48" i="2"/>
  <c r="Q47" i="2"/>
  <c r="R47" i="2" s="1"/>
  <c r="B78" i="2" s="1"/>
  <c r="AS66" i="2" l="1"/>
  <c r="AT66" i="2" s="1"/>
  <c r="AP67" i="2"/>
  <c r="P48" i="2"/>
  <c r="O48" i="2"/>
  <c r="AQ67" i="2" l="1"/>
  <c r="AR67" i="2"/>
  <c r="N49" i="2"/>
  <c r="Q48" i="2"/>
  <c r="R48" i="2" s="1"/>
  <c r="B79" i="2" s="1"/>
  <c r="AS67" i="2" l="1"/>
  <c r="AT67" i="2" s="1"/>
  <c r="AP68" i="2"/>
  <c r="O49" i="2"/>
  <c r="P49" i="2"/>
  <c r="AR68" i="2" l="1"/>
  <c r="AQ68" i="2"/>
  <c r="Q49" i="2"/>
  <c r="R49" i="2" s="1"/>
  <c r="B80" i="2" s="1"/>
  <c r="N50" i="2"/>
  <c r="AP69" i="2" l="1"/>
  <c r="AS68" i="2"/>
  <c r="AT68" i="2" s="1"/>
  <c r="O50" i="2"/>
  <c r="P50" i="2"/>
  <c r="AR69" i="2" l="1"/>
  <c r="AQ69" i="2"/>
  <c r="N51" i="2"/>
  <c r="Q50" i="2"/>
  <c r="R50" i="2" s="1"/>
  <c r="B81" i="2" s="1"/>
  <c r="AP70" i="2" l="1"/>
  <c r="AS69" i="2"/>
  <c r="AT69" i="2" s="1"/>
  <c r="P51" i="2"/>
  <c r="O51" i="2"/>
  <c r="AR70" i="2" l="1"/>
  <c r="AQ70" i="2"/>
  <c r="AS70" i="2" s="1"/>
  <c r="AT70" i="2" s="1"/>
  <c r="N52" i="2"/>
  <c r="Q51" i="2"/>
  <c r="R51" i="2" s="1"/>
  <c r="B82" i="2" s="1"/>
  <c r="P52" i="2" l="1"/>
  <c r="O52" i="2"/>
  <c r="Q52" i="2" s="1"/>
  <c r="R52" i="2" s="1"/>
  <c r="B83" i="2" s="1"/>
  <c r="L4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<sst xmlns="http://schemas.openxmlformats.org/spreadsheetml/2006/main" count="272" uniqueCount="117">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</sst>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6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F21" sqref="F21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1" t="s">
        <v>0</v>
      </c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</row>
    <row r="3" spans="1:45" x14ac:dyDescent="0.4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</row>
    <row r="4" spans="1:45" x14ac:dyDescent="0.4">
      <c r="A4" s="9">
        <f>4</f>
        <v>4</v>
      </c>
      <c r="B4" s="102" t="s">
        <v>2</v>
      </c>
      <c r="C4" s="102"/>
      <c r="D4" s="103">
        <v>2</v>
      </c>
      <c r="E4" s="103"/>
    </row>
    <row r="5" spans="1:45" x14ac:dyDescent="0.4">
      <c r="A5" s="9">
        <f>A4+1</f>
        <v>5</v>
      </c>
      <c r="G5" s="89" t="s">
        <v>22</v>
      </c>
      <c r="H5" s="91" t="s">
        <v>21</v>
      </c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</row>
    <row r="6" spans="1:45" x14ac:dyDescent="0.4">
      <c r="A6" s="9">
        <f t="shared" ref="A6:A82" si="1">A5+1</f>
        <v>6</v>
      </c>
      <c r="B6" s="102" t="s">
        <v>3</v>
      </c>
      <c r="C6" s="102"/>
      <c r="D6" s="103">
        <v>1</v>
      </c>
      <c r="E6" s="103"/>
      <c r="G6" s="90"/>
      <c r="H6" s="92" t="s">
        <v>7</v>
      </c>
      <c r="I6" s="93"/>
      <c r="L6" s="96" t="s">
        <v>11</v>
      </c>
      <c r="M6" s="96"/>
      <c r="N6" s="96"/>
      <c r="Q6" s="96" t="s">
        <v>12</v>
      </c>
      <c r="R6" s="96"/>
      <c r="S6" s="96"/>
      <c r="V6" s="96" t="s">
        <v>13</v>
      </c>
      <c r="W6" s="96"/>
      <c r="X6" s="96"/>
    </row>
    <row r="7" spans="1:45" x14ac:dyDescent="0.4">
      <c r="A7" s="9">
        <f t="shared" si="1"/>
        <v>7</v>
      </c>
      <c r="B7" s="102" t="s">
        <v>4</v>
      </c>
      <c r="C7" s="102"/>
      <c r="D7" s="103">
        <v>1</v>
      </c>
      <c r="E7" s="103"/>
      <c r="G7" s="90"/>
      <c r="H7" s="94"/>
      <c r="I7" s="95"/>
      <c r="L7" s="96"/>
      <c r="M7" s="96"/>
      <c r="N7" s="96"/>
      <c r="Q7" s="96"/>
      <c r="R7" s="96"/>
      <c r="S7" s="96"/>
      <c r="V7" s="96"/>
      <c r="W7" s="96"/>
      <c r="X7" s="96"/>
    </row>
    <row r="8" spans="1:45" x14ac:dyDescent="0.4">
      <c r="A8" s="9">
        <f t="shared" si="1"/>
        <v>8</v>
      </c>
      <c r="B8" s="102" t="s">
        <v>1</v>
      </c>
      <c r="C8" s="102"/>
      <c r="D8" s="103">
        <v>0.01</v>
      </c>
      <c r="E8" s="103"/>
      <c r="G8" s="90"/>
      <c r="I8" s="2" t="s">
        <v>107</v>
      </c>
      <c r="J8" s="2" t="s">
        <v>108</v>
      </c>
      <c r="K8" s="2" t="s">
        <v>110</v>
      </c>
      <c r="V8" s="96" t="s">
        <v>14</v>
      </c>
      <c r="W8" s="96"/>
      <c r="X8" s="4">
        <v>3</v>
      </c>
    </row>
    <row r="9" spans="1:45" x14ac:dyDescent="0.4">
      <c r="A9" s="9">
        <f t="shared" si="1"/>
        <v>9</v>
      </c>
      <c r="G9" s="90"/>
      <c r="H9" s="2" t="s">
        <v>8</v>
      </c>
      <c r="I9" s="3">
        <v>0.01</v>
      </c>
      <c r="J9" s="75">
        <v>9.6050968278254614E-3</v>
      </c>
      <c r="K9" s="75">
        <v>0.5</v>
      </c>
      <c r="Q9" s="96" t="s">
        <v>15</v>
      </c>
      <c r="R9" s="96"/>
      <c r="S9" s="4">
        <v>3</v>
      </c>
      <c r="V9" s="99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0"/>
      <c r="H10" s="76" t="s">
        <v>9</v>
      </c>
      <c r="I10" s="97" t="s">
        <v>10</v>
      </c>
      <c r="J10" s="98"/>
      <c r="L10" s="80" t="s">
        <v>18</v>
      </c>
      <c r="M10" s="80" t="s">
        <v>19</v>
      </c>
      <c r="N10" s="76" t="s">
        <v>72</v>
      </c>
      <c r="Q10" s="80" t="s">
        <v>18</v>
      </c>
      <c r="R10" s="80" t="s">
        <v>19</v>
      </c>
      <c r="S10" s="76" t="s">
        <v>20</v>
      </c>
      <c r="V10" s="100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0"/>
      <c r="H11" s="77">
        <v>1</v>
      </c>
      <c r="I11" s="78">
        <v>1.3407782430569134E-2</v>
      </c>
      <c r="J11" s="79">
        <v>6.5594015289577815E-3</v>
      </c>
      <c r="L11" s="81">
        <v>1</v>
      </c>
      <c r="M11" s="82">
        <v>2.7397260273972603E-3</v>
      </c>
      <c r="N11" s="83">
        <v>3.1519999999999992E-2</v>
      </c>
      <c r="O11" s="31"/>
      <c r="Q11" s="81">
        <v>1</v>
      </c>
      <c r="R11" s="82">
        <v>1</v>
      </c>
      <c r="S11" s="83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0"/>
      <c r="H12" s="77">
        <v>2</v>
      </c>
      <c r="I12" s="78">
        <v>1.1750883187845543E-2</v>
      </c>
      <c r="J12" s="79">
        <v>5.8230479012307598E-3</v>
      </c>
      <c r="L12" s="81">
        <f>L11+1</f>
        <v>2</v>
      </c>
      <c r="M12" s="82">
        <v>0.25</v>
      </c>
      <c r="N12" s="83">
        <v>3.261E-2</v>
      </c>
      <c r="O12" s="31"/>
      <c r="Q12" s="81">
        <f>Q11+1</f>
        <v>2</v>
      </c>
      <c r="R12" s="82">
        <v>1.5</v>
      </c>
      <c r="S12" s="83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0"/>
      <c r="H13" s="77">
        <v>3</v>
      </c>
      <c r="I13" s="78">
        <v>1.2510628997502786E-2</v>
      </c>
      <c r="J13" s="79">
        <v>4.9461626800211995E-3</v>
      </c>
      <c r="L13" s="81">
        <f t="shared" ref="L13:L53" si="2">L12+1</f>
        <v>3</v>
      </c>
      <c r="M13" s="82">
        <v>0.5</v>
      </c>
      <c r="N13" s="83">
        <v>3.3500000000000002E-2</v>
      </c>
      <c r="O13" s="31"/>
      <c r="Q13" s="81">
        <f t="shared" ref="Q13:Q53" si="3">Q12+1</f>
        <v>3</v>
      </c>
      <c r="R13" s="82">
        <v>2</v>
      </c>
      <c r="S13" s="83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0"/>
      <c r="H14" s="77">
        <v>4</v>
      </c>
      <c r="I14" s="78">
        <v>1.1353112416773869E-2</v>
      </c>
      <c r="J14" s="79">
        <v>3.7345696160446442E-3</v>
      </c>
      <c r="L14" s="81">
        <f t="shared" si="2"/>
        <v>4</v>
      </c>
      <c r="M14" s="82">
        <v>1</v>
      </c>
      <c r="N14" s="83">
        <v>3.4509999999999999E-2</v>
      </c>
      <c r="O14" s="31"/>
      <c r="Q14" s="81">
        <f t="shared" si="3"/>
        <v>4</v>
      </c>
      <c r="R14" s="82">
        <v>2.5</v>
      </c>
      <c r="S14" s="83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0"/>
      <c r="H15" s="77">
        <v>5</v>
      </c>
      <c r="I15" s="78">
        <v>1.2680173562477387E-2</v>
      </c>
      <c r="J15" s="79">
        <v>4.4454280811227868E-3</v>
      </c>
      <c r="L15" s="81">
        <f t="shared" si="2"/>
        <v>5</v>
      </c>
      <c r="M15" s="82">
        <v>1.5</v>
      </c>
      <c r="N15" s="83">
        <v>3.9999999999999994E-2</v>
      </c>
      <c r="O15" s="31"/>
      <c r="Q15" s="81">
        <f t="shared" si="3"/>
        <v>5</v>
      </c>
      <c r="R15" s="82">
        <v>3</v>
      </c>
      <c r="S15" s="83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87">
        <v>2.8299999999999999E-2</v>
      </c>
      <c r="G16" s="90"/>
      <c r="H16" s="77">
        <v>7</v>
      </c>
      <c r="I16" s="78">
        <v>1.1655130280879143E-2</v>
      </c>
      <c r="J16" s="79">
        <v>3.8199530523313962E-3</v>
      </c>
      <c r="L16" s="81">
        <f t="shared" si="2"/>
        <v>6</v>
      </c>
      <c r="M16" s="82">
        <v>2</v>
      </c>
      <c r="N16" s="83">
        <v>4.222999999999999E-2</v>
      </c>
      <c r="O16" s="31"/>
      <c r="Q16" s="81">
        <f t="shared" si="3"/>
        <v>6</v>
      </c>
      <c r="R16" s="82">
        <v>4</v>
      </c>
      <c r="S16" s="83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45097.723287037035</v>
      </c>
      <c r="E17" s="105"/>
      <c r="G17" s="90"/>
      <c r="H17" s="77">
        <v>10</v>
      </c>
      <c r="I17" s="78">
        <v>1.0407980775704408E-2</v>
      </c>
      <c r="J17" s="79">
        <v>3.159422204856295E-3</v>
      </c>
      <c r="L17" s="81">
        <f t="shared" si="2"/>
        <v>7</v>
      </c>
      <c r="M17" s="82">
        <v>2</v>
      </c>
      <c r="N17" s="83">
        <v>4.222999999999999E-2</v>
      </c>
      <c r="O17" s="31"/>
      <c r="Q17" s="81">
        <f t="shared" si="3"/>
        <v>7</v>
      </c>
      <c r="R17" s="82">
        <v>5</v>
      </c>
      <c r="S17" s="83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45097.723287037035</v>
      </c>
      <c r="E18" s="105"/>
      <c r="G18" s="90"/>
      <c r="H18" s="77"/>
      <c r="I18" s="78"/>
      <c r="J18" s="79"/>
      <c r="L18" s="81">
        <f t="shared" si="2"/>
        <v>8</v>
      </c>
      <c r="M18" s="82">
        <v>3</v>
      </c>
      <c r="N18" s="83">
        <v>4.2499999999999996E-2</v>
      </c>
      <c r="O18" s="31"/>
      <c r="Q18" s="81">
        <f t="shared" si="3"/>
        <v>8</v>
      </c>
      <c r="R18" s="82">
        <v>7</v>
      </c>
      <c r="S18" s="83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0"/>
      <c r="H19" s="77"/>
      <c r="I19" s="78"/>
      <c r="J19" s="79"/>
      <c r="L19" s="81">
        <f t="shared" si="2"/>
        <v>9</v>
      </c>
      <c r="M19" s="82">
        <v>4</v>
      </c>
      <c r="N19" s="83">
        <v>4.3450000000000003E-2</v>
      </c>
      <c r="O19" s="31"/>
      <c r="P19" s="31"/>
      <c r="Q19" s="81">
        <f t="shared" si="3"/>
        <v>9</v>
      </c>
      <c r="R19" s="82">
        <v>10</v>
      </c>
      <c r="S19" s="83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0"/>
      <c r="H20" s="77"/>
      <c r="I20" s="78"/>
      <c r="J20" s="79"/>
      <c r="L20" s="81">
        <f t="shared" si="2"/>
        <v>10</v>
      </c>
      <c r="M20" s="82">
        <v>5</v>
      </c>
      <c r="N20" s="83">
        <v>4.2889999999999998E-2</v>
      </c>
      <c r="O20" s="31"/>
      <c r="Q20" s="81">
        <f t="shared" si="3"/>
        <v>10</v>
      </c>
      <c r="R20" s="82"/>
      <c r="S20" s="83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0"/>
      <c r="H21" s="77"/>
      <c r="I21" s="78"/>
      <c r="J21" s="79"/>
      <c r="L21" s="81">
        <f t="shared" si="2"/>
        <v>11</v>
      </c>
      <c r="M21" s="82">
        <v>10</v>
      </c>
      <c r="N21" s="83">
        <v>4.274E-2</v>
      </c>
      <c r="O21" s="31"/>
      <c r="Q21" s="81">
        <f t="shared" si="3"/>
        <v>11</v>
      </c>
      <c r="R21" s="82"/>
      <c r="S21" s="83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0"/>
      <c r="H22" s="77"/>
      <c r="I22" s="78"/>
      <c r="J22" s="79"/>
      <c r="L22" s="81">
        <f t="shared" si="2"/>
        <v>12</v>
      </c>
      <c r="M22" s="82">
        <v>20</v>
      </c>
      <c r="N22" s="83">
        <v>4.1399999999999992E-2</v>
      </c>
      <c r="O22" s="31"/>
      <c r="P22" s="31"/>
      <c r="Q22" s="81">
        <f t="shared" si="3"/>
        <v>12</v>
      </c>
      <c r="R22" s="82"/>
      <c r="S22" s="83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102" t="s">
        <v>116</v>
      </c>
      <c r="C23" s="102"/>
      <c r="D23" s="103">
        <v>0</v>
      </c>
      <c r="E23" s="103"/>
      <c r="G23" s="90"/>
      <c r="H23" s="77"/>
      <c r="I23" s="78"/>
      <c r="J23" s="79"/>
      <c r="L23" s="81">
        <f t="shared" si="2"/>
        <v>13</v>
      </c>
      <c r="M23" s="82">
        <v>30</v>
      </c>
      <c r="N23" s="83">
        <v>4.0489999999999998E-2</v>
      </c>
      <c r="O23" s="31"/>
      <c r="Q23" s="81">
        <f t="shared" si="3"/>
        <v>13</v>
      </c>
      <c r="R23" s="82"/>
      <c r="S23" s="83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102" t="s">
        <v>112</v>
      </c>
      <c r="C24" s="102"/>
      <c r="D24" s="103">
        <v>0</v>
      </c>
      <c r="E24" s="103"/>
      <c r="G24" s="90"/>
      <c r="H24" s="77"/>
      <c r="I24" s="78"/>
      <c r="J24" s="79"/>
      <c r="L24" s="81">
        <f t="shared" si="2"/>
        <v>14</v>
      </c>
      <c r="M24" s="82"/>
      <c r="N24" s="83"/>
      <c r="Q24" s="81">
        <f t="shared" si="3"/>
        <v>14</v>
      </c>
      <c r="R24" s="82"/>
      <c r="S24" s="83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102" t="s">
        <v>114</v>
      </c>
      <c r="C25" s="102"/>
      <c r="D25" s="103">
        <v>-0.1</v>
      </c>
      <c r="E25" s="103"/>
      <c r="G25" s="90"/>
      <c r="H25" s="77"/>
      <c r="I25" s="78"/>
      <c r="J25" s="79"/>
      <c r="L25" s="81">
        <f t="shared" si="2"/>
        <v>15</v>
      </c>
      <c r="M25" s="82"/>
      <c r="N25" s="83"/>
      <c r="Q25" s="81">
        <f t="shared" si="3"/>
        <v>15</v>
      </c>
      <c r="R25" s="82"/>
      <c r="S25" s="83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102" t="s">
        <v>113</v>
      </c>
      <c r="C26" s="102"/>
      <c r="D26" s="103">
        <v>0.15</v>
      </c>
      <c r="E26" s="103"/>
      <c r="G26" s="90"/>
      <c r="H26" s="77"/>
      <c r="I26" s="78"/>
      <c r="J26" s="79"/>
      <c r="L26" s="81">
        <f t="shared" si="2"/>
        <v>16</v>
      </c>
      <c r="M26" s="82"/>
      <c r="N26" s="83"/>
      <c r="Q26" s="81">
        <f t="shared" si="3"/>
        <v>16</v>
      </c>
      <c r="R26" s="82"/>
      <c r="S26" s="83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0"/>
      <c r="H27" s="77"/>
      <c r="I27" s="78"/>
      <c r="J27" s="79"/>
      <c r="L27" s="81">
        <f t="shared" si="2"/>
        <v>17</v>
      </c>
      <c r="M27" s="82"/>
      <c r="N27" s="83"/>
      <c r="Q27" s="81">
        <f t="shared" si="3"/>
        <v>17</v>
      </c>
      <c r="R27" s="82"/>
      <c r="S27" s="83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0"/>
      <c r="H28" s="77"/>
      <c r="I28" s="78"/>
      <c r="J28" s="79"/>
      <c r="L28" s="81">
        <f t="shared" si="2"/>
        <v>18</v>
      </c>
      <c r="M28" s="82"/>
      <c r="N28" s="83"/>
      <c r="Q28" s="81">
        <f t="shared" si="3"/>
        <v>18</v>
      </c>
      <c r="R28" s="82"/>
      <c r="S28" s="83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0"/>
      <c r="H29" s="77"/>
      <c r="I29" s="78"/>
      <c r="J29" s="79"/>
      <c r="L29" s="81">
        <f t="shared" si="2"/>
        <v>19</v>
      </c>
      <c r="M29" s="84"/>
      <c r="N29" s="85"/>
      <c r="Q29" s="81">
        <f t="shared" si="3"/>
        <v>19</v>
      </c>
      <c r="R29" s="86"/>
      <c r="S29" s="85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0"/>
      <c r="H30" s="77"/>
      <c r="I30" s="78"/>
      <c r="J30" s="79"/>
      <c r="L30" s="81">
        <f t="shared" si="2"/>
        <v>20</v>
      </c>
      <c r="M30" s="84"/>
      <c r="N30" s="85"/>
      <c r="Q30" s="81">
        <f t="shared" si="3"/>
        <v>20</v>
      </c>
      <c r="R30" s="86"/>
      <c r="S30" s="85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0"/>
      <c r="H31" s="77"/>
      <c r="I31" s="78"/>
      <c r="J31" s="79"/>
      <c r="L31" s="81">
        <f t="shared" si="2"/>
        <v>21</v>
      </c>
      <c r="M31" s="84"/>
      <c r="N31" s="85"/>
      <c r="Q31" s="81">
        <f t="shared" si="3"/>
        <v>21</v>
      </c>
      <c r="R31" s="86"/>
      <c r="S31" s="85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0"/>
      <c r="H32" s="77"/>
      <c r="I32" s="78"/>
      <c r="J32" s="79"/>
      <c r="L32" s="81">
        <f t="shared" si="2"/>
        <v>22</v>
      </c>
      <c r="M32" s="84"/>
      <c r="N32" s="85"/>
      <c r="Q32" s="81">
        <f t="shared" si="3"/>
        <v>22</v>
      </c>
      <c r="R32" s="86"/>
      <c r="S32" s="85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0"/>
      <c r="H33" s="77"/>
      <c r="I33" s="78"/>
      <c r="J33" s="79"/>
      <c r="L33" s="81">
        <f t="shared" si="2"/>
        <v>23</v>
      </c>
      <c r="M33" s="84"/>
      <c r="N33" s="85"/>
      <c r="Q33" s="81">
        <f t="shared" si="3"/>
        <v>23</v>
      </c>
      <c r="R33" s="86"/>
      <c r="S33" s="85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0"/>
      <c r="H34" s="77"/>
      <c r="I34" s="78"/>
      <c r="J34" s="79"/>
      <c r="L34" s="81">
        <f t="shared" si="2"/>
        <v>24</v>
      </c>
      <c r="M34" s="84"/>
      <c r="N34" s="85"/>
      <c r="Q34" s="81">
        <f t="shared" si="3"/>
        <v>24</v>
      </c>
      <c r="R34" s="86"/>
      <c r="S34" s="85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0"/>
      <c r="H35" s="77"/>
      <c r="I35" s="78"/>
      <c r="J35" s="79"/>
      <c r="L35" s="81">
        <f t="shared" si="2"/>
        <v>25</v>
      </c>
      <c r="M35" s="84"/>
      <c r="N35" s="85"/>
      <c r="Q35" s="81">
        <f t="shared" si="3"/>
        <v>25</v>
      </c>
      <c r="R35" s="86"/>
      <c r="S35" s="85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0"/>
      <c r="H36" s="77"/>
      <c r="I36" s="78"/>
      <c r="J36" s="79"/>
      <c r="L36" s="81">
        <f t="shared" si="2"/>
        <v>26</v>
      </c>
      <c r="M36" s="84"/>
      <c r="N36" s="85"/>
      <c r="Q36" s="81">
        <f t="shared" si="3"/>
        <v>26</v>
      </c>
      <c r="R36" s="86"/>
      <c r="S36" s="85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0"/>
      <c r="H37" s="77"/>
      <c r="I37" s="78"/>
      <c r="J37" s="79"/>
      <c r="L37" s="81">
        <f t="shared" si="2"/>
        <v>27</v>
      </c>
      <c r="M37" s="84"/>
      <c r="N37" s="85"/>
      <c r="Q37" s="81">
        <f t="shared" si="3"/>
        <v>27</v>
      </c>
      <c r="R37" s="86"/>
      <c r="S37" s="85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0"/>
      <c r="H38" s="77"/>
      <c r="I38" s="78"/>
      <c r="J38" s="79"/>
      <c r="L38" s="81">
        <f t="shared" si="2"/>
        <v>28</v>
      </c>
      <c r="M38" s="84"/>
      <c r="N38" s="85"/>
      <c r="Q38" s="81">
        <f t="shared" si="3"/>
        <v>28</v>
      </c>
      <c r="R38" s="86"/>
      <c r="S38" s="85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0"/>
      <c r="H39" s="77"/>
      <c r="I39" s="78"/>
      <c r="J39" s="79"/>
      <c r="L39" s="81">
        <f t="shared" si="2"/>
        <v>29</v>
      </c>
      <c r="M39" s="84"/>
      <c r="N39" s="85"/>
      <c r="Q39" s="81">
        <f t="shared" si="3"/>
        <v>29</v>
      </c>
      <c r="R39" s="86"/>
      <c r="S39" s="85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0"/>
      <c r="H40" s="77"/>
      <c r="I40" s="78"/>
      <c r="J40" s="79"/>
      <c r="L40" s="81">
        <f t="shared" si="2"/>
        <v>30</v>
      </c>
      <c r="M40" s="84"/>
      <c r="N40" s="85"/>
      <c r="Q40" s="81">
        <f t="shared" si="3"/>
        <v>30</v>
      </c>
      <c r="R40" s="86"/>
      <c r="S40" s="85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2"/>
      <c r="H41" s="77"/>
      <c r="I41" s="78"/>
      <c r="J41" s="79"/>
      <c r="L41" s="81">
        <f t="shared" si="2"/>
        <v>31</v>
      </c>
      <c r="M41" s="84"/>
      <c r="N41" s="85"/>
      <c r="Q41" s="81">
        <f t="shared" si="3"/>
        <v>31</v>
      </c>
      <c r="R41" s="86"/>
      <c r="S41" s="85"/>
      <c r="V41" s="73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</row>
    <row r="42" spans="1:40" x14ac:dyDescent="0.35">
      <c r="A42" s="9">
        <f t="shared" si="1"/>
        <v>42</v>
      </c>
      <c r="G42" s="72"/>
      <c r="H42" s="77"/>
      <c r="I42" s="78"/>
      <c r="J42" s="79"/>
      <c r="L42" s="81">
        <f t="shared" si="2"/>
        <v>32</v>
      </c>
      <c r="M42" s="84"/>
      <c r="N42" s="85"/>
      <c r="Q42" s="81">
        <f t="shared" si="3"/>
        <v>32</v>
      </c>
      <c r="R42" s="86"/>
      <c r="S42" s="85"/>
      <c r="V42" s="73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</row>
    <row r="43" spans="1:40" x14ac:dyDescent="0.35">
      <c r="A43" s="9">
        <f t="shared" si="1"/>
        <v>43</v>
      </c>
      <c r="G43" s="72"/>
      <c r="H43" s="77"/>
      <c r="I43" s="78"/>
      <c r="J43" s="79"/>
      <c r="L43" s="81">
        <f t="shared" si="2"/>
        <v>33</v>
      </c>
      <c r="M43" s="84"/>
      <c r="N43" s="85"/>
      <c r="Q43" s="81">
        <f t="shared" si="3"/>
        <v>33</v>
      </c>
      <c r="R43" s="86"/>
      <c r="S43" s="85"/>
      <c r="V43" s="73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</row>
    <row r="44" spans="1:40" x14ac:dyDescent="0.35">
      <c r="A44" s="9">
        <f t="shared" si="1"/>
        <v>44</v>
      </c>
      <c r="G44" s="72"/>
      <c r="H44" s="77"/>
      <c r="I44" s="78"/>
      <c r="J44" s="79"/>
      <c r="L44" s="81">
        <f t="shared" si="2"/>
        <v>34</v>
      </c>
      <c r="M44" s="84"/>
      <c r="N44" s="85"/>
      <c r="Q44" s="81">
        <f t="shared" si="3"/>
        <v>34</v>
      </c>
      <c r="R44" s="86"/>
      <c r="S44" s="85"/>
      <c r="V44" s="73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</row>
    <row r="45" spans="1:40" x14ac:dyDescent="0.35">
      <c r="A45" s="9">
        <f t="shared" si="1"/>
        <v>45</v>
      </c>
      <c r="G45" s="72"/>
      <c r="H45" s="77"/>
      <c r="I45" s="78"/>
      <c r="J45" s="79"/>
      <c r="L45" s="81">
        <f t="shared" si="2"/>
        <v>35</v>
      </c>
      <c r="M45" s="84"/>
      <c r="N45" s="85"/>
      <c r="Q45" s="81">
        <f t="shared" si="3"/>
        <v>35</v>
      </c>
      <c r="R45" s="86"/>
      <c r="S45" s="85"/>
      <c r="V45" s="73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</row>
    <row r="46" spans="1:40" x14ac:dyDescent="0.35">
      <c r="A46" s="9">
        <f t="shared" si="1"/>
        <v>46</v>
      </c>
      <c r="G46" s="72"/>
      <c r="H46" s="77"/>
      <c r="I46" s="78"/>
      <c r="J46" s="79"/>
      <c r="L46" s="81">
        <f t="shared" si="2"/>
        <v>36</v>
      </c>
      <c r="M46" s="84"/>
      <c r="N46" s="85"/>
      <c r="Q46" s="81">
        <f t="shared" si="3"/>
        <v>36</v>
      </c>
      <c r="R46" s="86"/>
      <c r="S46" s="85"/>
      <c r="V46" s="73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</row>
    <row r="47" spans="1:40" x14ac:dyDescent="0.35">
      <c r="A47" s="9">
        <f t="shared" si="1"/>
        <v>47</v>
      </c>
      <c r="G47" s="72"/>
      <c r="H47" s="77"/>
      <c r="I47" s="78"/>
      <c r="J47" s="79"/>
      <c r="L47" s="81">
        <f t="shared" si="2"/>
        <v>37</v>
      </c>
      <c r="M47" s="84"/>
      <c r="N47" s="85"/>
      <c r="Q47" s="81">
        <f t="shared" si="3"/>
        <v>37</v>
      </c>
      <c r="R47" s="86"/>
      <c r="S47" s="85"/>
      <c r="V47" s="73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</row>
    <row r="48" spans="1:40" x14ac:dyDescent="0.35">
      <c r="A48" s="9">
        <f t="shared" si="1"/>
        <v>48</v>
      </c>
      <c r="G48" s="72"/>
      <c r="H48" s="77"/>
      <c r="I48" s="78"/>
      <c r="J48" s="79"/>
      <c r="L48" s="81">
        <f t="shared" si="2"/>
        <v>38</v>
      </c>
      <c r="M48" s="84"/>
      <c r="N48" s="85"/>
      <c r="Q48" s="81">
        <f t="shared" si="3"/>
        <v>38</v>
      </c>
      <c r="R48" s="86"/>
      <c r="S48" s="85"/>
      <c r="V48" s="73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</row>
    <row r="49" spans="1:40" x14ac:dyDescent="0.35">
      <c r="A49" s="9">
        <f t="shared" si="1"/>
        <v>49</v>
      </c>
      <c r="G49" s="72"/>
      <c r="H49" s="77"/>
      <c r="I49" s="78"/>
      <c r="J49" s="79"/>
      <c r="L49" s="81">
        <f t="shared" si="2"/>
        <v>39</v>
      </c>
      <c r="M49" s="84"/>
      <c r="N49" s="85"/>
      <c r="Q49" s="81">
        <f t="shared" si="3"/>
        <v>39</v>
      </c>
      <c r="R49" s="86"/>
      <c r="S49" s="85"/>
      <c r="V49" s="73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</row>
    <row r="50" spans="1:40" x14ac:dyDescent="0.35">
      <c r="A50" s="9">
        <f t="shared" si="1"/>
        <v>50</v>
      </c>
      <c r="G50" s="72"/>
      <c r="H50" s="77"/>
      <c r="I50" s="78"/>
      <c r="J50" s="79"/>
      <c r="L50" s="81">
        <f t="shared" si="2"/>
        <v>40</v>
      </c>
      <c r="M50" s="84"/>
      <c r="N50" s="85"/>
      <c r="Q50" s="81">
        <f t="shared" si="3"/>
        <v>40</v>
      </c>
      <c r="R50" s="86"/>
      <c r="S50" s="85"/>
      <c r="V50" s="73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</row>
    <row r="51" spans="1:40" x14ac:dyDescent="0.35">
      <c r="A51" s="9">
        <f t="shared" si="1"/>
        <v>51</v>
      </c>
      <c r="G51" s="72"/>
      <c r="H51" s="77"/>
      <c r="I51" s="78"/>
      <c r="J51" s="79"/>
      <c r="L51" s="81">
        <f t="shared" si="2"/>
        <v>41</v>
      </c>
      <c r="M51" s="84"/>
      <c r="N51" s="85"/>
      <c r="Q51" s="81">
        <f t="shared" si="3"/>
        <v>41</v>
      </c>
      <c r="R51" s="86"/>
      <c r="S51" s="85"/>
      <c r="V51" s="73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</row>
    <row r="52" spans="1:40" x14ac:dyDescent="0.35">
      <c r="A52" s="9">
        <f t="shared" si="1"/>
        <v>52</v>
      </c>
      <c r="G52" s="72"/>
      <c r="H52" s="77"/>
      <c r="I52" s="78"/>
      <c r="J52" s="79"/>
      <c r="L52" s="81">
        <f t="shared" si="2"/>
        <v>42</v>
      </c>
      <c r="M52" s="84"/>
      <c r="N52" s="85"/>
      <c r="Q52" s="81">
        <f t="shared" si="3"/>
        <v>42</v>
      </c>
      <c r="R52" s="86"/>
      <c r="S52" s="85"/>
      <c r="V52" s="73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</row>
    <row r="53" spans="1:40" x14ac:dyDescent="0.35">
      <c r="A53" s="9">
        <f t="shared" si="1"/>
        <v>53</v>
      </c>
      <c r="G53" s="72"/>
      <c r="H53" s="77"/>
      <c r="I53" s="78"/>
      <c r="J53" s="79"/>
      <c r="L53" s="81">
        <f t="shared" si="2"/>
        <v>43</v>
      </c>
      <c r="M53" s="84"/>
      <c r="N53" s="85"/>
      <c r="Q53" s="81">
        <f t="shared" si="3"/>
        <v>43</v>
      </c>
      <c r="R53" s="86"/>
      <c r="S53" s="85"/>
      <c r="V53" s="73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89" t="s">
        <v>24</v>
      </c>
      <c r="H55" s="91" t="s">
        <v>23</v>
      </c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</row>
    <row r="56" spans="1:40" x14ac:dyDescent="0.4">
      <c r="A56" s="9">
        <f t="shared" si="1"/>
        <v>56</v>
      </c>
      <c r="B56" s="102" t="s">
        <v>3</v>
      </c>
      <c r="C56" s="102"/>
      <c r="D56" s="103">
        <v>1</v>
      </c>
      <c r="E56" s="103"/>
      <c r="G56" s="90"/>
      <c r="H56" s="92" t="s">
        <v>7</v>
      </c>
      <c r="I56" s="93"/>
      <c r="L56" s="96" t="s">
        <v>11</v>
      </c>
      <c r="M56" s="96"/>
      <c r="N56" s="96"/>
      <c r="Q56" s="96" t="s">
        <v>12</v>
      </c>
      <c r="R56" s="96"/>
      <c r="S56" s="96"/>
      <c r="V56" s="96" t="s">
        <v>13</v>
      </c>
      <c r="W56" s="96"/>
      <c r="X56" s="96"/>
    </row>
    <row r="57" spans="1:40" x14ac:dyDescent="0.4">
      <c r="A57" s="9">
        <f t="shared" si="1"/>
        <v>57</v>
      </c>
      <c r="B57" s="102" t="s">
        <v>4</v>
      </c>
      <c r="C57" s="102"/>
      <c r="D57" s="103">
        <v>1</v>
      </c>
      <c r="E57" s="103"/>
      <c r="G57" s="90"/>
      <c r="H57" s="94"/>
      <c r="I57" s="95"/>
      <c r="L57" s="96"/>
      <c r="M57" s="96"/>
      <c r="N57" s="96"/>
      <c r="Q57" s="96"/>
      <c r="R57" s="96"/>
      <c r="S57" s="96"/>
      <c r="V57" s="96"/>
      <c r="W57" s="96"/>
      <c r="X57" s="96"/>
    </row>
    <row r="58" spans="1:40" x14ac:dyDescent="0.4">
      <c r="A58" s="9">
        <f t="shared" si="1"/>
        <v>58</v>
      </c>
      <c r="B58" s="102" t="s">
        <v>1</v>
      </c>
      <c r="C58" s="102"/>
      <c r="D58" s="103">
        <v>0.01</v>
      </c>
      <c r="E58" s="103"/>
      <c r="G58" s="90"/>
      <c r="I58" s="2" t="s">
        <v>107</v>
      </c>
      <c r="J58" s="2" t="s">
        <v>108</v>
      </c>
      <c r="K58" s="2" t="s">
        <v>110</v>
      </c>
      <c r="V58" s="96" t="s">
        <v>14</v>
      </c>
      <c r="W58" s="96"/>
      <c r="X58" s="4">
        <v>3</v>
      </c>
    </row>
    <row r="59" spans="1:40" x14ac:dyDescent="0.4">
      <c r="A59" s="9">
        <f t="shared" si="1"/>
        <v>59</v>
      </c>
      <c r="G59" s="90"/>
      <c r="H59" s="2" t="s">
        <v>8</v>
      </c>
      <c r="I59" s="3">
        <v>0.01</v>
      </c>
      <c r="J59" s="75">
        <v>0.01</v>
      </c>
      <c r="K59" s="75">
        <v>0.9</v>
      </c>
      <c r="Q59" s="96" t="s">
        <v>15</v>
      </c>
      <c r="R59" s="96"/>
      <c r="S59" s="4">
        <v>3</v>
      </c>
      <c r="V59" s="99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0"/>
      <c r="H60" s="76" t="s">
        <v>9</v>
      </c>
      <c r="I60" s="97" t="s">
        <v>10</v>
      </c>
      <c r="J60" s="98"/>
      <c r="L60" s="80" t="s">
        <v>18</v>
      </c>
      <c r="M60" s="80" t="s">
        <v>19</v>
      </c>
      <c r="N60" s="76" t="s">
        <v>72</v>
      </c>
      <c r="Q60" s="80" t="s">
        <v>18</v>
      </c>
      <c r="R60" s="80" t="s">
        <v>19</v>
      </c>
      <c r="S60" s="76" t="s">
        <v>20</v>
      </c>
      <c r="V60" s="100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0"/>
      <c r="H61" s="77">
        <v>1</v>
      </c>
      <c r="I61" s="78">
        <v>1.3179794086105524E-2</v>
      </c>
      <c r="J61" s="79">
        <v>7.9480132039241695E-3</v>
      </c>
      <c r="L61" s="81">
        <v>1</v>
      </c>
      <c r="M61" s="82">
        <v>0.25</v>
      </c>
      <c r="N61" s="83">
        <v>4.2140000000000004E-2</v>
      </c>
      <c r="O61" s="31"/>
      <c r="Q61" s="81">
        <v>1</v>
      </c>
      <c r="R61" s="82">
        <v>1</v>
      </c>
      <c r="S61" s="83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0"/>
      <c r="H62" s="77">
        <v>2</v>
      </c>
      <c r="I62" s="78">
        <v>1.2003347093781683E-2</v>
      </c>
      <c r="J62" s="79">
        <v>6.8935927128934531E-3</v>
      </c>
      <c r="L62" s="81">
        <f>L61+1</f>
        <v>2</v>
      </c>
      <c r="M62" s="82">
        <v>0.5</v>
      </c>
      <c r="N62" s="83">
        <v>4.5100000000000001E-2</v>
      </c>
      <c r="O62" s="31"/>
      <c r="Q62" s="81">
        <f>Q61+1</f>
        <v>2</v>
      </c>
      <c r="R62" s="82">
        <v>2</v>
      </c>
      <c r="S62" s="83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0"/>
      <c r="H63" s="77">
        <v>3</v>
      </c>
      <c r="I63" s="78">
        <v>1.1763422778972925E-2</v>
      </c>
      <c r="J63" s="79">
        <v>5.728919982521256E-3</v>
      </c>
      <c r="L63" s="81">
        <f t="shared" ref="L63:L103" si="4">L62+1</f>
        <v>3</v>
      </c>
      <c r="M63" s="82">
        <v>1</v>
      </c>
      <c r="N63" s="83">
        <v>4.8210000000000003E-2</v>
      </c>
      <c r="O63" s="31"/>
      <c r="Q63" s="81">
        <f t="shared" ref="Q63:Q103" si="5">Q62+1</f>
        <v>3</v>
      </c>
      <c r="R63" s="82">
        <v>3</v>
      </c>
      <c r="S63" s="83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0"/>
      <c r="H64" s="77">
        <v>4</v>
      </c>
      <c r="I64" s="78">
        <v>1.2245700586856338E-2</v>
      </c>
      <c r="J64" s="79">
        <v>4.1859844426167959E-3</v>
      </c>
      <c r="L64" s="81">
        <f t="shared" si="4"/>
        <v>4</v>
      </c>
      <c r="M64" s="82">
        <v>2</v>
      </c>
      <c r="N64" s="83">
        <v>4.7410000000000001E-2</v>
      </c>
      <c r="O64" s="31"/>
      <c r="Q64" s="81">
        <f t="shared" si="5"/>
        <v>4</v>
      </c>
      <c r="R64" s="82">
        <v>4</v>
      </c>
      <c r="S64" s="83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0"/>
      <c r="H65" s="77">
        <v>5</v>
      </c>
      <c r="I65" s="78">
        <v>1.2995777704928289E-2</v>
      </c>
      <c r="J65" s="79">
        <v>4.9759111242057424E-3</v>
      </c>
      <c r="L65" s="81">
        <f t="shared" si="4"/>
        <v>5</v>
      </c>
      <c r="M65" s="82">
        <v>3</v>
      </c>
      <c r="N65" s="83">
        <v>4.727E-2</v>
      </c>
      <c r="O65" s="31"/>
      <c r="Q65" s="81">
        <f t="shared" si="5"/>
        <v>5</v>
      </c>
      <c r="R65" s="82">
        <v>5</v>
      </c>
      <c r="S65" s="83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87">
        <v>3.3799999999999997E-2</v>
      </c>
      <c r="G66" s="90"/>
      <c r="H66" s="77">
        <v>7</v>
      </c>
      <c r="I66" s="78">
        <v>1.3388249104175196E-2</v>
      </c>
      <c r="J66" s="79">
        <v>4.1755378054619983E-3</v>
      </c>
      <c r="L66" s="81">
        <f t="shared" si="4"/>
        <v>6</v>
      </c>
      <c r="M66" s="82">
        <v>5</v>
      </c>
      <c r="N66" s="83">
        <v>4.5089999999999998E-2</v>
      </c>
      <c r="O66" s="31"/>
      <c r="Q66" s="81">
        <f t="shared" si="5"/>
        <v>6</v>
      </c>
      <c r="R66" s="82">
        <v>7</v>
      </c>
      <c r="S66" s="83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45097.723287037035</v>
      </c>
      <c r="E67" s="105"/>
      <c r="G67" s="90"/>
      <c r="H67" s="77">
        <v>10</v>
      </c>
      <c r="I67" s="78">
        <v>1.5966173861409468E-2</v>
      </c>
      <c r="J67" s="79">
        <v>3.3345664623276776E-3</v>
      </c>
      <c r="L67" s="81">
        <f t="shared" si="4"/>
        <v>7</v>
      </c>
      <c r="M67" s="82">
        <v>7</v>
      </c>
      <c r="N67" s="83">
        <v>4.4120000000000006E-2</v>
      </c>
      <c r="O67" s="31"/>
      <c r="Q67" s="81">
        <f t="shared" si="5"/>
        <v>7</v>
      </c>
      <c r="R67" s="82">
        <v>10</v>
      </c>
      <c r="S67" s="83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45097.723287037035</v>
      </c>
      <c r="E68" s="105"/>
      <c r="G68" s="90"/>
      <c r="H68" s="77"/>
      <c r="I68" s="78"/>
      <c r="J68" s="79"/>
      <c r="L68" s="81">
        <f t="shared" si="4"/>
        <v>8</v>
      </c>
      <c r="M68" s="82">
        <v>10</v>
      </c>
      <c r="N68" s="83">
        <v>4.2840000000000003E-2</v>
      </c>
      <c r="O68" s="31"/>
      <c r="Q68" s="81">
        <f t="shared" si="5"/>
        <v>8</v>
      </c>
      <c r="R68" s="82"/>
      <c r="S68" s="83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0"/>
      <c r="H69" s="77"/>
      <c r="I69" s="78"/>
      <c r="J69" s="79"/>
      <c r="L69" s="81">
        <f t="shared" si="4"/>
        <v>9</v>
      </c>
      <c r="M69" s="82">
        <v>20</v>
      </c>
      <c r="N69" s="83">
        <v>4.5839999999999999E-2</v>
      </c>
      <c r="O69" s="31"/>
      <c r="Q69" s="81">
        <f t="shared" si="5"/>
        <v>9</v>
      </c>
      <c r="R69" s="82"/>
      <c r="S69" s="83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0"/>
      <c r="H70" s="77"/>
      <c r="I70" s="78"/>
      <c r="J70" s="79"/>
      <c r="L70" s="81">
        <f t="shared" si="4"/>
        <v>10</v>
      </c>
      <c r="M70" s="82">
        <v>30</v>
      </c>
      <c r="N70" s="83">
        <f>N69+0.001</f>
        <v>4.684E-2</v>
      </c>
      <c r="O70" s="31"/>
      <c r="Q70" s="81">
        <f t="shared" si="5"/>
        <v>10</v>
      </c>
      <c r="R70" s="82"/>
      <c r="S70" s="83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0"/>
      <c r="H71" s="77"/>
      <c r="I71" s="78"/>
      <c r="J71" s="79"/>
      <c r="L71" s="81">
        <f t="shared" si="4"/>
        <v>11</v>
      </c>
      <c r="M71" s="82"/>
      <c r="N71" s="83"/>
      <c r="Q71" s="81">
        <f t="shared" si="5"/>
        <v>11</v>
      </c>
      <c r="R71" s="82"/>
      <c r="S71" s="83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0"/>
      <c r="H72" s="77"/>
      <c r="I72" s="78"/>
      <c r="J72" s="79"/>
      <c r="L72" s="81">
        <f t="shared" si="4"/>
        <v>12</v>
      </c>
      <c r="M72" s="82"/>
      <c r="N72" s="83"/>
      <c r="Q72" s="81">
        <f t="shared" si="5"/>
        <v>12</v>
      </c>
      <c r="R72" s="82"/>
      <c r="S72" s="83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102" t="s">
        <v>116</v>
      </c>
      <c r="C73" s="102"/>
      <c r="D73" s="103">
        <v>0</v>
      </c>
      <c r="E73" s="103"/>
      <c r="G73" s="90"/>
      <c r="H73" s="77"/>
      <c r="I73" s="78"/>
      <c r="J73" s="79"/>
      <c r="L73" s="81">
        <f t="shared" si="4"/>
        <v>13</v>
      </c>
      <c r="M73" s="82"/>
      <c r="N73" s="83"/>
      <c r="Q73" s="81">
        <f t="shared" si="5"/>
        <v>13</v>
      </c>
      <c r="R73" s="82"/>
      <c r="S73" s="83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102" t="s">
        <v>112</v>
      </c>
      <c r="C74" s="102"/>
      <c r="D74" s="103">
        <v>1</v>
      </c>
      <c r="E74" s="103"/>
      <c r="G74" s="90"/>
      <c r="H74" s="77"/>
      <c r="I74" s="78"/>
      <c r="J74" s="79"/>
      <c r="L74" s="81">
        <f t="shared" si="4"/>
        <v>14</v>
      </c>
      <c r="M74" s="82"/>
      <c r="N74" s="83"/>
      <c r="Q74" s="81">
        <f t="shared" si="5"/>
        <v>14</v>
      </c>
      <c r="R74" s="82"/>
      <c r="S74" s="83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102" t="s">
        <v>114</v>
      </c>
      <c r="C75" s="102"/>
      <c r="D75" s="103">
        <v>-0.12</v>
      </c>
      <c r="E75" s="103"/>
      <c r="G75" s="90"/>
      <c r="H75" s="77"/>
      <c r="I75" s="78"/>
      <c r="J75" s="79"/>
      <c r="L75" s="81">
        <f t="shared" si="4"/>
        <v>15</v>
      </c>
      <c r="M75" s="82"/>
      <c r="N75" s="83"/>
      <c r="Q75" s="81">
        <f t="shared" si="5"/>
        <v>15</v>
      </c>
      <c r="R75" s="82"/>
      <c r="S75" s="83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102" t="s">
        <v>113</v>
      </c>
      <c r="C76" s="102"/>
      <c r="D76" s="103">
        <v>0.24</v>
      </c>
      <c r="E76" s="103"/>
      <c r="G76" s="90"/>
      <c r="H76" s="77"/>
      <c r="I76" s="78"/>
      <c r="J76" s="79"/>
      <c r="L76" s="81">
        <f t="shared" si="4"/>
        <v>16</v>
      </c>
      <c r="M76" s="82"/>
      <c r="N76" s="83"/>
      <c r="Q76" s="81">
        <f t="shared" si="5"/>
        <v>16</v>
      </c>
      <c r="R76" s="82"/>
      <c r="S76" s="83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0"/>
      <c r="H77" s="77"/>
      <c r="I77" s="78"/>
      <c r="J77" s="79"/>
      <c r="L77" s="81">
        <f t="shared" si="4"/>
        <v>17</v>
      </c>
      <c r="M77" s="82"/>
      <c r="N77" s="83"/>
      <c r="Q77" s="81">
        <f t="shared" si="5"/>
        <v>17</v>
      </c>
      <c r="R77" s="82"/>
      <c r="S77" s="83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0"/>
      <c r="H78" s="77"/>
      <c r="I78" s="78"/>
      <c r="J78" s="79"/>
      <c r="L78" s="81">
        <f t="shared" si="4"/>
        <v>18</v>
      </c>
      <c r="M78" s="82"/>
      <c r="N78" s="83"/>
      <c r="Q78" s="81">
        <f t="shared" si="5"/>
        <v>18</v>
      </c>
      <c r="R78" s="82"/>
      <c r="S78" s="83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0"/>
      <c r="H79" s="77"/>
      <c r="I79" s="78"/>
      <c r="J79" s="79"/>
      <c r="L79" s="81">
        <f t="shared" si="4"/>
        <v>19</v>
      </c>
      <c r="M79" s="84"/>
      <c r="N79" s="85"/>
      <c r="Q79" s="81">
        <f t="shared" si="5"/>
        <v>19</v>
      </c>
      <c r="R79" s="86"/>
      <c r="S79" s="85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0"/>
      <c r="H80" s="77"/>
      <c r="I80" s="78"/>
      <c r="J80" s="79"/>
      <c r="L80" s="81">
        <f t="shared" si="4"/>
        <v>20</v>
      </c>
      <c r="M80" s="84"/>
      <c r="N80" s="85"/>
      <c r="Q80" s="81">
        <f t="shared" si="5"/>
        <v>20</v>
      </c>
      <c r="R80" s="86"/>
      <c r="S80" s="85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0"/>
      <c r="H81" s="77"/>
      <c r="I81" s="78"/>
      <c r="J81" s="79"/>
      <c r="L81" s="81">
        <f t="shared" si="4"/>
        <v>21</v>
      </c>
      <c r="M81" s="84"/>
      <c r="N81" s="85"/>
      <c r="Q81" s="81">
        <f t="shared" si="5"/>
        <v>21</v>
      </c>
      <c r="R81" s="86"/>
      <c r="S81" s="85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0"/>
      <c r="H82" s="77"/>
      <c r="I82" s="78"/>
      <c r="J82" s="79"/>
      <c r="L82" s="81">
        <f t="shared" si="4"/>
        <v>22</v>
      </c>
      <c r="M82" s="84"/>
      <c r="N82" s="85"/>
      <c r="Q82" s="81">
        <f t="shared" si="5"/>
        <v>22</v>
      </c>
      <c r="R82" s="86"/>
      <c r="S82" s="85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0"/>
      <c r="H83" s="77"/>
      <c r="I83" s="78"/>
      <c r="J83" s="79"/>
      <c r="L83" s="81">
        <f t="shared" si="4"/>
        <v>23</v>
      </c>
      <c r="M83" s="84"/>
      <c r="N83" s="85"/>
      <c r="Q83" s="81">
        <f t="shared" si="5"/>
        <v>23</v>
      </c>
      <c r="R83" s="86"/>
      <c r="S83" s="85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0"/>
      <c r="H84" s="77"/>
      <c r="I84" s="78"/>
      <c r="J84" s="79"/>
      <c r="L84" s="81">
        <f t="shared" si="4"/>
        <v>24</v>
      </c>
      <c r="M84" s="84"/>
      <c r="N84" s="85"/>
      <c r="Q84" s="81">
        <f t="shared" si="5"/>
        <v>24</v>
      </c>
      <c r="R84" s="86"/>
      <c r="S84" s="85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0"/>
      <c r="H85" s="77"/>
      <c r="I85" s="78"/>
      <c r="J85" s="79"/>
      <c r="L85" s="81">
        <f t="shared" si="4"/>
        <v>25</v>
      </c>
      <c r="M85" s="84"/>
      <c r="N85" s="85"/>
      <c r="Q85" s="81">
        <f t="shared" si="5"/>
        <v>25</v>
      </c>
      <c r="R85" s="86"/>
      <c r="S85" s="85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0"/>
      <c r="H86" s="77"/>
      <c r="I86" s="78"/>
      <c r="J86" s="79"/>
      <c r="L86" s="81">
        <f t="shared" si="4"/>
        <v>26</v>
      </c>
      <c r="M86" s="84"/>
      <c r="N86" s="85"/>
      <c r="Q86" s="81">
        <f t="shared" si="5"/>
        <v>26</v>
      </c>
      <c r="R86" s="86"/>
      <c r="S86" s="85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0"/>
      <c r="H87" s="77"/>
      <c r="I87" s="78"/>
      <c r="J87" s="79"/>
      <c r="L87" s="81">
        <f t="shared" si="4"/>
        <v>27</v>
      </c>
      <c r="M87" s="84"/>
      <c r="N87" s="85"/>
      <c r="Q87" s="81">
        <f t="shared" si="5"/>
        <v>27</v>
      </c>
      <c r="R87" s="86"/>
      <c r="S87" s="85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0"/>
      <c r="H88" s="77"/>
      <c r="I88" s="78"/>
      <c r="J88" s="79"/>
      <c r="L88" s="81">
        <f t="shared" si="4"/>
        <v>28</v>
      </c>
      <c r="M88" s="84"/>
      <c r="N88" s="85"/>
      <c r="Q88" s="81">
        <f t="shared" si="5"/>
        <v>28</v>
      </c>
      <c r="R88" s="86"/>
      <c r="S88" s="85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0"/>
      <c r="H89" s="77"/>
      <c r="I89" s="78"/>
      <c r="J89" s="79"/>
      <c r="L89" s="81">
        <f t="shared" si="4"/>
        <v>29</v>
      </c>
      <c r="M89" s="84"/>
      <c r="N89" s="85"/>
      <c r="Q89" s="81">
        <f t="shared" si="5"/>
        <v>29</v>
      </c>
      <c r="R89" s="86"/>
      <c r="S89" s="85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0"/>
      <c r="H90" s="77"/>
      <c r="I90" s="78"/>
      <c r="J90" s="79"/>
      <c r="L90" s="81">
        <f t="shared" si="4"/>
        <v>30</v>
      </c>
      <c r="M90" s="84"/>
      <c r="N90" s="85"/>
      <c r="Q90" s="81">
        <f t="shared" si="5"/>
        <v>30</v>
      </c>
      <c r="R90" s="86"/>
      <c r="S90" s="85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2"/>
      <c r="H91" s="77"/>
      <c r="I91" s="78"/>
      <c r="J91" s="79"/>
      <c r="L91" s="81">
        <f t="shared" si="4"/>
        <v>31</v>
      </c>
      <c r="M91" s="84"/>
      <c r="N91" s="85"/>
      <c r="Q91" s="81">
        <f t="shared" si="5"/>
        <v>31</v>
      </c>
      <c r="R91" s="86"/>
      <c r="S91" s="85"/>
      <c r="V91" s="73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</row>
    <row r="92" spans="1:40" x14ac:dyDescent="0.35">
      <c r="A92" s="9">
        <f t="shared" si="6"/>
        <v>92</v>
      </c>
      <c r="G92" s="72"/>
      <c r="H92" s="77"/>
      <c r="I92" s="78"/>
      <c r="J92" s="79"/>
      <c r="L92" s="81">
        <f t="shared" si="4"/>
        <v>32</v>
      </c>
      <c r="M92" s="84"/>
      <c r="N92" s="85"/>
      <c r="Q92" s="81">
        <f t="shared" si="5"/>
        <v>32</v>
      </c>
      <c r="R92" s="86"/>
      <c r="S92" s="85"/>
      <c r="V92" s="73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</row>
    <row r="93" spans="1:40" x14ac:dyDescent="0.35">
      <c r="A93" s="9">
        <f t="shared" si="6"/>
        <v>93</v>
      </c>
      <c r="G93" s="72"/>
      <c r="H93" s="77"/>
      <c r="I93" s="78"/>
      <c r="J93" s="79"/>
      <c r="L93" s="81">
        <f t="shared" si="4"/>
        <v>33</v>
      </c>
      <c r="M93" s="84"/>
      <c r="N93" s="85"/>
      <c r="Q93" s="81">
        <f t="shared" si="5"/>
        <v>33</v>
      </c>
      <c r="R93" s="86"/>
      <c r="S93" s="85"/>
      <c r="V93" s="73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</row>
    <row r="94" spans="1:40" x14ac:dyDescent="0.35">
      <c r="A94" s="9">
        <f t="shared" si="6"/>
        <v>94</v>
      </c>
      <c r="G94" s="72"/>
      <c r="H94" s="77"/>
      <c r="I94" s="78"/>
      <c r="J94" s="79"/>
      <c r="L94" s="81">
        <f t="shared" si="4"/>
        <v>34</v>
      </c>
      <c r="M94" s="84"/>
      <c r="N94" s="85"/>
      <c r="Q94" s="81">
        <f t="shared" si="5"/>
        <v>34</v>
      </c>
      <c r="R94" s="86"/>
      <c r="S94" s="85"/>
      <c r="V94" s="73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</row>
    <row r="95" spans="1:40" x14ac:dyDescent="0.35">
      <c r="A95" s="9">
        <f t="shared" si="6"/>
        <v>95</v>
      </c>
      <c r="G95" s="72"/>
      <c r="H95" s="77"/>
      <c r="I95" s="78"/>
      <c r="J95" s="79"/>
      <c r="L95" s="81">
        <f t="shared" si="4"/>
        <v>35</v>
      </c>
      <c r="M95" s="84"/>
      <c r="N95" s="85"/>
      <c r="Q95" s="81">
        <f t="shared" si="5"/>
        <v>35</v>
      </c>
      <c r="R95" s="86"/>
      <c r="S95" s="85"/>
      <c r="V95" s="73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</row>
    <row r="96" spans="1:40" x14ac:dyDescent="0.35">
      <c r="A96" s="9">
        <f t="shared" si="6"/>
        <v>96</v>
      </c>
      <c r="G96" s="72"/>
      <c r="H96" s="77"/>
      <c r="I96" s="78"/>
      <c r="J96" s="79"/>
      <c r="L96" s="81">
        <f t="shared" si="4"/>
        <v>36</v>
      </c>
      <c r="M96" s="84"/>
      <c r="N96" s="85"/>
      <c r="Q96" s="81">
        <f t="shared" si="5"/>
        <v>36</v>
      </c>
      <c r="R96" s="86"/>
      <c r="S96" s="85"/>
      <c r="V96" s="73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</row>
    <row r="97" spans="1:40" x14ac:dyDescent="0.35">
      <c r="A97" s="9">
        <f t="shared" si="6"/>
        <v>97</v>
      </c>
      <c r="G97" s="72"/>
      <c r="H97" s="77"/>
      <c r="I97" s="78"/>
      <c r="J97" s="79"/>
      <c r="L97" s="81">
        <f t="shared" si="4"/>
        <v>37</v>
      </c>
      <c r="M97" s="84"/>
      <c r="N97" s="85"/>
      <c r="Q97" s="81">
        <f t="shared" si="5"/>
        <v>37</v>
      </c>
      <c r="R97" s="86"/>
      <c r="S97" s="85"/>
      <c r="V97" s="73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</row>
    <row r="98" spans="1:40" x14ac:dyDescent="0.35">
      <c r="A98" s="9">
        <f t="shared" si="6"/>
        <v>98</v>
      </c>
      <c r="G98" s="72"/>
      <c r="H98" s="77"/>
      <c r="I98" s="78"/>
      <c r="J98" s="79"/>
      <c r="L98" s="81">
        <f t="shared" si="4"/>
        <v>38</v>
      </c>
      <c r="M98" s="84"/>
      <c r="N98" s="85"/>
      <c r="Q98" s="81">
        <f t="shared" si="5"/>
        <v>38</v>
      </c>
      <c r="R98" s="86"/>
      <c r="S98" s="85"/>
      <c r="V98" s="73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</row>
    <row r="99" spans="1:40" x14ac:dyDescent="0.35">
      <c r="A99" s="9">
        <f t="shared" si="6"/>
        <v>99</v>
      </c>
      <c r="G99" s="72"/>
      <c r="H99" s="77"/>
      <c r="I99" s="78"/>
      <c r="J99" s="79"/>
      <c r="L99" s="81">
        <f t="shared" si="4"/>
        <v>39</v>
      </c>
      <c r="M99" s="84"/>
      <c r="N99" s="85"/>
      <c r="Q99" s="81">
        <f t="shared" si="5"/>
        <v>39</v>
      </c>
      <c r="R99" s="86"/>
      <c r="S99" s="85"/>
      <c r="V99" s="73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</row>
    <row r="100" spans="1:40" x14ac:dyDescent="0.35">
      <c r="A100" s="9">
        <f t="shared" si="6"/>
        <v>100</v>
      </c>
      <c r="G100" s="72"/>
      <c r="H100" s="77"/>
      <c r="I100" s="78"/>
      <c r="J100" s="79"/>
      <c r="L100" s="81">
        <f t="shared" si="4"/>
        <v>40</v>
      </c>
      <c r="M100" s="84"/>
      <c r="N100" s="85"/>
      <c r="Q100" s="81">
        <f t="shared" si="5"/>
        <v>40</v>
      </c>
      <c r="R100" s="86"/>
      <c r="S100" s="85"/>
      <c r="V100" s="73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</row>
    <row r="101" spans="1:40" x14ac:dyDescent="0.35">
      <c r="A101" s="9">
        <f t="shared" si="6"/>
        <v>101</v>
      </c>
      <c r="G101" s="72"/>
      <c r="H101" s="77"/>
      <c r="I101" s="78"/>
      <c r="J101" s="79"/>
      <c r="L101" s="81">
        <f t="shared" si="4"/>
        <v>41</v>
      </c>
      <c r="M101" s="84"/>
      <c r="N101" s="85"/>
      <c r="Q101" s="81">
        <f t="shared" si="5"/>
        <v>41</v>
      </c>
      <c r="R101" s="86"/>
      <c r="S101" s="85"/>
      <c r="V101" s="73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</row>
    <row r="102" spans="1:40" x14ac:dyDescent="0.35">
      <c r="A102" s="9">
        <f t="shared" si="6"/>
        <v>102</v>
      </c>
      <c r="G102" s="72"/>
      <c r="H102" s="77"/>
      <c r="I102" s="78"/>
      <c r="J102" s="79"/>
      <c r="L102" s="81">
        <f t="shared" si="4"/>
        <v>42</v>
      </c>
      <c r="M102" s="84"/>
      <c r="N102" s="85"/>
      <c r="Q102" s="81">
        <f t="shared" si="5"/>
        <v>42</v>
      </c>
      <c r="R102" s="86"/>
      <c r="S102" s="85"/>
      <c r="V102" s="73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</row>
    <row r="103" spans="1:40" x14ac:dyDescent="0.35">
      <c r="A103" s="9">
        <f t="shared" si="6"/>
        <v>103</v>
      </c>
      <c r="G103" s="72"/>
      <c r="H103" s="77"/>
      <c r="I103" s="78"/>
      <c r="J103" s="79"/>
      <c r="L103" s="81">
        <f t="shared" si="4"/>
        <v>43</v>
      </c>
      <c r="M103" s="84"/>
      <c r="N103" s="85"/>
      <c r="Q103" s="81">
        <f t="shared" si="5"/>
        <v>43</v>
      </c>
      <c r="R103" s="86"/>
      <c r="S103" s="85"/>
      <c r="V103" s="73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89" t="s">
        <v>26</v>
      </c>
      <c r="H105" s="91" t="s">
        <v>25</v>
      </c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  <c r="X105" s="91"/>
    </row>
    <row r="106" spans="1:40" x14ac:dyDescent="0.4">
      <c r="A106" s="9">
        <f t="shared" si="6"/>
        <v>106</v>
      </c>
      <c r="B106" s="102" t="s">
        <v>3</v>
      </c>
      <c r="C106" s="102"/>
      <c r="D106" s="103">
        <v>1</v>
      </c>
      <c r="E106" s="103"/>
      <c r="G106" s="90"/>
      <c r="H106" s="92" t="s">
        <v>7</v>
      </c>
      <c r="I106" s="93"/>
      <c r="L106" s="96" t="s">
        <v>11</v>
      </c>
      <c r="M106" s="96"/>
      <c r="N106" s="96"/>
      <c r="Q106" s="96" t="s">
        <v>12</v>
      </c>
      <c r="R106" s="96"/>
      <c r="S106" s="96"/>
      <c r="V106" s="96" t="s">
        <v>13</v>
      </c>
      <c r="W106" s="96"/>
      <c r="X106" s="96"/>
    </row>
    <row r="107" spans="1:40" x14ac:dyDescent="0.4">
      <c r="A107" s="9">
        <f t="shared" si="6"/>
        <v>107</v>
      </c>
      <c r="B107" s="102" t="s">
        <v>4</v>
      </c>
      <c r="C107" s="102"/>
      <c r="D107" s="103">
        <v>1</v>
      </c>
      <c r="E107" s="103"/>
      <c r="G107" s="90"/>
      <c r="H107" s="94"/>
      <c r="I107" s="95"/>
      <c r="L107" s="96"/>
      <c r="M107" s="96"/>
      <c r="N107" s="96"/>
      <c r="Q107" s="96"/>
      <c r="R107" s="96"/>
      <c r="S107" s="96"/>
      <c r="V107" s="96"/>
      <c r="W107" s="96"/>
      <c r="X107" s="96"/>
    </row>
    <row r="108" spans="1:40" x14ac:dyDescent="0.4">
      <c r="A108" s="9">
        <f t="shared" si="6"/>
        <v>108</v>
      </c>
      <c r="B108" s="102" t="s">
        <v>1</v>
      </c>
      <c r="C108" s="102"/>
      <c r="D108" s="103">
        <v>0.01</v>
      </c>
      <c r="E108" s="103"/>
      <c r="G108" s="90"/>
      <c r="I108" s="2" t="s">
        <v>107</v>
      </c>
      <c r="J108" s="2" t="s">
        <v>108</v>
      </c>
      <c r="K108" s="2" t="s">
        <v>110</v>
      </c>
      <c r="V108" s="96" t="s">
        <v>14</v>
      </c>
      <c r="W108" s="96"/>
      <c r="X108" s="4">
        <v>3</v>
      </c>
    </row>
    <row r="109" spans="1:40" x14ac:dyDescent="0.4">
      <c r="A109" s="9">
        <f t="shared" si="6"/>
        <v>109</v>
      </c>
      <c r="G109" s="90"/>
      <c r="H109" s="2" t="s">
        <v>8</v>
      </c>
      <c r="I109" s="3">
        <v>0.01</v>
      </c>
      <c r="J109" s="75">
        <v>0.01</v>
      </c>
      <c r="K109" s="75">
        <v>0.9</v>
      </c>
      <c r="Q109" s="96" t="s">
        <v>15</v>
      </c>
      <c r="R109" s="96"/>
      <c r="S109" s="4">
        <v>3</v>
      </c>
      <c r="V109" s="99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0"/>
      <c r="H110" s="76" t="s">
        <v>9</v>
      </c>
      <c r="I110" s="97" t="s">
        <v>10</v>
      </c>
      <c r="J110" s="98"/>
      <c r="L110" s="80" t="s">
        <v>18</v>
      </c>
      <c r="M110" s="80" t="s">
        <v>19</v>
      </c>
      <c r="N110" s="76" t="s">
        <v>72</v>
      </c>
      <c r="Q110" s="80" t="s">
        <v>18</v>
      </c>
      <c r="R110" s="80" t="s">
        <v>19</v>
      </c>
      <c r="S110" s="76" t="s">
        <v>20</v>
      </c>
      <c r="V110" s="100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0"/>
      <c r="H111" s="77">
        <v>0.5</v>
      </c>
      <c r="I111" s="78">
        <v>2.8000000000000004E-3</v>
      </c>
      <c r="J111" s="79">
        <v>1.2999999999999999E-2</v>
      </c>
      <c r="L111" s="81">
        <v>1</v>
      </c>
      <c r="M111" s="82">
        <v>2.7397260273972603E-3</v>
      </c>
      <c r="N111" s="83">
        <v>9.2987051584846429E-3</v>
      </c>
      <c r="Q111" s="81">
        <v>1</v>
      </c>
      <c r="R111" s="82">
        <v>1</v>
      </c>
      <c r="S111" s="83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0"/>
      <c r="H112" s="77">
        <v>1</v>
      </c>
      <c r="I112" s="78">
        <v>3.2000000000000002E-3</v>
      </c>
      <c r="J112" s="79">
        <v>1.3600000000000001E-2</v>
      </c>
      <c r="L112" s="81">
        <f>L111+1</f>
        <v>2</v>
      </c>
      <c r="M112" s="82">
        <v>0.25</v>
      </c>
      <c r="N112" s="83">
        <v>1.0100494925245816E-2</v>
      </c>
      <c r="Q112" s="81">
        <f>Q111+1</f>
        <v>2</v>
      </c>
      <c r="R112" s="82">
        <v>2</v>
      </c>
      <c r="S112" s="83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0"/>
      <c r="H113" s="77">
        <v>1.5</v>
      </c>
      <c r="I113" s="78">
        <v>3.2000000000000002E-3</v>
      </c>
      <c r="J113" s="79">
        <v>1.2199999999999999E-2</v>
      </c>
      <c r="L113" s="81">
        <f t="shared" ref="L113:L140" si="7">L112+1</f>
        <v>3</v>
      </c>
      <c r="M113" s="82">
        <v>0.5</v>
      </c>
      <c r="N113" s="83">
        <v>1.0585744906933231E-2</v>
      </c>
      <c r="Q113" s="81">
        <f t="shared" ref="Q113:Q140" si="8">Q112+1</f>
        <v>3</v>
      </c>
      <c r="R113" s="82">
        <v>3</v>
      </c>
      <c r="S113" s="83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0"/>
      <c r="H114" s="77">
        <v>2</v>
      </c>
      <c r="I114" s="78">
        <v>3.2000000000000002E-3</v>
      </c>
      <c r="J114" s="79">
        <v>1.2199999999999999E-2</v>
      </c>
      <c r="L114" s="81">
        <f t="shared" si="7"/>
        <v>4</v>
      </c>
      <c r="M114" s="82">
        <v>1</v>
      </c>
      <c r="N114" s="83">
        <v>1.1364206149595617E-2</v>
      </c>
      <c r="Q114" s="81">
        <f t="shared" si="8"/>
        <v>4</v>
      </c>
      <c r="R114" s="82">
        <v>4</v>
      </c>
      <c r="S114" s="83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0"/>
      <c r="H115" s="77">
        <v>3</v>
      </c>
      <c r="I115" s="78">
        <v>3.0000000000000001E-3</v>
      </c>
      <c r="J115" s="79">
        <v>1.14E-2</v>
      </c>
      <c r="L115" s="81">
        <f t="shared" si="7"/>
        <v>5</v>
      </c>
      <c r="M115" s="82">
        <v>1.5</v>
      </c>
      <c r="N115" s="83">
        <v>1.1240699512420845E-2</v>
      </c>
      <c r="Q115" s="81">
        <f t="shared" si="8"/>
        <v>5</v>
      </c>
      <c r="R115" s="82">
        <v>5</v>
      </c>
      <c r="S115" s="83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87"/>
      <c r="G116" s="90"/>
      <c r="H116" s="77">
        <v>4</v>
      </c>
      <c r="I116" s="78">
        <v>3.2000000000000002E-3</v>
      </c>
      <c r="J116" s="79">
        <v>1.1800000000000001E-2</v>
      </c>
      <c r="L116" s="81">
        <f t="shared" si="7"/>
        <v>6</v>
      </c>
      <c r="M116" s="82">
        <v>2</v>
      </c>
      <c r="N116" s="83">
        <v>1.2560340009797765E-2</v>
      </c>
      <c r="Q116" s="81">
        <f t="shared" si="8"/>
        <v>6</v>
      </c>
      <c r="R116" s="82">
        <v>7</v>
      </c>
      <c r="S116" s="83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0"/>
      <c r="H117" s="77">
        <v>5</v>
      </c>
      <c r="I117" s="78">
        <v>3.2000000000000002E-3</v>
      </c>
      <c r="J117" s="79">
        <v>1.2799999999999999E-2</v>
      </c>
      <c r="L117" s="81">
        <f t="shared" si="7"/>
        <v>7</v>
      </c>
      <c r="M117" s="82">
        <v>3</v>
      </c>
      <c r="N117" s="83">
        <v>1.344051633469635E-2</v>
      </c>
      <c r="Q117" s="81">
        <f t="shared" si="8"/>
        <v>7</v>
      </c>
      <c r="R117" s="82">
        <v>10</v>
      </c>
      <c r="S117" s="83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0"/>
      <c r="H118" s="77">
        <v>7</v>
      </c>
      <c r="I118" s="78">
        <v>3.2000000000000002E-3</v>
      </c>
      <c r="J118" s="79">
        <v>1.1200000000000002E-2</v>
      </c>
      <c r="L118" s="81">
        <f t="shared" si="7"/>
        <v>8</v>
      </c>
      <c r="M118" s="82">
        <v>4</v>
      </c>
      <c r="N118" s="83">
        <v>1.5128217867816219E-2</v>
      </c>
      <c r="Q118" s="81">
        <f t="shared" si="8"/>
        <v>8</v>
      </c>
      <c r="R118" s="82"/>
      <c r="S118" s="83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0"/>
      <c r="H119" s="77">
        <v>10</v>
      </c>
      <c r="I119" s="78">
        <v>3.4000000000000002E-3</v>
      </c>
      <c r="J119" s="79">
        <v>1.1599999999999999E-2</v>
      </c>
      <c r="L119" s="81">
        <f t="shared" si="7"/>
        <v>9</v>
      </c>
      <c r="M119" s="82">
        <v>5</v>
      </c>
      <c r="N119" s="83">
        <v>1.6145008698489109E-2</v>
      </c>
      <c r="Q119" s="81">
        <f t="shared" si="8"/>
        <v>9</v>
      </c>
      <c r="R119" s="82"/>
      <c r="S119" s="83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0"/>
      <c r="H120" s="77"/>
      <c r="I120" s="78"/>
      <c r="J120" s="79"/>
      <c r="L120" s="81">
        <f t="shared" si="7"/>
        <v>10</v>
      </c>
      <c r="M120" s="82">
        <v>6</v>
      </c>
      <c r="N120" s="83">
        <v>1.6196912530765887E-2</v>
      </c>
      <c r="Q120" s="81">
        <f t="shared" si="8"/>
        <v>10</v>
      </c>
      <c r="R120" s="82"/>
      <c r="S120" s="83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0"/>
      <c r="H121" s="77"/>
      <c r="I121" s="78"/>
      <c r="J121" s="79"/>
      <c r="L121" s="81">
        <f t="shared" si="7"/>
        <v>11</v>
      </c>
      <c r="M121" s="82">
        <v>7</v>
      </c>
      <c r="N121" s="83">
        <v>1.7576413300879615E-2</v>
      </c>
      <c r="Q121" s="81">
        <f t="shared" si="8"/>
        <v>11</v>
      </c>
      <c r="R121" s="82"/>
      <c r="S121" s="83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0"/>
      <c r="H122" s="77"/>
      <c r="I122" s="78"/>
      <c r="J122" s="79"/>
      <c r="L122" s="81">
        <f t="shared" si="7"/>
        <v>12</v>
      </c>
      <c r="M122" s="82">
        <v>8</v>
      </c>
      <c r="N122" s="83">
        <v>1.7788002445556443E-2</v>
      </c>
      <c r="Q122" s="81">
        <f t="shared" si="8"/>
        <v>12</v>
      </c>
      <c r="R122" s="82"/>
      <c r="S122" s="83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102" t="s">
        <v>116</v>
      </c>
      <c r="C123" s="102"/>
      <c r="D123" s="103">
        <v>0</v>
      </c>
      <c r="E123" s="103"/>
      <c r="G123" s="90"/>
      <c r="H123" s="77"/>
      <c r="I123" s="78"/>
      <c r="J123" s="79"/>
      <c r="L123" s="81">
        <f t="shared" si="7"/>
        <v>13</v>
      </c>
      <c r="M123" s="82">
        <v>9</v>
      </c>
      <c r="N123" s="83">
        <v>1.8387991814191845E-2</v>
      </c>
      <c r="Q123" s="81">
        <f t="shared" si="8"/>
        <v>13</v>
      </c>
      <c r="R123" s="82"/>
      <c r="S123" s="83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102" t="s">
        <v>112</v>
      </c>
      <c r="C124" s="102"/>
      <c r="D124" s="103">
        <v>0</v>
      </c>
      <c r="E124" s="103"/>
      <c r="G124" s="90"/>
      <c r="H124" s="77"/>
      <c r="I124" s="78"/>
      <c r="J124" s="79"/>
      <c r="L124" s="81">
        <f t="shared" si="7"/>
        <v>14</v>
      </c>
      <c r="M124" s="82">
        <v>10</v>
      </c>
      <c r="N124" s="83">
        <v>1.8834234363904127E-2</v>
      </c>
      <c r="Q124" s="81">
        <f t="shared" si="8"/>
        <v>14</v>
      </c>
      <c r="R124" s="82"/>
      <c r="S124" s="83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102" t="s">
        <v>114</v>
      </c>
      <c r="C125" s="102"/>
      <c r="D125" s="103">
        <v>-0.1</v>
      </c>
      <c r="E125" s="103"/>
      <c r="G125" s="90"/>
      <c r="H125" s="77"/>
      <c r="I125" s="78"/>
      <c r="J125" s="79"/>
      <c r="L125" s="81">
        <f t="shared" si="7"/>
        <v>15</v>
      </c>
      <c r="M125" s="82">
        <v>12</v>
      </c>
      <c r="N125" s="83">
        <v>1.8971011340666574E-2</v>
      </c>
      <c r="Q125" s="81">
        <f t="shared" si="8"/>
        <v>15</v>
      </c>
      <c r="R125" s="82"/>
      <c r="S125" s="83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102" t="s">
        <v>113</v>
      </c>
      <c r="C126" s="102"/>
      <c r="D126" s="103">
        <v>0.15</v>
      </c>
      <c r="E126" s="103"/>
      <c r="G126" s="90"/>
      <c r="H126" s="77"/>
      <c r="I126" s="78"/>
      <c r="J126" s="79"/>
      <c r="L126" s="81">
        <f t="shared" si="7"/>
        <v>16</v>
      </c>
      <c r="M126" s="82">
        <v>15</v>
      </c>
      <c r="N126" s="83">
        <v>1.9495973300093089E-2</v>
      </c>
      <c r="Q126" s="81">
        <f t="shared" si="8"/>
        <v>16</v>
      </c>
      <c r="R126" s="82"/>
      <c r="S126" s="83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0"/>
      <c r="H127" s="77"/>
      <c r="I127" s="78"/>
      <c r="J127" s="79"/>
      <c r="L127" s="81">
        <f t="shared" si="7"/>
        <v>17</v>
      </c>
      <c r="M127" s="82">
        <v>20</v>
      </c>
      <c r="N127" s="83">
        <v>2.117680539084018E-2</v>
      </c>
      <c r="Q127" s="81">
        <f t="shared" si="8"/>
        <v>17</v>
      </c>
      <c r="R127" s="82"/>
      <c r="S127" s="83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0"/>
      <c r="H128" s="77"/>
      <c r="I128" s="78"/>
      <c r="J128" s="79"/>
      <c r="L128" s="81">
        <f t="shared" si="7"/>
        <v>18</v>
      </c>
      <c r="M128" s="82"/>
      <c r="N128" s="83"/>
      <c r="Q128" s="81">
        <f t="shared" si="8"/>
        <v>18</v>
      </c>
      <c r="R128" s="82"/>
      <c r="S128" s="83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0"/>
      <c r="H129" s="77"/>
      <c r="I129" s="78"/>
      <c r="J129" s="79"/>
      <c r="L129" s="81">
        <f t="shared" si="7"/>
        <v>19</v>
      </c>
      <c r="M129" s="84"/>
      <c r="N129" s="85"/>
      <c r="Q129" s="81">
        <f t="shared" si="8"/>
        <v>19</v>
      </c>
      <c r="R129" s="86"/>
      <c r="S129" s="85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0"/>
      <c r="H130" s="77"/>
      <c r="I130" s="78"/>
      <c r="J130" s="79"/>
      <c r="L130" s="81">
        <f t="shared" si="7"/>
        <v>20</v>
      </c>
      <c r="M130" s="84"/>
      <c r="N130" s="85"/>
      <c r="Q130" s="81">
        <f t="shared" si="8"/>
        <v>20</v>
      </c>
      <c r="R130" s="86"/>
      <c r="S130" s="85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0"/>
      <c r="H131" s="77"/>
      <c r="I131" s="78"/>
      <c r="J131" s="79"/>
      <c r="L131" s="81">
        <f t="shared" si="7"/>
        <v>21</v>
      </c>
      <c r="M131" s="84"/>
      <c r="N131" s="85"/>
      <c r="Q131" s="81">
        <f t="shared" si="8"/>
        <v>21</v>
      </c>
      <c r="R131" s="86"/>
      <c r="S131" s="85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0"/>
      <c r="H132" s="77"/>
      <c r="I132" s="78"/>
      <c r="J132" s="79"/>
      <c r="L132" s="81">
        <f t="shared" si="7"/>
        <v>22</v>
      </c>
      <c r="M132" s="84"/>
      <c r="N132" s="85"/>
      <c r="Q132" s="81">
        <f t="shared" si="8"/>
        <v>22</v>
      </c>
      <c r="R132" s="86"/>
      <c r="S132" s="85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0"/>
      <c r="H133" s="77"/>
      <c r="I133" s="78"/>
      <c r="J133" s="79"/>
      <c r="L133" s="81">
        <f t="shared" si="7"/>
        <v>23</v>
      </c>
      <c r="M133" s="84"/>
      <c r="N133" s="85"/>
      <c r="Q133" s="81">
        <f t="shared" si="8"/>
        <v>23</v>
      </c>
      <c r="R133" s="86"/>
      <c r="S133" s="85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0"/>
      <c r="H134" s="77"/>
      <c r="I134" s="78"/>
      <c r="J134" s="79"/>
      <c r="L134" s="81">
        <f t="shared" si="7"/>
        <v>24</v>
      </c>
      <c r="M134" s="84"/>
      <c r="N134" s="85"/>
      <c r="Q134" s="81">
        <f t="shared" si="8"/>
        <v>24</v>
      </c>
      <c r="R134" s="86"/>
      <c r="S134" s="85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0"/>
      <c r="H135" s="77"/>
      <c r="I135" s="78"/>
      <c r="J135" s="79"/>
      <c r="L135" s="81">
        <f t="shared" si="7"/>
        <v>25</v>
      </c>
      <c r="M135" s="84"/>
      <c r="N135" s="85"/>
      <c r="Q135" s="81">
        <f t="shared" si="8"/>
        <v>25</v>
      </c>
      <c r="R135" s="86"/>
      <c r="S135" s="85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0"/>
      <c r="H136" s="77"/>
      <c r="I136" s="78"/>
      <c r="J136" s="79"/>
      <c r="L136" s="81">
        <f t="shared" si="7"/>
        <v>26</v>
      </c>
      <c r="M136" s="84"/>
      <c r="N136" s="85"/>
      <c r="Q136" s="81">
        <f t="shared" si="8"/>
        <v>26</v>
      </c>
      <c r="R136" s="86"/>
      <c r="S136" s="85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0"/>
      <c r="H137" s="77"/>
      <c r="I137" s="78"/>
      <c r="J137" s="79"/>
      <c r="L137" s="81">
        <f t="shared" si="7"/>
        <v>27</v>
      </c>
      <c r="M137" s="84"/>
      <c r="N137" s="85"/>
      <c r="Q137" s="81">
        <f t="shared" si="8"/>
        <v>27</v>
      </c>
      <c r="R137" s="86"/>
      <c r="S137" s="85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0"/>
      <c r="H138" s="77"/>
      <c r="I138" s="78"/>
      <c r="J138" s="79"/>
      <c r="L138" s="81">
        <f t="shared" si="7"/>
        <v>28</v>
      </c>
      <c r="M138" s="84"/>
      <c r="N138" s="85"/>
      <c r="Q138" s="81">
        <f t="shared" si="8"/>
        <v>28</v>
      </c>
      <c r="R138" s="86"/>
      <c r="S138" s="85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0"/>
      <c r="H139" s="77"/>
      <c r="I139" s="78"/>
      <c r="J139" s="79"/>
      <c r="L139" s="81">
        <f t="shared" si="7"/>
        <v>29</v>
      </c>
      <c r="M139" s="84"/>
      <c r="N139" s="85"/>
      <c r="Q139" s="81">
        <f t="shared" si="8"/>
        <v>29</v>
      </c>
      <c r="R139" s="86"/>
      <c r="S139" s="85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0"/>
      <c r="H140" s="77"/>
      <c r="I140" s="78"/>
      <c r="J140" s="79"/>
      <c r="L140" s="81">
        <f t="shared" si="7"/>
        <v>30</v>
      </c>
      <c r="M140" s="84"/>
      <c r="N140" s="85"/>
      <c r="Q140" s="81">
        <f t="shared" si="8"/>
        <v>30</v>
      </c>
      <c r="R140" s="86"/>
      <c r="S140" s="85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2"/>
      <c r="H141" s="77"/>
      <c r="I141" s="78"/>
      <c r="J141" s="79"/>
      <c r="L141" s="81"/>
      <c r="M141" s="84"/>
      <c r="N141" s="85"/>
      <c r="Q141" s="81"/>
      <c r="R141" s="86"/>
      <c r="S141" s="85"/>
      <c r="V141" s="73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</row>
    <row r="142" spans="1:40" x14ac:dyDescent="0.35">
      <c r="A142" s="9">
        <f t="shared" si="6"/>
        <v>142</v>
      </c>
      <c r="G142" s="72"/>
      <c r="H142" s="77"/>
      <c r="I142" s="78"/>
      <c r="J142" s="79"/>
      <c r="L142" s="81"/>
      <c r="M142" s="84"/>
      <c r="N142" s="85"/>
      <c r="Q142" s="81"/>
      <c r="R142" s="86"/>
      <c r="S142" s="85"/>
      <c r="V142" s="73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</row>
    <row r="143" spans="1:40" x14ac:dyDescent="0.35">
      <c r="A143" s="9">
        <f t="shared" si="6"/>
        <v>143</v>
      </c>
      <c r="G143" s="72"/>
      <c r="H143" s="77"/>
      <c r="I143" s="78"/>
      <c r="J143" s="79"/>
      <c r="L143" s="81"/>
      <c r="M143" s="84"/>
      <c r="N143" s="85"/>
      <c r="Q143" s="81"/>
      <c r="R143" s="86"/>
      <c r="S143" s="85"/>
      <c r="V143" s="73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</row>
    <row r="144" spans="1:40" x14ac:dyDescent="0.35">
      <c r="A144" s="9">
        <f t="shared" si="6"/>
        <v>144</v>
      </c>
      <c r="G144" s="72"/>
      <c r="H144" s="77"/>
      <c r="I144" s="78"/>
      <c r="J144" s="79"/>
      <c r="L144" s="81"/>
      <c r="M144" s="84"/>
      <c r="N144" s="85"/>
      <c r="Q144" s="81"/>
      <c r="R144" s="86"/>
      <c r="S144" s="85"/>
      <c r="V144" s="73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</row>
    <row r="145" spans="1:40" x14ac:dyDescent="0.35">
      <c r="A145" s="9">
        <f t="shared" si="6"/>
        <v>145</v>
      </c>
      <c r="G145" s="72"/>
      <c r="H145" s="77"/>
      <c r="I145" s="78"/>
      <c r="J145" s="79"/>
      <c r="L145" s="81"/>
      <c r="M145" s="84"/>
      <c r="N145" s="85"/>
      <c r="Q145" s="81"/>
      <c r="R145" s="86"/>
      <c r="S145" s="85"/>
      <c r="V145" s="73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</row>
    <row r="146" spans="1:40" x14ac:dyDescent="0.35">
      <c r="A146" s="9">
        <f t="shared" si="6"/>
        <v>146</v>
      </c>
      <c r="G146" s="72"/>
      <c r="H146" s="77"/>
      <c r="I146" s="78"/>
      <c r="J146" s="79"/>
      <c r="L146" s="81"/>
      <c r="M146" s="84"/>
      <c r="N146" s="85"/>
      <c r="Q146" s="81"/>
      <c r="R146" s="86"/>
      <c r="S146" s="85"/>
      <c r="V146" s="73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</row>
    <row r="147" spans="1:40" x14ac:dyDescent="0.35">
      <c r="A147" s="9">
        <f t="shared" ref="A147:A204" si="9">A146+1</f>
        <v>147</v>
      </c>
      <c r="G147" s="72"/>
      <c r="H147" s="77"/>
      <c r="I147" s="78"/>
      <c r="J147" s="79"/>
      <c r="L147" s="81"/>
      <c r="M147" s="84"/>
      <c r="N147" s="85"/>
      <c r="Q147" s="81"/>
      <c r="R147" s="86"/>
      <c r="S147" s="85"/>
      <c r="V147" s="73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</row>
    <row r="148" spans="1:40" x14ac:dyDescent="0.35">
      <c r="A148" s="9">
        <f t="shared" si="9"/>
        <v>148</v>
      </c>
      <c r="G148" s="72"/>
      <c r="H148" s="77"/>
      <c r="I148" s="78"/>
      <c r="J148" s="79"/>
      <c r="L148" s="81"/>
      <c r="M148" s="84"/>
      <c r="N148" s="85"/>
      <c r="Q148" s="81"/>
      <c r="R148" s="86"/>
      <c r="S148" s="85"/>
      <c r="V148" s="73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</row>
    <row r="149" spans="1:40" x14ac:dyDescent="0.35">
      <c r="A149" s="9">
        <f t="shared" si="9"/>
        <v>149</v>
      </c>
      <c r="G149" s="72"/>
      <c r="H149" s="77"/>
      <c r="I149" s="78"/>
      <c r="J149" s="79"/>
      <c r="L149" s="81"/>
      <c r="M149" s="84"/>
      <c r="N149" s="85"/>
      <c r="Q149" s="81"/>
      <c r="R149" s="86"/>
      <c r="S149" s="85"/>
      <c r="V149" s="73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</row>
    <row r="150" spans="1:40" x14ac:dyDescent="0.35">
      <c r="A150" s="9">
        <f t="shared" si="9"/>
        <v>150</v>
      </c>
      <c r="G150" s="72"/>
      <c r="H150" s="77"/>
      <c r="I150" s="78"/>
      <c r="J150" s="79"/>
      <c r="L150" s="81"/>
      <c r="M150" s="84"/>
      <c r="N150" s="85"/>
      <c r="Q150" s="81"/>
      <c r="R150" s="86"/>
      <c r="S150" s="85"/>
      <c r="V150" s="73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</row>
    <row r="151" spans="1:40" x14ac:dyDescent="0.35">
      <c r="A151" s="9">
        <f t="shared" si="9"/>
        <v>151</v>
      </c>
      <c r="G151" s="72"/>
      <c r="H151" s="77"/>
      <c r="I151" s="78"/>
      <c r="J151" s="79"/>
      <c r="L151" s="81"/>
      <c r="M151" s="84"/>
      <c r="N151" s="85"/>
      <c r="Q151" s="81"/>
      <c r="R151" s="86"/>
      <c r="S151" s="85"/>
      <c r="V151" s="73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</row>
    <row r="152" spans="1:40" x14ac:dyDescent="0.35">
      <c r="A152" s="9">
        <f t="shared" si="9"/>
        <v>152</v>
      </c>
      <c r="G152" s="72"/>
      <c r="H152" s="77"/>
      <c r="I152" s="78"/>
      <c r="J152" s="79"/>
      <c r="L152" s="81"/>
      <c r="M152" s="84"/>
      <c r="N152" s="85"/>
      <c r="Q152" s="81"/>
      <c r="R152" s="86"/>
      <c r="S152" s="85"/>
      <c r="V152" s="73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</row>
    <row r="153" spans="1:40" x14ac:dyDescent="0.35">
      <c r="A153" s="9">
        <f t="shared" si="9"/>
        <v>153</v>
      </c>
      <c r="G153" s="72"/>
      <c r="H153" s="77"/>
      <c r="I153" s="78"/>
      <c r="J153" s="79"/>
      <c r="L153" s="81"/>
      <c r="M153" s="84"/>
      <c r="N153" s="85"/>
      <c r="Q153" s="81"/>
      <c r="R153" s="86"/>
      <c r="S153" s="85"/>
      <c r="V153" s="73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89" t="s">
        <v>28</v>
      </c>
      <c r="H155" s="91" t="s">
        <v>27</v>
      </c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</row>
    <row r="156" spans="1:40" x14ac:dyDescent="0.4">
      <c r="A156" s="9">
        <f t="shared" si="9"/>
        <v>156</v>
      </c>
      <c r="B156" s="102" t="s">
        <v>3</v>
      </c>
      <c r="C156" s="102"/>
      <c r="D156" s="103">
        <v>1</v>
      </c>
      <c r="E156" s="103"/>
      <c r="G156" s="90"/>
      <c r="H156" s="92" t="s">
        <v>7</v>
      </c>
      <c r="I156" s="93"/>
      <c r="L156" s="96" t="s">
        <v>11</v>
      </c>
      <c r="M156" s="96"/>
      <c r="N156" s="96"/>
      <c r="Q156" s="96" t="s">
        <v>12</v>
      </c>
      <c r="R156" s="96"/>
      <c r="S156" s="96"/>
      <c r="V156" s="96" t="s">
        <v>13</v>
      </c>
      <c r="W156" s="96"/>
      <c r="X156" s="96"/>
    </row>
    <row r="157" spans="1:40" x14ac:dyDescent="0.4">
      <c r="A157" s="9">
        <f t="shared" si="9"/>
        <v>157</v>
      </c>
      <c r="B157" s="102" t="s">
        <v>4</v>
      </c>
      <c r="C157" s="102"/>
      <c r="D157" s="103">
        <v>1</v>
      </c>
      <c r="E157" s="103"/>
      <c r="G157" s="90"/>
      <c r="H157" s="94"/>
      <c r="I157" s="95"/>
      <c r="L157" s="96"/>
      <c r="M157" s="96"/>
      <c r="N157" s="96"/>
      <c r="Q157" s="96"/>
      <c r="R157" s="96"/>
      <c r="S157" s="96"/>
      <c r="V157" s="96"/>
      <c r="W157" s="96"/>
      <c r="X157" s="96"/>
    </row>
    <row r="158" spans="1:40" x14ac:dyDescent="0.4">
      <c r="A158" s="9">
        <f t="shared" si="9"/>
        <v>158</v>
      </c>
      <c r="B158" s="102" t="s">
        <v>1</v>
      </c>
      <c r="C158" s="102"/>
      <c r="D158" s="103">
        <v>0.01</v>
      </c>
      <c r="E158" s="103"/>
      <c r="G158" s="90"/>
      <c r="I158" s="2" t="s">
        <v>107</v>
      </c>
      <c r="J158" s="2" t="s">
        <v>108</v>
      </c>
      <c r="K158" s="2" t="s">
        <v>110</v>
      </c>
      <c r="V158" s="96" t="s">
        <v>14</v>
      </c>
      <c r="W158" s="96"/>
      <c r="X158" s="4">
        <v>3</v>
      </c>
    </row>
    <row r="159" spans="1:40" x14ac:dyDescent="0.4">
      <c r="A159" s="9">
        <f t="shared" si="9"/>
        <v>159</v>
      </c>
      <c r="G159" s="90"/>
      <c r="H159" s="2" t="s">
        <v>8</v>
      </c>
      <c r="I159" s="3">
        <v>0.01</v>
      </c>
      <c r="J159" s="75">
        <v>0.01</v>
      </c>
      <c r="K159" s="75">
        <v>0.9</v>
      </c>
      <c r="Q159" s="96" t="s">
        <v>15</v>
      </c>
      <c r="R159" s="96"/>
      <c r="S159" s="4">
        <v>3</v>
      </c>
      <c r="V159" s="99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0"/>
      <c r="H160" s="76" t="s">
        <v>9</v>
      </c>
      <c r="I160" s="97" t="s">
        <v>10</v>
      </c>
      <c r="J160" s="98"/>
      <c r="L160" s="80" t="s">
        <v>18</v>
      </c>
      <c r="M160" s="80" t="s">
        <v>19</v>
      </c>
      <c r="N160" s="76" t="s">
        <v>72</v>
      </c>
      <c r="Q160" s="80" t="s">
        <v>18</v>
      </c>
      <c r="R160" s="80" t="s">
        <v>19</v>
      </c>
      <c r="S160" s="76" t="s">
        <v>20</v>
      </c>
      <c r="V160" s="100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0"/>
      <c r="H161" s="77">
        <v>0.5</v>
      </c>
      <c r="I161" s="78">
        <v>3.0000000000000001E-3</v>
      </c>
      <c r="J161" s="79">
        <v>1.2999999999999999E-2</v>
      </c>
      <c r="L161" s="81">
        <v>1</v>
      </c>
      <c r="M161" s="82">
        <v>2.7397260273972603E-3</v>
      </c>
      <c r="N161" s="83">
        <v>1.0027029778086581E-2</v>
      </c>
      <c r="Q161" s="81">
        <v>1</v>
      </c>
      <c r="R161" s="82">
        <v>1</v>
      </c>
      <c r="S161" s="83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0"/>
      <c r="H162" s="77">
        <v>1</v>
      </c>
      <c r="I162" s="78">
        <v>3.2000000000000002E-3</v>
      </c>
      <c r="J162" s="79">
        <v>1.3600000000000001E-2</v>
      </c>
      <c r="L162" s="81">
        <f>L161+1</f>
        <v>2</v>
      </c>
      <c r="M162" s="82">
        <v>0.25</v>
      </c>
      <c r="N162" s="83">
        <v>1.1065709845408186E-2</v>
      </c>
      <c r="Q162" s="81">
        <f>Q161+1</f>
        <v>2</v>
      </c>
      <c r="R162" s="82">
        <v>2</v>
      </c>
      <c r="S162" s="83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0"/>
      <c r="H163" s="77">
        <v>1.5</v>
      </c>
      <c r="I163" s="78">
        <v>3.2000000000000002E-3</v>
      </c>
      <c r="J163" s="79">
        <v>1.2199999999999999E-2</v>
      </c>
      <c r="L163" s="81">
        <f t="shared" ref="L163:L203" si="10">L162+1</f>
        <v>3</v>
      </c>
      <c r="M163" s="82">
        <v>0.5</v>
      </c>
      <c r="N163" s="83">
        <v>1.1370283877900454E-2</v>
      </c>
      <c r="Q163" s="81">
        <f t="shared" ref="Q163:Q203" si="11">Q162+1</f>
        <v>3</v>
      </c>
      <c r="R163" s="82">
        <v>3</v>
      </c>
      <c r="S163" s="83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0"/>
      <c r="H164" s="77">
        <v>2</v>
      </c>
      <c r="I164" s="78">
        <v>3.4000000000000002E-3</v>
      </c>
      <c r="J164" s="79">
        <v>1.2199999999999999E-2</v>
      </c>
      <c r="L164" s="81">
        <f t="shared" si="10"/>
        <v>4</v>
      </c>
      <c r="M164" s="82">
        <v>1</v>
      </c>
      <c r="N164" s="83">
        <v>1.1758753303254273E-2</v>
      </c>
      <c r="Q164" s="81">
        <f t="shared" si="11"/>
        <v>4</v>
      </c>
      <c r="R164" s="82">
        <v>4</v>
      </c>
      <c r="S164" s="83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0"/>
      <c r="H165" s="77">
        <v>3</v>
      </c>
      <c r="I165" s="78">
        <v>3.0000000000000001E-3</v>
      </c>
      <c r="J165" s="79">
        <v>1.14E-2</v>
      </c>
      <c r="L165" s="81">
        <f t="shared" si="10"/>
        <v>5</v>
      </c>
      <c r="M165" s="82">
        <v>1.5</v>
      </c>
      <c r="N165" s="83">
        <v>1.1661190571769517E-2</v>
      </c>
      <c r="Q165" s="81">
        <f t="shared" si="11"/>
        <v>5</v>
      </c>
      <c r="R165" s="82">
        <v>5</v>
      </c>
      <c r="S165" s="83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87"/>
      <c r="G166" s="90"/>
      <c r="H166" s="77">
        <v>4</v>
      </c>
      <c r="I166" s="78">
        <v>3.6000000000000003E-3</v>
      </c>
      <c r="J166" s="79">
        <v>1.1800000000000001E-2</v>
      </c>
      <c r="L166" s="81">
        <f t="shared" si="10"/>
        <v>6</v>
      </c>
      <c r="M166" s="82">
        <v>2</v>
      </c>
      <c r="N166" s="83">
        <v>1.3153899088696243E-2</v>
      </c>
      <c r="Q166" s="81">
        <f t="shared" si="11"/>
        <v>6</v>
      </c>
      <c r="R166" s="82">
        <v>7</v>
      </c>
      <c r="S166" s="83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0"/>
      <c r="H167" s="77">
        <v>5</v>
      </c>
      <c r="I167" s="78">
        <v>3.6000000000000003E-3</v>
      </c>
      <c r="J167" s="79">
        <v>1.2799999999999999E-2</v>
      </c>
      <c r="L167" s="81">
        <f t="shared" si="10"/>
        <v>7</v>
      </c>
      <c r="M167" s="82">
        <v>3</v>
      </c>
      <c r="N167" s="83">
        <v>1.4038279155587861E-2</v>
      </c>
      <c r="Q167" s="81">
        <f t="shared" si="11"/>
        <v>7</v>
      </c>
      <c r="R167" s="82">
        <v>10</v>
      </c>
      <c r="S167" s="83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0"/>
      <c r="H168" s="77">
        <v>7</v>
      </c>
      <c r="I168" s="78">
        <v>3.2000000000000002E-3</v>
      </c>
      <c r="J168" s="79">
        <v>1.1200000000000002E-2</v>
      </c>
      <c r="L168" s="81">
        <f t="shared" si="10"/>
        <v>8</v>
      </c>
      <c r="M168" s="82">
        <v>4</v>
      </c>
      <c r="N168" s="83">
        <v>1.5228465405965569E-2</v>
      </c>
      <c r="Q168" s="81">
        <f t="shared" si="11"/>
        <v>8</v>
      </c>
      <c r="R168" s="82"/>
      <c r="S168" s="83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0"/>
      <c r="H169" s="77">
        <v>10</v>
      </c>
      <c r="I169" s="78">
        <v>3.2000000000000002E-3</v>
      </c>
      <c r="J169" s="79">
        <v>1.1599999999999999E-2</v>
      </c>
      <c r="L169" s="81">
        <f t="shared" si="10"/>
        <v>9</v>
      </c>
      <c r="M169" s="82">
        <v>5</v>
      </c>
      <c r="N169" s="83">
        <v>1.6590447672740104E-2</v>
      </c>
      <c r="Q169" s="81">
        <f t="shared" si="11"/>
        <v>9</v>
      </c>
      <c r="R169" s="82"/>
      <c r="S169" s="83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0"/>
      <c r="H170" s="77"/>
      <c r="I170" s="78"/>
      <c r="J170" s="79"/>
      <c r="L170" s="81">
        <f t="shared" si="10"/>
        <v>10</v>
      </c>
      <c r="M170" s="82">
        <v>6</v>
      </c>
      <c r="N170" s="83">
        <v>1.6691768173297903E-2</v>
      </c>
      <c r="Q170" s="81">
        <f t="shared" si="11"/>
        <v>10</v>
      </c>
      <c r="R170" s="82"/>
      <c r="S170" s="83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0"/>
      <c r="H171" s="77"/>
      <c r="I171" s="78"/>
      <c r="J171" s="79"/>
      <c r="L171" s="81">
        <f t="shared" si="10"/>
        <v>11</v>
      </c>
      <c r="M171" s="82">
        <v>7</v>
      </c>
      <c r="N171" s="83">
        <v>1.7631946842794257E-2</v>
      </c>
      <c r="Q171" s="81">
        <f t="shared" si="11"/>
        <v>11</v>
      </c>
      <c r="R171" s="82"/>
      <c r="S171" s="83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0"/>
      <c r="H172" s="77"/>
      <c r="I172" s="78"/>
      <c r="J172" s="79"/>
      <c r="L172" s="81">
        <f t="shared" si="10"/>
        <v>12</v>
      </c>
      <c r="M172" s="82">
        <v>8</v>
      </c>
      <c r="N172" s="83">
        <v>1.8396889713374068E-2</v>
      </c>
      <c r="Q172" s="81">
        <f t="shared" si="11"/>
        <v>12</v>
      </c>
      <c r="R172" s="82"/>
      <c r="S172" s="83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102" t="s">
        <v>116</v>
      </c>
      <c r="C173" s="102"/>
      <c r="D173" s="103">
        <v>0</v>
      </c>
      <c r="E173" s="103"/>
      <c r="G173" s="90"/>
      <c r="H173" s="77"/>
      <c r="I173" s="78"/>
      <c r="J173" s="79"/>
      <c r="L173" s="81">
        <f t="shared" si="10"/>
        <v>13</v>
      </c>
      <c r="M173" s="82">
        <v>9</v>
      </c>
      <c r="N173" s="83">
        <v>1.8841970262082976E-2</v>
      </c>
      <c r="Q173" s="81">
        <f t="shared" si="11"/>
        <v>13</v>
      </c>
      <c r="R173" s="82"/>
      <c r="S173" s="83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102" t="s">
        <v>112</v>
      </c>
      <c r="C174" s="102"/>
      <c r="D174" s="103">
        <v>0</v>
      </c>
      <c r="E174" s="103"/>
      <c r="G174" s="90"/>
      <c r="H174" s="77"/>
      <c r="I174" s="78"/>
      <c r="J174" s="79"/>
      <c r="L174" s="81">
        <f t="shared" si="10"/>
        <v>14</v>
      </c>
      <c r="M174" s="82">
        <v>10</v>
      </c>
      <c r="N174" s="83">
        <v>1.9635269154900388E-2</v>
      </c>
      <c r="Q174" s="81">
        <f t="shared" si="11"/>
        <v>14</v>
      </c>
      <c r="R174" s="82"/>
      <c r="S174" s="83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102" t="s">
        <v>114</v>
      </c>
      <c r="C175" s="102"/>
      <c r="D175" s="103">
        <v>-0.1</v>
      </c>
      <c r="E175" s="103"/>
      <c r="G175" s="90"/>
      <c r="H175" s="77"/>
      <c r="I175" s="78"/>
      <c r="J175" s="79"/>
      <c r="L175" s="81">
        <f t="shared" si="10"/>
        <v>15</v>
      </c>
      <c r="M175" s="82">
        <v>12</v>
      </c>
      <c r="N175" s="83">
        <v>1.9609676088898114E-2</v>
      </c>
      <c r="Q175" s="81">
        <f t="shared" si="11"/>
        <v>15</v>
      </c>
      <c r="R175" s="82"/>
      <c r="S175" s="83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102" t="s">
        <v>113</v>
      </c>
      <c r="C176" s="102"/>
      <c r="D176" s="103">
        <v>0.15</v>
      </c>
      <c r="E176" s="103"/>
      <c r="G176" s="90"/>
      <c r="H176" s="77"/>
      <c r="I176" s="78"/>
      <c r="J176" s="79"/>
      <c r="L176" s="81">
        <f t="shared" si="10"/>
        <v>16</v>
      </c>
      <c r="M176" s="82">
        <v>15</v>
      </c>
      <c r="N176" s="83">
        <v>2.0188153773473286E-2</v>
      </c>
      <c r="Q176" s="81">
        <f t="shared" si="11"/>
        <v>16</v>
      </c>
      <c r="R176" s="82"/>
      <c r="S176" s="83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0"/>
      <c r="H177" s="77"/>
      <c r="I177" s="78"/>
      <c r="J177" s="79"/>
      <c r="L177" s="81">
        <f t="shared" si="10"/>
        <v>17</v>
      </c>
      <c r="M177" s="82">
        <v>20</v>
      </c>
      <c r="N177" s="83">
        <v>2.1266724635835076E-2</v>
      </c>
      <c r="Q177" s="81">
        <f t="shared" si="11"/>
        <v>17</v>
      </c>
      <c r="R177" s="82"/>
      <c r="S177" s="83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0"/>
      <c r="H178" s="77"/>
      <c r="I178" s="78"/>
      <c r="J178" s="79"/>
      <c r="L178" s="81">
        <f t="shared" si="10"/>
        <v>18</v>
      </c>
      <c r="M178" s="82"/>
      <c r="N178" s="83"/>
      <c r="Q178" s="81">
        <f t="shared" si="11"/>
        <v>18</v>
      </c>
      <c r="R178" s="82"/>
      <c r="S178" s="83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0"/>
      <c r="H179" s="77"/>
      <c r="I179" s="78"/>
      <c r="J179" s="79"/>
      <c r="L179" s="81">
        <f t="shared" si="10"/>
        <v>19</v>
      </c>
      <c r="M179" s="84"/>
      <c r="N179" s="85"/>
      <c r="Q179" s="81">
        <f t="shared" si="11"/>
        <v>19</v>
      </c>
      <c r="R179" s="86"/>
      <c r="S179" s="85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0"/>
      <c r="H180" s="77"/>
      <c r="I180" s="78"/>
      <c r="J180" s="79"/>
      <c r="L180" s="81">
        <f t="shared" si="10"/>
        <v>20</v>
      </c>
      <c r="M180" s="84"/>
      <c r="N180" s="85"/>
      <c r="Q180" s="81">
        <f t="shared" si="11"/>
        <v>20</v>
      </c>
      <c r="R180" s="86"/>
      <c r="S180" s="85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0"/>
      <c r="H181" s="77"/>
      <c r="I181" s="78"/>
      <c r="J181" s="79"/>
      <c r="L181" s="81">
        <f t="shared" si="10"/>
        <v>21</v>
      </c>
      <c r="M181" s="84"/>
      <c r="N181" s="85"/>
      <c r="Q181" s="81">
        <f t="shared" si="11"/>
        <v>21</v>
      </c>
      <c r="R181" s="86"/>
      <c r="S181" s="85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0"/>
      <c r="H182" s="77"/>
      <c r="I182" s="78"/>
      <c r="J182" s="79"/>
      <c r="L182" s="81">
        <f t="shared" si="10"/>
        <v>22</v>
      </c>
      <c r="M182" s="84"/>
      <c r="N182" s="85"/>
      <c r="Q182" s="81">
        <f t="shared" si="11"/>
        <v>22</v>
      </c>
      <c r="R182" s="86"/>
      <c r="S182" s="85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0"/>
      <c r="H183" s="77"/>
      <c r="I183" s="78"/>
      <c r="J183" s="79"/>
      <c r="L183" s="81">
        <f t="shared" si="10"/>
        <v>23</v>
      </c>
      <c r="M183" s="84"/>
      <c r="N183" s="85"/>
      <c r="Q183" s="81">
        <f t="shared" si="11"/>
        <v>23</v>
      </c>
      <c r="R183" s="86"/>
      <c r="S183" s="85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0"/>
      <c r="H184" s="77"/>
      <c r="I184" s="78"/>
      <c r="J184" s="79"/>
      <c r="L184" s="81">
        <f t="shared" si="10"/>
        <v>24</v>
      </c>
      <c r="M184" s="84"/>
      <c r="N184" s="85"/>
      <c r="Q184" s="81">
        <f t="shared" si="11"/>
        <v>24</v>
      </c>
      <c r="R184" s="86"/>
      <c r="S184" s="85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0"/>
      <c r="H185" s="77"/>
      <c r="I185" s="78"/>
      <c r="J185" s="79"/>
      <c r="L185" s="81">
        <f t="shared" si="10"/>
        <v>25</v>
      </c>
      <c r="M185" s="84"/>
      <c r="N185" s="85"/>
      <c r="Q185" s="81">
        <f t="shared" si="11"/>
        <v>25</v>
      </c>
      <c r="R185" s="86"/>
      <c r="S185" s="85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0"/>
      <c r="H186" s="77"/>
      <c r="I186" s="78"/>
      <c r="J186" s="79"/>
      <c r="L186" s="81">
        <f t="shared" si="10"/>
        <v>26</v>
      </c>
      <c r="M186" s="84"/>
      <c r="N186" s="85"/>
      <c r="Q186" s="81">
        <f t="shared" si="11"/>
        <v>26</v>
      </c>
      <c r="R186" s="86"/>
      <c r="S186" s="85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0"/>
      <c r="H187" s="77"/>
      <c r="I187" s="78"/>
      <c r="J187" s="79"/>
      <c r="L187" s="81">
        <f t="shared" si="10"/>
        <v>27</v>
      </c>
      <c r="M187" s="84"/>
      <c r="N187" s="85"/>
      <c r="Q187" s="81">
        <f t="shared" si="11"/>
        <v>27</v>
      </c>
      <c r="R187" s="86"/>
      <c r="S187" s="85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0"/>
      <c r="H188" s="77"/>
      <c r="I188" s="78"/>
      <c r="J188" s="79"/>
      <c r="L188" s="81">
        <f t="shared" si="10"/>
        <v>28</v>
      </c>
      <c r="M188" s="84"/>
      <c r="N188" s="85"/>
      <c r="Q188" s="81">
        <f t="shared" si="11"/>
        <v>28</v>
      </c>
      <c r="R188" s="86"/>
      <c r="S188" s="85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0"/>
      <c r="H189" s="77"/>
      <c r="I189" s="78"/>
      <c r="J189" s="79"/>
      <c r="L189" s="81">
        <f t="shared" si="10"/>
        <v>29</v>
      </c>
      <c r="M189" s="84"/>
      <c r="N189" s="85"/>
      <c r="Q189" s="81">
        <f t="shared" si="11"/>
        <v>29</v>
      </c>
      <c r="R189" s="86"/>
      <c r="S189" s="85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0"/>
      <c r="H190" s="77"/>
      <c r="I190" s="78"/>
      <c r="J190" s="79"/>
      <c r="L190" s="81">
        <f t="shared" si="10"/>
        <v>30</v>
      </c>
      <c r="M190" s="84"/>
      <c r="N190" s="85"/>
      <c r="Q190" s="81">
        <f t="shared" si="11"/>
        <v>30</v>
      </c>
      <c r="R190" s="86"/>
      <c r="S190" s="85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2"/>
      <c r="H191" s="77"/>
      <c r="I191" s="78"/>
      <c r="J191" s="79"/>
      <c r="L191" s="81">
        <f t="shared" si="10"/>
        <v>31</v>
      </c>
      <c r="M191" s="84"/>
      <c r="N191" s="85"/>
      <c r="Q191" s="81">
        <f t="shared" si="11"/>
        <v>31</v>
      </c>
      <c r="R191" s="86"/>
      <c r="S191" s="85"/>
      <c r="V191" s="73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</row>
    <row r="192" spans="1:40" x14ac:dyDescent="0.35">
      <c r="A192" s="9">
        <f t="shared" si="9"/>
        <v>192</v>
      </c>
      <c r="G192" s="72"/>
      <c r="H192" s="77"/>
      <c r="I192" s="78"/>
      <c r="J192" s="79"/>
      <c r="L192" s="81">
        <f t="shared" si="10"/>
        <v>32</v>
      </c>
      <c r="M192" s="84"/>
      <c r="N192" s="85"/>
      <c r="Q192" s="81">
        <f t="shared" si="11"/>
        <v>32</v>
      </c>
      <c r="R192" s="86"/>
      <c r="S192" s="85"/>
      <c r="V192" s="73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</row>
    <row r="193" spans="1:40" x14ac:dyDescent="0.35">
      <c r="A193" s="9">
        <f t="shared" si="9"/>
        <v>193</v>
      </c>
      <c r="G193" s="72"/>
      <c r="H193" s="77"/>
      <c r="I193" s="78"/>
      <c r="J193" s="79"/>
      <c r="L193" s="81">
        <f t="shared" si="10"/>
        <v>33</v>
      </c>
      <c r="M193" s="84"/>
      <c r="N193" s="85"/>
      <c r="Q193" s="81">
        <f t="shared" si="11"/>
        <v>33</v>
      </c>
      <c r="R193" s="86"/>
      <c r="S193" s="85"/>
      <c r="V193" s="73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</row>
    <row r="194" spans="1:40" x14ac:dyDescent="0.35">
      <c r="A194" s="9">
        <f t="shared" si="9"/>
        <v>194</v>
      </c>
      <c r="G194" s="72"/>
      <c r="H194" s="77"/>
      <c r="I194" s="78"/>
      <c r="J194" s="79"/>
      <c r="L194" s="81">
        <f t="shared" si="10"/>
        <v>34</v>
      </c>
      <c r="M194" s="84"/>
      <c r="N194" s="85"/>
      <c r="Q194" s="81">
        <f t="shared" si="11"/>
        <v>34</v>
      </c>
      <c r="R194" s="86"/>
      <c r="S194" s="85"/>
      <c r="V194" s="73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</row>
    <row r="195" spans="1:40" x14ac:dyDescent="0.35">
      <c r="A195" s="9">
        <f t="shared" si="9"/>
        <v>195</v>
      </c>
      <c r="G195" s="72"/>
      <c r="H195" s="77"/>
      <c r="I195" s="78"/>
      <c r="J195" s="79"/>
      <c r="L195" s="81">
        <f t="shared" si="10"/>
        <v>35</v>
      </c>
      <c r="M195" s="84"/>
      <c r="N195" s="85"/>
      <c r="Q195" s="81">
        <f t="shared" si="11"/>
        <v>35</v>
      </c>
      <c r="R195" s="86"/>
      <c r="S195" s="85"/>
      <c r="V195" s="73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</row>
    <row r="196" spans="1:40" x14ac:dyDescent="0.35">
      <c r="A196" s="9">
        <f t="shared" si="9"/>
        <v>196</v>
      </c>
      <c r="G196" s="72"/>
      <c r="H196" s="77"/>
      <c r="I196" s="78"/>
      <c r="J196" s="79"/>
      <c r="L196" s="81">
        <f t="shared" si="10"/>
        <v>36</v>
      </c>
      <c r="M196" s="84"/>
      <c r="N196" s="85"/>
      <c r="Q196" s="81">
        <f t="shared" si="11"/>
        <v>36</v>
      </c>
      <c r="R196" s="86"/>
      <c r="S196" s="85"/>
      <c r="V196" s="73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</row>
    <row r="197" spans="1:40" x14ac:dyDescent="0.35">
      <c r="A197" s="9">
        <f t="shared" si="9"/>
        <v>197</v>
      </c>
      <c r="G197" s="72"/>
      <c r="H197" s="77"/>
      <c r="I197" s="78"/>
      <c r="J197" s="79"/>
      <c r="L197" s="81">
        <f t="shared" si="10"/>
        <v>37</v>
      </c>
      <c r="M197" s="84"/>
      <c r="N197" s="85"/>
      <c r="Q197" s="81">
        <f t="shared" si="11"/>
        <v>37</v>
      </c>
      <c r="R197" s="86"/>
      <c r="S197" s="85"/>
      <c r="V197" s="73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</row>
    <row r="198" spans="1:40" x14ac:dyDescent="0.35">
      <c r="A198" s="9">
        <f t="shared" si="9"/>
        <v>198</v>
      </c>
      <c r="G198" s="72"/>
      <c r="H198" s="77"/>
      <c r="I198" s="78"/>
      <c r="J198" s="79"/>
      <c r="L198" s="81">
        <f t="shared" si="10"/>
        <v>38</v>
      </c>
      <c r="M198" s="84"/>
      <c r="N198" s="85"/>
      <c r="Q198" s="81">
        <f t="shared" si="11"/>
        <v>38</v>
      </c>
      <c r="R198" s="86"/>
      <c r="S198" s="85"/>
      <c r="V198" s="73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</row>
    <row r="199" spans="1:40" x14ac:dyDescent="0.35">
      <c r="A199" s="9">
        <f t="shared" si="9"/>
        <v>199</v>
      </c>
      <c r="G199" s="72"/>
      <c r="H199" s="77"/>
      <c r="I199" s="78"/>
      <c r="J199" s="79"/>
      <c r="L199" s="81">
        <f t="shared" si="10"/>
        <v>39</v>
      </c>
      <c r="M199" s="84"/>
      <c r="N199" s="85"/>
      <c r="Q199" s="81">
        <f t="shared" si="11"/>
        <v>39</v>
      </c>
      <c r="R199" s="86"/>
      <c r="S199" s="85"/>
      <c r="V199" s="73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</row>
    <row r="200" spans="1:40" x14ac:dyDescent="0.35">
      <c r="A200" s="9">
        <f t="shared" si="9"/>
        <v>200</v>
      </c>
      <c r="G200" s="72"/>
      <c r="H200" s="77"/>
      <c r="I200" s="78"/>
      <c r="J200" s="79"/>
      <c r="L200" s="81">
        <f t="shared" si="10"/>
        <v>40</v>
      </c>
      <c r="M200" s="84"/>
      <c r="N200" s="85"/>
      <c r="Q200" s="81">
        <f t="shared" si="11"/>
        <v>40</v>
      </c>
      <c r="R200" s="86"/>
      <c r="S200" s="85"/>
      <c r="V200" s="73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</row>
    <row r="201" spans="1:40" x14ac:dyDescent="0.35">
      <c r="A201" s="9">
        <f t="shared" si="9"/>
        <v>201</v>
      </c>
      <c r="G201" s="72"/>
      <c r="H201" s="77"/>
      <c r="I201" s="78"/>
      <c r="J201" s="79"/>
      <c r="L201" s="81">
        <f t="shared" si="10"/>
        <v>41</v>
      </c>
      <c r="M201" s="84"/>
      <c r="N201" s="85"/>
      <c r="Q201" s="81">
        <f t="shared" si="11"/>
        <v>41</v>
      </c>
      <c r="R201" s="86"/>
      <c r="S201" s="85"/>
      <c r="V201" s="73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</row>
    <row r="202" spans="1:40" x14ac:dyDescent="0.35">
      <c r="A202" s="9">
        <f t="shared" si="9"/>
        <v>202</v>
      </c>
      <c r="G202" s="72"/>
      <c r="H202" s="77"/>
      <c r="I202" s="78"/>
      <c r="J202" s="79"/>
      <c r="L202" s="81">
        <f t="shared" si="10"/>
        <v>42</v>
      </c>
      <c r="M202" s="84"/>
      <c r="N202" s="85"/>
      <c r="Q202" s="81">
        <f t="shared" si="11"/>
        <v>42</v>
      </c>
      <c r="R202" s="86"/>
      <c r="S202" s="85"/>
      <c r="V202" s="73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</row>
    <row r="203" spans="1:40" x14ac:dyDescent="0.35">
      <c r="A203" s="9">
        <f t="shared" si="9"/>
        <v>203</v>
      </c>
      <c r="G203" s="72"/>
      <c r="H203" s="77"/>
      <c r="I203" s="78"/>
      <c r="J203" s="79"/>
      <c r="L203" s="81">
        <f t="shared" si="10"/>
        <v>43</v>
      </c>
      <c r="M203" s="84"/>
      <c r="N203" s="85"/>
      <c r="Q203" s="81">
        <f t="shared" si="11"/>
        <v>43</v>
      </c>
      <c r="R203" s="86"/>
      <c r="S203" s="85"/>
      <c r="V203" s="73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abSelected="1" topLeftCell="AM35" zoomScale="85" zoomScaleNormal="85" workbookViewId="0">
      <selection activeCell="AV51" sqref="AV51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6"/>
    <col min="4" max="9" width="11.3984375" style="39"/>
    <col min="10" max="11" width="11.3984375" style="60"/>
    <col min="12" max="12" width="11.3984375" style="59"/>
    <col min="13" max="13" width="11.3984375" style="35"/>
    <col min="14" max="18" width="11.3984375" style="38"/>
    <col min="19" max="21" width="11.3984375" style="88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9" width="11.3984375" style="88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5" t="s">
        <v>29</v>
      </c>
      <c r="C3" s="175"/>
      <c r="D3" s="178">
        <v>44848</v>
      </c>
      <c r="E3" s="173"/>
      <c r="F3" s="170" t="s">
        <v>31</v>
      </c>
      <c r="G3" s="170"/>
      <c r="H3" s="173">
        <v>0</v>
      </c>
      <c r="I3" s="173"/>
      <c r="J3" s="170" t="s">
        <v>67</v>
      </c>
      <c r="K3" s="170"/>
      <c r="L3" s="173">
        <v>10000</v>
      </c>
      <c r="M3" s="173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4" t="s">
        <v>46</v>
      </c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Z5" s="174"/>
      <c r="AD5" s="174" t="s">
        <v>47</v>
      </c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74"/>
      <c r="AP5" s="174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</row>
    <row r="6" spans="1:57" ht="16.2" customHeight="1" x14ac:dyDescent="0.4">
      <c r="A6" s="34">
        <f t="shared" si="1"/>
        <v>6</v>
      </c>
      <c r="B6" s="174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</row>
    <row r="7" spans="1:57" ht="16.2" customHeight="1" x14ac:dyDescent="0.4">
      <c r="A7" s="34">
        <f t="shared" si="1"/>
        <v>7</v>
      </c>
      <c r="B7" s="175" t="str">
        <f>IF(D7&gt;0,"레퍼런스금리 개수","기초금리는 1개 - 3개 입력가능")</f>
        <v>레퍼런스금리 개수</v>
      </c>
      <c r="C7" s="175"/>
      <c r="D7" s="172">
        <v>1</v>
      </c>
      <c r="E7" s="172"/>
      <c r="F7" s="176" t="s">
        <v>32</v>
      </c>
      <c r="G7" s="177"/>
      <c r="H7" s="173">
        <v>1</v>
      </c>
      <c r="I7" s="173"/>
      <c r="J7" s="170" t="s">
        <v>92</v>
      </c>
      <c r="K7" s="170"/>
      <c r="L7" s="173">
        <v>0</v>
      </c>
      <c r="M7" s="173"/>
      <c r="N7" s="35"/>
      <c r="O7" s="35"/>
      <c r="P7" s="35"/>
      <c r="Q7" s="35"/>
      <c r="R7" s="35"/>
      <c r="S7" s="35"/>
      <c r="T7" s="35"/>
      <c r="U7" s="35"/>
      <c r="AD7" s="175" t="str">
        <f>IF(AF7&gt;0,"레퍼런스금리 개수","기초금리는 1개 - 3개 입력가능")</f>
        <v>레퍼런스금리 개수</v>
      </c>
      <c r="AE7" s="175"/>
      <c r="AF7" s="172">
        <v>1</v>
      </c>
      <c r="AG7" s="172"/>
      <c r="AH7" s="176" t="s">
        <v>32</v>
      </c>
      <c r="AI7" s="177"/>
      <c r="AJ7" s="173">
        <v>0</v>
      </c>
      <c r="AK7" s="173"/>
      <c r="AL7" s="170" t="s">
        <v>92</v>
      </c>
      <c r="AM7" s="170"/>
      <c r="AN7" s="173">
        <v>0</v>
      </c>
      <c r="AO7" s="173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0" t="s">
        <v>50</v>
      </c>
      <c r="C8" s="170"/>
      <c r="D8" s="171">
        <v>1</v>
      </c>
      <c r="E8" s="172"/>
      <c r="F8" s="170" t="s">
        <v>51</v>
      </c>
      <c r="G8" s="170"/>
      <c r="H8" s="171">
        <v>1</v>
      </c>
      <c r="I8" s="172"/>
      <c r="J8" s="170" t="s">
        <v>42</v>
      </c>
      <c r="K8" s="170"/>
      <c r="L8" s="173">
        <v>0</v>
      </c>
      <c r="M8" s="173"/>
      <c r="N8" s="35"/>
      <c r="O8" s="35"/>
      <c r="P8" s="35"/>
      <c r="Q8" s="35"/>
      <c r="R8" s="35"/>
      <c r="S8" s="35"/>
      <c r="T8" s="35"/>
      <c r="U8" s="35"/>
      <c r="AD8" s="170" t="s">
        <v>50</v>
      </c>
      <c r="AE8" s="170"/>
      <c r="AF8" s="171">
        <v>1</v>
      </c>
      <c r="AG8" s="172"/>
      <c r="AH8" s="170" t="s">
        <v>51</v>
      </c>
      <c r="AI8" s="170"/>
      <c r="AJ8" s="171">
        <v>1</v>
      </c>
      <c r="AK8" s="172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5" t="str">
        <f>IF(D7&gt;=1,"기초금리1", "")</f>
        <v>기초금리1</v>
      </c>
      <c r="C10" s="168" t="str">
        <f>IF($D$7&gt;=1,"커브번호", "")</f>
        <v>커브번호</v>
      </c>
      <c r="D10" s="168"/>
      <c r="E10" s="133">
        <v>1</v>
      </c>
      <c r="F10" s="133"/>
      <c r="G10" s="68"/>
      <c r="H10" s="36"/>
      <c r="I10" s="146" t="str">
        <f>IF(OR(E11 = 0, E11 = 2, E11 = 4), "RefType = "&amp;E11&amp;" 이므로 Ref Swap 금리정보 사용안함", "사용")</f>
        <v>RefType = 0 이므로 Ref Swap 금리정보 사용안함</v>
      </c>
      <c r="J10" s="147"/>
      <c r="K10" s="147"/>
      <c r="L10" s="148"/>
      <c r="N10" s="162" t="s">
        <v>34</v>
      </c>
      <c r="O10" s="162"/>
      <c r="P10" s="162"/>
      <c r="Q10" s="162"/>
      <c r="R10" s="34"/>
      <c r="S10" s="34"/>
      <c r="T10" s="34"/>
      <c r="U10" s="34"/>
      <c r="W10" s="162" t="s">
        <v>52</v>
      </c>
      <c r="X10" s="162"/>
      <c r="Y10" s="162"/>
      <c r="AD10" s="136" t="str">
        <f>IF($AF$7&gt;=1,"기초금리1", "")</f>
        <v>기초금리1</v>
      </c>
      <c r="AE10" s="132" t="str">
        <f>IF($AF$7&gt;=1,"커브번호", "")</f>
        <v>커브번호</v>
      </c>
      <c r="AF10" s="132"/>
      <c r="AG10" s="133">
        <v>1</v>
      </c>
      <c r="AH10" s="133"/>
      <c r="AI10" s="68"/>
      <c r="AJ10" s="36"/>
      <c r="AK10" s="130" t="str">
        <f>IF(OR(AG11 = 0, AG11 = 2, AG11 = 4), "RefType = "&amp;AG11&amp;" 이므로 Ref Swap 금리정보 사용안함", "사용")</f>
        <v>RefType = 0 이므로 Ref Swap 금리정보 사용안함</v>
      </c>
      <c r="AL10" s="130"/>
      <c r="AM10" s="130"/>
      <c r="AN10" s="131"/>
      <c r="AP10" s="162" t="s">
        <v>54</v>
      </c>
      <c r="AQ10" s="162"/>
      <c r="AR10" s="162"/>
      <c r="AS10" s="162"/>
      <c r="AT10" s="34"/>
      <c r="AU10" s="34"/>
      <c r="AV10" s="34"/>
      <c r="AW10" s="34"/>
      <c r="AY10" s="162" t="s">
        <v>53</v>
      </c>
      <c r="AZ10" s="162"/>
      <c r="BA10" s="162"/>
    </row>
    <row r="11" spans="1:57" ht="16.2" customHeight="1" x14ac:dyDescent="0.4">
      <c r="A11" s="34">
        <f t="shared" si="1"/>
        <v>11</v>
      </c>
      <c r="B11" s="165"/>
      <c r="C11" s="154" t="str">
        <f>IF($D$7&gt;=1,"Reference Rate Type", "")</f>
        <v>Reference Rate Type</v>
      </c>
      <c r="D11" s="155"/>
      <c r="E11" s="169">
        <v>0</v>
      </c>
      <c r="F11" s="182"/>
      <c r="G11" s="146" t="str">
        <f>IF(OR(E11 = 0, E11 = 2, E11 = 4), "", "Zero/Swap 레퍼런스금리정보")</f>
        <v/>
      </c>
      <c r="H11" s="147"/>
      <c r="I11" s="138" t="str">
        <f>IF(OR(E11 = 0, E11 = 2, E11 = 4), "", "연 지급횟수")</f>
        <v/>
      </c>
      <c r="J11" s="139"/>
      <c r="K11" s="125">
        <v>4</v>
      </c>
      <c r="L11" s="126"/>
      <c r="M11" s="34"/>
      <c r="N11" s="184" t="str">
        <f>IF(OR(E11 = 0, E11 = 2, E11 = 4), "ForwardStart", "ResetStart")</f>
        <v>ForwardStart</v>
      </c>
      <c r="O11" s="184" t="str">
        <f>IF(OR(E11 = 0, E11 = 2, E11 = 4), "ForwardEnd", "ResetEnd")</f>
        <v>ForwardEnd</v>
      </c>
      <c r="P11" s="127" t="s">
        <v>35</v>
      </c>
      <c r="Q11" s="127" t="s">
        <v>36</v>
      </c>
      <c r="R11" s="127" t="s">
        <v>37</v>
      </c>
      <c r="S11" s="127" t="s">
        <v>38</v>
      </c>
      <c r="T11" s="127" t="s">
        <v>91</v>
      </c>
      <c r="U11" s="127" t="s">
        <v>71</v>
      </c>
      <c r="W11" s="37" t="s">
        <v>43</v>
      </c>
      <c r="X11" s="150">
        <v>0</v>
      </c>
      <c r="Y11" s="150"/>
      <c r="AD11" s="137"/>
      <c r="AE11" s="121" t="str">
        <f>IF($AF$7&gt;=1,"Reference Rate Type", "")</f>
        <v>Reference Rate Type</v>
      </c>
      <c r="AF11" s="134"/>
      <c r="AG11" s="169">
        <v>0</v>
      </c>
      <c r="AH11" s="169"/>
      <c r="AI11" s="123" t="str">
        <f>IF(OR(AG11 = 0, AG11 = 2, AG11 = 4), "", "Zero/Swap 레퍼런스금리정보")</f>
        <v/>
      </c>
      <c r="AJ11" s="123"/>
      <c r="AK11" s="123" t="str">
        <f>IF(OR(AG11 = 0, AG11 = 2, AG11 = 4), "", "연 지급횟수")</f>
        <v/>
      </c>
      <c r="AL11" s="124"/>
      <c r="AM11" s="125">
        <v>4</v>
      </c>
      <c r="AN11" s="126"/>
      <c r="AO11" s="34"/>
      <c r="AP11" s="127" t="str">
        <f>IF(OR(AG11 = 0, AG11 = 2, AG11 = 4), "ForwardStart", "ResetEnd")</f>
        <v>ForwardStart</v>
      </c>
      <c r="AQ11" s="127" t="str">
        <f>IF(OR(AG11 = 0, AG11 = 2, AG11 = 4), "ForwardEnd", "ResetEnd")</f>
        <v>ForwardEnd</v>
      </c>
      <c r="AR11" s="127" t="s">
        <v>35</v>
      </c>
      <c r="AS11" s="127" t="s">
        <v>36</v>
      </c>
      <c r="AT11" s="127" t="s">
        <v>37</v>
      </c>
      <c r="AU11" s="127" t="s">
        <v>38</v>
      </c>
      <c r="AV11" s="127" t="s">
        <v>91</v>
      </c>
      <c r="AW11" s="127" t="s">
        <v>71</v>
      </c>
      <c r="AY11" s="37" t="s">
        <v>43</v>
      </c>
      <c r="AZ11" s="150">
        <v>0</v>
      </c>
      <c r="BA11" s="150"/>
    </row>
    <row r="12" spans="1:57" ht="16.2" customHeight="1" x14ac:dyDescent="0.4">
      <c r="A12" s="34">
        <f t="shared" si="1"/>
        <v>12</v>
      </c>
      <c r="B12" s="165"/>
      <c r="C12" s="154" t="str">
        <f>IF($D$7&gt;=1,"DayCount", "")</f>
        <v>DayCount</v>
      </c>
      <c r="D12" s="154"/>
      <c r="E12" s="112">
        <v>0</v>
      </c>
      <c r="F12" s="183"/>
      <c r="G12" s="179"/>
      <c r="H12" s="138"/>
      <c r="I12" s="138" t="str">
        <f>IF(OR(E11 = 0, E11 = 2, E11 = 4,E14=1), "", "만기")</f>
        <v/>
      </c>
      <c r="J12" s="139"/>
      <c r="K12" s="180">
        <v>0.25</v>
      </c>
      <c r="L12" s="181"/>
      <c r="N12" s="127"/>
      <c r="O12" s="127"/>
      <c r="P12" s="127"/>
      <c r="Q12" s="127"/>
      <c r="R12" s="127"/>
      <c r="S12" s="127"/>
      <c r="T12" s="127"/>
      <c r="U12" s="127"/>
      <c r="W12" s="37" t="s">
        <v>44</v>
      </c>
      <c r="X12" s="150">
        <v>0</v>
      </c>
      <c r="Y12" s="150"/>
      <c r="AD12" s="137"/>
      <c r="AE12" s="121" t="str">
        <f>IF($AF$7&gt;=1,"DayCount", "")</f>
        <v>DayCount</v>
      </c>
      <c r="AF12" s="121"/>
      <c r="AG12" s="112">
        <v>0</v>
      </c>
      <c r="AH12" s="112"/>
      <c r="AI12" s="123"/>
      <c r="AJ12" s="123"/>
      <c r="AK12" s="138" t="str">
        <f>IF(OR(AG11 = 0, AG11 = 2, AG11 = 4,AG14=1), "", "만기")</f>
        <v/>
      </c>
      <c r="AL12" s="139"/>
      <c r="AM12" s="140">
        <v>0.25</v>
      </c>
      <c r="AN12" s="141"/>
      <c r="AP12" s="127"/>
      <c r="AQ12" s="127"/>
      <c r="AR12" s="127"/>
      <c r="AS12" s="127"/>
      <c r="AT12" s="127"/>
      <c r="AU12" s="127"/>
      <c r="AV12" s="127"/>
      <c r="AW12" s="127"/>
      <c r="AY12" s="37" t="s">
        <v>44</v>
      </c>
      <c r="AZ12" s="150">
        <v>0</v>
      </c>
      <c r="BA12" s="150"/>
    </row>
    <row r="13" spans="1:57" ht="16.2" customHeight="1" x14ac:dyDescent="0.4">
      <c r="A13" s="34">
        <f t="shared" si="1"/>
        <v>13</v>
      </c>
      <c r="B13" s="165"/>
      <c r="C13" s="154" t="str">
        <f>IF($D$7&gt;=1,"금리결정조건Multiple", "")</f>
        <v>금리결정조건Multiple</v>
      </c>
      <c r="D13" s="155"/>
      <c r="E13" s="111">
        <v>1</v>
      </c>
      <c r="F13" s="167"/>
      <c r="G13" s="107" t="str">
        <f>IF(OR(E11 = 0, E11 = 2, E11 = 4), "", "ex) Zero Rate 5년 -&gt; 연 지급횟수= 0, 만기= 5 // CD91일 -&gt; 연 지급횟수= 4, 만기= 0.25")</f>
        <v/>
      </c>
      <c r="H13" s="107"/>
      <c r="I13" s="107"/>
      <c r="J13" s="107"/>
      <c r="K13" s="107"/>
      <c r="L13" s="108"/>
      <c r="M13" s="34"/>
      <c r="N13" s="38">
        <v>43353</v>
      </c>
      <c r="O13" s="38">
        <f>EDATE(N13,6)</f>
        <v>43534</v>
      </c>
      <c r="P13" s="38">
        <f>N13</f>
        <v>43353</v>
      </c>
      <c r="Q13" s="38">
        <f>O13</f>
        <v>43534</v>
      </c>
      <c r="R13" s="38">
        <f>Q13+1</f>
        <v>43535</v>
      </c>
      <c r="S13" s="88">
        <v>0</v>
      </c>
      <c r="T13" s="88">
        <v>0</v>
      </c>
      <c r="W13" s="37" t="s">
        <v>45</v>
      </c>
      <c r="X13" s="150">
        <v>0</v>
      </c>
      <c r="Y13" s="150"/>
      <c r="AD13" s="137"/>
      <c r="AE13" s="121" t="str">
        <f>IF($AF$7&gt;=1,"금리결정조건Multiple", "")</f>
        <v>금리결정조건Multiple</v>
      </c>
      <c r="AF13" s="134"/>
      <c r="AG13" s="111">
        <v>1</v>
      </c>
      <c r="AH13" s="111"/>
      <c r="AI13" s="107" t="str">
        <f>IF(OR(AG11 = 0, AG11 = 2, AG11 = 4), "", "ex) Zero Rate 5년 -&gt; 연 지급횟수= 0, 만기= 5 // CD91일 -&gt; 연 지급횟수= 4, 만기= 0.25")</f>
        <v/>
      </c>
      <c r="AJ13" s="107"/>
      <c r="AK13" s="107"/>
      <c r="AL13" s="107"/>
      <c r="AM13" s="107"/>
      <c r="AN13" s="108"/>
      <c r="AO13" s="34"/>
      <c r="AP13" s="38">
        <v>43353</v>
      </c>
      <c r="AQ13" s="38">
        <f>EDATE(AP13,6)</f>
        <v>43534</v>
      </c>
      <c r="AR13" s="38">
        <f>AP13</f>
        <v>43353</v>
      </c>
      <c r="AS13" s="38">
        <f>AQ13</f>
        <v>43534</v>
      </c>
      <c r="AT13" s="38">
        <f>AS13+1</f>
        <v>43535</v>
      </c>
      <c r="AU13" s="88">
        <v>0</v>
      </c>
      <c r="AV13" s="88">
        <v>0</v>
      </c>
      <c r="AW13" s="88">
        <v>2E-3</v>
      </c>
      <c r="AY13" s="37" t="s">
        <v>45</v>
      </c>
      <c r="AZ13" s="150">
        <v>0</v>
      </c>
      <c r="BA13" s="150"/>
    </row>
    <row r="14" spans="1:57" ht="16.2" customHeight="1" x14ac:dyDescent="0.4">
      <c r="A14" s="34">
        <f t="shared" si="1"/>
        <v>14</v>
      </c>
      <c r="B14" s="165"/>
      <c r="C14" s="153" t="str">
        <f>IF($D$7&gt;=1,"Power Spread Flag", "")</f>
        <v>Power Spread Flag</v>
      </c>
      <c r="D14" s="153"/>
      <c r="E14" s="112">
        <v>0</v>
      </c>
      <c r="F14" s="183"/>
      <c r="G14" s="160" t="str">
        <f>IF(E14&gt;0,"PowerSpreadFlag 1일때 입력","입력필요X")</f>
        <v>입력필요X</v>
      </c>
      <c r="H14" s="160"/>
      <c r="I14" s="160" t="str">
        <f>IF(E14&gt;0,"만기1","")</f>
        <v/>
      </c>
      <c r="J14" s="160"/>
      <c r="K14" s="114">
        <v>10</v>
      </c>
      <c r="L14" s="115"/>
      <c r="M14" s="34"/>
      <c r="N14" s="38">
        <f>O13</f>
        <v>43534</v>
      </c>
      <c r="O14" s="38">
        <f>EDATE(N14,6)</f>
        <v>43718</v>
      </c>
      <c r="P14" s="38">
        <f>N14</f>
        <v>43534</v>
      </c>
      <c r="Q14" s="38">
        <f>O14</f>
        <v>43718</v>
      </c>
      <c r="R14" s="38">
        <f>Q14+1</f>
        <v>43719</v>
      </c>
      <c r="S14" s="88">
        <v>0</v>
      </c>
      <c r="T14" s="88">
        <v>0</v>
      </c>
      <c r="W14" s="40" t="s">
        <v>39</v>
      </c>
      <c r="X14" s="40" t="s">
        <v>40</v>
      </c>
      <c r="Y14" s="40" t="s">
        <v>41</v>
      </c>
      <c r="AD14" s="137"/>
      <c r="AE14" s="120" t="str">
        <f>IF($AF$7&gt;=1,"Power Spread Flag", "")</f>
        <v>Power Spread Flag</v>
      </c>
      <c r="AF14" s="120"/>
      <c r="AG14" s="112">
        <v>0</v>
      </c>
      <c r="AH14" s="112"/>
      <c r="AI14" s="113" t="str">
        <f>IF(AG14&gt;0,"PowerSpreadFlag 1일때 입력","입력필요X")</f>
        <v>입력필요X</v>
      </c>
      <c r="AJ14" s="113"/>
      <c r="AK14" s="113" t="str">
        <f>IF(AG14&gt;0,"만기1","")</f>
        <v/>
      </c>
      <c r="AL14" s="113"/>
      <c r="AM14" s="114">
        <v>10</v>
      </c>
      <c r="AN14" s="115"/>
      <c r="AP14" s="38">
        <f>AQ13</f>
        <v>43534</v>
      </c>
      <c r="AQ14" s="38">
        <f>EDATE(AP14,6)</f>
        <v>43718</v>
      </c>
      <c r="AR14" s="38">
        <f>AP14</f>
        <v>43534</v>
      </c>
      <c r="AS14" s="38">
        <f>AQ14</f>
        <v>43718</v>
      </c>
      <c r="AT14" s="38">
        <f>AS14+1</f>
        <v>43719</v>
      </c>
      <c r="AU14" s="88">
        <v>0</v>
      </c>
      <c r="AV14" s="88">
        <v>0</v>
      </c>
      <c r="AW14" s="88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5" t="str">
        <f>IF($D$7&gt;0, "사용", "커브개수"&amp;"="&amp;$D$7&amp;"이므로 사용안함")</f>
        <v>사용</v>
      </c>
      <c r="C15" s="153" t="str">
        <f>IF($D$7&gt;=1,"기초금리 Range상한", "")</f>
        <v>기초금리 Range상한</v>
      </c>
      <c r="D15" s="153"/>
      <c r="E15" s="142">
        <v>10</v>
      </c>
      <c r="F15" s="163"/>
      <c r="G15" s="160"/>
      <c r="H15" s="160"/>
      <c r="I15" s="160" t="str">
        <f>IF(E14&gt;0,"만기2","")</f>
        <v/>
      </c>
      <c r="J15" s="160"/>
      <c r="K15" s="114">
        <v>5</v>
      </c>
      <c r="L15" s="115"/>
      <c r="M15" s="34"/>
      <c r="N15" s="38">
        <f t="shared" ref="N15:N52" si="2">O14</f>
        <v>43718</v>
      </c>
      <c r="O15" s="38">
        <f t="shared" ref="O15:O52" si="3">EDATE(N15,6)</f>
        <v>43900</v>
      </c>
      <c r="P15" s="38">
        <f t="shared" ref="P15:P52" si="4">N15</f>
        <v>43718</v>
      </c>
      <c r="Q15" s="38">
        <f t="shared" ref="Q15:Q52" si="5">O15</f>
        <v>43900</v>
      </c>
      <c r="R15" s="38">
        <f t="shared" ref="R15:R52" si="6">Q15+1</f>
        <v>43901</v>
      </c>
      <c r="S15" s="88">
        <v>0</v>
      </c>
      <c r="T15" s="88">
        <v>0</v>
      </c>
      <c r="W15" s="41">
        <v>41188</v>
      </c>
      <c r="X15" s="41">
        <v>41188</v>
      </c>
      <c r="Y15" s="41">
        <v>41188</v>
      </c>
      <c r="AD15" s="137" t="str">
        <f>IF($AF$7&gt;0, "사용", "커브개수"&amp;"="&amp;$AF$7&amp;"이므로 사용안함")</f>
        <v>사용</v>
      </c>
      <c r="AE15" s="120" t="str">
        <f>IF($AF$7&gt;=1,"기초금리 Range상한", "")</f>
        <v>기초금리 Range상한</v>
      </c>
      <c r="AF15" s="120"/>
      <c r="AG15" s="142">
        <v>10</v>
      </c>
      <c r="AH15" s="142"/>
      <c r="AI15" s="113"/>
      <c r="AJ15" s="113"/>
      <c r="AK15" s="113" t="str">
        <f>IF(AG14&gt;0,"만기2","")</f>
        <v/>
      </c>
      <c r="AL15" s="113"/>
      <c r="AM15" s="114">
        <v>5</v>
      </c>
      <c r="AN15" s="115"/>
      <c r="AP15" s="38">
        <f t="shared" ref="AP15:AP70" si="7">AQ14</f>
        <v>43718</v>
      </c>
      <c r="AQ15" s="38">
        <f t="shared" ref="AQ15:AQ32" si="8">EDATE(AP15,6)</f>
        <v>43900</v>
      </c>
      <c r="AR15" s="38">
        <f t="shared" ref="AR15:AR33" si="9">AP15</f>
        <v>43718</v>
      </c>
      <c r="AS15" s="38">
        <f t="shared" ref="AS15:AS33" si="10">AQ15</f>
        <v>43900</v>
      </c>
      <c r="AT15" s="38">
        <f t="shared" ref="AT15:AT70" si="11">AS15+1</f>
        <v>43901</v>
      </c>
      <c r="AU15" s="88">
        <v>0</v>
      </c>
      <c r="AV15" s="88">
        <v>0</v>
      </c>
      <c r="AW15" s="88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5"/>
      <c r="C16" s="153" t="str">
        <f>IF($D$7&gt;=1,"기초금리 Range하한", "")</f>
        <v>기초금리 Range하한</v>
      </c>
      <c r="D16" s="154"/>
      <c r="E16" s="122">
        <v>-1</v>
      </c>
      <c r="F16" s="164"/>
      <c r="G16" s="166"/>
      <c r="H16" s="166"/>
      <c r="I16" s="161" t="str">
        <f>IF(E14&gt;0,"Spread1","")</f>
        <v/>
      </c>
      <c r="J16" s="161"/>
      <c r="K16" s="151" t="str">
        <f>IF(E14&gt;0, I14&amp;"-"&amp;I15, "")</f>
        <v/>
      </c>
      <c r="L16" s="152"/>
      <c r="M16" s="34"/>
      <c r="N16" s="38">
        <f t="shared" si="2"/>
        <v>43900</v>
      </c>
      <c r="O16" s="38">
        <f t="shared" si="3"/>
        <v>44084</v>
      </c>
      <c r="P16" s="38">
        <f t="shared" si="4"/>
        <v>43900</v>
      </c>
      <c r="Q16" s="38">
        <f t="shared" si="5"/>
        <v>44084</v>
      </c>
      <c r="R16" s="38">
        <f t="shared" si="6"/>
        <v>44085</v>
      </c>
      <c r="S16" s="88">
        <v>0</v>
      </c>
      <c r="T16" s="88">
        <v>0</v>
      </c>
      <c r="W16" s="41">
        <v>41189</v>
      </c>
      <c r="X16" s="41">
        <v>41189</v>
      </c>
      <c r="Y16" s="41">
        <v>41189</v>
      </c>
      <c r="AD16" s="137"/>
      <c r="AE16" s="120" t="str">
        <f>IF($AF$7&gt;=1,"기초금리 Range하한", "")</f>
        <v>기초금리 Range하한</v>
      </c>
      <c r="AF16" s="121"/>
      <c r="AG16" s="122">
        <v>-1</v>
      </c>
      <c r="AH16" s="122"/>
      <c r="AI16" s="119"/>
      <c r="AJ16" s="119"/>
      <c r="AK16" s="116" t="str">
        <f>IF(AG14&gt;0,"Spread1","")</f>
        <v/>
      </c>
      <c r="AL16" s="116"/>
      <c r="AM16" s="117" t="str">
        <f>IF(AG14&gt;0, AK14&amp;"-"&amp;AK15, "")</f>
        <v/>
      </c>
      <c r="AN16" s="118"/>
      <c r="AO16" s="34"/>
      <c r="AP16" s="38">
        <f t="shared" si="7"/>
        <v>43900</v>
      </c>
      <c r="AQ16" s="38">
        <f t="shared" si="8"/>
        <v>44084</v>
      </c>
      <c r="AR16" s="38">
        <f t="shared" si="9"/>
        <v>43900</v>
      </c>
      <c r="AS16" s="38">
        <f t="shared" si="10"/>
        <v>44084</v>
      </c>
      <c r="AT16" s="38">
        <f t="shared" si="11"/>
        <v>44085</v>
      </c>
      <c r="AU16" s="88">
        <v>0</v>
      </c>
      <c r="AV16" s="88">
        <v>0</v>
      </c>
      <c r="AW16" s="88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3" t="str">
        <f>IF($D$7&gt;=1,"Payoff조건Multiple", "")</f>
        <v>Payoff조건Multiple</v>
      </c>
      <c r="D17" s="143"/>
      <c r="E17" s="128">
        <v>1</v>
      </c>
      <c r="F17" s="149"/>
      <c r="G17" s="109" t="str">
        <f>IF(E14&gt;0,"예시) 10년-5년 스왑: 연 지급횟수=4, 만기1=10, 만기2=5","")</f>
        <v/>
      </c>
      <c r="H17" s="109"/>
      <c r="I17" s="109"/>
      <c r="J17" s="109"/>
      <c r="K17" s="109"/>
      <c r="L17" s="110"/>
      <c r="M17" s="34"/>
      <c r="N17" s="38">
        <f t="shared" si="2"/>
        <v>44084</v>
      </c>
      <c r="O17" s="38">
        <f t="shared" si="3"/>
        <v>44265</v>
      </c>
      <c r="P17" s="38">
        <f t="shared" si="4"/>
        <v>44084</v>
      </c>
      <c r="Q17" s="38">
        <f t="shared" si="5"/>
        <v>44265</v>
      </c>
      <c r="R17" s="38">
        <f t="shared" si="6"/>
        <v>44266</v>
      </c>
      <c r="S17" s="88">
        <v>0</v>
      </c>
      <c r="T17" s="88">
        <v>0</v>
      </c>
      <c r="W17" s="41">
        <v>41195</v>
      </c>
      <c r="X17" s="41">
        <v>41195</v>
      </c>
      <c r="Y17" s="41">
        <v>41195</v>
      </c>
      <c r="AD17" s="32"/>
      <c r="AE17" s="129" t="str">
        <f>IF($AF$7&gt;=1,"Payoff조건Multiple", "")</f>
        <v>Payoff조건Multiple</v>
      </c>
      <c r="AF17" s="129"/>
      <c r="AG17" s="128">
        <v>1</v>
      </c>
      <c r="AH17" s="128"/>
      <c r="AI17" s="109" t="str">
        <f>IF(AG14&gt;0,"예시) 10년-5년 스왑: 연 지급횟수=4, 만기1=10, 만기2=5","")</f>
        <v/>
      </c>
      <c r="AJ17" s="109"/>
      <c r="AK17" s="109"/>
      <c r="AL17" s="109"/>
      <c r="AM17" s="109"/>
      <c r="AN17" s="110"/>
      <c r="AO17" s="34"/>
      <c r="AP17" s="38">
        <f t="shared" si="7"/>
        <v>44084</v>
      </c>
      <c r="AQ17" s="38">
        <f t="shared" si="8"/>
        <v>44265</v>
      </c>
      <c r="AR17" s="38">
        <f t="shared" si="9"/>
        <v>44084</v>
      </c>
      <c r="AS17" s="38">
        <f t="shared" si="10"/>
        <v>44265</v>
      </c>
      <c r="AT17" s="38">
        <f t="shared" si="11"/>
        <v>44266</v>
      </c>
      <c r="AU17" s="88">
        <v>0</v>
      </c>
      <c r="AV17" s="88">
        <v>0</v>
      </c>
      <c r="AW17" s="88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44265</v>
      </c>
      <c r="O18" s="38">
        <f t="shared" si="3"/>
        <v>44449</v>
      </c>
      <c r="P18" s="38">
        <f t="shared" si="4"/>
        <v>44265</v>
      </c>
      <c r="Q18" s="38">
        <f t="shared" si="5"/>
        <v>44449</v>
      </c>
      <c r="R18" s="38">
        <f t="shared" si="6"/>
        <v>44450</v>
      </c>
      <c r="S18" s="88">
        <v>0</v>
      </c>
      <c r="T18" s="88">
        <v>0</v>
      </c>
      <c r="W18" s="41">
        <v>41196</v>
      </c>
      <c r="X18" s="41">
        <v>41196</v>
      </c>
      <c r="Y18" s="41">
        <v>41196</v>
      </c>
      <c r="AP18" s="38">
        <f t="shared" si="7"/>
        <v>44265</v>
      </c>
      <c r="AQ18" s="38">
        <f t="shared" si="8"/>
        <v>44449</v>
      </c>
      <c r="AR18" s="38">
        <f t="shared" si="9"/>
        <v>44265</v>
      </c>
      <c r="AS18" s="38">
        <f t="shared" si="10"/>
        <v>44449</v>
      </c>
      <c r="AT18" s="38">
        <f t="shared" si="11"/>
        <v>44450</v>
      </c>
      <c r="AU18" s="88">
        <v>0</v>
      </c>
      <c r="AV18" s="88">
        <v>0</v>
      </c>
      <c r="AW18" s="88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5" t="str">
        <f>IF(D7&gt;=2,"기초금리2", "")</f>
        <v/>
      </c>
      <c r="C19" s="168" t="str">
        <f>IF($D$7&gt;=2,"커브번호", "")</f>
        <v/>
      </c>
      <c r="D19" s="168"/>
      <c r="E19" s="133">
        <v>2</v>
      </c>
      <c r="F19" s="133"/>
      <c r="G19" s="68"/>
      <c r="H19" s="36"/>
      <c r="I19" s="147" t="str">
        <f>IF(OR(E20 = 0, E20 = 2, E20 = 4), "RefType = "&amp;E20&amp;" 이므로 Ref Swap 금리정보 사용안함", "사용")</f>
        <v>RefType = 0 이므로 Ref Swap 금리정보 사용안함</v>
      </c>
      <c r="J19" s="147"/>
      <c r="K19" s="147"/>
      <c r="L19" s="148"/>
      <c r="M19" s="34"/>
      <c r="N19" s="38">
        <f t="shared" si="2"/>
        <v>44449</v>
      </c>
      <c r="O19" s="38">
        <f t="shared" si="3"/>
        <v>44630</v>
      </c>
      <c r="P19" s="38">
        <f t="shared" si="4"/>
        <v>44449</v>
      </c>
      <c r="Q19" s="38">
        <f t="shared" si="5"/>
        <v>44630</v>
      </c>
      <c r="R19" s="38">
        <f t="shared" si="6"/>
        <v>44631</v>
      </c>
      <c r="S19" s="88">
        <v>0</v>
      </c>
      <c r="T19" s="88">
        <v>0</v>
      </c>
      <c r="W19" s="41">
        <v>41202</v>
      </c>
      <c r="X19" s="41">
        <v>41202</v>
      </c>
      <c r="Y19" s="41">
        <v>41202</v>
      </c>
      <c r="AD19" s="136" t="str">
        <f>IF($AF$7&gt;=2,"기초금리2", "")</f>
        <v/>
      </c>
      <c r="AE19" s="132" t="str">
        <f>IF($AF$7&gt;=2,"커브번호", "")</f>
        <v/>
      </c>
      <c r="AF19" s="132"/>
      <c r="AG19" s="133">
        <v>2</v>
      </c>
      <c r="AH19" s="133"/>
      <c r="AI19" s="68"/>
      <c r="AJ19" s="36"/>
      <c r="AK19" s="130" t="str">
        <f>IF(OR(AG20 = 0, AG20 = 2, AG20 = 4), "RefType = "&amp;AG20&amp;" 이므로 Ref Swap 금리정보 사용안함", "사용")</f>
        <v>RefType = 0 이므로 Ref Swap 금리정보 사용안함</v>
      </c>
      <c r="AL19" s="130"/>
      <c r="AM19" s="130"/>
      <c r="AN19" s="131"/>
      <c r="AP19" s="38">
        <f t="shared" si="7"/>
        <v>44449</v>
      </c>
      <c r="AQ19" s="38">
        <f t="shared" si="8"/>
        <v>44630</v>
      </c>
      <c r="AR19" s="38">
        <f t="shared" si="9"/>
        <v>44449</v>
      </c>
      <c r="AS19" s="38">
        <f t="shared" si="10"/>
        <v>44630</v>
      </c>
      <c r="AT19" s="38">
        <f t="shared" si="11"/>
        <v>44631</v>
      </c>
      <c r="AU19" s="88">
        <v>0</v>
      </c>
      <c r="AV19" s="88">
        <v>0</v>
      </c>
      <c r="AW19" s="88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5"/>
      <c r="C20" s="154" t="str">
        <f>IF($D$7&gt;=2,"Reference Rate Type", "")</f>
        <v/>
      </c>
      <c r="D20" s="155"/>
      <c r="E20" s="135">
        <v>0</v>
      </c>
      <c r="F20" s="135"/>
      <c r="G20" s="138" t="str">
        <f>IF(OR(E20 = 0, E20 = 2, E20 = 4), "", "Zero/Swap 레퍼런스금리정보")</f>
        <v/>
      </c>
      <c r="H20" s="138"/>
      <c r="I20" s="138" t="str">
        <f>IF(OR(E20 = 0, E20 = 2, E20 = 4), "", "연 지급횟수")</f>
        <v/>
      </c>
      <c r="J20" s="139"/>
      <c r="K20" s="125">
        <v>4</v>
      </c>
      <c r="L20" s="126"/>
      <c r="M20" s="34"/>
      <c r="N20" s="38">
        <f t="shared" si="2"/>
        <v>44630</v>
      </c>
      <c r="O20" s="38">
        <f t="shared" si="3"/>
        <v>44814</v>
      </c>
      <c r="P20" s="38">
        <f t="shared" si="4"/>
        <v>44630</v>
      </c>
      <c r="Q20" s="38">
        <f t="shared" si="5"/>
        <v>44814</v>
      </c>
      <c r="R20" s="38">
        <f t="shared" si="6"/>
        <v>44815</v>
      </c>
      <c r="S20" s="88">
        <v>0</v>
      </c>
      <c r="T20" s="88">
        <v>0</v>
      </c>
      <c r="W20" s="41">
        <v>41203</v>
      </c>
      <c r="X20" s="41">
        <v>41203</v>
      </c>
      <c r="Y20" s="41">
        <v>41203</v>
      </c>
      <c r="AD20" s="137"/>
      <c r="AE20" s="121" t="str">
        <f>IF($AF$7&gt;=2,"Reference Rate Type", "")</f>
        <v/>
      </c>
      <c r="AF20" s="134"/>
      <c r="AG20" s="135">
        <v>0</v>
      </c>
      <c r="AH20" s="135"/>
      <c r="AI20" s="123" t="str">
        <f>IF(OR(AG20 = 0, AG20 = 2, AG20 = 4), "", "Zero/Swap 레퍼런스금리정보")</f>
        <v/>
      </c>
      <c r="AJ20" s="123"/>
      <c r="AK20" s="123" t="str">
        <f>IF(OR(AG20 = 0, AG20 = 2, AG20 = 4), "", "연 지급횟수")</f>
        <v/>
      </c>
      <c r="AL20" s="124"/>
      <c r="AM20" s="125">
        <v>4</v>
      </c>
      <c r="AN20" s="126"/>
      <c r="AP20" s="38">
        <f t="shared" si="7"/>
        <v>44630</v>
      </c>
      <c r="AQ20" s="38">
        <f t="shared" si="8"/>
        <v>44814</v>
      </c>
      <c r="AR20" s="38">
        <f t="shared" si="9"/>
        <v>44630</v>
      </c>
      <c r="AS20" s="38">
        <f t="shared" si="10"/>
        <v>44814</v>
      </c>
      <c r="AT20" s="38">
        <f t="shared" si="11"/>
        <v>44815</v>
      </c>
      <c r="AU20" s="88">
        <v>0</v>
      </c>
      <c r="AV20" s="88">
        <v>0</v>
      </c>
      <c r="AW20" s="88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5"/>
      <c r="C21" s="154" t="str">
        <f>IF($D$7&gt;=2,"DayCount", "")</f>
        <v/>
      </c>
      <c r="D21" s="154"/>
      <c r="E21" s="112">
        <v>0</v>
      </c>
      <c r="F21" s="112"/>
      <c r="G21" s="138"/>
      <c r="H21" s="138"/>
      <c r="I21" s="138" t="str">
        <f>IF(OR(E20 = 0, E20 = 2, E20 = 4,E23=1), "", "만기")</f>
        <v/>
      </c>
      <c r="J21" s="139"/>
      <c r="K21" s="140">
        <v>1</v>
      </c>
      <c r="L21" s="141"/>
      <c r="M21" s="34"/>
      <c r="N21" s="38">
        <f t="shared" si="2"/>
        <v>44814</v>
      </c>
      <c r="O21" s="38">
        <f t="shared" si="3"/>
        <v>44995</v>
      </c>
      <c r="P21" s="38">
        <f t="shared" si="4"/>
        <v>44814</v>
      </c>
      <c r="Q21" s="38">
        <f t="shared" si="5"/>
        <v>44995</v>
      </c>
      <c r="R21" s="38">
        <f t="shared" si="6"/>
        <v>44996</v>
      </c>
      <c r="S21" s="88">
        <v>0</v>
      </c>
      <c r="T21" s="88">
        <v>0</v>
      </c>
      <c r="W21" s="41">
        <v>41209</v>
      </c>
      <c r="X21" s="41">
        <v>41209</v>
      </c>
      <c r="Y21" s="41">
        <v>41209</v>
      </c>
      <c r="AD21" s="137"/>
      <c r="AE21" s="121" t="str">
        <f>IF($AF$7&gt;=2,"DayCount", "")</f>
        <v/>
      </c>
      <c r="AF21" s="121"/>
      <c r="AG21" s="112">
        <v>0</v>
      </c>
      <c r="AH21" s="112"/>
      <c r="AI21" s="123"/>
      <c r="AJ21" s="123"/>
      <c r="AK21" s="138" t="str">
        <f>IF(OR(AG20 = 0, AG20 = 2, AG20 = 4,AG23=1), "", "만기")</f>
        <v/>
      </c>
      <c r="AL21" s="139"/>
      <c r="AM21" s="140">
        <v>5</v>
      </c>
      <c r="AN21" s="141"/>
      <c r="AP21" s="38">
        <f t="shared" si="7"/>
        <v>44814</v>
      </c>
      <c r="AQ21" s="38">
        <f t="shared" si="8"/>
        <v>44995</v>
      </c>
      <c r="AR21" s="38">
        <f t="shared" si="9"/>
        <v>44814</v>
      </c>
      <c r="AS21" s="38">
        <f t="shared" si="10"/>
        <v>44995</v>
      </c>
      <c r="AT21" s="38">
        <f t="shared" si="11"/>
        <v>44996</v>
      </c>
      <c r="AU21" s="88">
        <v>0</v>
      </c>
      <c r="AV21" s="88">
        <v>0</v>
      </c>
      <c r="AW21" s="88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5"/>
      <c r="C22" s="154" t="str">
        <f>IF($D$7&gt;=2,"금리결정조건Multiple", "")</f>
        <v/>
      </c>
      <c r="D22" s="155"/>
      <c r="E22" s="111">
        <v>1</v>
      </c>
      <c r="F22" s="111"/>
      <c r="G22" s="107" t="str">
        <f>IF(OR(E20 = 0, E20 = 2, E20 = 4), "", "ex) Zero Rate 5년 -&gt; 연 지급횟수= 0, 만기= 5 // CD91일 -&gt; 연 지급횟수= 4, 만기= 0.25")</f>
        <v/>
      </c>
      <c r="H22" s="107"/>
      <c r="I22" s="107"/>
      <c r="J22" s="107"/>
      <c r="K22" s="107"/>
      <c r="L22" s="108"/>
      <c r="M22" s="34"/>
      <c r="N22" s="38">
        <f t="shared" si="2"/>
        <v>44995</v>
      </c>
      <c r="O22" s="38">
        <f t="shared" si="3"/>
        <v>45179</v>
      </c>
      <c r="P22" s="38">
        <f t="shared" si="4"/>
        <v>44995</v>
      </c>
      <c r="Q22" s="38">
        <f t="shared" si="5"/>
        <v>45179</v>
      </c>
      <c r="R22" s="38">
        <f t="shared" si="6"/>
        <v>45180</v>
      </c>
      <c r="S22" s="88">
        <v>0</v>
      </c>
      <c r="T22" s="88">
        <v>0</v>
      </c>
      <c r="W22" s="41">
        <v>41210</v>
      </c>
      <c r="X22" s="41">
        <v>41210</v>
      </c>
      <c r="Y22" s="41">
        <v>41210</v>
      </c>
      <c r="AD22" s="137"/>
      <c r="AE22" s="121" t="str">
        <f>IF($AF$7&gt;=2,"금리결정조건Multiple", "")</f>
        <v/>
      </c>
      <c r="AF22" s="134"/>
      <c r="AG22" s="111">
        <v>1</v>
      </c>
      <c r="AH22" s="111"/>
      <c r="AI22" s="107" t="str">
        <f>IF(OR(AG20 = 0, AG20 = 2, AG20 = 4), "", "ex) Zero Rate 5년 -&gt; 연 지급횟수= 0, 만기= 5 // CD91일 -&gt; 연 지급횟수= 4, 만기= 0.25")</f>
        <v/>
      </c>
      <c r="AJ22" s="107"/>
      <c r="AK22" s="107"/>
      <c r="AL22" s="107"/>
      <c r="AM22" s="107"/>
      <c r="AN22" s="108"/>
      <c r="AP22" s="38">
        <f t="shared" si="7"/>
        <v>44995</v>
      </c>
      <c r="AQ22" s="38">
        <f t="shared" si="8"/>
        <v>45179</v>
      </c>
      <c r="AR22" s="38">
        <f t="shared" si="9"/>
        <v>44995</v>
      </c>
      <c r="AS22" s="38">
        <f t="shared" si="10"/>
        <v>45179</v>
      </c>
      <c r="AT22" s="38">
        <f t="shared" si="11"/>
        <v>45180</v>
      </c>
      <c r="AU22" s="88">
        <v>0</v>
      </c>
      <c r="AV22" s="88">
        <v>0</v>
      </c>
      <c r="AW22" s="88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5"/>
      <c r="C23" s="153" t="str">
        <f>IF($D$7&gt;=2,"Power Spread Flag", "")</f>
        <v/>
      </c>
      <c r="D23" s="153"/>
      <c r="E23" s="112">
        <v>0</v>
      </c>
      <c r="F23" s="112"/>
      <c r="G23" s="160" t="str">
        <f>IF(E23&gt;0,"PowerSpreadFlag 1일때 입력","입력필요X")</f>
        <v>입력필요X</v>
      </c>
      <c r="H23" s="160"/>
      <c r="I23" s="160" t="str">
        <f>IF(E23&gt;0,"만기1","")</f>
        <v/>
      </c>
      <c r="J23" s="160"/>
      <c r="K23" s="114">
        <v>10</v>
      </c>
      <c r="L23" s="115"/>
      <c r="M23" s="34"/>
      <c r="N23" s="38">
        <f t="shared" si="2"/>
        <v>45179</v>
      </c>
      <c r="O23" s="38">
        <f t="shared" si="3"/>
        <v>45361</v>
      </c>
      <c r="P23" s="38">
        <f t="shared" si="4"/>
        <v>45179</v>
      </c>
      <c r="Q23" s="38">
        <f t="shared" si="5"/>
        <v>45361</v>
      </c>
      <c r="R23" s="38">
        <f t="shared" si="6"/>
        <v>45362</v>
      </c>
      <c r="S23" s="88">
        <v>0</v>
      </c>
      <c r="T23" s="88">
        <v>0</v>
      </c>
      <c r="W23" s="41">
        <v>41216</v>
      </c>
      <c r="X23" s="41">
        <v>41216</v>
      </c>
      <c r="Y23" s="41">
        <v>41216</v>
      </c>
      <c r="AD23" s="137"/>
      <c r="AE23" s="120" t="str">
        <f>IF($AF$7&gt;=2,"Power Spread Flag", "")</f>
        <v/>
      </c>
      <c r="AF23" s="120"/>
      <c r="AG23" s="112">
        <v>0</v>
      </c>
      <c r="AH23" s="112"/>
      <c r="AI23" s="113" t="str">
        <f>IF(AG23&gt;0,"PowerSpreadFlag 1일때 입력","입력필요X")</f>
        <v>입력필요X</v>
      </c>
      <c r="AJ23" s="113"/>
      <c r="AK23" s="113" t="str">
        <f>IF(AG23&gt;0,"만기1","")</f>
        <v/>
      </c>
      <c r="AL23" s="113"/>
      <c r="AM23" s="114">
        <v>10</v>
      </c>
      <c r="AN23" s="115"/>
      <c r="AP23" s="38">
        <f t="shared" si="7"/>
        <v>45179</v>
      </c>
      <c r="AQ23" s="38">
        <f t="shared" si="8"/>
        <v>45361</v>
      </c>
      <c r="AR23" s="38">
        <f t="shared" si="9"/>
        <v>45179</v>
      </c>
      <c r="AS23" s="38">
        <f t="shared" si="10"/>
        <v>45361</v>
      </c>
      <c r="AT23" s="38">
        <f t="shared" si="11"/>
        <v>45362</v>
      </c>
      <c r="AU23" s="88">
        <v>0</v>
      </c>
      <c r="AV23" s="88">
        <v>0</v>
      </c>
      <c r="AW23" s="88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5" t="str">
        <f>IF($D$7&gt;1, "사용", "커브개수"&amp;"="&amp;$D$7&amp;"이므로 사용안함")</f>
        <v>커브개수=1이므로 사용안함</v>
      </c>
      <c r="C24" s="153" t="str">
        <f>IF($D$7&gt;=2,"기초금리 Range상한", "")</f>
        <v/>
      </c>
      <c r="D24" s="153"/>
      <c r="E24" s="142">
        <v>10</v>
      </c>
      <c r="F24" s="142"/>
      <c r="G24" s="160"/>
      <c r="H24" s="160"/>
      <c r="I24" s="160" t="str">
        <f>IF(E23&gt;0,"만기2","")</f>
        <v/>
      </c>
      <c r="J24" s="160"/>
      <c r="K24" s="114">
        <v>5</v>
      </c>
      <c r="L24" s="115"/>
      <c r="M24" s="34"/>
      <c r="N24" s="38">
        <f t="shared" si="2"/>
        <v>45361</v>
      </c>
      <c r="O24" s="38">
        <f t="shared" si="3"/>
        <v>45545</v>
      </c>
      <c r="P24" s="38">
        <f t="shared" si="4"/>
        <v>45361</v>
      </c>
      <c r="Q24" s="38">
        <f t="shared" si="5"/>
        <v>45545</v>
      </c>
      <c r="R24" s="38">
        <f t="shared" si="6"/>
        <v>45546</v>
      </c>
      <c r="S24" s="88">
        <v>0</v>
      </c>
      <c r="T24" s="88">
        <v>0</v>
      </c>
      <c r="W24" s="41">
        <v>41217</v>
      </c>
      <c r="X24" s="41">
        <v>41217</v>
      </c>
      <c r="Y24" s="41">
        <v>41217</v>
      </c>
      <c r="AD24" s="137" t="str">
        <f>IF($AF$7&gt;1, "사용", "커브개수"&amp;"="&amp;$AF$7&amp;"이므로 사용안함")</f>
        <v>커브개수=1이므로 사용안함</v>
      </c>
      <c r="AE24" s="120" t="str">
        <f>IF($AF$7&gt;=2,"기초금리 Range상한", "")</f>
        <v/>
      </c>
      <c r="AF24" s="120"/>
      <c r="AG24" s="142">
        <v>0.5</v>
      </c>
      <c r="AH24" s="142"/>
      <c r="AI24" s="113"/>
      <c r="AJ24" s="113"/>
      <c r="AK24" s="113" t="str">
        <f>IF(AG23&gt;0,"만기2","")</f>
        <v/>
      </c>
      <c r="AL24" s="113"/>
      <c r="AM24" s="114">
        <v>5</v>
      </c>
      <c r="AN24" s="115"/>
      <c r="AP24" s="38">
        <f t="shared" si="7"/>
        <v>45361</v>
      </c>
      <c r="AQ24" s="38">
        <f t="shared" si="8"/>
        <v>45545</v>
      </c>
      <c r="AR24" s="38">
        <f t="shared" si="9"/>
        <v>45361</v>
      </c>
      <c r="AS24" s="38">
        <f t="shared" si="10"/>
        <v>45545</v>
      </c>
      <c r="AT24" s="38">
        <f t="shared" si="11"/>
        <v>45546</v>
      </c>
      <c r="AU24" s="88">
        <v>0</v>
      </c>
      <c r="AV24" s="88">
        <v>0</v>
      </c>
      <c r="AW24" s="88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5"/>
      <c r="C25" s="153" t="str">
        <f>IF($D$7&gt;=2,"기초금리 Range하한", "")</f>
        <v/>
      </c>
      <c r="D25" s="154"/>
      <c r="E25" s="122">
        <v>-1</v>
      </c>
      <c r="F25" s="122"/>
      <c r="G25" s="166"/>
      <c r="H25" s="166"/>
      <c r="I25" s="161" t="str">
        <f>IF(E23&gt;0,"Spread1","")</f>
        <v/>
      </c>
      <c r="J25" s="161"/>
      <c r="K25" s="151" t="str">
        <f>IF(E23&gt;0, I23&amp;"-"&amp;I24, "")</f>
        <v/>
      </c>
      <c r="L25" s="152"/>
      <c r="N25" s="38">
        <f t="shared" si="2"/>
        <v>45545</v>
      </c>
      <c r="O25" s="38">
        <f t="shared" si="3"/>
        <v>45726</v>
      </c>
      <c r="P25" s="38">
        <f t="shared" si="4"/>
        <v>45545</v>
      </c>
      <c r="Q25" s="38">
        <f t="shared" si="5"/>
        <v>45726</v>
      </c>
      <c r="R25" s="38">
        <f t="shared" si="6"/>
        <v>45727</v>
      </c>
      <c r="S25" s="88">
        <v>0</v>
      </c>
      <c r="T25" s="88">
        <v>0</v>
      </c>
      <c r="W25" s="41">
        <v>41223</v>
      </c>
      <c r="X25" s="41">
        <v>41223</v>
      </c>
      <c r="Y25" s="41">
        <v>41223</v>
      </c>
      <c r="AD25" s="137"/>
      <c r="AE25" s="120" t="str">
        <f>IF($AF$7&gt;=2,"기초금리 Range하한", "")</f>
        <v/>
      </c>
      <c r="AF25" s="121"/>
      <c r="AG25" s="122">
        <v>-0.1</v>
      </c>
      <c r="AH25" s="122"/>
      <c r="AI25" s="119"/>
      <c r="AJ25" s="119"/>
      <c r="AK25" s="116" t="str">
        <f>IF(AG23&gt;0,"Spread1","")</f>
        <v/>
      </c>
      <c r="AL25" s="116"/>
      <c r="AM25" s="117" t="str">
        <f>IF(AG23&gt;0, AK23&amp;"-"&amp;AK24, "")</f>
        <v/>
      </c>
      <c r="AN25" s="118"/>
      <c r="AP25" s="38">
        <f t="shared" si="7"/>
        <v>45545</v>
      </c>
      <c r="AQ25" s="38">
        <f t="shared" si="8"/>
        <v>45726</v>
      </c>
      <c r="AR25" s="38">
        <f t="shared" si="9"/>
        <v>45545</v>
      </c>
      <c r="AS25" s="38">
        <f t="shared" si="10"/>
        <v>45726</v>
      </c>
      <c r="AT25" s="38">
        <f t="shared" si="11"/>
        <v>45727</v>
      </c>
      <c r="AU25" s="88">
        <v>0</v>
      </c>
      <c r="AV25" s="88">
        <v>0</v>
      </c>
      <c r="AW25" s="88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3" t="str">
        <f>IF($D$7&gt;=2,"Payoff조건Multiple", "")</f>
        <v/>
      </c>
      <c r="D26" s="143"/>
      <c r="E26" s="128">
        <v>0</v>
      </c>
      <c r="F26" s="128"/>
      <c r="G26" s="109" t="str">
        <f>IF(E23&gt;0,"예시) 10년-5년 스왑: 연 지급횟수=4, 만기1=10, 만기2=5","")</f>
        <v/>
      </c>
      <c r="H26" s="109"/>
      <c r="I26" s="109"/>
      <c r="J26" s="109"/>
      <c r="K26" s="109"/>
      <c r="L26" s="110"/>
      <c r="N26" s="38">
        <f t="shared" si="2"/>
        <v>45726</v>
      </c>
      <c r="O26" s="38">
        <f t="shared" si="3"/>
        <v>45910</v>
      </c>
      <c r="P26" s="38">
        <f t="shared" si="4"/>
        <v>45726</v>
      </c>
      <c r="Q26" s="38">
        <f t="shared" si="5"/>
        <v>45910</v>
      </c>
      <c r="R26" s="38">
        <f t="shared" si="6"/>
        <v>45911</v>
      </c>
      <c r="S26" s="88">
        <v>0</v>
      </c>
      <c r="T26" s="88">
        <v>0</v>
      </c>
      <c r="W26" s="41">
        <v>41224</v>
      </c>
      <c r="X26" s="41">
        <v>41224</v>
      </c>
      <c r="Y26" s="41">
        <v>41224</v>
      </c>
      <c r="AD26" s="32"/>
      <c r="AE26" s="129" t="str">
        <f>IF($AF$7&gt;=2,"Payoff조건Multiple", "")</f>
        <v/>
      </c>
      <c r="AF26" s="129"/>
      <c r="AG26" s="128">
        <v>0</v>
      </c>
      <c r="AH26" s="128"/>
      <c r="AI26" s="109" t="str">
        <f>IF(AG23&gt;0,"예시) 10년-5년 스왑: 연 지급횟수=4, 만기1=10, 만기2=5","")</f>
        <v/>
      </c>
      <c r="AJ26" s="109"/>
      <c r="AK26" s="109"/>
      <c r="AL26" s="109"/>
      <c r="AM26" s="109"/>
      <c r="AN26" s="110"/>
      <c r="AP26" s="38">
        <f t="shared" si="7"/>
        <v>45726</v>
      </c>
      <c r="AQ26" s="38">
        <f t="shared" si="8"/>
        <v>45910</v>
      </c>
      <c r="AR26" s="38">
        <f t="shared" si="9"/>
        <v>45726</v>
      </c>
      <c r="AS26" s="38">
        <f t="shared" si="10"/>
        <v>45910</v>
      </c>
      <c r="AT26" s="38">
        <f t="shared" si="11"/>
        <v>45911</v>
      </c>
      <c r="AU26" s="88">
        <v>0</v>
      </c>
      <c r="AV26" s="88">
        <v>0</v>
      </c>
      <c r="AW26" s="88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45910</v>
      </c>
      <c r="O27" s="38">
        <f t="shared" si="3"/>
        <v>46091</v>
      </c>
      <c r="P27" s="38">
        <f t="shared" si="4"/>
        <v>45910</v>
      </c>
      <c r="Q27" s="38">
        <f t="shared" si="5"/>
        <v>46091</v>
      </c>
      <c r="R27" s="38">
        <f t="shared" si="6"/>
        <v>46092</v>
      </c>
      <c r="S27" s="88">
        <v>0</v>
      </c>
      <c r="T27" s="88">
        <v>0</v>
      </c>
      <c r="W27" s="41">
        <v>41230</v>
      </c>
      <c r="X27" s="41">
        <v>41230</v>
      </c>
      <c r="Y27" s="41">
        <v>41230</v>
      </c>
      <c r="AP27" s="38">
        <f t="shared" si="7"/>
        <v>45910</v>
      </c>
      <c r="AQ27" s="38">
        <f t="shared" si="8"/>
        <v>46091</v>
      </c>
      <c r="AR27" s="38">
        <f t="shared" si="9"/>
        <v>45910</v>
      </c>
      <c r="AS27" s="38">
        <f t="shared" si="10"/>
        <v>46091</v>
      </c>
      <c r="AT27" s="38">
        <f t="shared" si="11"/>
        <v>46092</v>
      </c>
      <c r="AU27" s="88">
        <v>0</v>
      </c>
      <c r="AV27" s="88">
        <v>0</v>
      </c>
      <c r="AW27" s="88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5" t="str">
        <f>IF($D$7&gt;=3,"기초금리3", "")</f>
        <v/>
      </c>
      <c r="C28" s="168" t="str">
        <f>IF($D$7&gt;=3,"커브번호", "")</f>
        <v/>
      </c>
      <c r="D28" s="168"/>
      <c r="E28" s="133">
        <v>3</v>
      </c>
      <c r="F28" s="133"/>
      <c r="G28" s="68"/>
      <c r="H28" s="36"/>
      <c r="I28" s="147" t="str">
        <f>IF(OR(E29 = 0, E29 = 2, E29 = 4), "RefType = "&amp;E29&amp;" 이므로 Ref Swap 금리정보 사용안함", "사용")</f>
        <v>RefType = 0 이므로 Ref Swap 금리정보 사용안함</v>
      </c>
      <c r="J28" s="147"/>
      <c r="K28" s="147"/>
      <c r="L28" s="148"/>
      <c r="N28" s="38">
        <f t="shared" si="2"/>
        <v>46091</v>
      </c>
      <c r="O28" s="38">
        <f t="shared" si="3"/>
        <v>46275</v>
      </c>
      <c r="P28" s="38">
        <f t="shared" si="4"/>
        <v>46091</v>
      </c>
      <c r="Q28" s="38">
        <f t="shared" si="5"/>
        <v>46275</v>
      </c>
      <c r="R28" s="38">
        <f t="shared" si="6"/>
        <v>46276</v>
      </c>
      <c r="S28" s="88">
        <v>0</v>
      </c>
      <c r="T28" s="88">
        <v>0</v>
      </c>
      <c r="W28" s="41">
        <v>41231</v>
      </c>
      <c r="X28" s="41">
        <v>41231</v>
      </c>
      <c r="Y28" s="41">
        <v>41231</v>
      </c>
      <c r="AD28" s="136" t="str">
        <f>IF($AF$7&gt;=3,"기초금리3", "")</f>
        <v/>
      </c>
      <c r="AE28" s="132" t="str">
        <f>IF($AF$7&gt;=3,"커브번호", "")</f>
        <v/>
      </c>
      <c r="AF28" s="132"/>
      <c r="AG28" s="133">
        <v>3</v>
      </c>
      <c r="AH28" s="133"/>
      <c r="AI28" s="68"/>
      <c r="AJ28" s="36"/>
      <c r="AK28" s="130" t="str">
        <f>IF(OR(AG29 = 0, AG29 = 2, AG29 = 4), "RefType = "&amp;AG29&amp;" 이므로 Ref Swap 금리정보 사용안함", "사용")</f>
        <v>RefType = 0 이므로 Ref Swap 금리정보 사용안함</v>
      </c>
      <c r="AL28" s="130"/>
      <c r="AM28" s="130"/>
      <c r="AN28" s="131"/>
      <c r="AP28" s="38">
        <f t="shared" si="7"/>
        <v>46091</v>
      </c>
      <c r="AQ28" s="38">
        <f t="shared" si="8"/>
        <v>46275</v>
      </c>
      <c r="AR28" s="38">
        <f t="shared" si="9"/>
        <v>46091</v>
      </c>
      <c r="AS28" s="38">
        <f t="shared" si="10"/>
        <v>46275</v>
      </c>
      <c r="AT28" s="38">
        <f t="shared" si="11"/>
        <v>46276</v>
      </c>
      <c r="AU28" s="88">
        <v>0</v>
      </c>
      <c r="AV28" s="88">
        <v>0</v>
      </c>
      <c r="AW28" s="88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5"/>
      <c r="C29" s="154" t="str">
        <f>IF($D$7&gt;=3,"Reference Rate Type", "")</f>
        <v/>
      </c>
      <c r="D29" s="155"/>
      <c r="E29" s="135">
        <v>0</v>
      </c>
      <c r="F29" s="135"/>
      <c r="G29" s="138" t="str">
        <f>IF(OR(E29 = 0, E29 = 2, E29 = 4), "", "Zero/Swap 레퍼런스금리정보")</f>
        <v/>
      </c>
      <c r="H29" s="138"/>
      <c r="I29" s="138" t="str">
        <f>IF(OR(E29 = 0, E29 = 2, E29 = 4), "", "연 지급횟수")</f>
        <v/>
      </c>
      <c r="J29" s="139"/>
      <c r="K29" s="125">
        <v>4</v>
      </c>
      <c r="L29" s="126"/>
      <c r="N29" s="38">
        <f t="shared" si="2"/>
        <v>46275</v>
      </c>
      <c r="O29" s="38">
        <f t="shared" si="3"/>
        <v>46456</v>
      </c>
      <c r="P29" s="38">
        <f t="shared" si="4"/>
        <v>46275</v>
      </c>
      <c r="Q29" s="38">
        <f t="shared" si="5"/>
        <v>46456</v>
      </c>
      <c r="R29" s="38">
        <f t="shared" si="6"/>
        <v>46457</v>
      </c>
      <c r="S29" s="88">
        <v>0</v>
      </c>
      <c r="T29" s="88">
        <v>0</v>
      </c>
      <c r="W29" s="41">
        <v>41237</v>
      </c>
      <c r="X29" s="41">
        <v>41237</v>
      </c>
      <c r="Y29" s="41">
        <v>41237</v>
      </c>
      <c r="AD29" s="137"/>
      <c r="AE29" s="121" t="str">
        <f>IF($AF$7&gt;=3,"Reference Rate Type", "")</f>
        <v/>
      </c>
      <c r="AF29" s="134"/>
      <c r="AG29" s="135">
        <v>0</v>
      </c>
      <c r="AH29" s="135"/>
      <c r="AI29" s="123" t="str">
        <f>IF(OR(AG29 = 0, AG29 = 2, AG29 = 4), "", "Zero/Swap 레퍼런스금리정보")</f>
        <v/>
      </c>
      <c r="AJ29" s="123"/>
      <c r="AK29" s="123" t="str">
        <f>IF(OR(AG29 = 0, AG29 = 2, AG29 = 4), "", "연 지급횟수")</f>
        <v/>
      </c>
      <c r="AL29" s="124"/>
      <c r="AM29" s="125">
        <v>4</v>
      </c>
      <c r="AN29" s="126"/>
      <c r="AP29" s="38">
        <f t="shared" si="7"/>
        <v>46275</v>
      </c>
      <c r="AQ29" s="38">
        <f t="shared" si="8"/>
        <v>46456</v>
      </c>
      <c r="AR29" s="38">
        <f t="shared" si="9"/>
        <v>46275</v>
      </c>
      <c r="AS29" s="38">
        <f t="shared" si="10"/>
        <v>46456</v>
      </c>
      <c r="AT29" s="38">
        <f t="shared" si="11"/>
        <v>46457</v>
      </c>
      <c r="AU29" s="88">
        <v>0</v>
      </c>
      <c r="AV29" s="88">
        <v>0</v>
      </c>
      <c r="AW29" s="88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5"/>
      <c r="C30" s="154" t="str">
        <f>IF($D$7&gt;=3,"DayCount", "")</f>
        <v/>
      </c>
      <c r="D30" s="154"/>
      <c r="E30" s="112">
        <v>0</v>
      </c>
      <c r="F30" s="112"/>
      <c r="G30" s="138"/>
      <c r="H30" s="138"/>
      <c r="I30" s="138" t="str">
        <f>IF(OR(E29 = 0, E29 = 2, E29 = 4,E32=1), "", "만기")</f>
        <v/>
      </c>
      <c r="J30" s="139"/>
      <c r="K30" s="140">
        <v>5</v>
      </c>
      <c r="L30" s="141"/>
      <c r="N30" s="38">
        <f t="shared" si="2"/>
        <v>46456</v>
      </c>
      <c r="O30" s="38">
        <f t="shared" si="3"/>
        <v>46640</v>
      </c>
      <c r="P30" s="38">
        <f t="shared" si="4"/>
        <v>46456</v>
      </c>
      <c r="Q30" s="38">
        <f t="shared" si="5"/>
        <v>46640</v>
      </c>
      <c r="R30" s="38">
        <f t="shared" si="6"/>
        <v>46641</v>
      </c>
      <c r="S30" s="88">
        <v>0</v>
      </c>
      <c r="T30" s="88">
        <v>0</v>
      </c>
      <c r="W30" s="41">
        <v>41238</v>
      </c>
      <c r="X30" s="41">
        <v>41238</v>
      </c>
      <c r="Y30" s="41">
        <v>41238</v>
      </c>
      <c r="AD30" s="137"/>
      <c r="AE30" s="121" t="str">
        <f>IF($AF$7&gt;=3,"DayCount", "")</f>
        <v/>
      </c>
      <c r="AF30" s="121"/>
      <c r="AG30" s="112">
        <v>0</v>
      </c>
      <c r="AH30" s="112"/>
      <c r="AI30" s="123"/>
      <c r="AJ30" s="123"/>
      <c r="AK30" s="138" t="str">
        <f>IF(OR(AG29 = 0, AG29 = 2, AG29 = 4,AG32=1), "", "만기")</f>
        <v/>
      </c>
      <c r="AL30" s="139"/>
      <c r="AM30" s="140">
        <v>5</v>
      </c>
      <c r="AN30" s="141"/>
      <c r="AP30" s="38">
        <f t="shared" si="7"/>
        <v>46456</v>
      </c>
      <c r="AQ30" s="38">
        <f t="shared" si="8"/>
        <v>46640</v>
      </c>
      <c r="AR30" s="38">
        <f t="shared" si="9"/>
        <v>46456</v>
      </c>
      <c r="AS30" s="38">
        <f t="shared" si="10"/>
        <v>46640</v>
      </c>
      <c r="AT30" s="38">
        <f t="shared" si="11"/>
        <v>46641</v>
      </c>
      <c r="AU30" s="88">
        <v>0</v>
      </c>
      <c r="AV30" s="88">
        <v>0</v>
      </c>
      <c r="AW30" s="88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5"/>
      <c r="C31" s="154" t="str">
        <f>IF($D$7&gt;=3,"금리결정조건Multiple", "")</f>
        <v/>
      </c>
      <c r="D31" s="155"/>
      <c r="E31" s="111">
        <v>1</v>
      </c>
      <c r="F31" s="111"/>
      <c r="G31" s="107" t="str">
        <f>IF(OR(E29 = 0, E29 = 2, E29 = 4), "", "ex) Zero Rate 5년 -&gt; 연 지급횟수= 0, 만기= 5 // CD91일 -&gt; 연 지급횟수= 4, 만기= 0.25")</f>
        <v/>
      </c>
      <c r="H31" s="107"/>
      <c r="I31" s="107"/>
      <c r="J31" s="107"/>
      <c r="K31" s="107"/>
      <c r="L31" s="108"/>
      <c r="N31" s="38">
        <f t="shared" si="2"/>
        <v>46640</v>
      </c>
      <c r="O31" s="38">
        <f t="shared" si="3"/>
        <v>46822</v>
      </c>
      <c r="P31" s="38">
        <f t="shared" si="4"/>
        <v>46640</v>
      </c>
      <c r="Q31" s="38">
        <f t="shared" si="5"/>
        <v>46822</v>
      </c>
      <c r="R31" s="38">
        <f t="shared" si="6"/>
        <v>46823</v>
      </c>
      <c r="S31" s="88">
        <v>0</v>
      </c>
      <c r="T31" s="88">
        <v>0</v>
      </c>
      <c r="W31" s="41">
        <v>41244</v>
      </c>
      <c r="X31" s="41">
        <v>41244</v>
      </c>
      <c r="Y31" s="41">
        <v>41244</v>
      </c>
      <c r="AD31" s="137"/>
      <c r="AE31" s="121" t="str">
        <f>IF($AF$7&gt;=3,"금리결정조건Multiple", "")</f>
        <v/>
      </c>
      <c r="AF31" s="134"/>
      <c r="AG31" s="111">
        <v>1</v>
      </c>
      <c r="AH31" s="111"/>
      <c r="AI31" s="107" t="str">
        <f>IF(OR(AG29 = 0, AG29 = 2, AG29 = 4), "", "ex) Zero Rate 5년 -&gt; 연 지급횟수= 0, 만기= 5 // CD91일 -&gt; 연 지급횟수= 4, 만기= 0.25")</f>
        <v/>
      </c>
      <c r="AJ31" s="107"/>
      <c r="AK31" s="107"/>
      <c r="AL31" s="107"/>
      <c r="AM31" s="107"/>
      <c r="AN31" s="108"/>
      <c r="AP31" s="38">
        <f t="shared" si="7"/>
        <v>46640</v>
      </c>
      <c r="AQ31" s="38">
        <f t="shared" si="8"/>
        <v>46822</v>
      </c>
      <c r="AR31" s="38">
        <f t="shared" si="9"/>
        <v>46640</v>
      </c>
      <c r="AS31" s="38">
        <f t="shared" si="10"/>
        <v>46822</v>
      </c>
      <c r="AT31" s="38">
        <f t="shared" si="11"/>
        <v>46823</v>
      </c>
      <c r="AU31" s="88">
        <v>0</v>
      </c>
      <c r="AV31" s="88">
        <v>0</v>
      </c>
      <c r="AW31" s="88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5"/>
      <c r="C32" s="153" t="str">
        <f>IF($D$7&gt;=3,"Power Spread Flag", "")</f>
        <v/>
      </c>
      <c r="D32" s="153"/>
      <c r="E32" s="112">
        <v>0</v>
      </c>
      <c r="F32" s="112"/>
      <c r="G32" s="160" t="str">
        <f>IF(E32&gt;0,"PowerSpreadFlag 1일때 입력","입력필요X")</f>
        <v>입력필요X</v>
      </c>
      <c r="H32" s="160"/>
      <c r="I32" s="160" t="str">
        <f>IF(E32&gt;0,"만기1","")</f>
        <v/>
      </c>
      <c r="J32" s="160"/>
      <c r="K32" s="114">
        <v>10</v>
      </c>
      <c r="L32" s="115"/>
      <c r="N32" s="38">
        <f t="shared" si="2"/>
        <v>46822</v>
      </c>
      <c r="O32" s="38">
        <f t="shared" si="3"/>
        <v>47006</v>
      </c>
      <c r="P32" s="38">
        <f t="shared" si="4"/>
        <v>46822</v>
      </c>
      <c r="Q32" s="38">
        <f t="shared" si="5"/>
        <v>47006</v>
      </c>
      <c r="R32" s="38">
        <f t="shared" si="6"/>
        <v>47007</v>
      </c>
      <c r="S32" s="88">
        <v>0</v>
      </c>
      <c r="T32" s="88">
        <v>0</v>
      </c>
      <c r="W32" s="41">
        <v>41245</v>
      </c>
      <c r="X32" s="41">
        <v>41245</v>
      </c>
      <c r="Y32" s="41">
        <v>41245</v>
      </c>
      <c r="AD32" s="137"/>
      <c r="AE32" s="120" t="str">
        <f>IF($AF$7&gt;=3,"Power Spread Flag", "")</f>
        <v/>
      </c>
      <c r="AF32" s="120"/>
      <c r="AG32" s="112">
        <v>0</v>
      </c>
      <c r="AH32" s="112"/>
      <c r="AI32" s="113" t="str">
        <f>IF(AG32&gt;0,"PowerSpreadFlag 1일때 입력","입력필요X")</f>
        <v>입력필요X</v>
      </c>
      <c r="AJ32" s="113"/>
      <c r="AK32" s="113" t="str">
        <f>IF(AG32&gt;0,"만기1","")</f>
        <v/>
      </c>
      <c r="AL32" s="113"/>
      <c r="AM32" s="114">
        <v>10</v>
      </c>
      <c r="AN32" s="115"/>
      <c r="AP32" s="38">
        <f t="shared" si="7"/>
        <v>46822</v>
      </c>
      <c r="AQ32" s="38">
        <f t="shared" si="8"/>
        <v>47006</v>
      </c>
      <c r="AR32" s="38">
        <f t="shared" si="9"/>
        <v>46822</v>
      </c>
      <c r="AS32" s="38">
        <f t="shared" si="10"/>
        <v>47006</v>
      </c>
      <c r="AT32" s="38">
        <f t="shared" si="11"/>
        <v>47007</v>
      </c>
      <c r="AU32" s="88">
        <v>0</v>
      </c>
      <c r="AV32" s="88">
        <v>0</v>
      </c>
      <c r="AW32" s="88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5" t="str">
        <f>IF($D$7&gt;2, "사용", "커브개수"&amp;"="&amp;$D$7&amp;"이므로 사용안함")</f>
        <v>커브개수=1이므로 사용안함</v>
      </c>
      <c r="C33" s="153" t="str">
        <f>IF($D$7&gt;=3,"기초금리 Range상한", "")</f>
        <v/>
      </c>
      <c r="D33" s="153"/>
      <c r="E33" s="142">
        <v>0.5</v>
      </c>
      <c r="F33" s="142"/>
      <c r="G33" s="160"/>
      <c r="H33" s="160"/>
      <c r="I33" s="160" t="str">
        <f>IF(E32&gt;0,"만기2","")</f>
        <v/>
      </c>
      <c r="J33" s="160"/>
      <c r="K33" s="114">
        <v>5</v>
      </c>
      <c r="L33" s="115"/>
      <c r="N33" s="38">
        <f t="shared" si="2"/>
        <v>47006</v>
      </c>
      <c r="O33" s="38">
        <f t="shared" si="3"/>
        <v>47187</v>
      </c>
      <c r="P33" s="38">
        <f t="shared" si="4"/>
        <v>47006</v>
      </c>
      <c r="Q33" s="38">
        <f t="shared" si="5"/>
        <v>47187</v>
      </c>
      <c r="R33" s="38">
        <f t="shared" si="6"/>
        <v>47188</v>
      </c>
      <c r="S33" s="88">
        <v>0</v>
      </c>
      <c r="T33" s="88">
        <v>0</v>
      </c>
      <c r="W33" s="41">
        <v>41251</v>
      </c>
      <c r="X33" s="41">
        <v>41251</v>
      </c>
      <c r="Y33" s="41">
        <v>41251</v>
      </c>
      <c r="AD33" s="137" t="str">
        <f>IF($AF$7&gt;2, "사용", "커브개수"&amp;"="&amp;$AF$7&amp;"이므로 사용안함")</f>
        <v>커브개수=1이므로 사용안함</v>
      </c>
      <c r="AE33" s="120" t="str">
        <f>IF($AF$7&gt;=3,"기초금리 Range상한", "")</f>
        <v/>
      </c>
      <c r="AF33" s="120"/>
      <c r="AG33" s="142">
        <v>0.5</v>
      </c>
      <c r="AH33" s="142"/>
      <c r="AI33" s="113"/>
      <c r="AJ33" s="113"/>
      <c r="AK33" s="113" t="str">
        <f>IF(AG32&gt;0,"만기2","")</f>
        <v/>
      </c>
      <c r="AL33" s="113"/>
      <c r="AM33" s="114">
        <v>5</v>
      </c>
      <c r="AN33" s="115"/>
      <c r="AP33" s="38">
        <f t="shared" si="7"/>
        <v>47006</v>
      </c>
      <c r="AQ33" s="38">
        <f>EDATE(AP33,3)</f>
        <v>47097</v>
      </c>
      <c r="AR33" s="38">
        <f t="shared" si="9"/>
        <v>47006</v>
      </c>
      <c r="AS33" s="38">
        <f t="shared" si="10"/>
        <v>47097</v>
      </c>
      <c r="AT33" s="38">
        <f t="shared" si="11"/>
        <v>47098</v>
      </c>
      <c r="AU33" s="88">
        <v>0</v>
      </c>
      <c r="AV33" s="88">
        <v>0</v>
      </c>
      <c r="AW33" s="88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5"/>
      <c r="C34" s="153" t="str">
        <f>IF($D$7&gt;=3,"기초금리 Range하한", "")</f>
        <v/>
      </c>
      <c r="D34" s="154"/>
      <c r="E34" s="122">
        <v>-0.1</v>
      </c>
      <c r="F34" s="122"/>
      <c r="G34" s="166"/>
      <c r="H34" s="166"/>
      <c r="I34" s="161" t="str">
        <f>IF(E32&gt;0,"Spread1","")</f>
        <v/>
      </c>
      <c r="J34" s="161"/>
      <c r="K34" s="151" t="str">
        <f>IF(E32&gt;0, I32&amp;"-"&amp;I33, "")</f>
        <v/>
      </c>
      <c r="L34" s="152"/>
      <c r="N34" s="38">
        <f t="shared" si="2"/>
        <v>47187</v>
      </c>
      <c r="O34" s="38">
        <f t="shared" si="3"/>
        <v>47371</v>
      </c>
      <c r="P34" s="38">
        <f t="shared" si="4"/>
        <v>47187</v>
      </c>
      <c r="Q34" s="38">
        <f t="shared" si="5"/>
        <v>47371</v>
      </c>
      <c r="R34" s="38">
        <f t="shared" si="6"/>
        <v>47372</v>
      </c>
      <c r="S34" s="88">
        <v>0</v>
      </c>
      <c r="T34" s="88">
        <v>0</v>
      </c>
      <c r="W34" s="41">
        <v>41252</v>
      </c>
      <c r="X34" s="41">
        <v>41252</v>
      </c>
      <c r="Y34" s="41">
        <v>41252</v>
      </c>
      <c r="AD34" s="137"/>
      <c r="AE34" s="120" t="str">
        <f>IF($AF$7&gt;=3,"기초금리 Range하한", "")</f>
        <v/>
      </c>
      <c r="AF34" s="121"/>
      <c r="AG34" s="122">
        <v>-0.1</v>
      </c>
      <c r="AH34" s="122"/>
      <c r="AI34" s="119"/>
      <c r="AJ34" s="119"/>
      <c r="AK34" s="116" t="str">
        <f>IF(AG32&gt;0,"Spread1","")</f>
        <v/>
      </c>
      <c r="AL34" s="116"/>
      <c r="AM34" s="117" t="str">
        <f>IF(AG32&gt;0, AK32&amp;"-"&amp;AK33, "")</f>
        <v/>
      </c>
      <c r="AN34" s="118"/>
      <c r="AP34" s="38">
        <f t="shared" si="7"/>
        <v>47097</v>
      </c>
      <c r="AQ34" s="38">
        <f t="shared" ref="AQ34:AQ70" si="12">EDATE(AP34,3)</f>
        <v>47187</v>
      </c>
      <c r="AR34" s="38">
        <f t="shared" ref="AR34:AR61" si="13">AP34</f>
        <v>47097</v>
      </c>
      <c r="AS34" s="38">
        <f t="shared" ref="AS34:AS61" si="14">AQ34</f>
        <v>47187</v>
      </c>
      <c r="AT34" s="38">
        <f t="shared" si="11"/>
        <v>47188</v>
      </c>
      <c r="AU34" s="88">
        <v>0</v>
      </c>
      <c r="AV34" s="88">
        <v>0</v>
      </c>
      <c r="AW34" s="88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3" t="str">
        <f>IF($D$7&gt;=3,"Payoff조건Multiple", "")</f>
        <v/>
      </c>
      <c r="D35" s="143"/>
      <c r="E35" s="128">
        <v>0</v>
      </c>
      <c r="F35" s="128"/>
      <c r="G35" s="109" t="str">
        <f>IF(E32&gt;0,"예시) 10년-5년 스왑: 연 지급횟수=4, 만기1=10, 만기2=5","")</f>
        <v/>
      </c>
      <c r="H35" s="109"/>
      <c r="I35" s="109"/>
      <c r="J35" s="109"/>
      <c r="K35" s="109"/>
      <c r="L35" s="110"/>
      <c r="N35" s="38">
        <f t="shared" si="2"/>
        <v>47371</v>
      </c>
      <c r="O35" s="38">
        <f t="shared" si="3"/>
        <v>47552</v>
      </c>
      <c r="P35" s="38">
        <f t="shared" si="4"/>
        <v>47371</v>
      </c>
      <c r="Q35" s="38">
        <f t="shared" si="5"/>
        <v>47552</v>
      </c>
      <c r="R35" s="38">
        <f t="shared" si="6"/>
        <v>47553</v>
      </c>
      <c r="S35" s="88">
        <v>0</v>
      </c>
      <c r="T35" s="88">
        <v>0</v>
      </c>
      <c r="W35" s="41">
        <v>41258</v>
      </c>
      <c r="X35" s="41">
        <v>41258</v>
      </c>
      <c r="Y35" s="41">
        <v>41258</v>
      </c>
      <c r="AD35" s="32"/>
      <c r="AE35" s="129" t="str">
        <f>IF($AF$7&gt;=3,"Payoff조건Multiple", "")</f>
        <v/>
      </c>
      <c r="AF35" s="129"/>
      <c r="AG35" s="128">
        <v>0</v>
      </c>
      <c r="AH35" s="128"/>
      <c r="AI35" s="109" t="str">
        <f>IF(AG32&gt;0,"예시) 10년-5년 스왑: 연 지급횟수=4, 만기1=10, 만기2=5","")</f>
        <v/>
      </c>
      <c r="AJ35" s="109"/>
      <c r="AK35" s="109"/>
      <c r="AL35" s="109"/>
      <c r="AM35" s="109"/>
      <c r="AN35" s="110"/>
      <c r="AP35" s="38">
        <f t="shared" si="7"/>
        <v>47187</v>
      </c>
      <c r="AQ35" s="38">
        <f t="shared" si="12"/>
        <v>47279</v>
      </c>
      <c r="AR35" s="38">
        <f t="shared" si="13"/>
        <v>47187</v>
      </c>
      <c r="AS35" s="38">
        <f t="shared" si="14"/>
        <v>47279</v>
      </c>
      <c r="AT35" s="38">
        <f t="shared" si="11"/>
        <v>47280</v>
      </c>
      <c r="AU35" s="88">
        <v>0</v>
      </c>
      <c r="AV35" s="88">
        <v>0</v>
      </c>
      <c r="AW35" s="88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47552</v>
      </c>
      <c r="O36" s="38">
        <f t="shared" si="3"/>
        <v>47736</v>
      </c>
      <c r="P36" s="38">
        <f t="shared" si="4"/>
        <v>47552</v>
      </c>
      <c r="Q36" s="38">
        <f t="shared" si="5"/>
        <v>47736</v>
      </c>
      <c r="R36" s="38">
        <f t="shared" si="6"/>
        <v>47737</v>
      </c>
      <c r="S36" s="88">
        <v>0</v>
      </c>
      <c r="T36" s="88">
        <v>0</v>
      </c>
      <c r="W36" s="41">
        <v>41259</v>
      </c>
      <c r="X36" s="41">
        <v>41259</v>
      </c>
      <c r="Y36" s="41">
        <v>41259</v>
      </c>
      <c r="AP36" s="38">
        <f t="shared" si="7"/>
        <v>47279</v>
      </c>
      <c r="AQ36" s="38">
        <f t="shared" si="12"/>
        <v>47371</v>
      </c>
      <c r="AR36" s="38">
        <f t="shared" si="13"/>
        <v>47279</v>
      </c>
      <c r="AS36" s="38">
        <f t="shared" si="14"/>
        <v>47371</v>
      </c>
      <c r="AT36" s="38">
        <f t="shared" si="11"/>
        <v>47372</v>
      </c>
      <c r="AU36" s="88">
        <v>0</v>
      </c>
      <c r="AV36" s="88">
        <v>0</v>
      </c>
      <c r="AW36" s="88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6" t="s">
        <v>94</v>
      </c>
      <c r="C37" s="132" t="s">
        <v>33</v>
      </c>
      <c r="D37" s="132"/>
      <c r="E37" s="194">
        <v>1</v>
      </c>
      <c r="F37" s="195"/>
      <c r="G37" s="35"/>
      <c r="H37" s="136" t="s">
        <v>48</v>
      </c>
      <c r="I37" s="156"/>
      <c r="J37" s="144">
        <v>0</v>
      </c>
      <c r="K37" s="144"/>
      <c r="L37" s="145"/>
      <c r="N37" s="38">
        <f t="shared" si="2"/>
        <v>47736</v>
      </c>
      <c r="O37" s="38">
        <f t="shared" si="3"/>
        <v>47917</v>
      </c>
      <c r="P37" s="38">
        <f t="shared" si="4"/>
        <v>47736</v>
      </c>
      <c r="Q37" s="38">
        <f t="shared" si="5"/>
        <v>47917</v>
      </c>
      <c r="R37" s="38">
        <f t="shared" si="6"/>
        <v>47918</v>
      </c>
      <c r="S37" s="88">
        <v>0</v>
      </c>
      <c r="T37" s="88">
        <v>0</v>
      </c>
      <c r="W37" s="41">
        <v>41262</v>
      </c>
      <c r="X37" s="41">
        <v>41262</v>
      </c>
      <c r="Y37" s="41">
        <v>41262</v>
      </c>
      <c r="AD37" s="156" t="s">
        <v>94</v>
      </c>
      <c r="AE37" s="132" t="s">
        <v>33</v>
      </c>
      <c r="AF37" s="132"/>
      <c r="AG37" s="194">
        <v>1</v>
      </c>
      <c r="AH37" s="195"/>
      <c r="AJ37" s="136" t="s">
        <v>48</v>
      </c>
      <c r="AK37" s="156"/>
      <c r="AL37" s="144">
        <v>0</v>
      </c>
      <c r="AM37" s="144"/>
      <c r="AN37" s="145"/>
      <c r="AP37" s="38">
        <f t="shared" si="7"/>
        <v>47371</v>
      </c>
      <c r="AQ37" s="38">
        <f t="shared" si="12"/>
        <v>47462</v>
      </c>
      <c r="AR37" s="38">
        <f t="shared" si="13"/>
        <v>47371</v>
      </c>
      <c r="AS37" s="38">
        <f t="shared" si="14"/>
        <v>47462</v>
      </c>
      <c r="AT37" s="38">
        <f t="shared" si="11"/>
        <v>47463</v>
      </c>
      <c r="AU37" s="88">
        <v>0</v>
      </c>
      <c r="AV37" s="88">
        <v>0</v>
      </c>
      <c r="AW37" s="88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2"/>
      <c r="C38" s="129"/>
      <c r="D38" s="129"/>
      <c r="E38" s="196"/>
      <c r="F38" s="197"/>
      <c r="G38" s="35"/>
      <c r="H38" s="157" t="s">
        <v>49</v>
      </c>
      <c r="I38" s="158"/>
      <c r="J38" s="158"/>
      <c r="K38" s="158"/>
      <c r="L38" s="159"/>
      <c r="N38" s="38">
        <f t="shared" si="2"/>
        <v>47917</v>
      </c>
      <c r="O38" s="38">
        <f t="shared" si="3"/>
        <v>48101</v>
      </c>
      <c r="P38" s="38">
        <f t="shared" si="4"/>
        <v>47917</v>
      </c>
      <c r="Q38" s="38">
        <f t="shared" si="5"/>
        <v>48101</v>
      </c>
      <c r="R38" s="38">
        <f t="shared" si="6"/>
        <v>48102</v>
      </c>
      <c r="S38" s="88">
        <v>0</v>
      </c>
      <c r="T38" s="88">
        <v>0</v>
      </c>
      <c r="W38" s="41">
        <v>41265</v>
      </c>
      <c r="X38" s="41">
        <v>41265</v>
      </c>
      <c r="Y38" s="41">
        <v>41265</v>
      </c>
      <c r="AD38" s="192"/>
      <c r="AE38" s="129"/>
      <c r="AF38" s="129"/>
      <c r="AG38" s="196"/>
      <c r="AH38" s="197"/>
      <c r="AJ38" s="157" t="s">
        <v>49</v>
      </c>
      <c r="AK38" s="158"/>
      <c r="AL38" s="158"/>
      <c r="AM38" s="158"/>
      <c r="AN38" s="159"/>
      <c r="AP38" s="38">
        <f t="shared" si="7"/>
        <v>47462</v>
      </c>
      <c r="AQ38" s="38">
        <f t="shared" si="12"/>
        <v>47552</v>
      </c>
      <c r="AR38" s="38">
        <f t="shared" si="13"/>
        <v>47462</v>
      </c>
      <c r="AS38" s="38">
        <f t="shared" si="14"/>
        <v>47552</v>
      </c>
      <c r="AT38" s="38">
        <f t="shared" si="11"/>
        <v>47553</v>
      </c>
      <c r="AU38" s="88">
        <v>0</v>
      </c>
      <c r="AV38" s="88">
        <v>0</v>
      </c>
      <c r="AW38" s="88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2"/>
      <c r="C39" s="193"/>
      <c r="D39" s="193"/>
      <c r="E39" s="193"/>
      <c r="F39" s="193"/>
      <c r="G39" s="35"/>
      <c r="H39" s="189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0"/>
      <c r="J39" s="190"/>
      <c r="K39" s="190"/>
      <c r="L39" s="191"/>
      <c r="N39" s="38">
        <f t="shared" si="2"/>
        <v>48101</v>
      </c>
      <c r="O39" s="38">
        <f t="shared" si="3"/>
        <v>48283</v>
      </c>
      <c r="P39" s="38">
        <f t="shared" si="4"/>
        <v>48101</v>
      </c>
      <c r="Q39" s="38">
        <f t="shared" si="5"/>
        <v>48283</v>
      </c>
      <c r="R39" s="38">
        <f t="shared" si="6"/>
        <v>48284</v>
      </c>
      <c r="S39" s="88">
        <v>0</v>
      </c>
      <c r="T39" s="88">
        <v>0</v>
      </c>
      <c r="W39" s="41">
        <v>41266</v>
      </c>
      <c r="X39" s="41">
        <v>41266</v>
      </c>
      <c r="Y39" s="41">
        <v>41266</v>
      </c>
      <c r="AD39" s="192"/>
      <c r="AE39" s="193"/>
      <c r="AF39" s="193"/>
      <c r="AG39" s="193"/>
      <c r="AH39" s="193"/>
      <c r="AJ39" s="186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7"/>
      <c r="AL39" s="187"/>
      <c r="AM39" s="187"/>
      <c r="AN39" s="188"/>
      <c r="AP39" s="38">
        <f t="shared" si="7"/>
        <v>47552</v>
      </c>
      <c r="AQ39" s="38">
        <f t="shared" si="12"/>
        <v>47644</v>
      </c>
      <c r="AR39" s="38">
        <f t="shared" si="13"/>
        <v>47552</v>
      </c>
      <c r="AS39" s="38">
        <f t="shared" si="14"/>
        <v>47644</v>
      </c>
      <c r="AT39" s="38">
        <f t="shared" si="11"/>
        <v>47645</v>
      </c>
      <c r="AU39" s="88">
        <v>0</v>
      </c>
      <c r="AV39" s="88">
        <v>0</v>
      </c>
      <c r="AW39" s="88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2"/>
        <v>48283</v>
      </c>
      <c r="O40" s="38">
        <f t="shared" si="3"/>
        <v>48467</v>
      </c>
      <c r="P40" s="38">
        <f t="shared" si="4"/>
        <v>48283</v>
      </c>
      <c r="Q40" s="38">
        <f t="shared" si="5"/>
        <v>48467</v>
      </c>
      <c r="R40" s="38">
        <f t="shared" si="6"/>
        <v>48468</v>
      </c>
      <c r="S40" s="88">
        <v>0</v>
      </c>
      <c r="T40" s="88">
        <v>0</v>
      </c>
      <c r="W40" s="41">
        <v>41268</v>
      </c>
      <c r="X40" s="41">
        <v>41268</v>
      </c>
      <c r="Y40" s="41">
        <v>41268</v>
      </c>
      <c r="AP40" s="38">
        <f t="shared" si="7"/>
        <v>47644</v>
      </c>
      <c r="AQ40" s="38">
        <f t="shared" si="12"/>
        <v>47736</v>
      </c>
      <c r="AR40" s="38">
        <f t="shared" si="13"/>
        <v>47644</v>
      </c>
      <c r="AS40" s="38">
        <f t="shared" si="14"/>
        <v>47736</v>
      </c>
      <c r="AT40" s="38">
        <f t="shared" si="11"/>
        <v>47737</v>
      </c>
      <c r="AU40" s="88">
        <v>0</v>
      </c>
      <c r="AV40" s="88">
        <v>0</v>
      </c>
      <c r="AW40" s="88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2"/>
        <v>48467</v>
      </c>
      <c r="O41" s="38">
        <f t="shared" si="3"/>
        <v>48648</v>
      </c>
      <c r="P41" s="38">
        <f t="shared" si="4"/>
        <v>48467</v>
      </c>
      <c r="Q41" s="38">
        <f t="shared" si="5"/>
        <v>48648</v>
      </c>
      <c r="R41" s="38">
        <f t="shared" si="6"/>
        <v>48649</v>
      </c>
      <c r="S41" s="88">
        <v>0</v>
      </c>
      <c r="T41" s="88">
        <v>0</v>
      </c>
      <c r="W41" s="41">
        <v>41272</v>
      </c>
      <c r="X41" s="41">
        <v>41272</v>
      </c>
      <c r="Y41" s="41">
        <v>41272</v>
      </c>
      <c r="AP41" s="38">
        <f t="shared" si="7"/>
        <v>47736</v>
      </c>
      <c r="AQ41" s="38">
        <f t="shared" si="12"/>
        <v>47827</v>
      </c>
      <c r="AR41" s="38">
        <f t="shared" si="13"/>
        <v>47736</v>
      </c>
      <c r="AS41" s="38">
        <f t="shared" si="14"/>
        <v>47827</v>
      </c>
      <c r="AT41" s="38">
        <f t="shared" si="11"/>
        <v>47828</v>
      </c>
      <c r="AU41" s="88">
        <v>0</v>
      </c>
      <c r="AV41" s="88">
        <v>0</v>
      </c>
      <c r="AW41" s="88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6" t="s">
        <v>89</v>
      </c>
      <c r="C42" s="106"/>
      <c r="D42" s="106"/>
      <c r="E42" s="106"/>
      <c r="F42" s="106"/>
      <c r="G42" s="106"/>
      <c r="H42" s="106"/>
      <c r="I42" s="106"/>
      <c r="J42" s="106"/>
      <c r="K42" s="106"/>
      <c r="L42" s="106"/>
      <c r="N42" s="38">
        <f t="shared" si="2"/>
        <v>48648</v>
      </c>
      <c r="O42" s="38">
        <f t="shared" si="3"/>
        <v>48832</v>
      </c>
      <c r="P42" s="38">
        <f t="shared" si="4"/>
        <v>48648</v>
      </c>
      <c r="Q42" s="38">
        <f t="shared" si="5"/>
        <v>48832</v>
      </c>
      <c r="R42" s="38">
        <f t="shared" si="6"/>
        <v>48833</v>
      </c>
      <c r="S42" s="88">
        <v>0</v>
      </c>
      <c r="T42" s="88">
        <v>0</v>
      </c>
      <c r="W42" s="41">
        <v>41273</v>
      </c>
      <c r="X42" s="41">
        <v>41273</v>
      </c>
      <c r="Y42" s="41">
        <v>41273</v>
      </c>
      <c r="AP42" s="38">
        <f t="shared" si="7"/>
        <v>47827</v>
      </c>
      <c r="AQ42" s="38">
        <f t="shared" si="12"/>
        <v>47917</v>
      </c>
      <c r="AR42" s="38">
        <f t="shared" si="13"/>
        <v>47827</v>
      </c>
      <c r="AS42" s="38">
        <f t="shared" si="14"/>
        <v>47917</v>
      </c>
      <c r="AT42" s="38">
        <f t="shared" si="11"/>
        <v>47918</v>
      </c>
      <c r="AU42" s="88">
        <v>0</v>
      </c>
      <c r="AV42" s="88">
        <v>0</v>
      </c>
      <c r="AW42" s="88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5" t="s">
        <v>78</v>
      </c>
      <c r="C43" s="55" t="s">
        <v>90</v>
      </c>
      <c r="D43" s="55" t="s">
        <v>79</v>
      </c>
      <c r="E43" s="55" t="s">
        <v>80</v>
      </c>
      <c r="F43" s="55" t="s">
        <v>81</v>
      </c>
      <c r="G43" s="55" t="s">
        <v>82</v>
      </c>
      <c r="H43" s="55" t="s">
        <v>83</v>
      </c>
      <c r="I43" s="55" t="s">
        <v>87</v>
      </c>
      <c r="J43" s="55" t="s">
        <v>84</v>
      </c>
      <c r="K43" s="55" t="s">
        <v>85</v>
      </c>
      <c r="L43" s="55" t="s">
        <v>86</v>
      </c>
      <c r="N43" s="38">
        <f t="shared" si="2"/>
        <v>48832</v>
      </c>
      <c r="O43" s="38">
        <f t="shared" si="3"/>
        <v>49013</v>
      </c>
      <c r="P43" s="38">
        <f t="shared" si="4"/>
        <v>48832</v>
      </c>
      <c r="Q43" s="38">
        <f t="shared" si="5"/>
        <v>49013</v>
      </c>
      <c r="R43" s="38">
        <f t="shared" si="6"/>
        <v>49014</v>
      </c>
      <c r="S43" s="88">
        <v>0</v>
      </c>
      <c r="T43" s="88">
        <v>0</v>
      </c>
      <c r="W43" s="41">
        <v>41275</v>
      </c>
      <c r="X43" s="41">
        <v>41275</v>
      </c>
      <c r="Y43" s="41">
        <v>41275</v>
      </c>
      <c r="AP43" s="38">
        <f t="shared" si="7"/>
        <v>47917</v>
      </c>
      <c r="AQ43" s="38">
        <f t="shared" si="12"/>
        <v>48009</v>
      </c>
      <c r="AR43" s="38">
        <f t="shared" si="13"/>
        <v>47917</v>
      </c>
      <c r="AS43" s="38">
        <f t="shared" si="14"/>
        <v>48009</v>
      </c>
      <c r="AT43" s="38">
        <f t="shared" si="11"/>
        <v>48010</v>
      </c>
      <c r="AU43" s="88">
        <v>0</v>
      </c>
      <c r="AV43" s="88">
        <v>0</v>
      </c>
      <c r="AW43" s="88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43520</v>
      </c>
      <c r="C44" s="56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57">
        <v>2</v>
      </c>
      <c r="K44" s="42">
        <v>1</v>
      </c>
      <c r="L44" s="42">
        <f>COUNT(B44:B1048576)</f>
        <v>40</v>
      </c>
      <c r="N44" s="38">
        <f t="shared" si="2"/>
        <v>49013</v>
      </c>
      <c r="O44" s="38">
        <f t="shared" si="3"/>
        <v>49197</v>
      </c>
      <c r="P44" s="38">
        <f t="shared" si="4"/>
        <v>49013</v>
      </c>
      <c r="Q44" s="38">
        <f t="shared" si="5"/>
        <v>49197</v>
      </c>
      <c r="R44" s="38">
        <f t="shared" si="6"/>
        <v>49198</v>
      </c>
      <c r="S44" s="88">
        <v>0</v>
      </c>
      <c r="T44" s="88">
        <v>0</v>
      </c>
      <c r="W44" s="41">
        <v>41279</v>
      </c>
      <c r="X44" s="41">
        <v>41279</v>
      </c>
      <c r="Y44" s="41">
        <v>41279</v>
      </c>
      <c r="AD44" s="58"/>
      <c r="AE44" s="58"/>
      <c r="AF44" s="58"/>
      <c r="AG44" s="58"/>
      <c r="AH44" s="58"/>
      <c r="AI44" s="58"/>
      <c r="AJ44" s="58"/>
      <c r="AK44" s="58"/>
      <c r="AL44" s="58"/>
      <c r="AP44" s="38">
        <f t="shared" si="7"/>
        <v>48009</v>
      </c>
      <c r="AQ44" s="38">
        <f t="shared" si="12"/>
        <v>48101</v>
      </c>
      <c r="AR44" s="38">
        <f t="shared" si="13"/>
        <v>48009</v>
      </c>
      <c r="AS44" s="38">
        <f t="shared" si="14"/>
        <v>48101</v>
      </c>
      <c r="AT44" s="38">
        <f t="shared" si="11"/>
        <v>48102</v>
      </c>
      <c r="AU44" s="88">
        <v>0</v>
      </c>
      <c r="AV44" s="88">
        <v>0</v>
      </c>
      <c r="AW44" s="88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15">R14-15</f>
        <v>43704</v>
      </c>
      <c r="C45" s="56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2"/>
        <v>49197</v>
      </c>
      <c r="O45" s="38">
        <f t="shared" si="3"/>
        <v>49378</v>
      </c>
      <c r="P45" s="38">
        <f t="shared" si="4"/>
        <v>49197</v>
      </c>
      <c r="Q45" s="38">
        <f t="shared" si="5"/>
        <v>49378</v>
      </c>
      <c r="R45" s="38">
        <f t="shared" si="6"/>
        <v>49379</v>
      </c>
      <c r="S45" s="88">
        <v>0</v>
      </c>
      <c r="T45" s="88">
        <v>0</v>
      </c>
      <c r="W45" s="41">
        <v>41280</v>
      </c>
      <c r="X45" s="41">
        <v>41280</v>
      </c>
      <c r="Y45" s="41">
        <v>41280</v>
      </c>
      <c r="AP45" s="38">
        <f t="shared" si="7"/>
        <v>48101</v>
      </c>
      <c r="AQ45" s="38">
        <f t="shared" si="12"/>
        <v>48192</v>
      </c>
      <c r="AR45" s="38">
        <f t="shared" si="13"/>
        <v>48101</v>
      </c>
      <c r="AS45" s="38">
        <f t="shared" si="14"/>
        <v>48192</v>
      </c>
      <c r="AT45" s="38">
        <f t="shared" si="11"/>
        <v>48193</v>
      </c>
      <c r="AU45" s="88">
        <v>0</v>
      </c>
      <c r="AV45" s="88">
        <v>0</v>
      </c>
      <c r="AW45" s="88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15"/>
        <v>43886</v>
      </c>
      <c r="C46" s="56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2"/>
        <v>49378</v>
      </c>
      <c r="O46" s="38">
        <f t="shared" si="3"/>
        <v>49562</v>
      </c>
      <c r="P46" s="38">
        <f t="shared" si="4"/>
        <v>49378</v>
      </c>
      <c r="Q46" s="38">
        <f t="shared" si="5"/>
        <v>49562</v>
      </c>
      <c r="R46" s="38">
        <f t="shared" si="6"/>
        <v>49563</v>
      </c>
      <c r="S46" s="88">
        <v>0</v>
      </c>
      <c r="T46" s="88">
        <v>0</v>
      </c>
      <c r="W46" s="41">
        <v>41286</v>
      </c>
      <c r="X46" s="41">
        <v>41286</v>
      </c>
      <c r="Y46" s="41">
        <v>41286</v>
      </c>
      <c r="AP46" s="38">
        <f t="shared" si="7"/>
        <v>48192</v>
      </c>
      <c r="AQ46" s="38">
        <f t="shared" si="12"/>
        <v>48283</v>
      </c>
      <c r="AR46" s="38">
        <f t="shared" si="13"/>
        <v>48192</v>
      </c>
      <c r="AS46" s="38">
        <f t="shared" si="14"/>
        <v>48283</v>
      </c>
      <c r="AT46" s="38">
        <f t="shared" si="11"/>
        <v>48284</v>
      </c>
      <c r="AU46" s="88">
        <v>0</v>
      </c>
      <c r="AV46" s="88">
        <v>0</v>
      </c>
      <c r="AW46" s="88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15"/>
        <v>44070</v>
      </c>
      <c r="C47" s="56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2"/>
        <v>49562</v>
      </c>
      <c r="O47" s="38">
        <f t="shared" si="3"/>
        <v>49744</v>
      </c>
      <c r="P47" s="38">
        <f t="shared" si="4"/>
        <v>49562</v>
      </c>
      <c r="Q47" s="38">
        <f t="shared" si="5"/>
        <v>49744</v>
      </c>
      <c r="R47" s="38">
        <f t="shared" si="6"/>
        <v>49745</v>
      </c>
      <c r="S47" s="88">
        <v>0</v>
      </c>
      <c r="T47" s="88">
        <v>0</v>
      </c>
      <c r="W47" s="41">
        <v>41287</v>
      </c>
      <c r="X47" s="41">
        <v>41287</v>
      </c>
      <c r="Y47" s="41">
        <v>41287</v>
      </c>
      <c r="AP47" s="38">
        <f t="shared" si="7"/>
        <v>48283</v>
      </c>
      <c r="AQ47" s="38">
        <f t="shared" si="12"/>
        <v>48375</v>
      </c>
      <c r="AR47" s="38">
        <f t="shared" si="13"/>
        <v>48283</v>
      </c>
      <c r="AS47" s="38">
        <f t="shared" si="14"/>
        <v>48375</v>
      </c>
      <c r="AT47" s="38">
        <f t="shared" si="11"/>
        <v>48376</v>
      </c>
      <c r="AU47" s="88">
        <v>0</v>
      </c>
      <c r="AV47" s="88">
        <v>0</v>
      </c>
      <c r="AW47" s="88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15"/>
        <v>44251</v>
      </c>
      <c r="C48" s="56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2"/>
        <v>49744</v>
      </c>
      <c r="O48" s="38">
        <f t="shared" si="3"/>
        <v>49928</v>
      </c>
      <c r="P48" s="38">
        <f t="shared" si="4"/>
        <v>49744</v>
      </c>
      <c r="Q48" s="38">
        <f t="shared" si="5"/>
        <v>49928</v>
      </c>
      <c r="R48" s="38">
        <f t="shared" si="6"/>
        <v>49929</v>
      </c>
      <c r="S48" s="88">
        <v>0</v>
      </c>
      <c r="T48" s="88">
        <v>0</v>
      </c>
      <c r="W48" s="41">
        <v>41293</v>
      </c>
      <c r="X48" s="41">
        <v>41293</v>
      </c>
      <c r="Y48" s="41">
        <v>41293</v>
      </c>
      <c r="AP48" s="38">
        <f t="shared" si="7"/>
        <v>48375</v>
      </c>
      <c r="AQ48" s="38">
        <f t="shared" si="12"/>
        <v>48467</v>
      </c>
      <c r="AR48" s="38">
        <f t="shared" si="13"/>
        <v>48375</v>
      </c>
      <c r="AS48" s="38">
        <f t="shared" si="14"/>
        <v>48467</v>
      </c>
      <c r="AT48" s="38">
        <f t="shared" si="11"/>
        <v>48468</v>
      </c>
      <c r="AU48" s="88">
        <v>0</v>
      </c>
      <c r="AV48" s="88">
        <v>0</v>
      </c>
      <c r="AW48" s="88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15"/>
        <v>44435</v>
      </c>
      <c r="C49" s="56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2"/>
        <v>49928</v>
      </c>
      <c r="O49" s="38">
        <f t="shared" si="3"/>
        <v>50109</v>
      </c>
      <c r="P49" s="38">
        <f t="shared" si="4"/>
        <v>49928</v>
      </c>
      <c r="Q49" s="38">
        <f t="shared" si="5"/>
        <v>50109</v>
      </c>
      <c r="R49" s="38">
        <f t="shared" si="6"/>
        <v>50110</v>
      </c>
      <c r="S49" s="88">
        <v>0</v>
      </c>
      <c r="T49" s="88">
        <v>0</v>
      </c>
      <c r="W49" s="41">
        <v>41294</v>
      </c>
      <c r="X49" s="41">
        <v>41294</v>
      </c>
      <c r="Y49" s="41">
        <v>41294</v>
      </c>
      <c r="AP49" s="38">
        <f t="shared" si="7"/>
        <v>48467</v>
      </c>
      <c r="AQ49" s="38">
        <f t="shared" si="12"/>
        <v>48558</v>
      </c>
      <c r="AR49" s="38">
        <f t="shared" si="13"/>
        <v>48467</v>
      </c>
      <c r="AS49" s="38">
        <f t="shared" si="14"/>
        <v>48558</v>
      </c>
      <c r="AT49" s="38">
        <f t="shared" si="11"/>
        <v>48559</v>
      </c>
      <c r="AU49" s="88">
        <v>0</v>
      </c>
      <c r="AV49" s="88">
        <v>0</v>
      </c>
      <c r="AW49" s="88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15"/>
        <v>44616</v>
      </c>
      <c r="C50" s="56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2"/>
        <v>50109</v>
      </c>
      <c r="O50" s="38">
        <f t="shared" si="3"/>
        <v>50293</v>
      </c>
      <c r="P50" s="38">
        <f t="shared" si="4"/>
        <v>50109</v>
      </c>
      <c r="Q50" s="38">
        <f t="shared" si="5"/>
        <v>50293</v>
      </c>
      <c r="R50" s="38">
        <f t="shared" si="6"/>
        <v>50294</v>
      </c>
      <c r="S50" s="88">
        <v>0</v>
      </c>
      <c r="T50" s="88">
        <v>0</v>
      </c>
      <c r="W50" s="41">
        <v>41300</v>
      </c>
      <c r="X50" s="41">
        <v>41300</v>
      </c>
      <c r="Y50" s="41">
        <v>41300</v>
      </c>
      <c r="AP50" s="38">
        <f t="shared" si="7"/>
        <v>48558</v>
      </c>
      <c r="AQ50" s="38">
        <f t="shared" si="12"/>
        <v>48648</v>
      </c>
      <c r="AR50" s="38">
        <f t="shared" si="13"/>
        <v>48558</v>
      </c>
      <c r="AS50" s="38">
        <f t="shared" si="14"/>
        <v>48648</v>
      </c>
      <c r="AT50" s="38">
        <f t="shared" si="11"/>
        <v>48649</v>
      </c>
      <c r="AU50" s="88">
        <v>0</v>
      </c>
      <c r="AV50" s="88">
        <v>0</v>
      </c>
      <c r="AW50" s="88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15"/>
        <v>44800</v>
      </c>
      <c r="C51" s="56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2"/>
        <v>50293</v>
      </c>
      <c r="O51" s="38">
        <f t="shared" si="3"/>
        <v>50474</v>
      </c>
      <c r="P51" s="38">
        <f t="shared" si="4"/>
        <v>50293</v>
      </c>
      <c r="Q51" s="38">
        <f t="shared" si="5"/>
        <v>50474</v>
      </c>
      <c r="R51" s="38">
        <f t="shared" si="6"/>
        <v>50475</v>
      </c>
      <c r="S51" s="88">
        <v>0</v>
      </c>
      <c r="T51" s="88">
        <v>0</v>
      </c>
      <c r="W51" s="41">
        <v>41301</v>
      </c>
      <c r="X51" s="41">
        <v>41301</v>
      </c>
      <c r="Y51" s="41">
        <v>41301</v>
      </c>
      <c r="AP51" s="38">
        <f t="shared" si="7"/>
        <v>48648</v>
      </c>
      <c r="AQ51" s="38">
        <f t="shared" si="12"/>
        <v>48740</v>
      </c>
      <c r="AR51" s="38">
        <f t="shared" si="13"/>
        <v>48648</v>
      </c>
      <c r="AS51" s="38">
        <f t="shared" si="14"/>
        <v>48740</v>
      </c>
      <c r="AT51" s="38">
        <f t="shared" si="11"/>
        <v>48741</v>
      </c>
      <c r="AU51" s="88">
        <v>0</v>
      </c>
      <c r="AV51" s="88">
        <v>0</v>
      </c>
      <c r="AW51" s="88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15"/>
        <v>44981</v>
      </c>
      <c r="C52" s="56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2"/>
        <v>50474</v>
      </c>
      <c r="O52" s="38">
        <f t="shared" si="3"/>
        <v>50658</v>
      </c>
      <c r="P52" s="38">
        <f t="shared" si="4"/>
        <v>50474</v>
      </c>
      <c r="Q52" s="38">
        <f t="shared" si="5"/>
        <v>50658</v>
      </c>
      <c r="R52" s="38">
        <f t="shared" si="6"/>
        <v>50659</v>
      </c>
      <c r="S52" s="88">
        <v>0</v>
      </c>
      <c r="T52" s="88">
        <v>0</v>
      </c>
      <c r="W52" s="41">
        <v>41307</v>
      </c>
      <c r="X52" s="41">
        <v>41307</v>
      </c>
      <c r="Y52" s="41">
        <v>41307</v>
      </c>
      <c r="AP52" s="38">
        <f t="shared" si="7"/>
        <v>48740</v>
      </c>
      <c r="AQ52" s="38">
        <f t="shared" si="12"/>
        <v>48832</v>
      </c>
      <c r="AR52" s="38">
        <f t="shared" si="13"/>
        <v>48740</v>
      </c>
      <c r="AS52" s="38">
        <f t="shared" si="14"/>
        <v>48832</v>
      </c>
      <c r="AT52" s="38">
        <f t="shared" si="11"/>
        <v>48833</v>
      </c>
      <c r="AU52" s="88">
        <v>0</v>
      </c>
      <c r="AV52" s="88">
        <v>0</v>
      </c>
      <c r="AW52" s="88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15"/>
        <v>45165</v>
      </c>
      <c r="C53" s="56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W53" s="41">
        <v>41308</v>
      </c>
      <c r="X53" s="41">
        <v>41308</v>
      </c>
      <c r="Y53" s="41">
        <v>41308</v>
      </c>
      <c r="AP53" s="38">
        <f t="shared" si="7"/>
        <v>48832</v>
      </c>
      <c r="AQ53" s="38">
        <f t="shared" si="12"/>
        <v>48923</v>
      </c>
      <c r="AR53" s="38">
        <f t="shared" si="13"/>
        <v>48832</v>
      </c>
      <c r="AS53" s="38">
        <f t="shared" si="14"/>
        <v>48923</v>
      </c>
      <c r="AT53" s="38">
        <f t="shared" si="11"/>
        <v>48924</v>
      </c>
      <c r="AU53" s="88">
        <v>0</v>
      </c>
      <c r="AV53" s="88">
        <v>0</v>
      </c>
      <c r="AW53" s="88">
        <v>2E-3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15"/>
        <v>45347</v>
      </c>
      <c r="C54" s="56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P54" s="38">
        <f t="shared" si="7"/>
        <v>48923</v>
      </c>
      <c r="AQ54" s="38">
        <f t="shared" si="12"/>
        <v>49013</v>
      </c>
      <c r="AR54" s="38">
        <f t="shared" si="13"/>
        <v>48923</v>
      </c>
      <c r="AS54" s="38">
        <f t="shared" si="14"/>
        <v>49013</v>
      </c>
      <c r="AT54" s="38">
        <f t="shared" si="11"/>
        <v>49014</v>
      </c>
      <c r="AU54" s="88">
        <v>0</v>
      </c>
      <c r="AV54" s="88">
        <v>0</v>
      </c>
      <c r="AW54" s="88">
        <v>2E-3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15"/>
        <v>45531</v>
      </c>
      <c r="C55" s="56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P55" s="38">
        <f t="shared" si="7"/>
        <v>49013</v>
      </c>
      <c r="AQ55" s="38">
        <f t="shared" si="12"/>
        <v>49105</v>
      </c>
      <c r="AR55" s="38">
        <f t="shared" si="13"/>
        <v>49013</v>
      </c>
      <c r="AS55" s="38">
        <f t="shared" si="14"/>
        <v>49105</v>
      </c>
      <c r="AT55" s="38">
        <f t="shared" si="11"/>
        <v>49106</v>
      </c>
      <c r="AU55" s="88">
        <v>0</v>
      </c>
      <c r="AV55" s="88">
        <v>0</v>
      </c>
      <c r="AW55" s="88">
        <v>2E-3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15"/>
        <v>45712</v>
      </c>
      <c r="C56" s="56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P56" s="38">
        <f t="shared" si="7"/>
        <v>49105</v>
      </c>
      <c r="AQ56" s="38">
        <f t="shared" si="12"/>
        <v>49197</v>
      </c>
      <c r="AR56" s="38">
        <f t="shared" si="13"/>
        <v>49105</v>
      </c>
      <c r="AS56" s="38">
        <f t="shared" si="14"/>
        <v>49197</v>
      </c>
      <c r="AT56" s="38">
        <f t="shared" si="11"/>
        <v>49198</v>
      </c>
      <c r="AU56" s="88">
        <v>0</v>
      </c>
      <c r="AV56" s="88">
        <v>0</v>
      </c>
      <c r="AW56" s="88">
        <v>2E-3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15"/>
        <v>45896</v>
      </c>
      <c r="C57" s="56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P57" s="38">
        <f t="shared" si="7"/>
        <v>49197</v>
      </c>
      <c r="AQ57" s="38">
        <f t="shared" si="12"/>
        <v>49288</v>
      </c>
      <c r="AR57" s="38">
        <f t="shared" si="13"/>
        <v>49197</v>
      </c>
      <c r="AS57" s="38">
        <f t="shared" si="14"/>
        <v>49288</v>
      </c>
      <c r="AT57" s="38">
        <f t="shared" si="11"/>
        <v>49289</v>
      </c>
      <c r="AU57" s="88">
        <v>0</v>
      </c>
      <c r="AV57" s="88">
        <v>0</v>
      </c>
      <c r="AW57" s="88">
        <v>2E-3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15"/>
        <v>46077</v>
      </c>
      <c r="C58" s="56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P58" s="38">
        <f t="shared" si="7"/>
        <v>49288</v>
      </c>
      <c r="AQ58" s="38">
        <f t="shared" si="12"/>
        <v>49378</v>
      </c>
      <c r="AR58" s="38">
        <f t="shared" si="13"/>
        <v>49288</v>
      </c>
      <c r="AS58" s="38">
        <f t="shared" si="14"/>
        <v>49378</v>
      </c>
      <c r="AT58" s="38">
        <f t="shared" si="11"/>
        <v>49379</v>
      </c>
      <c r="AU58" s="88">
        <v>0</v>
      </c>
      <c r="AV58" s="88">
        <v>0</v>
      </c>
      <c r="AW58" s="88">
        <v>2E-3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15"/>
        <v>46261</v>
      </c>
      <c r="C59" s="56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P59" s="38">
        <f t="shared" si="7"/>
        <v>49378</v>
      </c>
      <c r="AQ59" s="38">
        <f t="shared" si="12"/>
        <v>49470</v>
      </c>
      <c r="AR59" s="38">
        <f t="shared" si="13"/>
        <v>49378</v>
      </c>
      <c r="AS59" s="38">
        <f t="shared" si="14"/>
        <v>49470</v>
      </c>
      <c r="AT59" s="38">
        <f t="shared" si="11"/>
        <v>49471</v>
      </c>
      <c r="AU59" s="88">
        <v>0</v>
      </c>
      <c r="AV59" s="88">
        <v>0</v>
      </c>
      <c r="AW59" s="88">
        <v>2E-3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15"/>
        <v>46442</v>
      </c>
      <c r="C60" s="56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P60" s="38">
        <f t="shared" si="7"/>
        <v>49470</v>
      </c>
      <c r="AQ60" s="38">
        <f t="shared" si="12"/>
        <v>49562</v>
      </c>
      <c r="AR60" s="38">
        <f t="shared" si="13"/>
        <v>49470</v>
      </c>
      <c r="AS60" s="38">
        <f t="shared" si="14"/>
        <v>49562</v>
      </c>
      <c r="AT60" s="38">
        <f t="shared" si="11"/>
        <v>49563</v>
      </c>
      <c r="AU60" s="88">
        <v>0</v>
      </c>
      <c r="AV60" s="88">
        <v>0</v>
      </c>
      <c r="AW60" s="88">
        <v>2E-3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15"/>
        <v>46626</v>
      </c>
      <c r="C61" s="56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P61" s="38">
        <f t="shared" si="7"/>
        <v>49562</v>
      </c>
      <c r="AQ61" s="38">
        <f t="shared" si="12"/>
        <v>49653</v>
      </c>
      <c r="AR61" s="38">
        <f t="shared" si="13"/>
        <v>49562</v>
      </c>
      <c r="AS61" s="38">
        <f t="shared" si="14"/>
        <v>49653</v>
      </c>
      <c r="AT61" s="38">
        <f t="shared" si="11"/>
        <v>49654</v>
      </c>
      <c r="AU61" s="88">
        <v>0</v>
      </c>
      <c r="AV61" s="88">
        <v>0</v>
      </c>
      <c r="AW61" s="88">
        <v>2E-3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15"/>
        <v>46808</v>
      </c>
      <c r="C62" s="56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P62" s="38">
        <f t="shared" si="7"/>
        <v>49653</v>
      </c>
      <c r="AQ62" s="38">
        <f t="shared" si="12"/>
        <v>49744</v>
      </c>
      <c r="AR62" s="38">
        <f t="shared" ref="AR62:AR67" si="16">AP62</f>
        <v>49653</v>
      </c>
      <c r="AS62" s="38">
        <f t="shared" ref="AS62:AS67" si="17">AQ62</f>
        <v>49744</v>
      </c>
      <c r="AT62" s="38">
        <f t="shared" si="11"/>
        <v>49745</v>
      </c>
      <c r="AU62" s="88">
        <v>0</v>
      </c>
      <c r="AV62" s="88">
        <v>0</v>
      </c>
      <c r="AW62" s="88">
        <v>2E-3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15"/>
        <v>46992</v>
      </c>
      <c r="C63" s="56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P63" s="38">
        <f t="shared" si="7"/>
        <v>49744</v>
      </c>
      <c r="AQ63" s="38">
        <f t="shared" si="12"/>
        <v>49836</v>
      </c>
      <c r="AR63" s="38">
        <f t="shared" si="16"/>
        <v>49744</v>
      </c>
      <c r="AS63" s="38">
        <f t="shared" si="17"/>
        <v>49836</v>
      </c>
      <c r="AT63" s="38">
        <f t="shared" si="11"/>
        <v>49837</v>
      </c>
      <c r="AU63" s="88">
        <v>0</v>
      </c>
      <c r="AV63" s="88">
        <v>0</v>
      </c>
      <c r="AW63" s="88">
        <v>2E-3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15"/>
        <v>47173</v>
      </c>
      <c r="C64" s="56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P64" s="38">
        <f t="shared" si="7"/>
        <v>49836</v>
      </c>
      <c r="AQ64" s="38">
        <f t="shared" si="12"/>
        <v>49928</v>
      </c>
      <c r="AR64" s="38">
        <f t="shared" si="16"/>
        <v>49836</v>
      </c>
      <c r="AS64" s="38">
        <f t="shared" si="17"/>
        <v>49928</v>
      </c>
      <c r="AT64" s="38">
        <f t="shared" si="11"/>
        <v>49929</v>
      </c>
      <c r="AU64" s="88">
        <v>0</v>
      </c>
      <c r="AV64" s="88">
        <v>0</v>
      </c>
      <c r="AW64" s="88">
        <v>2E-3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15"/>
        <v>47357</v>
      </c>
      <c r="C65" s="56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P65" s="38">
        <f t="shared" si="7"/>
        <v>49928</v>
      </c>
      <c r="AQ65" s="38">
        <f t="shared" si="12"/>
        <v>50019</v>
      </c>
      <c r="AR65" s="38">
        <f t="shared" si="16"/>
        <v>49928</v>
      </c>
      <c r="AS65" s="38">
        <f t="shared" si="17"/>
        <v>50019</v>
      </c>
      <c r="AT65" s="38">
        <f t="shared" si="11"/>
        <v>50020</v>
      </c>
      <c r="AU65" s="88">
        <v>0</v>
      </c>
      <c r="AV65" s="88">
        <v>0</v>
      </c>
      <c r="AW65" s="88">
        <v>2E-3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15"/>
        <v>47538</v>
      </c>
      <c r="C66" s="56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P66" s="38">
        <f t="shared" si="7"/>
        <v>50019</v>
      </c>
      <c r="AQ66" s="38">
        <f t="shared" si="12"/>
        <v>50109</v>
      </c>
      <c r="AR66" s="38">
        <f t="shared" si="16"/>
        <v>50019</v>
      </c>
      <c r="AS66" s="38">
        <f t="shared" si="17"/>
        <v>50109</v>
      </c>
      <c r="AT66" s="38">
        <f t="shared" si="11"/>
        <v>50110</v>
      </c>
      <c r="AU66" s="88">
        <v>0</v>
      </c>
      <c r="AV66" s="88">
        <v>0</v>
      </c>
      <c r="AW66" s="88">
        <v>2E-3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15"/>
        <v>47722</v>
      </c>
      <c r="C67" s="56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P67" s="38">
        <f t="shared" si="7"/>
        <v>50109</v>
      </c>
      <c r="AQ67" s="38">
        <f t="shared" si="12"/>
        <v>50201</v>
      </c>
      <c r="AR67" s="38">
        <f t="shared" si="16"/>
        <v>50109</v>
      </c>
      <c r="AS67" s="38">
        <f t="shared" si="17"/>
        <v>50201</v>
      </c>
      <c r="AT67" s="38">
        <f t="shared" si="11"/>
        <v>50202</v>
      </c>
      <c r="AU67" s="88">
        <v>0</v>
      </c>
      <c r="AV67" s="88">
        <v>0</v>
      </c>
      <c r="AW67" s="88">
        <v>2E-3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15"/>
        <v>47903</v>
      </c>
      <c r="C68" s="56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P68" s="38">
        <f t="shared" si="7"/>
        <v>50201</v>
      </c>
      <c r="AQ68" s="38">
        <f t="shared" si="12"/>
        <v>50293</v>
      </c>
      <c r="AR68" s="38">
        <f t="shared" ref="AR68:AR70" si="18">AP68</f>
        <v>50201</v>
      </c>
      <c r="AS68" s="38">
        <f t="shared" ref="AS68:AS70" si="19">AQ68</f>
        <v>50293</v>
      </c>
      <c r="AT68" s="38">
        <f t="shared" si="11"/>
        <v>50294</v>
      </c>
      <c r="AU68" s="88">
        <v>0</v>
      </c>
      <c r="AV68" s="88">
        <v>0</v>
      </c>
      <c r="AW68" s="88">
        <v>2E-3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15"/>
        <v>48087</v>
      </c>
      <c r="C69" s="56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P69" s="38">
        <f t="shared" si="7"/>
        <v>50293</v>
      </c>
      <c r="AQ69" s="38">
        <f t="shared" si="12"/>
        <v>50384</v>
      </c>
      <c r="AR69" s="38">
        <f t="shared" si="18"/>
        <v>50293</v>
      </c>
      <c r="AS69" s="38">
        <f t="shared" si="19"/>
        <v>50384</v>
      </c>
      <c r="AT69" s="38">
        <f t="shared" si="11"/>
        <v>50385</v>
      </c>
      <c r="AU69" s="88">
        <v>0</v>
      </c>
      <c r="AV69" s="88">
        <v>0</v>
      </c>
      <c r="AW69" s="88">
        <v>2E-3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15"/>
        <v>48269</v>
      </c>
      <c r="C70" s="56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P70" s="38">
        <f t="shared" si="7"/>
        <v>50384</v>
      </c>
      <c r="AQ70" s="38">
        <f t="shared" si="12"/>
        <v>50474</v>
      </c>
      <c r="AR70" s="38">
        <f t="shared" si="18"/>
        <v>50384</v>
      </c>
      <c r="AS70" s="38">
        <f t="shared" si="19"/>
        <v>50474</v>
      </c>
      <c r="AT70" s="38">
        <f t="shared" si="11"/>
        <v>50475</v>
      </c>
      <c r="AU70" s="88">
        <v>0</v>
      </c>
      <c r="AV70" s="88">
        <v>0</v>
      </c>
      <c r="AW70" s="88">
        <v>2E-3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15"/>
        <v>48453</v>
      </c>
      <c r="C71" s="56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15"/>
        <v>48634</v>
      </c>
      <c r="C72" s="56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15"/>
        <v>48818</v>
      </c>
      <c r="C73" s="56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15"/>
        <v>48999</v>
      </c>
      <c r="C74" s="56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15"/>
        <v>49183</v>
      </c>
      <c r="C75" s="56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15"/>
        <v>49364</v>
      </c>
      <c r="C76" s="56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15"/>
        <v>49548</v>
      </c>
      <c r="C77" s="56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15"/>
        <v>49730</v>
      </c>
      <c r="C78" s="56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15"/>
        <v>49914</v>
      </c>
      <c r="C79" s="56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15"/>
        <v>50095</v>
      </c>
      <c r="C80" s="56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15"/>
        <v>50279</v>
      </c>
      <c r="C81" s="56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15"/>
        <v>50460</v>
      </c>
      <c r="C82" s="56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15"/>
        <v>50644</v>
      </c>
      <c r="C83" s="56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9.8984375" style="43"/>
    <col min="19" max="19" width="9.8984375" style="44"/>
    <col min="20" max="20" width="9.8984375" style="43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198" t="s">
        <v>56</v>
      </c>
      <c r="B3" s="198"/>
      <c r="C3" s="198"/>
      <c r="D3" s="198"/>
      <c r="E3" s="198"/>
      <c r="G3" s="198" t="s">
        <v>76</v>
      </c>
      <c r="H3" s="198"/>
      <c r="I3" s="198"/>
      <c r="J3" s="198"/>
      <c r="K3" s="198"/>
      <c r="L3" s="13"/>
      <c r="M3" s="13"/>
      <c r="N3" s="13"/>
      <c r="P3" s="198" t="s">
        <v>77</v>
      </c>
      <c r="Q3" s="198"/>
      <c r="R3" s="198"/>
      <c r="S3" s="198"/>
      <c r="T3" s="198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43"/>
  <sheetViews>
    <sheetView zoomScale="70" zoomScaleNormal="70" workbookViewId="0">
      <selection activeCell="E9" sqref="E9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2"/>
    <col min="3" max="5" width="13.8984375" style="50"/>
    <col min="6" max="8" width="13.8984375" style="63"/>
    <col min="9" max="9" width="13.8984375" style="64"/>
    <col min="10" max="12" width="13.8984375" style="50"/>
    <col min="13" max="15" width="13.8984375" style="63"/>
    <col min="16" max="16" width="13.8984375" style="65"/>
    <col min="17" max="17" width="13.8984375" style="71"/>
    <col min="18" max="18" width="13.8984375" style="63"/>
    <col min="19" max="19" width="0" style="63" hidden="1" customWidth="1"/>
    <col min="20" max="20" width="13.8984375" style="65"/>
    <col min="21" max="21" width="13.8984375" style="71"/>
    <col min="22" max="22" width="13.8984375" style="63"/>
    <col min="23" max="23" width="0" style="63" hidden="1" customWidth="1"/>
    <col min="24" max="24" width="13.8984375" style="13"/>
    <col min="25" max="25" width="13.8984375" style="71"/>
    <col min="26" max="26" width="13.8984375" style="63"/>
    <col min="27" max="27" width="0" style="63" hidden="1" customWidth="1"/>
    <col min="28" max="28" width="13.8984375" style="65"/>
    <col min="29" max="29" width="13.8984375" style="71"/>
    <col min="30" max="30" width="13.8984375" style="63"/>
    <col min="31" max="31" width="0" style="63" hidden="1" customWidth="1"/>
    <col min="32" max="32" width="13.8984375" style="65"/>
    <col min="33" max="33" width="13.8984375" style="71"/>
    <col min="34" max="34" width="13.8984375" style="63"/>
    <col min="35" max="35" width="0" style="63" hidden="1" customWidth="1"/>
    <col min="36" max="36" width="13.8984375" style="65"/>
    <col min="37" max="37" width="13.8984375" style="71"/>
    <col min="38" max="38" width="13.8984375" style="63"/>
    <col min="39" max="39" width="0" style="63" hidden="1" customWidth="1"/>
    <col min="40" max="40" width="13.8984375" style="65"/>
    <col min="41" max="41" width="13.8984375" style="71"/>
    <col min="42" max="42" width="13.8984375" style="63"/>
    <col min="43" max="43" width="0" style="63" hidden="1" customWidth="1"/>
    <col min="44" max="44" width="13.8984375" style="65"/>
    <col min="45" max="45" width="13.8984375" style="71"/>
    <col min="46" max="46" width="13.8984375" style="63"/>
    <col min="47" max="47" width="0" style="63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2" t="s">
        <v>111</v>
      </c>
      <c r="C3" s="202"/>
      <c r="D3" s="203">
        <v>0</v>
      </c>
      <c r="E3" s="203"/>
      <c r="F3" s="13"/>
      <c r="G3" s="13"/>
      <c r="H3" s="13"/>
      <c r="I3" s="13"/>
      <c r="J3" s="13"/>
      <c r="K3" s="13"/>
      <c r="L3" s="67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2" t="s">
        <v>55</v>
      </c>
      <c r="C4" s="202"/>
      <c r="D4" s="203">
        <v>10000</v>
      </c>
      <c r="E4" s="203"/>
      <c r="F4" s="13"/>
      <c r="G4" s="204" t="s">
        <v>73</v>
      </c>
      <c r="H4" s="205"/>
      <c r="I4" s="200">
        <v>5129.5558790011391</v>
      </c>
      <c r="J4" s="201"/>
      <c r="K4" s="13"/>
      <c r="L4" s="66">
        <v>45170.674293981479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2" t="s">
        <v>30</v>
      </c>
      <c r="C5" s="202"/>
      <c r="D5" s="203">
        <v>0</v>
      </c>
      <c r="E5" s="203"/>
      <c r="F5" s="13"/>
      <c r="G5" s="204" t="s">
        <v>74</v>
      </c>
      <c r="H5" s="205"/>
      <c r="I5" s="200">
        <v>5359.9757827339299</v>
      </c>
      <c r="J5" s="201"/>
      <c r="K5" s="13"/>
      <c r="L5" s="66">
        <v>45170.674293981479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2" t="s">
        <v>115</v>
      </c>
      <c r="C6" s="202"/>
      <c r="D6" s="203">
        <v>0</v>
      </c>
      <c r="E6" s="203"/>
      <c r="F6" s="13"/>
      <c r="G6" s="204" t="s">
        <v>106</v>
      </c>
      <c r="H6" s="205"/>
      <c r="I6" s="200">
        <v>-75.527132700353178</v>
      </c>
      <c r="J6" s="201"/>
      <c r="K6" s="61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4" t="s">
        <v>88</v>
      </c>
      <c r="H7" s="205"/>
      <c r="I7" s="200">
        <v>154.89277103243759</v>
      </c>
      <c r="J7" s="201"/>
      <c r="K7" s="61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4"/>
      <c r="B10" s="199" t="s">
        <v>61</v>
      </c>
      <c r="C10" s="199"/>
      <c r="D10" s="199"/>
      <c r="E10" s="199"/>
      <c r="F10" s="199"/>
      <c r="G10" s="199"/>
      <c r="H10" s="199"/>
      <c r="I10" s="199" t="s">
        <v>64</v>
      </c>
      <c r="J10" s="199"/>
      <c r="K10" s="199"/>
      <c r="L10" s="199"/>
      <c r="M10" s="199"/>
      <c r="N10" s="199"/>
      <c r="O10" s="199"/>
      <c r="P10" s="13"/>
      <c r="Q10" s="199" t="s">
        <v>98</v>
      </c>
      <c r="R10" s="199"/>
      <c r="S10" s="13"/>
      <c r="T10" s="13"/>
      <c r="U10" s="199" t="s">
        <v>99</v>
      </c>
      <c r="V10" s="199"/>
      <c r="W10" s="13"/>
      <c r="Y10" s="199" t="s">
        <v>100</v>
      </c>
      <c r="Z10" s="199"/>
      <c r="AA10" s="13"/>
      <c r="AB10" s="13"/>
      <c r="AC10" s="199" t="s">
        <v>101</v>
      </c>
      <c r="AD10" s="199"/>
      <c r="AE10" s="13"/>
      <c r="AF10" s="13"/>
      <c r="AG10" s="199" t="s">
        <v>102</v>
      </c>
      <c r="AH10" s="199"/>
      <c r="AI10" s="13"/>
      <c r="AJ10" s="13"/>
      <c r="AK10" s="199" t="s">
        <v>103</v>
      </c>
      <c r="AL10" s="199"/>
      <c r="AM10" s="13"/>
      <c r="AN10" s="13"/>
      <c r="AO10" s="199" t="s">
        <v>104</v>
      </c>
      <c r="AP10" s="199"/>
      <c r="AQ10" s="13"/>
      <c r="AR10" s="13"/>
      <c r="AS10" s="199" t="s">
        <v>105</v>
      </c>
      <c r="AT10" s="199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96</v>
      </c>
      <c r="R11" s="63">
        <v>0</v>
      </c>
      <c r="S11" s="13"/>
      <c r="T11" s="13"/>
      <c r="U11" s="46" t="s">
        <v>96</v>
      </c>
      <c r="V11" s="63">
        <v>0</v>
      </c>
      <c r="W11" s="13"/>
      <c r="Y11" s="46" t="s">
        <v>96</v>
      </c>
      <c r="Z11" s="63">
        <v>0</v>
      </c>
      <c r="AA11" s="13"/>
      <c r="AB11" s="13"/>
      <c r="AC11" s="46" t="s">
        <v>96</v>
      </c>
      <c r="AD11" s="63">
        <v>0</v>
      </c>
      <c r="AE11" s="13"/>
      <c r="AF11" s="13"/>
      <c r="AG11" s="46" t="s">
        <v>96</v>
      </c>
      <c r="AH11" s="63">
        <v>0</v>
      </c>
      <c r="AI11" s="13"/>
      <c r="AJ11" s="13"/>
      <c r="AK11" s="46" t="s">
        <v>96</v>
      </c>
      <c r="AL11" s="63">
        <v>0</v>
      </c>
      <c r="AM11" s="13"/>
      <c r="AN11" s="13"/>
      <c r="AO11" s="46" t="s">
        <v>96</v>
      </c>
      <c r="AP11" s="63">
        <v>0</v>
      </c>
      <c r="AQ11" s="13"/>
      <c r="AR11" s="13"/>
      <c r="AS11" s="46" t="s">
        <v>96</v>
      </c>
      <c r="AT11" s="63">
        <v>0</v>
      </c>
      <c r="AU11" s="13"/>
    </row>
    <row r="12" spans="1:47" x14ac:dyDescent="0.4">
      <c r="B12" s="49">
        <v>44996</v>
      </c>
      <c r="C12" s="50">
        <v>2.292241522250039E-265</v>
      </c>
      <c r="F12" s="51"/>
      <c r="G12" s="52">
        <v>1.1367005904857579E-261</v>
      </c>
      <c r="H12" s="51">
        <v>0.98664288803668365</v>
      </c>
      <c r="I12" s="49">
        <v>44996</v>
      </c>
      <c r="J12" s="50">
        <v>1.9332896475418267E-268</v>
      </c>
      <c r="M12" s="51"/>
      <c r="N12" s="52">
        <v>9.9178082191802144</v>
      </c>
      <c r="O12" s="51">
        <v>0.98664288803668365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49">
        <v>45180</v>
      </c>
      <c r="C13" s="50">
        <v>3.5653562464849679E-2</v>
      </c>
      <c r="F13" s="51"/>
      <c r="G13" s="52">
        <v>179.73302722006434</v>
      </c>
      <c r="H13" s="51">
        <v>0.9692362670451784</v>
      </c>
      <c r="I13" s="49">
        <v>45180</v>
      </c>
      <c r="J13" s="50">
        <v>3.5653562464849679E-2</v>
      </c>
      <c r="M13" s="51"/>
      <c r="N13" s="52">
        <v>189.81521900088705</v>
      </c>
      <c r="O13" s="51">
        <v>0.9692362670451784</v>
      </c>
      <c r="P13" s="13"/>
      <c r="Q13" s="199" t="s">
        <v>97</v>
      </c>
      <c r="R13" s="199"/>
      <c r="S13" s="69"/>
      <c r="T13" s="13"/>
      <c r="U13" s="199" t="s">
        <v>97</v>
      </c>
      <c r="V13" s="199"/>
      <c r="W13" s="69"/>
      <c r="Y13" s="199" t="s">
        <v>97</v>
      </c>
      <c r="Z13" s="199"/>
      <c r="AA13" s="69"/>
      <c r="AB13" s="13"/>
      <c r="AC13" s="199" t="s">
        <v>97</v>
      </c>
      <c r="AD13" s="199"/>
      <c r="AE13" s="69"/>
      <c r="AF13" s="13"/>
      <c r="AG13" s="199" t="s">
        <v>97</v>
      </c>
      <c r="AH13" s="199"/>
      <c r="AI13" s="69"/>
      <c r="AJ13" s="13"/>
      <c r="AK13" s="199" t="s">
        <v>97</v>
      </c>
      <c r="AL13" s="199"/>
      <c r="AM13" s="69"/>
      <c r="AN13" s="13"/>
      <c r="AO13" s="199" t="s">
        <v>97</v>
      </c>
      <c r="AP13" s="199"/>
      <c r="AQ13" s="69"/>
      <c r="AR13" s="13"/>
      <c r="AS13" s="199" t="s">
        <v>97</v>
      </c>
      <c r="AT13" s="199"/>
      <c r="AU13" s="69"/>
    </row>
    <row r="14" spans="1:47" x14ac:dyDescent="0.4">
      <c r="B14" s="49">
        <v>45362</v>
      </c>
      <c r="C14" s="50">
        <v>4.8118254439035245E-2</v>
      </c>
      <c r="F14" s="51"/>
      <c r="G14" s="52">
        <v>239.9321180247785</v>
      </c>
      <c r="H14" s="51">
        <v>0.94653809678973722</v>
      </c>
      <c r="I14" s="49">
        <v>45362</v>
      </c>
      <c r="J14" s="50">
        <v>4.8118254439035245E-2</v>
      </c>
      <c r="M14" s="51"/>
      <c r="N14" s="52">
        <v>249.90472076450445</v>
      </c>
      <c r="O14" s="51">
        <v>0.94653809678973722</v>
      </c>
      <c r="P14" s="13"/>
      <c r="Q14" s="45" t="s">
        <v>95</v>
      </c>
      <c r="R14" s="46" t="s">
        <v>96</v>
      </c>
      <c r="S14" s="70"/>
      <c r="T14" s="13"/>
      <c r="U14" s="45" t="s">
        <v>95</v>
      </c>
      <c r="V14" s="46" t="s">
        <v>96</v>
      </c>
      <c r="W14" s="70"/>
      <c r="Y14" s="45" t="s">
        <v>95</v>
      </c>
      <c r="Z14" s="46" t="s">
        <v>96</v>
      </c>
      <c r="AA14" s="70"/>
      <c r="AB14" s="13"/>
      <c r="AC14" s="45" t="s">
        <v>95</v>
      </c>
      <c r="AD14" s="46" t="s">
        <v>96</v>
      </c>
      <c r="AE14" s="70"/>
      <c r="AF14" s="13"/>
      <c r="AG14" s="45" t="s">
        <v>95</v>
      </c>
      <c r="AH14" s="46" t="s">
        <v>96</v>
      </c>
      <c r="AI14" s="70"/>
      <c r="AJ14" s="13"/>
      <c r="AK14" s="45" t="s">
        <v>95</v>
      </c>
      <c r="AL14" s="46" t="s">
        <v>96</v>
      </c>
      <c r="AM14" s="70"/>
      <c r="AN14" s="13"/>
      <c r="AO14" s="45" t="s">
        <v>95</v>
      </c>
      <c r="AP14" s="46" t="s">
        <v>96</v>
      </c>
      <c r="AQ14" s="70"/>
      <c r="AR14" s="13"/>
      <c r="AS14" s="45" t="s">
        <v>95</v>
      </c>
      <c r="AT14" s="46" t="s">
        <v>96</v>
      </c>
      <c r="AU14" s="70"/>
    </row>
    <row r="15" spans="1:47" x14ac:dyDescent="0.4">
      <c r="B15" s="49">
        <v>45546</v>
      </c>
      <c r="C15" s="50">
        <v>5.0845902435759219E-2</v>
      </c>
      <c r="F15" s="51"/>
      <c r="G15" s="52">
        <v>256.31906981314319</v>
      </c>
      <c r="H15" s="51">
        <v>0.92298339852321154</v>
      </c>
      <c r="I15" s="49">
        <v>45546</v>
      </c>
      <c r="J15" s="50">
        <v>5.0845902435759219E-2</v>
      </c>
      <c r="M15" s="51"/>
      <c r="N15" s="52">
        <v>266.40126159396442</v>
      </c>
      <c r="O15" s="51">
        <v>0.92298339852321154</v>
      </c>
      <c r="P15" s="13"/>
      <c r="T15" s="13"/>
    </row>
    <row r="16" spans="1:47" x14ac:dyDescent="0.4">
      <c r="B16" s="49">
        <v>45727</v>
      </c>
      <c r="C16" s="50">
        <v>4.5348272648776486E-2</v>
      </c>
      <c r="F16" s="51"/>
      <c r="G16" s="52">
        <v>224.87773560078213</v>
      </c>
      <c r="H16" s="51">
        <v>0.90289705702902601</v>
      </c>
      <c r="I16" s="49">
        <v>45727</v>
      </c>
      <c r="J16" s="50">
        <v>4.5348272648776486E-2</v>
      </c>
      <c r="M16" s="51"/>
      <c r="N16" s="52">
        <v>234.7955438199605</v>
      </c>
      <c r="O16" s="51">
        <v>0.90289705702902601</v>
      </c>
      <c r="P16" s="13"/>
      <c r="T16" s="13"/>
    </row>
    <row r="17" spans="2:20" x14ac:dyDescent="0.4">
      <c r="B17" s="49">
        <v>45911</v>
      </c>
      <c r="C17" s="50">
        <v>4.4416310729164125E-2</v>
      </c>
      <c r="F17" s="51"/>
      <c r="G17" s="52">
        <v>223.90688148400363</v>
      </c>
      <c r="H17" s="51">
        <v>0.88337618341544633</v>
      </c>
      <c r="I17" s="49">
        <v>45911</v>
      </c>
      <c r="J17" s="50">
        <v>4.4416310729164125E-2</v>
      </c>
      <c r="M17" s="51"/>
      <c r="N17" s="52">
        <v>233.98907326482711</v>
      </c>
      <c r="O17" s="51">
        <v>0.88337618341544633</v>
      </c>
      <c r="P17" s="13"/>
      <c r="T17" s="13"/>
    </row>
    <row r="18" spans="2:20" x14ac:dyDescent="0.4">
      <c r="B18" s="49">
        <v>46092</v>
      </c>
      <c r="C18" s="50">
        <v>4.6895183590427506E-2</v>
      </c>
      <c r="F18" s="51"/>
      <c r="G18" s="52">
        <v>232.54871862650438</v>
      </c>
      <c r="H18" s="51">
        <v>0.86365606052499821</v>
      </c>
      <c r="I18" s="49">
        <v>46092</v>
      </c>
      <c r="J18" s="50">
        <v>4.6895183590427506E-2</v>
      </c>
      <c r="M18" s="51"/>
      <c r="N18" s="52">
        <v>242.46652684568224</v>
      </c>
      <c r="O18" s="51">
        <v>0.86365606052499821</v>
      </c>
      <c r="P18" s="13"/>
      <c r="T18" s="13"/>
    </row>
    <row r="19" spans="2:20" x14ac:dyDescent="0.4">
      <c r="B19" s="49">
        <v>46276</v>
      </c>
      <c r="C19" s="50">
        <v>4.8401995396463351E-2</v>
      </c>
      <c r="F19" s="51"/>
      <c r="G19" s="52">
        <v>243.99910008080309</v>
      </c>
      <c r="H19" s="51">
        <v>0.84354868718103548</v>
      </c>
      <c r="I19" s="49">
        <v>46276</v>
      </c>
      <c r="J19" s="50">
        <v>4.8401995396463351E-2</v>
      </c>
      <c r="M19" s="51"/>
      <c r="N19" s="52">
        <v>254.08129186162466</v>
      </c>
      <c r="O19" s="51">
        <v>0.84354868718103548</v>
      </c>
      <c r="P19" s="13"/>
      <c r="T19" s="13"/>
    </row>
    <row r="20" spans="2:20" x14ac:dyDescent="0.4">
      <c r="B20" s="49">
        <v>46457</v>
      </c>
      <c r="C20" s="50">
        <v>4.4089072460610466E-2</v>
      </c>
      <c r="F20" s="51"/>
      <c r="G20" s="53">
        <v>218.6334826128907</v>
      </c>
      <c r="H20" s="51">
        <v>0.82603494610004302</v>
      </c>
      <c r="I20" s="49">
        <v>46457</v>
      </c>
      <c r="J20" s="50">
        <v>4.4089072460610466E-2</v>
      </c>
      <c r="M20" s="51"/>
      <c r="N20" s="53">
        <v>228.55129083206873</v>
      </c>
      <c r="O20" s="51">
        <v>0.82603494610004302</v>
      </c>
      <c r="P20" s="13"/>
      <c r="T20" s="13"/>
    </row>
    <row r="21" spans="2:20" x14ac:dyDescent="0.4">
      <c r="B21" s="49">
        <v>46641</v>
      </c>
      <c r="C21" s="50">
        <v>4.2666987409623255E-2</v>
      </c>
      <c r="F21" s="51"/>
      <c r="G21" s="53">
        <v>215.08837488686785</v>
      </c>
      <c r="H21" s="51">
        <v>0.8092657779974306</v>
      </c>
      <c r="I21" s="49">
        <v>46641</v>
      </c>
      <c r="J21" s="50">
        <v>4.2666987409623255E-2</v>
      </c>
      <c r="M21" s="51"/>
      <c r="N21" s="53">
        <v>225.17056666768974</v>
      </c>
      <c r="O21" s="51">
        <v>0.8092657779974306</v>
      </c>
      <c r="P21" s="13"/>
      <c r="T21" s="13"/>
    </row>
    <row r="22" spans="2:20" x14ac:dyDescent="0.4">
      <c r="B22" s="49">
        <v>46823</v>
      </c>
      <c r="C22" s="50">
        <v>4.4749767896442368E-2</v>
      </c>
      <c r="F22" s="51"/>
      <c r="G22" s="53">
        <v>223.13582896308262</v>
      </c>
      <c r="H22" s="51">
        <v>0.79230335219317793</v>
      </c>
      <c r="I22" s="49">
        <v>46823</v>
      </c>
      <c r="J22" s="50">
        <v>4.4749767896442368E-2</v>
      </c>
      <c r="M22" s="51"/>
      <c r="N22" s="53">
        <v>233.10843170280791</v>
      </c>
      <c r="O22" s="51">
        <v>0.79230335219317793</v>
      </c>
      <c r="P22" s="13"/>
      <c r="T22" s="13"/>
    </row>
    <row r="23" spans="2:20" x14ac:dyDescent="0.4">
      <c r="B23" s="49">
        <v>47007</v>
      </c>
      <c r="C23" s="50">
        <v>4.5336250885217158E-2</v>
      </c>
      <c r="F23" s="51"/>
      <c r="G23" s="53">
        <v>228.54438802410817</v>
      </c>
      <c r="H23" s="51">
        <v>0.77539249037851521</v>
      </c>
      <c r="I23" s="49">
        <v>47007</v>
      </c>
      <c r="J23" s="50">
        <v>4.5336250885217158E-2</v>
      </c>
      <c r="M23" s="51"/>
      <c r="N23" s="53">
        <v>238.626579804931</v>
      </c>
      <c r="O23" s="51">
        <v>0.77539249037851521</v>
      </c>
      <c r="P23" s="13"/>
      <c r="T23" s="13"/>
    </row>
    <row r="24" spans="2:20" x14ac:dyDescent="0.4">
      <c r="B24" s="49">
        <v>47188</v>
      </c>
      <c r="C24" s="50">
        <v>4.5870321057521542E-2</v>
      </c>
      <c r="F24" s="51"/>
      <c r="G24" s="53">
        <v>227.46652360031203</v>
      </c>
      <c r="H24" s="51">
        <v>0.7589682350467738</v>
      </c>
      <c r="I24" s="49">
        <v>47188</v>
      </c>
      <c r="J24" s="50">
        <v>4.5870321057521542E-2</v>
      </c>
      <c r="M24" s="51"/>
      <c r="N24" s="53">
        <v>237.38433181949156</v>
      </c>
      <c r="O24" s="51">
        <v>0.7589682350467738</v>
      </c>
      <c r="P24" s="13"/>
      <c r="T24" s="13"/>
    </row>
    <row r="25" spans="2:20" x14ac:dyDescent="0.4">
      <c r="B25" s="49">
        <v>47372</v>
      </c>
      <c r="C25" s="50">
        <v>4.6219699366858519E-2</v>
      </c>
      <c r="F25" s="51"/>
      <c r="G25" s="53">
        <v>232.9979365342997</v>
      </c>
      <c r="H25" s="51">
        <v>0.74269473485196846</v>
      </c>
      <c r="I25" s="49">
        <v>47372</v>
      </c>
      <c r="J25" s="50">
        <v>4.6219699366858519E-2</v>
      </c>
      <c r="M25" s="51"/>
      <c r="N25" s="53">
        <v>243.08012831512224</v>
      </c>
      <c r="O25" s="51">
        <v>0.74269473485196846</v>
      </c>
      <c r="P25" s="13"/>
      <c r="T25" s="13"/>
    </row>
    <row r="26" spans="2:20" x14ac:dyDescent="0.4">
      <c r="B26" s="49">
        <v>47553</v>
      </c>
      <c r="C26" s="50">
        <v>4.6534888075364433E-2</v>
      </c>
      <c r="F26" s="51"/>
      <c r="G26" s="53">
        <v>230.76204771619271</v>
      </c>
      <c r="H26" s="51">
        <v>0.72706598371890585</v>
      </c>
      <c r="I26" s="49">
        <v>47553</v>
      </c>
      <c r="J26" s="50">
        <v>4.6534888075364433E-2</v>
      </c>
      <c r="M26" s="51"/>
      <c r="N26" s="53">
        <v>240.67985593537054</v>
      </c>
      <c r="O26" s="51">
        <v>0.72706598371890585</v>
      </c>
      <c r="P26" s="13"/>
      <c r="T26" s="13"/>
    </row>
    <row r="27" spans="2:20" x14ac:dyDescent="0.4">
      <c r="B27" s="49">
        <v>47737</v>
      </c>
      <c r="C27" s="50">
        <v>4.6871196706036754E-2</v>
      </c>
      <c r="F27" s="51"/>
      <c r="G27" s="53">
        <v>236.28219709344609</v>
      </c>
      <c r="H27" s="51">
        <v>0.7114963548358374</v>
      </c>
      <c r="I27" s="49">
        <v>47737</v>
      </c>
      <c r="J27" s="50">
        <v>4.6871196706036754E-2</v>
      </c>
      <c r="M27" s="51"/>
      <c r="N27" s="53">
        <v>246.36438887426866</v>
      </c>
      <c r="O27" s="51">
        <v>0.7114963548358374</v>
      </c>
      <c r="P27" s="13"/>
      <c r="T27" s="13"/>
    </row>
    <row r="28" spans="2:20" x14ac:dyDescent="0.4">
      <c r="B28" s="49">
        <v>47918</v>
      </c>
      <c r="C28" s="50">
        <v>4.7102222384207464E-2</v>
      </c>
      <c r="F28" s="51"/>
      <c r="G28" s="53">
        <v>233.57540415182376</v>
      </c>
      <c r="H28" s="51">
        <v>0.69657506070152797</v>
      </c>
      <c r="I28" s="49">
        <v>47918</v>
      </c>
      <c r="J28" s="50">
        <v>4.7102222384207464E-2</v>
      </c>
      <c r="M28" s="51"/>
      <c r="N28" s="53">
        <v>243.4932123710023</v>
      </c>
      <c r="O28" s="51">
        <v>0.69657506070152797</v>
      </c>
      <c r="P28" s="13"/>
      <c r="T28" s="13"/>
    </row>
    <row r="29" spans="2:20" x14ac:dyDescent="0.4">
      <c r="B29" s="49">
        <v>48102</v>
      </c>
      <c r="C29" s="50">
        <v>4.7444107083765695E-2</v>
      </c>
      <c r="F29" s="51"/>
      <c r="G29" s="53">
        <v>239.17029324418971</v>
      </c>
      <c r="H29" s="51">
        <v>0.68167604567281426</v>
      </c>
      <c r="I29" s="49">
        <v>48102</v>
      </c>
      <c r="J29" s="50">
        <v>4.7444107083765695E-2</v>
      </c>
      <c r="M29" s="51"/>
      <c r="N29" s="53">
        <v>249.25248502501185</v>
      </c>
      <c r="O29" s="51">
        <v>0.68167604567281426</v>
      </c>
      <c r="P29" s="13"/>
      <c r="T29" s="13"/>
    </row>
    <row r="30" spans="2:20" x14ac:dyDescent="0.4">
      <c r="B30" s="49">
        <v>48284</v>
      </c>
      <c r="C30" s="50">
        <v>4.8003182657545385E-2</v>
      </c>
      <c r="F30" s="51"/>
      <c r="G30" s="53">
        <v>239.35833544310239</v>
      </c>
      <c r="H30" s="51">
        <v>0.66721329259856033</v>
      </c>
      <c r="I30" s="49">
        <v>48284</v>
      </c>
      <c r="J30" s="50">
        <v>4.8003182657545385E-2</v>
      </c>
      <c r="M30" s="51"/>
      <c r="N30" s="53">
        <v>249.33093818282856</v>
      </c>
      <c r="O30" s="51">
        <v>0.66721329259856033</v>
      </c>
      <c r="P30" s="13"/>
      <c r="T30" s="13"/>
    </row>
    <row r="31" spans="2:20" x14ac:dyDescent="0.4">
      <c r="B31" s="49">
        <v>48468</v>
      </c>
      <c r="C31" s="50">
        <v>4.843082817761072E-2</v>
      </c>
      <c r="F31" s="51"/>
      <c r="G31" s="53">
        <v>244.14444889535247</v>
      </c>
      <c r="H31" s="51">
        <v>0.65293267125926246</v>
      </c>
      <c r="I31" s="49">
        <v>48468</v>
      </c>
      <c r="J31" s="50">
        <v>4.843082817761072E-2</v>
      </c>
      <c r="M31" s="51"/>
      <c r="N31" s="53">
        <v>254.22664067617467</v>
      </c>
      <c r="O31" s="51">
        <v>0.65293267125926246</v>
      </c>
      <c r="P31" s="13"/>
      <c r="T31" s="13"/>
    </row>
    <row r="32" spans="2:20" x14ac:dyDescent="0.4">
      <c r="B32" s="49">
        <v>48649</v>
      </c>
      <c r="C32" s="50">
        <v>4.8052508420504916E-2</v>
      </c>
      <c r="F32" s="51"/>
      <c r="G32" s="53">
        <v>238.28778148250453</v>
      </c>
      <c r="H32" s="51">
        <v>0.63947556492433133</v>
      </c>
      <c r="I32" s="49">
        <v>48649</v>
      </c>
      <c r="J32" s="50">
        <v>4.8052508420504916E-2</v>
      </c>
      <c r="M32" s="51"/>
      <c r="N32" s="53">
        <v>248.20558970168233</v>
      </c>
      <c r="O32" s="51">
        <v>0.63947556492433133</v>
      </c>
      <c r="P32" s="13"/>
      <c r="T32" s="13"/>
    </row>
    <row r="33" spans="2:20" x14ac:dyDescent="0.4">
      <c r="B33" s="49">
        <v>48833</v>
      </c>
      <c r="C33" s="50">
        <v>4.8160853999663779E-2</v>
      </c>
      <c r="F33" s="51"/>
      <c r="G33" s="53">
        <v>242.78348317638691</v>
      </c>
      <c r="H33" s="51">
        <v>0.62618027647573293</v>
      </c>
      <c r="I33" s="49">
        <v>48833</v>
      </c>
      <c r="J33" s="50">
        <v>4.8160853999663779E-2</v>
      </c>
      <c r="M33" s="51"/>
      <c r="N33" s="53">
        <v>252.86567495720777</v>
      </c>
      <c r="O33" s="51">
        <v>0.62618027647573293</v>
      </c>
      <c r="P33" s="13"/>
      <c r="T33" s="13"/>
    </row>
    <row r="34" spans="2:20" x14ac:dyDescent="0.4">
      <c r="B34" s="62">
        <v>49014</v>
      </c>
      <c r="C34" s="50">
        <v>4.8481866443383904E-2</v>
      </c>
      <c r="G34" s="63">
        <v>240.41692674664432</v>
      </c>
      <c r="H34" s="63">
        <v>0.61344445176389062</v>
      </c>
      <c r="I34" s="64">
        <v>49014</v>
      </c>
      <c r="J34" s="50">
        <v>4.8481866443383904E-2</v>
      </c>
      <c r="N34" s="63">
        <v>250.33473496582278</v>
      </c>
      <c r="O34" s="63">
        <v>0.61344445176389062</v>
      </c>
    </row>
    <row r="35" spans="2:20" x14ac:dyDescent="0.4">
      <c r="B35" s="62">
        <v>49198</v>
      </c>
      <c r="C35" s="50">
        <v>4.8970962158819846E-2</v>
      </c>
      <c r="G35" s="63">
        <v>246.86731608829714</v>
      </c>
      <c r="H35" s="63">
        <v>0.60070826092507412</v>
      </c>
      <c r="I35" s="64">
        <v>49198</v>
      </c>
      <c r="J35" s="50">
        <v>4.8970962158819846E-2</v>
      </c>
      <c r="N35" s="63">
        <v>256.94950786912017</v>
      </c>
      <c r="O35" s="63">
        <v>0.60070826092507412</v>
      </c>
    </row>
    <row r="36" spans="2:20" x14ac:dyDescent="0.4">
      <c r="B36" s="62">
        <v>49379</v>
      </c>
      <c r="C36" s="50">
        <v>4.9465125202730199E-2</v>
      </c>
      <c r="G36" s="63">
        <v>245.29281264915528</v>
      </c>
      <c r="H36" s="63">
        <v>0.5885249576970375</v>
      </c>
      <c r="I36" s="64">
        <v>49379</v>
      </c>
      <c r="J36" s="50">
        <v>4.9465125202730199E-2</v>
      </c>
      <c r="N36" s="63">
        <v>255.21062086833319</v>
      </c>
      <c r="O36" s="63">
        <v>0.5885249576970375</v>
      </c>
    </row>
    <row r="37" spans="2:20" x14ac:dyDescent="0.4">
      <c r="B37" s="62">
        <v>49563</v>
      </c>
      <c r="C37" s="50">
        <v>4.9823751301323764E-2</v>
      </c>
      <c r="G37" s="63">
        <v>251.16630792996079</v>
      </c>
      <c r="H37" s="63">
        <v>0.57641607096499614</v>
      </c>
      <c r="I37" s="64">
        <v>49563</v>
      </c>
      <c r="J37" s="50">
        <v>4.9823751301323764E-2</v>
      </c>
      <c r="N37" s="63">
        <v>261.24849971078288</v>
      </c>
      <c r="O37" s="63">
        <v>0.57641607096499614</v>
      </c>
    </row>
    <row r="38" spans="2:20" x14ac:dyDescent="0.4">
      <c r="B38" s="62">
        <v>49745</v>
      </c>
      <c r="C38" s="50">
        <v>5.0092996434811334E-2</v>
      </c>
      <c r="G38" s="63">
        <v>249.77877674344259</v>
      </c>
      <c r="H38" s="63">
        <v>0.56479149363465797</v>
      </c>
      <c r="I38" s="64">
        <v>49745</v>
      </c>
      <c r="J38" s="50">
        <v>5.0092996434811334E-2</v>
      </c>
      <c r="N38" s="63">
        <v>259.75137948316871</v>
      </c>
      <c r="O38" s="63">
        <v>0.56479149363465797</v>
      </c>
    </row>
    <row r="39" spans="2:20" x14ac:dyDescent="0.4">
      <c r="B39" s="62">
        <v>49929</v>
      </c>
      <c r="C39" s="50">
        <v>5.0336303881371364E-2</v>
      </c>
      <c r="G39" s="63">
        <v>253.75013463485911</v>
      </c>
      <c r="H39" s="63">
        <v>0.55328277830281369</v>
      </c>
      <c r="I39" s="64">
        <v>49929</v>
      </c>
      <c r="J39" s="50">
        <v>5.0336303881371364E-2</v>
      </c>
      <c r="N39" s="63">
        <v>263.83232641568168</v>
      </c>
      <c r="O39" s="63">
        <v>0.55328277830281369</v>
      </c>
    </row>
    <row r="40" spans="2:20" x14ac:dyDescent="0.4">
      <c r="B40" s="62">
        <v>50110</v>
      </c>
      <c r="C40" s="50">
        <v>5.0626706739242883E-2</v>
      </c>
      <c r="G40" s="63">
        <v>251.05298410419087</v>
      </c>
      <c r="H40" s="63">
        <v>0.54226365569252377</v>
      </c>
      <c r="I40" s="64">
        <v>50110</v>
      </c>
      <c r="J40" s="50">
        <v>5.0626706739242883E-2</v>
      </c>
      <c r="N40" s="63">
        <v>260.97079232336915</v>
      </c>
      <c r="O40" s="63">
        <v>0.54226365569252377</v>
      </c>
    </row>
    <row r="41" spans="2:20" x14ac:dyDescent="0.4">
      <c r="B41" s="62">
        <v>50294</v>
      </c>
      <c r="C41" s="50">
        <v>5.1041862411701319E-2</v>
      </c>
      <c r="G41" s="63">
        <v>257.30692284254894</v>
      </c>
      <c r="H41" s="63">
        <v>0.53122934861197779</v>
      </c>
      <c r="I41" s="64">
        <v>50294</v>
      </c>
      <c r="J41" s="50">
        <v>5.1041862411701319E-2</v>
      </c>
      <c r="N41" s="63">
        <v>267.38911462336978</v>
      </c>
      <c r="O41" s="63">
        <v>0.53122934861197779</v>
      </c>
    </row>
    <row r="42" spans="2:20" x14ac:dyDescent="0.4">
      <c r="B42" s="62">
        <v>50475</v>
      </c>
      <c r="C42" s="50">
        <v>5.1272477355782248E-2</v>
      </c>
      <c r="G42" s="63">
        <v>254.25529866839949</v>
      </c>
      <c r="H42" s="63">
        <v>0.52073835968330628</v>
      </c>
      <c r="I42" s="64">
        <v>50475</v>
      </c>
      <c r="J42" s="50">
        <v>5.1272477355782248E-2</v>
      </c>
      <c r="N42" s="63">
        <v>264.17310688757851</v>
      </c>
      <c r="O42" s="63">
        <v>0.52073835968330628</v>
      </c>
    </row>
    <row r="43" spans="2:20" x14ac:dyDescent="0.4">
      <c r="B43" s="62">
        <v>50659</v>
      </c>
      <c r="C43" s="50">
        <v>5.1775688453652942E-2</v>
      </c>
      <c r="G43" s="63">
        <v>261.00621028690904</v>
      </c>
      <c r="H43" s="63">
        <v>0.51018522599136018</v>
      </c>
      <c r="I43" s="64">
        <v>50659</v>
      </c>
      <c r="J43" s="50">
        <v>5.1775688453652942E-2</v>
      </c>
      <c r="N43" s="63">
        <v>271.08840206772931</v>
      </c>
      <c r="O43" s="63">
        <v>0.51018522599136018</v>
      </c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2023-09-02T05:02:02Z</dcterms:modified>
</cp:coreProperties>
</file>