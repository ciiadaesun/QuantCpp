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70" i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<sst xmlns="http://schemas.openxmlformats.org/spreadsheetml/2006/main" count="272" uniqueCount="117">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</sst>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F21" sqref="F21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6" t="s">
        <v>22</v>
      </c>
      <c r="H5" s="98" t="s">
        <v>21</v>
      </c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7"/>
      <c r="H6" s="99" t="s">
        <v>7</v>
      </c>
      <c r="I6" s="100"/>
      <c r="L6" s="95" t="s">
        <v>11</v>
      </c>
      <c r="M6" s="95"/>
      <c r="N6" s="95"/>
      <c r="Q6" s="95" t="s">
        <v>12</v>
      </c>
      <c r="R6" s="95"/>
      <c r="S6" s="95"/>
      <c r="V6" s="95" t="s">
        <v>13</v>
      </c>
      <c r="W6" s="95"/>
      <c r="X6" s="95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7"/>
      <c r="H7" s="101"/>
      <c r="I7" s="102"/>
      <c r="L7" s="95"/>
      <c r="M7" s="95"/>
      <c r="N7" s="95"/>
      <c r="Q7" s="95"/>
      <c r="R7" s="95"/>
      <c r="S7" s="95"/>
      <c r="V7" s="95"/>
      <c r="W7" s="95"/>
      <c r="X7" s="95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7"/>
      <c r="I8" s="2" t="s">
        <v>107</v>
      </c>
      <c r="J8" s="2" t="s">
        <v>108</v>
      </c>
      <c r="K8" s="2" t="s">
        <v>110</v>
      </c>
      <c r="V8" s="95" t="s">
        <v>14</v>
      </c>
      <c r="W8" s="95"/>
      <c r="X8" s="4">
        <v>3</v>
      </c>
    </row>
    <row r="9" spans="1:45" x14ac:dyDescent="0.4">
      <c r="A9" s="9">
        <f t="shared" si="1"/>
        <v>9</v>
      </c>
      <c r="G9" s="97"/>
      <c r="H9" s="2" t="s">
        <v>8</v>
      </c>
      <c r="I9" s="3">
        <v>0.01</v>
      </c>
      <c r="J9" s="78">
        <v>9.6050968278254614E-3</v>
      </c>
      <c r="K9" s="78">
        <v>0.5</v>
      </c>
      <c r="Q9" s="95" t="s">
        <v>15</v>
      </c>
      <c r="R9" s="95"/>
      <c r="S9" s="4">
        <v>3</v>
      </c>
      <c r="V9" s="104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7"/>
      <c r="H10" s="79" t="s">
        <v>9</v>
      </c>
      <c r="I10" s="106" t="s">
        <v>10</v>
      </c>
      <c r="J10" s="107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105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7"/>
      <c r="H11" s="80">
        <v>1</v>
      </c>
      <c r="I11" s="81">
        <v>1.3407782430569134E-2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7"/>
      <c r="H12" s="80">
        <v>2</v>
      </c>
      <c r="I12" s="81">
        <v>1.1750883187845543E-2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4" t="s">
        <v>6</v>
      </c>
      <c r="E13" s="94"/>
      <c r="G13" s="97"/>
      <c r="H13" s="80">
        <v>3</v>
      </c>
      <c r="I13" s="81">
        <v>1.2510628997502786E-2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4"/>
      <c r="E14" s="94"/>
      <c r="G14" s="97"/>
      <c r="H14" s="80">
        <v>4</v>
      </c>
      <c r="I14" s="81">
        <v>1.1353112416773869E-2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4"/>
      <c r="E15" s="94"/>
      <c r="G15" s="97"/>
      <c r="H15" s="80">
        <v>5</v>
      </c>
      <c r="I15" s="81">
        <v>1.2680173562477387E-2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7"/>
      <c r="H16" s="80">
        <v>7</v>
      </c>
      <c r="I16" s="81">
        <v>1.1655130280879143E-2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3">
        <v>45097.723287037035</v>
      </c>
      <c r="E17" s="93"/>
      <c r="G17" s="97"/>
      <c r="H17" s="80">
        <v>10</v>
      </c>
      <c r="I17" s="81">
        <v>1.0407980775704408E-2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3">
        <v>45097.723287037035</v>
      </c>
      <c r="E18" s="93"/>
      <c r="G18" s="97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7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7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7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7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1" t="s">
        <v>116</v>
      </c>
      <c r="C23" s="91"/>
      <c r="D23" s="92">
        <v>0</v>
      </c>
      <c r="E23" s="92"/>
      <c r="G23" s="97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1" t="s">
        <v>112</v>
      </c>
      <c r="C24" s="91"/>
      <c r="D24" s="92">
        <v>0</v>
      </c>
      <c r="E24" s="92"/>
      <c r="G24" s="97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1" t="s">
        <v>114</v>
      </c>
      <c r="C25" s="91"/>
      <c r="D25" s="92">
        <v>-0.1</v>
      </c>
      <c r="E25" s="92"/>
      <c r="G25" s="97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1" t="s">
        <v>113</v>
      </c>
      <c r="C26" s="91"/>
      <c r="D26" s="92">
        <v>0.15</v>
      </c>
      <c r="E26" s="92"/>
      <c r="G26" s="97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7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7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7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7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7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7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7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7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7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7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7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7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7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7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6" t="s">
        <v>24</v>
      </c>
      <c r="H55" s="98" t="s">
        <v>23</v>
      </c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7"/>
      <c r="H56" s="99" t="s">
        <v>7</v>
      </c>
      <c r="I56" s="100"/>
      <c r="L56" s="95" t="s">
        <v>11</v>
      </c>
      <c r="M56" s="95"/>
      <c r="N56" s="95"/>
      <c r="Q56" s="95" t="s">
        <v>12</v>
      </c>
      <c r="R56" s="95"/>
      <c r="S56" s="95"/>
      <c r="V56" s="95" t="s">
        <v>13</v>
      </c>
      <c r="W56" s="95"/>
      <c r="X56" s="95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7"/>
      <c r="H57" s="101"/>
      <c r="I57" s="102"/>
      <c r="L57" s="95"/>
      <c r="M57" s="95"/>
      <c r="N57" s="95"/>
      <c r="Q57" s="95"/>
      <c r="R57" s="95"/>
      <c r="S57" s="95"/>
      <c r="V57" s="95"/>
      <c r="W57" s="95"/>
      <c r="X57" s="95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7"/>
      <c r="I58" s="2" t="s">
        <v>107</v>
      </c>
      <c r="J58" s="2" t="s">
        <v>108</v>
      </c>
      <c r="K58" s="2" t="s">
        <v>110</v>
      </c>
      <c r="V58" s="95" t="s">
        <v>14</v>
      </c>
      <c r="W58" s="95"/>
      <c r="X58" s="4">
        <v>3</v>
      </c>
    </row>
    <row r="59" spans="1:40" x14ac:dyDescent="0.4">
      <c r="A59" s="9">
        <f t="shared" si="1"/>
        <v>59</v>
      </c>
      <c r="G59" s="97"/>
      <c r="H59" s="2" t="s">
        <v>8</v>
      </c>
      <c r="I59" s="3">
        <v>0.01</v>
      </c>
      <c r="J59" s="78">
        <v>0.01</v>
      </c>
      <c r="K59" s="78">
        <v>0.9</v>
      </c>
      <c r="Q59" s="95" t="s">
        <v>15</v>
      </c>
      <c r="R59" s="95"/>
      <c r="S59" s="4">
        <v>3</v>
      </c>
      <c r="V59" s="104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7"/>
      <c r="H60" s="79" t="s">
        <v>9</v>
      </c>
      <c r="I60" s="106" t="s">
        <v>10</v>
      </c>
      <c r="J60" s="107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105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7"/>
      <c r="H61" s="80">
        <v>1</v>
      </c>
      <c r="I61" s="81">
        <v>1.3179794086105524E-2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7"/>
      <c r="H62" s="80">
        <v>2</v>
      </c>
      <c r="I62" s="81">
        <v>1.2003347093781683E-2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4" t="s">
        <v>6</v>
      </c>
      <c r="E63" s="94"/>
      <c r="G63" s="97"/>
      <c r="H63" s="80">
        <v>3</v>
      </c>
      <c r="I63" s="81">
        <v>1.1763422778972925E-2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4"/>
      <c r="E64" s="94"/>
      <c r="G64" s="97"/>
      <c r="H64" s="80">
        <v>4</v>
      </c>
      <c r="I64" s="81">
        <v>1.2245700586856338E-2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4"/>
      <c r="E65" s="94"/>
      <c r="G65" s="97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7"/>
      <c r="H66" s="80">
        <v>7</v>
      </c>
      <c r="I66" s="81">
        <v>1.3388249104175196E-2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3">
        <v>45097.723287037035</v>
      </c>
      <c r="E67" s="93"/>
      <c r="G67" s="97"/>
      <c r="H67" s="80">
        <v>10</v>
      </c>
      <c r="I67" s="81">
        <v>1.5966173861409468E-2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3">
        <v>45097.723287037035</v>
      </c>
      <c r="E68" s="93"/>
      <c r="G68" s="97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7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7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7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7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1" t="s">
        <v>116</v>
      </c>
      <c r="C73" s="91"/>
      <c r="D73" s="92">
        <v>0</v>
      </c>
      <c r="E73" s="92"/>
      <c r="G73" s="97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1" t="s">
        <v>112</v>
      </c>
      <c r="C74" s="91"/>
      <c r="D74" s="92">
        <v>1</v>
      </c>
      <c r="E74" s="92"/>
      <c r="G74" s="97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1" t="s">
        <v>114</v>
      </c>
      <c r="C75" s="91"/>
      <c r="D75" s="92">
        <v>-0.12</v>
      </c>
      <c r="E75" s="92"/>
      <c r="G75" s="97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1" t="s">
        <v>113</v>
      </c>
      <c r="C76" s="91"/>
      <c r="D76" s="92">
        <v>0.24</v>
      </c>
      <c r="E76" s="92"/>
      <c r="G76" s="97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7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7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7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7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7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7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7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7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7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7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7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7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7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7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6" t="s">
        <v>26</v>
      </c>
      <c r="H105" s="98" t="s">
        <v>25</v>
      </c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7"/>
      <c r="H106" s="99" t="s">
        <v>7</v>
      </c>
      <c r="I106" s="100"/>
      <c r="L106" s="95" t="s">
        <v>11</v>
      </c>
      <c r="M106" s="95"/>
      <c r="N106" s="95"/>
      <c r="Q106" s="95" t="s">
        <v>12</v>
      </c>
      <c r="R106" s="95"/>
      <c r="S106" s="95"/>
      <c r="V106" s="95" t="s">
        <v>13</v>
      </c>
      <c r="W106" s="95"/>
      <c r="X106" s="95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7"/>
      <c r="H107" s="101"/>
      <c r="I107" s="102"/>
      <c r="L107" s="95"/>
      <c r="M107" s="95"/>
      <c r="N107" s="95"/>
      <c r="Q107" s="95"/>
      <c r="R107" s="95"/>
      <c r="S107" s="95"/>
      <c r="V107" s="95"/>
      <c r="W107" s="95"/>
      <c r="X107" s="95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7"/>
      <c r="I108" s="2" t="s">
        <v>107</v>
      </c>
      <c r="J108" s="2" t="s">
        <v>108</v>
      </c>
      <c r="K108" s="2" t="s">
        <v>110</v>
      </c>
      <c r="V108" s="95" t="s">
        <v>14</v>
      </c>
      <c r="W108" s="95"/>
      <c r="X108" s="4">
        <v>3</v>
      </c>
    </row>
    <row r="109" spans="1:40" x14ac:dyDescent="0.4">
      <c r="A109" s="9">
        <f t="shared" si="6"/>
        <v>109</v>
      </c>
      <c r="G109" s="97"/>
      <c r="H109" s="2" t="s">
        <v>8</v>
      </c>
      <c r="I109" s="3">
        <v>0.01</v>
      </c>
      <c r="J109" s="78">
        <v>0.01</v>
      </c>
      <c r="K109" s="78">
        <v>0.9</v>
      </c>
      <c r="Q109" s="95" t="s">
        <v>15</v>
      </c>
      <c r="R109" s="95"/>
      <c r="S109" s="4">
        <v>3</v>
      </c>
      <c r="V109" s="104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7"/>
      <c r="H110" s="79" t="s">
        <v>9</v>
      </c>
      <c r="I110" s="106" t="s">
        <v>10</v>
      </c>
      <c r="J110" s="107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105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7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7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4" t="s">
        <v>6</v>
      </c>
      <c r="E113" s="94"/>
      <c r="G113" s="97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4"/>
      <c r="E114" s="94"/>
      <c r="G114" s="97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4"/>
      <c r="E115" s="94"/>
      <c r="G115" s="97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7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3">
        <v>44931.461863425924</v>
      </c>
      <c r="E117" s="93"/>
      <c r="G117" s="97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3">
        <v>44931.461875000001</v>
      </c>
      <c r="E118" s="93"/>
      <c r="G118" s="97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7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7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7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7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1" t="s">
        <v>116</v>
      </c>
      <c r="C123" s="91"/>
      <c r="D123" s="92">
        <v>0</v>
      </c>
      <c r="E123" s="92"/>
      <c r="G123" s="97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1" t="s">
        <v>112</v>
      </c>
      <c r="C124" s="91"/>
      <c r="D124" s="92">
        <v>0</v>
      </c>
      <c r="E124" s="92"/>
      <c r="G124" s="97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1" t="s">
        <v>114</v>
      </c>
      <c r="C125" s="91"/>
      <c r="D125" s="92">
        <v>-0.1</v>
      </c>
      <c r="E125" s="92"/>
      <c r="G125" s="97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1" t="s">
        <v>113</v>
      </c>
      <c r="C126" s="91"/>
      <c r="D126" s="92">
        <v>0.15</v>
      </c>
      <c r="E126" s="92"/>
      <c r="G126" s="97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7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7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7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7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7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7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7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7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7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7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7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7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7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7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6" t="s">
        <v>28</v>
      </c>
      <c r="H155" s="98" t="s">
        <v>27</v>
      </c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7"/>
      <c r="H156" s="99" t="s">
        <v>7</v>
      </c>
      <c r="I156" s="100"/>
      <c r="L156" s="95" t="s">
        <v>11</v>
      </c>
      <c r="M156" s="95"/>
      <c r="N156" s="95"/>
      <c r="Q156" s="95" t="s">
        <v>12</v>
      </c>
      <c r="R156" s="95"/>
      <c r="S156" s="95"/>
      <c r="V156" s="95" t="s">
        <v>13</v>
      </c>
      <c r="W156" s="95"/>
      <c r="X156" s="95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7"/>
      <c r="H157" s="101"/>
      <c r="I157" s="102"/>
      <c r="L157" s="95"/>
      <c r="M157" s="95"/>
      <c r="N157" s="95"/>
      <c r="Q157" s="95"/>
      <c r="R157" s="95"/>
      <c r="S157" s="95"/>
      <c r="V157" s="95"/>
      <c r="W157" s="95"/>
      <c r="X157" s="95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7"/>
      <c r="I158" s="2" t="s">
        <v>107</v>
      </c>
      <c r="J158" s="2" t="s">
        <v>108</v>
      </c>
      <c r="K158" s="2" t="s">
        <v>110</v>
      </c>
      <c r="V158" s="95" t="s">
        <v>14</v>
      </c>
      <c r="W158" s="95"/>
      <c r="X158" s="4">
        <v>3</v>
      </c>
    </row>
    <row r="159" spans="1:40" x14ac:dyDescent="0.4">
      <c r="A159" s="9">
        <f t="shared" si="9"/>
        <v>159</v>
      </c>
      <c r="G159" s="97"/>
      <c r="H159" s="2" t="s">
        <v>8</v>
      </c>
      <c r="I159" s="3">
        <v>0.01</v>
      </c>
      <c r="J159" s="78">
        <v>0.01</v>
      </c>
      <c r="K159" s="78">
        <v>0.9</v>
      </c>
      <c r="Q159" s="95" t="s">
        <v>15</v>
      </c>
      <c r="R159" s="95"/>
      <c r="S159" s="4">
        <v>3</v>
      </c>
      <c r="V159" s="104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7"/>
      <c r="H160" s="79" t="s">
        <v>9</v>
      </c>
      <c r="I160" s="106" t="s">
        <v>10</v>
      </c>
      <c r="J160" s="107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105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7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7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4" t="s">
        <v>6</v>
      </c>
      <c r="E163" s="94"/>
      <c r="G163" s="97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4"/>
      <c r="E164" s="94"/>
      <c r="G164" s="97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4"/>
      <c r="E165" s="94"/>
      <c r="G165" s="97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7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3">
        <v>44931.461875000001</v>
      </c>
      <c r="E167" s="93"/>
      <c r="G167" s="97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3">
        <v>44931.461875000001</v>
      </c>
      <c r="E168" s="93"/>
      <c r="G168" s="97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7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7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7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7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1" t="s">
        <v>116</v>
      </c>
      <c r="C173" s="91"/>
      <c r="D173" s="92">
        <v>0</v>
      </c>
      <c r="E173" s="92"/>
      <c r="G173" s="97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1" t="s">
        <v>112</v>
      </c>
      <c r="C174" s="91"/>
      <c r="D174" s="92">
        <v>0</v>
      </c>
      <c r="E174" s="92"/>
      <c r="G174" s="97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1" t="s">
        <v>114</v>
      </c>
      <c r="C175" s="91"/>
      <c r="D175" s="92">
        <v>-0.1</v>
      </c>
      <c r="E175" s="92"/>
      <c r="G175" s="97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1" t="s">
        <v>113</v>
      </c>
      <c r="C176" s="91"/>
      <c r="D176" s="92">
        <v>0.15</v>
      </c>
      <c r="E176" s="92"/>
      <c r="G176" s="97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7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7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7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7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7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7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7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7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7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7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7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7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7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7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B24:C24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G43" sqref="G43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0" t="s">
        <v>29</v>
      </c>
      <c r="C3" s="160"/>
      <c r="D3" s="161">
        <v>44848</v>
      </c>
      <c r="E3" s="132"/>
      <c r="F3" s="129" t="s">
        <v>31</v>
      </c>
      <c r="G3" s="129"/>
      <c r="H3" s="132">
        <v>0</v>
      </c>
      <c r="I3" s="132"/>
      <c r="J3" s="129" t="s">
        <v>67</v>
      </c>
      <c r="K3" s="129"/>
      <c r="L3" s="132">
        <v>10000</v>
      </c>
      <c r="M3" s="132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4" t="s">
        <v>46</v>
      </c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D5" s="164" t="s">
        <v>47</v>
      </c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</row>
    <row r="6" spans="1:57" ht="16.2" customHeight="1" x14ac:dyDescent="0.4">
      <c r="A6" s="34">
        <f t="shared" si="1"/>
        <v>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</row>
    <row r="7" spans="1:57" ht="16.2" customHeight="1" x14ac:dyDescent="0.4">
      <c r="A7" s="34">
        <f t="shared" si="1"/>
        <v>7</v>
      </c>
      <c r="B7" s="160" t="str">
        <f>IF(D7&gt;0,"레퍼런스금리 개수","기초금리는 1개 - 3개 입력가능")</f>
        <v>레퍼런스금리 개수</v>
      </c>
      <c r="C7" s="160"/>
      <c r="D7" s="131">
        <v>1</v>
      </c>
      <c r="E7" s="131"/>
      <c r="F7" s="147" t="s">
        <v>32</v>
      </c>
      <c r="G7" s="148"/>
      <c r="H7" s="132">
        <v>1</v>
      </c>
      <c r="I7" s="132"/>
      <c r="J7" s="129" t="s">
        <v>92</v>
      </c>
      <c r="K7" s="129"/>
      <c r="L7" s="132">
        <v>0</v>
      </c>
      <c r="M7" s="132"/>
      <c r="N7" s="35"/>
      <c r="O7" s="35"/>
      <c r="P7" s="35"/>
      <c r="Q7" s="35"/>
      <c r="R7" s="35"/>
      <c r="S7" s="35"/>
      <c r="T7" s="35"/>
      <c r="U7" s="35"/>
      <c r="AD7" s="160" t="str">
        <f>IF(AF7&gt;0,"레퍼런스금리 개수","기초금리는 1개 - 3개 입력가능")</f>
        <v>레퍼런스금리 개수</v>
      </c>
      <c r="AE7" s="160"/>
      <c r="AF7" s="131">
        <v>1</v>
      </c>
      <c r="AG7" s="131"/>
      <c r="AH7" s="147" t="s">
        <v>32</v>
      </c>
      <c r="AI7" s="148"/>
      <c r="AJ7" s="132">
        <v>0</v>
      </c>
      <c r="AK7" s="132"/>
      <c r="AL7" s="129" t="s">
        <v>92</v>
      </c>
      <c r="AM7" s="129"/>
      <c r="AN7" s="132">
        <v>0</v>
      </c>
      <c r="AO7" s="132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9" t="s">
        <v>50</v>
      </c>
      <c r="C8" s="129"/>
      <c r="D8" s="130">
        <v>1</v>
      </c>
      <c r="E8" s="131"/>
      <c r="F8" s="129" t="s">
        <v>51</v>
      </c>
      <c r="G8" s="129"/>
      <c r="H8" s="130">
        <v>1</v>
      </c>
      <c r="I8" s="131"/>
      <c r="J8" s="129" t="s">
        <v>42</v>
      </c>
      <c r="K8" s="129"/>
      <c r="L8" s="132">
        <v>0</v>
      </c>
      <c r="M8" s="132"/>
      <c r="N8" s="35"/>
      <c r="O8" s="35"/>
      <c r="P8" s="35"/>
      <c r="Q8" s="35"/>
      <c r="R8" s="35"/>
      <c r="S8" s="35"/>
      <c r="T8" s="35"/>
      <c r="U8" s="35"/>
      <c r="AD8" s="129" t="s">
        <v>50</v>
      </c>
      <c r="AE8" s="129"/>
      <c r="AF8" s="130">
        <v>1</v>
      </c>
      <c r="AG8" s="131"/>
      <c r="AH8" s="129" t="s">
        <v>51</v>
      </c>
      <c r="AI8" s="129"/>
      <c r="AJ8" s="130">
        <v>1</v>
      </c>
      <c r="AK8" s="131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5" t="str">
        <f>IF(D7&gt;=1,"기초금리1", "")</f>
        <v>기초금리1</v>
      </c>
      <c r="C10" s="162" t="str">
        <f>IF($D$7&gt;=1,"커브번호", "")</f>
        <v>커브번호</v>
      </c>
      <c r="D10" s="162"/>
      <c r="E10" s="163">
        <v>1</v>
      </c>
      <c r="F10" s="163"/>
      <c r="G10" s="71"/>
      <c r="H10" s="36"/>
      <c r="I10" s="165" t="str">
        <f>IF(OR(E11 = 0, E11 = 2, E11 = 4), "RefType = "&amp;E11&amp;" 이므로 Ref Swap 금리정보 사용안함", "사용")</f>
        <v>RefType = 0 이므로 Ref Swap 금리정보 사용안함</v>
      </c>
      <c r="J10" s="166"/>
      <c r="K10" s="166"/>
      <c r="L10" s="194"/>
      <c r="N10" s="149" t="s">
        <v>34</v>
      </c>
      <c r="O10" s="149"/>
      <c r="P10" s="149"/>
      <c r="Q10" s="149"/>
      <c r="R10" s="34"/>
      <c r="S10" s="34"/>
      <c r="T10" s="34"/>
      <c r="U10" s="34"/>
      <c r="W10" s="149" t="s">
        <v>52</v>
      </c>
      <c r="X10" s="149"/>
      <c r="Y10" s="149"/>
      <c r="AD10" s="117" t="str">
        <f>IF($AF$7&gt;=1,"기초금리1", "")</f>
        <v>기초금리1</v>
      </c>
      <c r="AE10" s="123" t="str">
        <f>IF($AF$7&gt;=1,"커브번호", "")</f>
        <v>커브번호</v>
      </c>
      <c r="AF10" s="123"/>
      <c r="AG10" s="163">
        <v>2</v>
      </c>
      <c r="AH10" s="163"/>
      <c r="AI10" s="71"/>
      <c r="AJ10" s="36"/>
      <c r="AK10" s="187" t="str">
        <f>IF(OR(AG11 = 0, AG11 = 2, AG11 = 4), "RefType = "&amp;AG11&amp;" 이므로 Ref Swap 금리정보 사용안함", "사용")</f>
        <v>RefType = 0 이므로 Ref Swap 금리정보 사용안함</v>
      </c>
      <c r="AL10" s="187"/>
      <c r="AM10" s="187"/>
      <c r="AN10" s="188"/>
      <c r="AP10" s="149" t="s">
        <v>54</v>
      </c>
      <c r="AQ10" s="149"/>
      <c r="AR10" s="149"/>
      <c r="AS10" s="149"/>
      <c r="AT10" s="34"/>
      <c r="AU10" s="34"/>
      <c r="AV10" s="34"/>
      <c r="AW10" s="34"/>
      <c r="AY10" s="149" t="s">
        <v>53</v>
      </c>
      <c r="AZ10" s="149"/>
      <c r="BA10" s="149"/>
    </row>
    <row r="11" spans="1:57" ht="16.2" customHeight="1" x14ac:dyDescent="0.4">
      <c r="A11" s="34">
        <f t="shared" si="1"/>
        <v>11</v>
      </c>
      <c r="B11" s="146"/>
      <c r="C11" s="143" t="str">
        <f>IF($D$7&gt;=1,"Reference Rate Type", "")</f>
        <v>Reference Rate Type</v>
      </c>
      <c r="D11" s="144"/>
      <c r="E11" s="170">
        <v>0</v>
      </c>
      <c r="F11" s="171"/>
      <c r="G11" s="165" t="str">
        <f>IF(OR(E11 = 0, E11 = 2, E11 = 4), "", "Zero/Swap 레퍼런스금리정보")</f>
        <v/>
      </c>
      <c r="H11" s="166"/>
      <c r="I11" s="137" t="str">
        <f>IF(OR(E11 = 0, E11 = 2, E11 = 4), "", "연 지급횟수")</f>
        <v/>
      </c>
      <c r="J11" s="138"/>
      <c r="K11" s="139">
        <v>4</v>
      </c>
      <c r="L11" s="140"/>
      <c r="M11" s="34"/>
      <c r="N11" s="150" t="str">
        <f>IF(OR(E11 = 0, E11 = 2, E11 = 4), "ForwardStart", "ResetStart")</f>
        <v>ForwardStart</v>
      </c>
      <c r="O11" s="150" t="str">
        <f>IF(OR(E11 = 0, E11 = 2, E11 = 4), "ForwardEnd", "ResetEnd")</f>
        <v>ForwardEnd</v>
      </c>
      <c r="P11" s="151" t="s">
        <v>35</v>
      </c>
      <c r="Q11" s="151" t="s">
        <v>36</v>
      </c>
      <c r="R11" s="151" t="s">
        <v>37</v>
      </c>
      <c r="S11" s="151" t="s">
        <v>38</v>
      </c>
      <c r="T11" s="151" t="s">
        <v>91</v>
      </c>
      <c r="U11" s="151" t="s">
        <v>71</v>
      </c>
      <c r="W11" s="37" t="s">
        <v>43</v>
      </c>
      <c r="X11" s="184">
        <v>0</v>
      </c>
      <c r="Y11" s="184"/>
      <c r="AD11" s="189"/>
      <c r="AE11" s="174" t="str">
        <f>IF($AF$7&gt;=1,"Reference Rate Type", "")</f>
        <v>Reference Rate Type</v>
      </c>
      <c r="AF11" s="175"/>
      <c r="AG11" s="170">
        <v>0</v>
      </c>
      <c r="AH11" s="170"/>
      <c r="AI11" s="176" t="str">
        <f>IF(OR(AG11 = 0, AG11 = 2, AG11 = 4), "", "Zero/Swap 레퍼런스금리정보")</f>
        <v/>
      </c>
      <c r="AJ11" s="176"/>
      <c r="AK11" s="176" t="str">
        <f>IF(OR(AG11 = 0, AG11 = 2, AG11 = 4), "", "연 지급횟수")</f>
        <v/>
      </c>
      <c r="AL11" s="177"/>
      <c r="AM11" s="139">
        <v>4</v>
      </c>
      <c r="AN11" s="140"/>
      <c r="AO11" s="34"/>
      <c r="AP11" s="151" t="str">
        <f>IF(OR(AG11 = 0, AG11 = 2, AG11 = 4), "ForwardStart", "ResetEnd")</f>
        <v>ForwardStart</v>
      </c>
      <c r="AQ11" s="151" t="str">
        <f>IF(OR(AG11 = 0, AG11 = 2, AG11 = 4), "ForwardEnd", "ResetEnd")</f>
        <v>ForwardEnd</v>
      </c>
      <c r="AR11" s="151" t="s">
        <v>35</v>
      </c>
      <c r="AS11" s="151" t="s">
        <v>36</v>
      </c>
      <c r="AT11" s="151" t="s">
        <v>37</v>
      </c>
      <c r="AU11" s="151" t="s">
        <v>38</v>
      </c>
      <c r="AV11" s="151" t="s">
        <v>91</v>
      </c>
      <c r="AW11" s="151" t="s">
        <v>71</v>
      </c>
      <c r="AY11" s="37" t="s">
        <v>43</v>
      </c>
      <c r="AZ11" s="184">
        <v>0</v>
      </c>
      <c r="BA11" s="184"/>
    </row>
    <row r="12" spans="1:57" ht="16.2" customHeight="1" x14ac:dyDescent="0.4">
      <c r="A12" s="34">
        <f t="shared" si="1"/>
        <v>12</v>
      </c>
      <c r="B12" s="146"/>
      <c r="C12" s="143" t="str">
        <f>IF($D$7&gt;=1,"DayCount", "")</f>
        <v>DayCount</v>
      </c>
      <c r="D12" s="143"/>
      <c r="E12" s="156">
        <v>0</v>
      </c>
      <c r="F12" s="157"/>
      <c r="G12" s="167"/>
      <c r="H12" s="137"/>
      <c r="I12" s="137" t="str">
        <f>IF(OR(E11 = 0, E11 = 2, E11 = 4,E14=1), "", "만기")</f>
        <v/>
      </c>
      <c r="J12" s="138"/>
      <c r="K12" s="168">
        <v>0.25</v>
      </c>
      <c r="L12" s="169"/>
      <c r="N12" s="151"/>
      <c r="O12" s="151"/>
      <c r="P12" s="151"/>
      <c r="Q12" s="151"/>
      <c r="R12" s="151"/>
      <c r="S12" s="151"/>
      <c r="T12" s="151"/>
      <c r="U12" s="151"/>
      <c r="W12" s="37" t="s">
        <v>44</v>
      </c>
      <c r="X12" s="184">
        <v>0</v>
      </c>
      <c r="Y12" s="184"/>
      <c r="AD12" s="189"/>
      <c r="AE12" s="174" t="str">
        <f>IF($AF$7&gt;=1,"DayCount", "")</f>
        <v>DayCount</v>
      </c>
      <c r="AF12" s="174"/>
      <c r="AG12" s="156">
        <v>0</v>
      </c>
      <c r="AH12" s="156"/>
      <c r="AI12" s="176"/>
      <c r="AJ12" s="176"/>
      <c r="AK12" s="137" t="str">
        <f>IF(OR(AG11 = 0, AG11 = 2, AG11 = 4,AG14=1), "", "만기")</f>
        <v/>
      </c>
      <c r="AL12" s="138"/>
      <c r="AM12" s="141">
        <v>0.25</v>
      </c>
      <c r="AN12" s="142"/>
      <c r="AP12" s="151"/>
      <c r="AQ12" s="151"/>
      <c r="AR12" s="151"/>
      <c r="AS12" s="151"/>
      <c r="AT12" s="151"/>
      <c r="AU12" s="151"/>
      <c r="AV12" s="151"/>
      <c r="AW12" s="151"/>
      <c r="AY12" s="37" t="s">
        <v>44</v>
      </c>
      <c r="AZ12" s="184">
        <v>0</v>
      </c>
      <c r="BA12" s="184"/>
    </row>
    <row r="13" spans="1:57" ht="16.2" customHeight="1" x14ac:dyDescent="0.4">
      <c r="A13" s="34">
        <f t="shared" si="1"/>
        <v>13</v>
      </c>
      <c r="B13" s="146"/>
      <c r="C13" s="143" t="str">
        <f>IF($D$7&gt;=1,"금리결정조건Multiple", "")</f>
        <v>금리결정조건Multiple</v>
      </c>
      <c r="D13" s="144"/>
      <c r="E13" s="133">
        <v>1</v>
      </c>
      <c r="F13" s="183"/>
      <c r="G13" s="158" t="str">
        <f>IF(OR(E11 = 0, E11 = 2, E11 = 4), "", "ex) Zero Rate 5년 -&gt; 연 지급횟수= 0, 만기= 5 // CD91일 -&gt; 연 지급횟수= 4, 만기= 0.25")</f>
        <v/>
      </c>
      <c r="H13" s="158"/>
      <c r="I13" s="158"/>
      <c r="J13" s="158"/>
      <c r="K13" s="158"/>
      <c r="L13" s="159"/>
      <c r="M13" s="34"/>
      <c r="N13" s="38">
        <v>43109</v>
      </c>
      <c r="O13" s="38">
        <v>43199</v>
      </c>
      <c r="P13" s="38">
        <v>43109</v>
      </c>
      <c r="Q13" s="38">
        <v>43199</v>
      </c>
      <c r="R13" s="38">
        <v>43202</v>
      </c>
      <c r="S13" s="39">
        <v>0</v>
      </c>
      <c r="T13" s="39">
        <v>0</v>
      </c>
      <c r="U13" s="39"/>
      <c r="W13" s="37" t="s">
        <v>45</v>
      </c>
      <c r="X13" s="184">
        <v>0</v>
      </c>
      <c r="Y13" s="184"/>
      <c r="AD13" s="189"/>
      <c r="AE13" s="174" t="str">
        <f>IF($AF$7&gt;=1,"금리결정조건Multiple", "")</f>
        <v>금리결정조건Multiple</v>
      </c>
      <c r="AF13" s="175"/>
      <c r="AG13" s="133">
        <v>1</v>
      </c>
      <c r="AH13" s="133"/>
      <c r="AI13" s="158" t="str">
        <f>IF(OR(AG11 = 0, AG11 = 2, AG11 = 4), "", "ex) Zero Rate 5년 -&gt; 연 지급횟수= 0, 만기= 5 // CD91일 -&gt; 연 지급횟수= 4, 만기= 0.25")</f>
        <v/>
      </c>
      <c r="AJ13" s="158"/>
      <c r="AK13" s="158"/>
      <c r="AL13" s="158"/>
      <c r="AM13" s="158"/>
      <c r="AN13" s="159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84">
        <v>0</v>
      </c>
      <c r="BA13" s="184"/>
    </row>
    <row r="14" spans="1:57" ht="16.2" customHeight="1" x14ac:dyDescent="0.4">
      <c r="A14" s="34">
        <f t="shared" si="1"/>
        <v>14</v>
      </c>
      <c r="B14" s="146"/>
      <c r="C14" s="178" t="str">
        <f>IF($D$7&gt;=1,"Power Spread Flag", "")</f>
        <v>Power Spread Flag</v>
      </c>
      <c r="D14" s="178"/>
      <c r="E14" s="156">
        <v>0</v>
      </c>
      <c r="F14" s="157"/>
      <c r="G14" s="134" t="str">
        <f>IF(E14&gt;0,"PowerSpreadFlag 1일때 입력","입력필요X")</f>
        <v>입력필요X</v>
      </c>
      <c r="H14" s="134"/>
      <c r="I14" s="134" t="str">
        <f>IF(E14&gt;0,"만기1","")</f>
        <v/>
      </c>
      <c r="J14" s="134"/>
      <c r="K14" s="135">
        <v>10</v>
      </c>
      <c r="L14" s="136"/>
      <c r="M14" s="34"/>
      <c r="N14" s="38">
        <v>43199</v>
      </c>
      <c r="O14" s="38">
        <v>43290</v>
      </c>
      <c r="P14" s="38">
        <v>43199</v>
      </c>
      <c r="Q14" s="38">
        <v>43290</v>
      </c>
      <c r="R14" s="38"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89"/>
      <c r="AE14" s="172" t="str">
        <f>IF($AF$7&gt;=1,"Power Spread Flag", "")</f>
        <v>Power Spread Flag</v>
      </c>
      <c r="AF14" s="172"/>
      <c r="AG14" s="156">
        <v>0</v>
      </c>
      <c r="AH14" s="156"/>
      <c r="AI14" s="173" t="str">
        <f>IF(AG14&gt;0,"PowerSpreadFlag 1일때 입력","입력필요X")</f>
        <v>입력필요X</v>
      </c>
      <c r="AJ14" s="173"/>
      <c r="AK14" s="173" t="str">
        <f>IF(AG14&gt;0,"만기1","")</f>
        <v/>
      </c>
      <c r="AL14" s="173"/>
      <c r="AM14" s="135">
        <v>10</v>
      </c>
      <c r="AN14" s="136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6" t="str">
        <f>IF($D$7&gt;0, "사용", "커브개수"&amp;"="&amp;$D$7&amp;"이므로 사용안함")</f>
        <v>사용</v>
      </c>
      <c r="C15" s="178" t="str">
        <f>IF($D$7&gt;=1,"기초금리 Range상한", "")</f>
        <v>기초금리 Range상한</v>
      </c>
      <c r="D15" s="178"/>
      <c r="E15" s="181">
        <v>10</v>
      </c>
      <c r="F15" s="185"/>
      <c r="G15" s="134"/>
      <c r="H15" s="134"/>
      <c r="I15" s="134" t="str">
        <f>IF(E14&gt;0,"만기2","")</f>
        <v/>
      </c>
      <c r="J15" s="134"/>
      <c r="K15" s="135">
        <v>5</v>
      </c>
      <c r="L15" s="136"/>
      <c r="M15" s="34"/>
      <c r="N15" s="38">
        <v>43290</v>
      </c>
      <c r="O15" s="38">
        <v>43382</v>
      </c>
      <c r="P15" s="38">
        <v>43290</v>
      </c>
      <c r="Q15" s="38">
        <v>43382</v>
      </c>
      <c r="R15" s="38"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89" t="str">
        <f>IF($AF$7&gt;0, "사용", "커브개수"&amp;"="&amp;$AF$7&amp;"이므로 사용안함")</f>
        <v>사용</v>
      </c>
      <c r="AE15" s="172" t="str">
        <f>IF($AF$7&gt;=1,"기초금리 Range상한", "")</f>
        <v>기초금리 Range상한</v>
      </c>
      <c r="AF15" s="172"/>
      <c r="AG15" s="181">
        <v>10</v>
      </c>
      <c r="AH15" s="181"/>
      <c r="AI15" s="173"/>
      <c r="AJ15" s="173"/>
      <c r="AK15" s="173" t="str">
        <f>IF(AG14&gt;0,"만기2","")</f>
        <v/>
      </c>
      <c r="AL15" s="173"/>
      <c r="AM15" s="135">
        <v>5</v>
      </c>
      <c r="AN15" s="136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6"/>
      <c r="C16" s="178" t="str">
        <f>IF($D$7&gt;=1,"기초금리 Range하한", "")</f>
        <v>기초금리 Range하한</v>
      </c>
      <c r="D16" s="143"/>
      <c r="E16" s="180">
        <v>-1</v>
      </c>
      <c r="F16" s="186"/>
      <c r="G16" s="182"/>
      <c r="H16" s="182"/>
      <c r="I16" s="152" t="str">
        <f>IF(E14&gt;0,"Spread1","")</f>
        <v/>
      </c>
      <c r="J16" s="152"/>
      <c r="K16" s="153" t="str">
        <f>IF(E14&gt;0, I14&amp;"-"&amp;I15, "")</f>
        <v/>
      </c>
      <c r="L16" s="154"/>
      <c r="M16" s="34"/>
      <c r="N16" s="38">
        <v>43382</v>
      </c>
      <c r="O16" s="38">
        <v>43474</v>
      </c>
      <c r="P16" s="38">
        <v>43382</v>
      </c>
      <c r="Q16" s="38">
        <v>43474</v>
      </c>
      <c r="R16" s="38"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89"/>
      <c r="AE16" s="172" t="str">
        <f>IF($AF$7&gt;=1,"기초금리 Range하한", "")</f>
        <v>기초금리 Range하한</v>
      </c>
      <c r="AF16" s="174"/>
      <c r="AG16" s="180">
        <v>-1</v>
      </c>
      <c r="AH16" s="180"/>
      <c r="AI16" s="193"/>
      <c r="AJ16" s="193"/>
      <c r="AK16" s="190" t="str">
        <f>IF(AG14&gt;0,"Spread1","")</f>
        <v/>
      </c>
      <c r="AL16" s="190"/>
      <c r="AM16" s="191" t="str">
        <f>IF(AG14&gt;0, AK14&amp;"-"&amp;AK15, "")</f>
        <v/>
      </c>
      <c r="AN16" s="192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79" t="str">
        <f>IF($D$7&gt;=1,"Payoff조건Multiple", "")</f>
        <v>Payoff조건Multiple</v>
      </c>
      <c r="D17" s="179"/>
      <c r="E17" s="195">
        <v>1</v>
      </c>
      <c r="F17" s="196"/>
      <c r="G17" s="198" t="str">
        <f>IF(E14&gt;0,"예시) 10년-5년 스왑: 연 지급횟수=4, 만기1=10, 만기2=5","")</f>
        <v/>
      </c>
      <c r="H17" s="198"/>
      <c r="I17" s="198"/>
      <c r="J17" s="198"/>
      <c r="K17" s="198"/>
      <c r="L17" s="199"/>
      <c r="M17" s="34"/>
      <c r="N17" s="38">
        <v>43474</v>
      </c>
      <c r="O17" s="38">
        <v>43564</v>
      </c>
      <c r="P17" s="38">
        <v>43474</v>
      </c>
      <c r="Q17" s="38">
        <v>43564</v>
      </c>
      <c r="R17" s="38"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24" t="str">
        <f>IF($AF$7&gt;=1,"Payoff조건Multiple", "")</f>
        <v>Payoff조건Multiple</v>
      </c>
      <c r="AF17" s="124"/>
      <c r="AG17" s="195">
        <v>1</v>
      </c>
      <c r="AH17" s="195"/>
      <c r="AI17" s="198" t="str">
        <f>IF(AG14&gt;0,"예시) 10년-5년 스왑: 연 지급횟수=4, 만기1=10, 만기2=5","")</f>
        <v/>
      </c>
      <c r="AJ17" s="198"/>
      <c r="AK17" s="198"/>
      <c r="AL17" s="198"/>
      <c r="AM17" s="198"/>
      <c r="AN17" s="199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43564</v>
      </c>
      <c r="O18" s="38">
        <v>43655</v>
      </c>
      <c r="P18" s="38">
        <v>43564</v>
      </c>
      <c r="Q18" s="38">
        <v>43655</v>
      </c>
      <c r="R18" s="38"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5" t="str">
        <f>IF(D7&gt;=2,"기초금리2", "")</f>
        <v/>
      </c>
      <c r="C19" s="162" t="str">
        <f>IF($D$7&gt;=2,"커브번호", "")</f>
        <v/>
      </c>
      <c r="D19" s="162"/>
      <c r="E19" s="163">
        <v>2</v>
      </c>
      <c r="F19" s="163"/>
      <c r="G19" s="71"/>
      <c r="H19" s="36"/>
      <c r="I19" s="166" t="str">
        <f>IF(OR(E20 = 0, E20 = 2, E20 = 4), "RefType = "&amp;E20&amp;" 이므로 Ref Swap 금리정보 사용안함", "사용")</f>
        <v>RefType = 0 이므로 Ref Swap 금리정보 사용안함</v>
      </c>
      <c r="J19" s="166"/>
      <c r="K19" s="166"/>
      <c r="L19" s="194"/>
      <c r="M19" s="34"/>
      <c r="N19" s="38">
        <v>43655</v>
      </c>
      <c r="O19" s="38">
        <v>43747</v>
      </c>
      <c r="P19" s="38">
        <v>43655</v>
      </c>
      <c r="Q19" s="38">
        <v>43747</v>
      </c>
      <c r="R19" s="38"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17" t="str">
        <f>IF($AF$7&gt;=2,"기초금리2", "")</f>
        <v/>
      </c>
      <c r="AE19" s="123" t="str">
        <f>IF($AF$7&gt;=2,"커브번호", "")</f>
        <v/>
      </c>
      <c r="AF19" s="123"/>
      <c r="AG19" s="163">
        <v>2</v>
      </c>
      <c r="AH19" s="163"/>
      <c r="AI19" s="71"/>
      <c r="AJ19" s="36"/>
      <c r="AK19" s="187" t="str">
        <f>IF(OR(AG20 = 0, AG20 = 2, AG20 = 4), "RefType = "&amp;AG20&amp;" 이므로 Ref Swap 금리정보 사용안함", "사용")</f>
        <v>RefType = 0 이므로 Ref Swap 금리정보 사용안함</v>
      </c>
      <c r="AL19" s="187"/>
      <c r="AM19" s="187"/>
      <c r="AN19" s="188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6"/>
      <c r="C20" s="143" t="str">
        <f>IF($D$7&gt;=2,"Reference Rate Type", "")</f>
        <v/>
      </c>
      <c r="D20" s="144"/>
      <c r="E20" s="155">
        <v>0</v>
      </c>
      <c r="F20" s="155"/>
      <c r="G20" s="137" t="str">
        <f>IF(OR(E20 = 0, E20 = 2, E20 = 4), "", "Zero/Swap 레퍼런스금리정보")</f>
        <v/>
      </c>
      <c r="H20" s="137"/>
      <c r="I20" s="137" t="str">
        <f>IF(OR(E20 = 0, E20 = 2, E20 = 4), "", "연 지급횟수")</f>
        <v/>
      </c>
      <c r="J20" s="138"/>
      <c r="K20" s="139">
        <v>4</v>
      </c>
      <c r="L20" s="140"/>
      <c r="M20" s="34"/>
      <c r="N20" s="38">
        <v>43747</v>
      </c>
      <c r="O20" s="38">
        <v>43839</v>
      </c>
      <c r="P20" s="38">
        <v>43747</v>
      </c>
      <c r="Q20" s="38">
        <v>43839</v>
      </c>
      <c r="R20" s="38"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89"/>
      <c r="AE20" s="174" t="str">
        <f>IF($AF$7&gt;=2,"Reference Rate Type", "")</f>
        <v/>
      </c>
      <c r="AF20" s="175"/>
      <c r="AG20" s="155">
        <v>0</v>
      </c>
      <c r="AH20" s="155"/>
      <c r="AI20" s="176" t="str">
        <f>IF(OR(AG20 = 0, AG20 = 2, AG20 = 4), "", "Zero/Swap 레퍼런스금리정보")</f>
        <v/>
      </c>
      <c r="AJ20" s="176"/>
      <c r="AK20" s="176" t="str">
        <f>IF(OR(AG20 = 0, AG20 = 2, AG20 = 4), "", "연 지급횟수")</f>
        <v/>
      </c>
      <c r="AL20" s="177"/>
      <c r="AM20" s="139">
        <v>4</v>
      </c>
      <c r="AN20" s="140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6"/>
      <c r="C21" s="143" t="str">
        <f>IF($D$7&gt;=2,"DayCount", "")</f>
        <v/>
      </c>
      <c r="D21" s="143"/>
      <c r="E21" s="156">
        <v>0</v>
      </c>
      <c r="F21" s="156"/>
      <c r="G21" s="137"/>
      <c r="H21" s="137"/>
      <c r="I21" s="137" t="str">
        <f>IF(OR(E20 = 0, E20 = 2, E20 = 4,E23=1), "", "만기")</f>
        <v/>
      </c>
      <c r="J21" s="138"/>
      <c r="K21" s="141">
        <v>1</v>
      </c>
      <c r="L21" s="142"/>
      <c r="M21" s="34"/>
      <c r="N21" s="38">
        <v>43839</v>
      </c>
      <c r="O21" s="38">
        <v>43930</v>
      </c>
      <c r="P21" s="38">
        <v>43839</v>
      </c>
      <c r="Q21" s="38">
        <v>43930</v>
      </c>
      <c r="R21" s="38"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89"/>
      <c r="AE21" s="174" t="str">
        <f>IF($AF$7&gt;=2,"DayCount", "")</f>
        <v/>
      </c>
      <c r="AF21" s="174"/>
      <c r="AG21" s="156">
        <v>0</v>
      </c>
      <c r="AH21" s="156"/>
      <c r="AI21" s="176"/>
      <c r="AJ21" s="176"/>
      <c r="AK21" s="137" t="str">
        <f>IF(OR(AG20 = 0, AG20 = 2, AG20 = 4,AG23=1), "", "만기")</f>
        <v/>
      </c>
      <c r="AL21" s="138"/>
      <c r="AM21" s="141">
        <v>5</v>
      </c>
      <c r="AN21" s="142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6"/>
      <c r="C22" s="143" t="str">
        <f>IF($D$7&gt;=2,"금리결정조건Multiple", "")</f>
        <v/>
      </c>
      <c r="D22" s="144"/>
      <c r="E22" s="133">
        <v>1</v>
      </c>
      <c r="F22" s="133"/>
      <c r="G22" s="158" t="str">
        <f>IF(OR(E20 = 0, E20 = 2, E20 = 4), "", "ex) Zero Rate 5년 -&gt; 연 지급횟수= 0, 만기= 5 // CD91일 -&gt; 연 지급횟수= 4, 만기= 0.25")</f>
        <v/>
      </c>
      <c r="H22" s="158"/>
      <c r="I22" s="158"/>
      <c r="J22" s="158"/>
      <c r="K22" s="158"/>
      <c r="L22" s="159"/>
      <c r="M22" s="34"/>
      <c r="N22" s="38">
        <v>43930</v>
      </c>
      <c r="O22" s="38">
        <v>44021</v>
      </c>
      <c r="P22" s="38">
        <v>43930</v>
      </c>
      <c r="Q22" s="38">
        <v>44021</v>
      </c>
      <c r="R22" s="38"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89"/>
      <c r="AE22" s="174" t="str">
        <f>IF($AF$7&gt;=2,"금리결정조건Multiple", "")</f>
        <v/>
      </c>
      <c r="AF22" s="175"/>
      <c r="AG22" s="133">
        <v>1</v>
      </c>
      <c r="AH22" s="133"/>
      <c r="AI22" s="158" t="str">
        <f>IF(OR(AG20 = 0, AG20 = 2, AG20 = 4), "", "ex) Zero Rate 5년 -&gt; 연 지급횟수= 0, 만기= 5 // CD91일 -&gt; 연 지급횟수= 4, 만기= 0.25")</f>
        <v/>
      </c>
      <c r="AJ22" s="158"/>
      <c r="AK22" s="158"/>
      <c r="AL22" s="158"/>
      <c r="AM22" s="158"/>
      <c r="AN22" s="159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6"/>
      <c r="C23" s="178" t="str">
        <f>IF($D$7&gt;=2,"Power Spread Flag", "")</f>
        <v/>
      </c>
      <c r="D23" s="178"/>
      <c r="E23" s="156">
        <v>0</v>
      </c>
      <c r="F23" s="156"/>
      <c r="G23" s="134" t="str">
        <f>IF(E23&gt;0,"PowerSpreadFlag 1일때 입력","입력필요X")</f>
        <v>입력필요X</v>
      </c>
      <c r="H23" s="134"/>
      <c r="I23" s="134" t="str">
        <f>IF(E23&gt;0,"만기1","")</f>
        <v/>
      </c>
      <c r="J23" s="134"/>
      <c r="K23" s="135">
        <v>10</v>
      </c>
      <c r="L23" s="136"/>
      <c r="M23" s="34"/>
      <c r="N23" s="38">
        <v>44021</v>
      </c>
      <c r="O23" s="38">
        <v>44113</v>
      </c>
      <c r="P23" s="38">
        <v>44021</v>
      </c>
      <c r="Q23" s="38">
        <v>44113</v>
      </c>
      <c r="R23" s="38"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89"/>
      <c r="AE23" s="172" t="str">
        <f>IF($AF$7&gt;=2,"Power Spread Flag", "")</f>
        <v/>
      </c>
      <c r="AF23" s="172"/>
      <c r="AG23" s="156">
        <v>0</v>
      </c>
      <c r="AH23" s="156"/>
      <c r="AI23" s="173" t="str">
        <f>IF(AG23&gt;0,"PowerSpreadFlag 1일때 입력","입력필요X")</f>
        <v>입력필요X</v>
      </c>
      <c r="AJ23" s="173"/>
      <c r="AK23" s="173" t="str">
        <f>IF(AG23&gt;0,"만기1","")</f>
        <v/>
      </c>
      <c r="AL23" s="173"/>
      <c r="AM23" s="135">
        <v>10</v>
      </c>
      <c r="AN23" s="136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78" t="str">
        <f>IF($D$7&gt;=2,"기초금리 Range상한", "")</f>
        <v/>
      </c>
      <c r="D24" s="178"/>
      <c r="E24" s="181">
        <v>10</v>
      </c>
      <c r="F24" s="181"/>
      <c r="G24" s="134"/>
      <c r="H24" s="134"/>
      <c r="I24" s="134" t="str">
        <f>IF(E23&gt;0,"만기2","")</f>
        <v/>
      </c>
      <c r="J24" s="134"/>
      <c r="K24" s="135">
        <v>5</v>
      </c>
      <c r="L24" s="136"/>
      <c r="M24" s="34"/>
      <c r="N24" s="38">
        <v>44113</v>
      </c>
      <c r="O24" s="38">
        <v>44205</v>
      </c>
      <c r="P24" s="38">
        <v>44113</v>
      </c>
      <c r="Q24" s="38">
        <v>44205</v>
      </c>
      <c r="R24" s="38"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89" t="str">
        <f>IF($AF$7&gt;1, "사용", "커브개수"&amp;"="&amp;$AF$7&amp;"이므로 사용안함")</f>
        <v>커브개수=1이므로 사용안함</v>
      </c>
      <c r="AE24" s="172" t="str">
        <f>IF($AF$7&gt;=2,"기초금리 Range상한", "")</f>
        <v/>
      </c>
      <c r="AF24" s="172"/>
      <c r="AG24" s="181">
        <v>0.5</v>
      </c>
      <c r="AH24" s="181"/>
      <c r="AI24" s="173"/>
      <c r="AJ24" s="173"/>
      <c r="AK24" s="173" t="str">
        <f>IF(AG23&gt;0,"만기2","")</f>
        <v/>
      </c>
      <c r="AL24" s="173"/>
      <c r="AM24" s="135">
        <v>5</v>
      </c>
      <c r="AN24" s="136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6"/>
      <c r="C25" s="178" t="str">
        <f>IF($D$7&gt;=2,"기초금리 Range하한", "")</f>
        <v/>
      </c>
      <c r="D25" s="143"/>
      <c r="E25" s="180">
        <v>-1</v>
      </c>
      <c r="F25" s="180"/>
      <c r="G25" s="182"/>
      <c r="H25" s="182"/>
      <c r="I25" s="152" t="str">
        <f>IF(E23&gt;0,"Spread1","")</f>
        <v/>
      </c>
      <c r="J25" s="152"/>
      <c r="K25" s="153" t="str">
        <f>IF(E23&gt;0, I23&amp;"-"&amp;I24, "")</f>
        <v/>
      </c>
      <c r="L25" s="154"/>
      <c r="N25" s="38">
        <v>44205</v>
      </c>
      <c r="O25" s="38">
        <v>44295</v>
      </c>
      <c r="P25" s="38">
        <v>44205</v>
      </c>
      <c r="Q25" s="38">
        <v>44295</v>
      </c>
      <c r="R25" s="38"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89"/>
      <c r="AE25" s="172" t="str">
        <f>IF($AF$7&gt;=2,"기초금리 Range하한", "")</f>
        <v/>
      </c>
      <c r="AF25" s="174"/>
      <c r="AG25" s="180">
        <v>-0.1</v>
      </c>
      <c r="AH25" s="180"/>
      <c r="AI25" s="193"/>
      <c r="AJ25" s="193"/>
      <c r="AK25" s="190" t="str">
        <f>IF(AG23&gt;0,"Spread1","")</f>
        <v/>
      </c>
      <c r="AL25" s="190"/>
      <c r="AM25" s="191" t="str">
        <f>IF(AG23&gt;0, AK23&amp;"-"&amp;AK24, "")</f>
        <v/>
      </c>
      <c r="AN25" s="192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79" t="str">
        <f>IF($D$7&gt;=2,"Payoff조건Multiple", "")</f>
        <v/>
      </c>
      <c r="D26" s="179"/>
      <c r="E26" s="195">
        <v>0</v>
      </c>
      <c r="F26" s="195"/>
      <c r="G26" s="198" t="str">
        <f>IF(E23&gt;0,"예시) 10년-5년 스왑: 연 지급횟수=4, 만기1=10, 만기2=5","")</f>
        <v/>
      </c>
      <c r="H26" s="198"/>
      <c r="I26" s="198"/>
      <c r="J26" s="198"/>
      <c r="K26" s="198"/>
      <c r="L26" s="199"/>
      <c r="N26" s="38">
        <v>44295</v>
      </c>
      <c r="O26" s="38">
        <v>44386</v>
      </c>
      <c r="P26" s="38">
        <v>44295</v>
      </c>
      <c r="Q26" s="38">
        <v>44386</v>
      </c>
      <c r="R26" s="38"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24" t="str">
        <f>IF($AF$7&gt;=2,"Payoff조건Multiple", "")</f>
        <v/>
      </c>
      <c r="AF26" s="124"/>
      <c r="AG26" s="195">
        <v>0</v>
      </c>
      <c r="AH26" s="195"/>
      <c r="AI26" s="198" t="str">
        <f>IF(AG23&gt;0,"예시) 10년-5년 스왑: 연 지급횟수=4, 만기1=10, 만기2=5","")</f>
        <v/>
      </c>
      <c r="AJ26" s="198"/>
      <c r="AK26" s="198"/>
      <c r="AL26" s="198"/>
      <c r="AM26" s="198"/>
      <c r="AN26" s="199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44386</v>
      </c>
      <c r="O27" s="38">
        <v>44478</v>
      </c>
      <c r="P27" s="38">
        <v>44386</v>
      </c>
      <c r="Q27" s="38">
        <v>44478</v>
      </c>
      <c r="R27" s="38"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5" t="str">
        <f>IF($D$7&gt;=3,"기초금리3", "")</f>
        <v/>
      </c>
      <c r="C28" s="162" t="str">
        <f>IF($D$7&gt;=3,"커브번호", "")</f>
        <v/>
      </c>
      <c r="D28" s="162"/>
      <c r="E28" s="163">
        <v>3</v>
      </c>
      <c r="F28" s="163"/>
      <c r="G28" s="71"/>
      <c r="H28" s="36"/>
      <c r="I28" s="166" t="str">
        <f>IF(OR(E29 = 0, E29 = 2, E29 = 4), "RefType = "&amp;E29&amp;" 이므로 Ref Swap 금리정보 사용안함", "사용")</f>
        <v>RefType = 0 이므로 Ref Swap 금리정보 사용안함</v>
      </c>
      <c r="J28" s="166"/>
      <c r="K28" s="166"/>
      <c r="L28" s="194"/>
      <c r="N28" s="38">
        <v>44478</v>
      </c>
      <c r="O28" s="38">
        <v>44570</v>
      </c>
      <c r="P28" s="38">
        <v>44478</v>
      </c>
      <c r="Q28" s="38">
        <v>44570</v>
      </c>
      <c r="R28" s="38"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17" t="str">
        <f>IF($AF$7&gt;=3,"기초금리3", "")</f>
        <v/>
      </c>
      <c r="AE28" s="123" t="str">
        <f>IF($AF$7&gt;=3,"커브번호", "")</f>
        <v/>
      </c>
      <c r="AF28" s="123"/>
      <c r="AG28" s="163">
        <v>3</v>
      </c>
      <c r="AH28" s="163"/>
      <c r="AI28" s="71"/>
      <c r="AJ28" s="36"/>
      <c r="AK28" s="187" t="str">
        <f>IF(OR(AG29 = 0, AG29 = 2, AG29 = 4), "RefType = "&amp;AG29&amp;" 이므로 Ref Swap 금리정보 사용안함", "사용")</f>
        <v>RefType = 0 이므로 Ref Swap 금리정보 사용안함</v>
      </c>
      <c r="AL28" s="187"/>
      <c r="AM28" s="187"/>
      <c r="AN28" s="188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6"/>
      <c r="C29" s="143" t="str">
        <f>IF($D$7&gt;=3,"Reference Rate Type", "")</f>
        <v/>
      </c>
      <c r="D29" s="144"/>
      <c r="E29" s="155">
        <v>0</v>
      </c>
      <c r="F29" s="155"/>
      <c r="G29" s="137" t="str">
        <f>IF(OR(E29 = 0, E29 = 2, E29 = 4), "", "Zero/Swap 레퍼런스금리정보")</f>
        <v/>
      </c>
      <c r="H29" s="137"/>
      <c r="I29" s="137" t="str">
        <f>IF(OR(E29 = 0, E29 = 2, E29 = 4), "", "연 지급횟수")</f>
        <v/>
      </c>
      <c r="J29" s="138"/>
      <c r="K29" s="139">
        <v>4</v>
      </c>
      <c r="L29" s="140"/>
      <c r="N29" s="38">
        <v>44570</v>
      </c>
      <c r="O29" s="38">
        <v>44660</v>
      </c>
      <c r="P29" s="38">
        <v>44570</v>
      </c>
      <c r="Q29" s="38">
        <v>44660</v>
      </c>
      <c r="R29" s="38"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89"/>
      <c r="AE29" s="174" t="str">
        <f>IF($AF$7&gt;=3,"Reference Rate Type", "")</f>
        <v/>
      </c>
      <c r="AF29" s="175"/>
      <c r="AG29" s="155">
        <v>0</v>
      </c>
      <c r="AH29" s="155"/>
      <c r="AI29" s="176" t="str">
        <f>IF(OR(AG29 = 0, AG29 = 2, AG29 = 4), "", "Zero/Swap 레퍼런스금리정보")</f>
        <v/>
      </c>
      <c r="AJ29" s="176"/>
      <c r="AK29" s="176" t="str">
        <f>IF(OR(AG29 = 0, AG29 = 2, AG29 = 4), "", "연 지급횟수")</f>
        <v/>
      </c>
      <c r="AL29" s="177"/>
      <c r="AM29" s="139">
        <v>4</v>
      </c>
      <c r="AN29" s="140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6"/>
      <c r="C30" s="143" t="str">
        <f>IF($D$7&gt;=3,"DayCount", "")</f>
        <v/>
      </c>
      <c r="D30" s="143"/>
      <c r="E30" s="156">
        <v>0</v>
      </c>
      <c r="F30" s="156"/>
      <c r="G30" s="137"/>
      <c r="H30" s="137"/>
      <c r="I30" s="137" t="str">
        <f>IF(OR(E29 = 0, E29 = 2, E29 = 4,E32=1), "", "만기")</f>
        <v/>
      </c>
      <c r="J30" s="138"/>
      <c r="K30" s="141">
        <v>5</v>
      </c>
      <c r="L30" s="142"/>
      <c r="N30" s="38">
        <v>44660</v>
      </c>
      <c r="O30" s="38">
        <v>44751</v>
      </c>
      <c r="P30" s="38">
        <v>44660</v>
      </c>
      <c r="Q30" s="38">
        <v>44751</v>
      </c>
      <c r="R30" s="38"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89"/>
      <c r="AE30" s="174" t="str">
        <f>IF($AF$7&gt;=3,"DayCount", "")</f>
        <v/>
      </c>
      <c r="AF30" s="174"/>
      <c r="AG30" s="156">
        <v>0</v>
      </c>
      <c r="AH30" s="156"/>
      <c r="AI30" s="176"/>
      <c r="AJ30" s="176"/>
      <c r="AK30" s="137" t="str">
        <f>IF(OR(AG29 = 0, AG29 = 2, AG29 = 4,AG32=1), "", "만기")</f>
        <v/>
      </c>
      <c r="AL30" s="138"/>
      <c r="AM30" s="141">
        <v>5</v>
      </c>
      <c r="AN30" s="142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6"/>
      <c r="C31" s="143" t="str">
        <f>IF($D$7&gt;=3,"금리결정조건Multiple", "")</f>
        <v/>
      </c>
      <c r="D31" s="144"/>
      <c r="E31" s="133">
        <v>1</v>
      </c>
      <c r="F31" s="133"/>
      <c r="G31" s="158" t="str">
        <f>IF(OR(E29 = 0, E29 = 2, E29 = 4), "", "ex) Zero Rate 5년 -&gt; 연 지급횟수= 0, 만기= 5 // CD91일 -&gt; 연 지급횟수= 4, 만기= 0.25")</f>
        <v/>
      </c>
      <c r="H31" s="158"/>
      <c r="I31" s="158"/>
      <c r="J31" s="158"/>
      <c r="K31" s="158"/>
      <c r="L31" s="159"/>
      <c r="N31" s="38">
        <v>44751</v>
      </c>
      <c r="O31" s="38">
        <v>44843</v>
      </c>
      <c r="P31" s="38">
        <v>44751</v>
      </c>
      <c r="Q31" s="38">
        <v>44843</v>
      </c>
      <c r="R31" s="38"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89"/>
      <c r="AE31" s="174" t="str">
        <f>IF($AF$7&gt;=3,"금리결정조건Multiple", "")</f>
        <v/>
      </c>
      <c r="AF31" s="175"/>
      <c r="AG31" s="133">
        <v>1</v>
      </c>
      <c r="AH31" s="133"/>
      <c r="AI31" s="158" t="str">
        <f>IF(OR(AG29 = 0, AG29 = 2, AG29 = 4), "", "ex) Zero Rate 5년 -&gt; 연 지급횟수= 0, 만기= 5 // CD91일 -&gt; 연 지급횟수= 4, 만기= 0.25")</f>
        <v/>
      </c>
      <c r="AJ31" s="158"/>
      <c r="AK31" s="158"/>
      <c r="AL31" s="158"/>
      <c r="AM31" s="158"/>
      <c r="AN31" s="159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6"/>
      <c r="C32" s="178" t="str">
        <f>IF($D$7&gt;=3,"Power Spread Flag", "")</f>
        <v/>
      </c>
      <c r="D32" s="178"/>
      <c r="E32" s="156">
        <v>0</v>
      </c>
      <c r="F32" s="156"/>
      <c r="G32" s="134" t="str">
        <f>IF(E32&gt;0,"PowerSpreadFlag 1일때 입력","입력필요X")</f>
        <v>입력필요X</v>
      </c>
      <c r="H32" s="134"/>
      <c r="I32" s="134" t="str">
        <f>IF(E32&gt;0,"만기1","")</f>
        <v/>
      </c>
      <c r="J32" s="134"/>
      <c r="K32" s="135">
        <v>10</v>
      </c>
      <c r="L32" s="136"/>
      <c r="N32" s="38">
        <v>44843</v>
      </c>
      <c r="O32" s="38">
        <v>44935</v>
      </c>
      <c r="P32" s="38">
        <v>44843</v>
      </c>
      <c r="Q32" s="38">
        <v>44935</v>
      </c>
      <c r="R32" s="38"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89"/>
      <c r="AE32" s="172" t="str">
        <f>IF($AF$7&gt;=3,"Power Spread Flag", "")</f>
        <v/>
      </c>
      <c r="AF32" s="172"/>
      <c r="AG32" s="156">
        <v>0</v>
      </c>
      <c r="AH32" s="156"/>
      <c r="AI32" s="173" t="str">
        <f>IF(AG32&gt;0,"PowerSpreadFlag 1일때 입력","입력필요X")</f>
        <v>입력필요X</v>
      </c>
      <c r="AJ32" s="173"/>
      <c r="AK32" s="173" t="str">
        <f>IF(AG32&gt;0,"만기1","")</f>
        <v/>
      </c>
      <c r="AL32" s="173"/>
      <c r="AM32" s="135">
        <v>10</v>
      </c>
      <c r="AN32" s="136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78" t="str">
        <f>IF($D$7&gt;=3,"기초금리 Range상한", "")</f>
        <v/>
      </c>
      <c r="D33" s="178"/>
      <c r="E33" s="181">
        <v>0.5</v>
      </c>
      <c r="F33" s="181"/>
      <c r="G33" s="134"/>
      <c r="H33" s="134"/>
      <c r="I33" s="134" t="str">
        <f>IF(E32&gt;0,"만기2","")</f>
        <v/>
      </c>
      <c r="J33" s="134"/>
      <c r="K33" s="135">
        <v>5</v>
      </c>
      <c r="L33" s="136"/>
      <c r="N33" s="38">
        <v>44935</v>
      </c>
      <c r="O33" s="38">
        <v>45025</v>
      </c>
      <c r="P33" s="38">
        <v>44935</v>
      </c>
      <c r="Q33" s="38">
        <v>45025</v>
      </c>
      <c r="R33" s="38"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89" t="str">
        <f>IF($AF$7&gt;2, "사용", "커브개수"&amp;"="&amp;$AF$7&amp;"이므로 사용안함")</f>
        <v>커브개수=1이므로 사용안함</v>
      </c>
      <c r="AE33" s="172" t="str">
        <f>IF($AF$7&gt;=3,"기초금리 Range상한", "")</f>
        <v/>
      </c>
      <c r="AF33" s="172"/>
      <c r="AG33" s="181">
        <v>0.5</v>
      </c>
      <c r="AH33" s="181"/>
      <c r="AI33" s="173"/>
      <c r="AJ33" s="173"/>
      <c r="AK33" s="173" t="str">
        <f>IF(AG32&gt;0,"만기2","")</f>
        <v/>
      </c>
      <c r="AL33" s="173"/>
      <c r="AM33" s="135">
        <v>5</v>
      </c>
      <c r="AN33" s="136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6"/>
      <c r="C34" s="178" t="str">
        <f>IF($D$7&gt;=3,"기초금리 Range하한", "")</f>
        <v/>
      </c>
      <c r="D34" s="143"/>
      <c r="E34" s="180">
        <v>-0.1</v>
      </c>
      <c r="F34" s="180"/>
      <c r="G34" s="182"/>
      <c r="H34" s="182"/>
      <c r="I34" s="152" t="str">
        <f>IF(E32&gt;0,"Spread1","")</f>
        <v/>
      </c>
      <c r="J34" s="152"/>
      <c r="K34" s="153" t="str">
        <f>IF(E32&gt;0, I32&amp;"-"&amp;I33, "")</f>
        <v/>
      </c>
      <c r="L34" s="154"/>
      <c r="N34" s="38">
        <v>45025</v>
      </c>
      <c r="O34" s="38">
        <v>45116</v>
      </c>
      <c r="P34" s="38">
        <v>45025</v>
      </c>
      <c r="Q34" s="38">
        <v>45116</v>
      </c>
      <c r="R34" s="38"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89"/>
      <c r="AE34" s="172" t="str">
        <f>IF($AF$7&gt;=3,"기초금리 Range하한", "")</f>
        <v/>
      </c>
      <c r="AF34" s="174"/>
      <c r="AG34" s="180">
        <v>-0.1</v>
      </c>
      <c r="AH34" s="180"/>
      <c r="AI34" s="193"/>
      <c r="AJ34" s="193"/>
      <c r="AK34" s="190" t="str">
        <f>IF(AG32&gt;0,"Spread1","")</f>
        <v/>
      </c>
      <c r="AL34" s="190"/>
      <c r="AM34" s="191" t="str">
        <f>IF(AG32&gt;0, AK32&amp;"-"&amp;AK33, "")</f>
        <v/>
      </c>
      <c r="AN34" s="192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79" t="str">
        <f>IF($D$7&gt;=3,"Payoff조건Multiple", "")</f>
        <v/>
      </c>
      <c r="D35" s="179"/>
      <c r="E35" s="195">
        <v>0</v>
      </c>
      <c r="F35" s="195"/>
      <c r="G35" s="198" t="str">
        <f>IF(E32&gt;0,"예시) 10년-5년 스왑: 연 지급횟수=4, 만기1=10, 만기2=5","")</f>
        <v/>
      </c>
      <c r="H35" s="198"/>
      <c r="I35" s="198"/>
      <c r="J35" s="198"/>
      <c r="K35" s="198"/>
      <c r="L35" s="199"/>
      <c r="N35" s="38">
        <v>45116</v>
      </c>
      <c r="O35" s="38">
        <v>45208</v>
      </c>
      <c r="P35" s="38">
        <v>45116</v>
      </c>
      <c r="Q35" s="38">
        <v>45208</v>
      </c>
      <c r="R35" s="38"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24" t="str">
        <f>IF($AF$7&gt;=3,"Payoff조건Multiple", "")</f>
        <v/>
      </c>
      <c r="AF35" s="124"/>
      <c r="AG35" s="195">
        <v>0</v>
      </c>
      <c r="AH35" s="195"/>
      <c r="AI35" s="198" t="str">
        <f>IF(AG32&gt;0,"예시) 10년-5년 스왑: 연 지급횟수=4, 만기1=10, 만기2=5","")</f>
        <v/>
      </c>
      <c r="AJ35" s="198"/>
      <c r="AK35" s="198"/>
      <c r="AL35" s="198"/>
      <c r="AM35" s="198"/>
      <c r="AN35" s="199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v>45208</v>
      </c>
      <c r="O36" s="38">
        <v>45300</v>
      </c>
      <c r="P36" s="38">
        <v>45208</v>
      </c>
      <c r="Q36" s="38">
        <v>45300</v>
      </c>
      <c r="R36" s="38"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8" t="s">
        <v>94</v>
      </c>
      <c r="C37" s="123" t="s">
        <v>33</v>
      </c>
      <c r="D37" s="123"/>
      <c r="E37" s="125">
        <v>1</v>
      </c>
      <c r="F37" s="126"/>
      <c r="G37" s="35"/>
      <c r="H37" s="117" t="s">
        <v>48</v>
      </c>
      <c r="I37" s="118"/>
      <c r="J37" s="119">
        <v>0</v>
      </c>
      <c r="K37" s="119"/>
      <c r="L37" s="120"/>
      <c r="N37" s="38">
        <v>45300</v>
      </c>
      <c r="O37" s="38">
        <v>45391</v>
      </c>
      <c r="P37" s="38">
        <v>45300</v>
      </c>
      <c r="Q37" s="38">
        <v>45391</v>
      </c>
      <c r="R37" s="38"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18" t="s">
        <v>94</v>
      </c>
      <c r="AE37" s="123" t="s">
        <v>33</v>
      </c>
      <c r="AF37" s="123"/>
      <c r="AG37" s="125">
        <v>1</v>
      </c>
      <c r="AH37" s="126"/>
      <c r="AJ37" s="117" t="s">
        <v>48</v>
      </c>
      <c r="AK37" s="118"/>
      <c r="AL37" s="119">
        <v>0</v>
      </c>
      <c r="AM37" s="119"/>
      <c r="AN37" s="120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1"/>
      <c r="C38" s="124"/>
      <c r="D38" s="124"/>
      <c r="E38" s="127"/>
      <c r="F38" s="128"/>
      <c r="G38" s="35"/>
      <c r="H38" s="108" t="s">
        <v>49</v>
      </c>
      <c r="I38" s="109"/>
      <c r="J38" s="109"/>
      <c r="K38" s="109"/>
      <c r="L38" s="110"/>
      <c r="N38" s="38">
        <v>45391</v>
      </c>
      <c r="O38" s="38">
        <v>45482</v>
      </c>
      <c r="P38" s="38">
        <v>45391</v>
      </c>
      <c r="Q38" s="38">
        <v>45482</v>
      </c>
      <c r="R38" s="38"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21"/>
      <c r="AE38" s="124"/>
      <c r="AF38" s="124"/>
      <c r="AG38" s="127"/>
      <c r="AH38" s="128"/>
      <c r="AJ38" s="108" t="s">
        <v>49</v>
      </c>
      <c r="AK38" s="109"/>
      <c r="AL38" s="109"/>
      <c r="AM38" s="109"/>
      <c r="AN38" s="110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1"/>
      <c r="C39" s="122"/>
      <c r="D39" s="122"/>
      <c r="E39" s="122"/>
      <c r="F39" s="122"/>
      <c r="G39" s="35"/>
      <c r="H39" s="11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5"/>
      <c r="J39" s="115"/>
      <c r="K39" s="115"/>
      <c r="L39" s="116"/>
      <c r="N39" s="38">
        <v>45482</v>
      </c>
      <c r="O39" s="38">
        <v>45574</v>
      </c>
      <c r="P39" s="38">
        <v>45482</v>
      </c>
      <c r="Q39" s="38">
        <v>45574</v>
      </c>
      <c r="R39" s="38"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21"/>
      <c r="AE39" s="122"/>
      <c r="AF39" s="122"/>
      <c r="AG39" s="122"/>
      <c r="AH39" s="122"/>
      <c r="AJ39" s="11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2"/>
      <c r="AL39" s="112"/>
      <c r="AM39" s="112"/>
      <c r="AN39" s="113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v>45574</v>
      </c>
      <c r="O40" s="38">
        <v>45666</v>
      </c>
      <c r="P40" s="38">
        <v>45574</v>
      </c>
      <c r="Q40" s="38">
        <v>45666</v>
      </c>
      <c r="R40" s="38"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v>45666</v>
      </c>
      <c r="O41" s="38">
        <v>45756</v>
      </c>
      <c r="P41" s="38">
        <v>45666</v>
      </c>
      <c r="Q41" s="38">
        <v>45756</v>
      </c>
      <c r="R41" s="38"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7" t="s">
        <v>89</v>
      </c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N42" s="38">
        <v>45756</v>
      </c>
      <c r="O42" s="38">
        <v>45847</v>
      </c>
      <c r="P42" s="38">
        <v>45756</v>
      </c>
      <c r="Q42" s="38">
        <v>45847</v>
      </c>
      <c r="R42" s="38"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v>45847</v>
      </c>
      <c r="O43" s="38">
        <v>45939</v>
      </c>
      <c r="P43" s="38">
        <v>45847</v>
      </c>
      <c r="Q43" s="38">
        <v>45939</v>
      </c>
      <c r="R43" s="38"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v>45939</v>
      </c>
      <c r="O44" s="38">
        <v>46031</v>
      </c>
      <c r="P44" s="38">
        <v>45939</v>
      </c>
      <c r="Q44" s="38">
        <v>46031</v>
      </c>
      <c r="R44" s="38"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2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v>46031</v>
      </c>
      <c r="O45" s="38">
        <v>46121</v>
      </c>
      <c r="P45" s="38">
        <v>46031</v>
      </c>
      <c r="Q45" s="38">
        <v>46121</v>
      </c>
      <c r="R45" s="38"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2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v>46121</v>
      </c>
      <c r="O46" s="38">
        <v>46212</v>
      </c>
      <c r="P46" s="38">
        <v>46121</v>
      </c>
      <c r="Q46" s="38">
        <v>46212</v>
      </c>
      <c r="R46" s="38"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2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v>46212</v>
      </c>
      <c r="O47" s="38">
        <v>46304</v>
      </c>
      <c r="P47" s="38">
        <v>46212</v>
      </c>
      <c r="Q47" s="38">
        <v>46304</v>
      </c>
      <c r="R47" s="38"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2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v>46304</v>
      </c>
      <c r="O48" s="38">
        <v>46396</v>
      </c>
      <c r="P48" s="38">
        <v>46304</v>
      </c>
      <c r="Q48" s="38">
        <v>46396</v>
      </c>
      <c r="R48" s="38"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2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v>46396</v>
      </c>
      <c r="O49" s="38">
        <v>46486</v>
      </c>
      <c r="P49" s="38">
        <v>46396</v>
      </c>
      <c r="Q49" s="38">
        <v>46486</v>
      </c>
      <c r="R49" s="38"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2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v>46486</v>
      </c>
      <c r="O50" s="38">
        <v>46577</v>
      </c>
      <c r="P50" s="38">
        <v>46486</v>
      </c>
      <c r="Q50" s="38">
        <v>46577</v>
      </c>
      <c r="R50" s="38"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2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v>46577</v>
      </c>
      <c r="O51" s="38">
        <v>46669</v>
      </c>
      <c r="P51" s="38">
        <v>46577</v>
      </c>
      <c r="Q51" s="38">
        <v>46669</v>
      </c>
      <c r="R51" s="38"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2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v>46669</v>
      </c>
      <c r="O52" s="38">
        <v>46761</v>
      </c>
      <c r="P52" s="38">
        <v>46669</v>
      </c>
      <c r="Q52" s="38">
        <v>46761</v>
      </c>
      <c r="R52" s="38"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2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2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2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2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2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2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2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2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2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2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2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2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2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2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2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2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2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2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2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2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2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2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2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2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2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2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2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2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2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2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2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70" zoomScaleNormal="70" workbookViewId="0">
      <selection activeCell="E9" sqref="E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1" t="s">
        <v>111</v>
      </c>
      <c r="C3" s="201"/>
      <c r="D3" s="202">
        <v>0</v>
      </c>
      <c r="E3" s="202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1" t="s">
        <v>55</v>
      </c>
      <c r="C4" s="201"/>
      <c r="D4" s="202">
        <v>10000</v>
      </c>
      <c r="E4" s="202"/>
      <c r="F4" s="13"/>
      <c r="G4" s="204" t="s">
        <v>73</v>
      </c>
      <c r="H4" s="205"/>
      <c r="I4" s="206">
        <v>2026.0080628226845</v>
      </c>
      <c r="J4" s="207"/>
      <c r="K4" s="13"/>
      <c r="L4" s="69">
        <v>45105.652916666666</v>
      </c>
      <c r="M4" s="1" t="s">
        <v>5</v>
      </c>
      <c r="N4" s="94" t="s">
        <v>6</v>
      </c>
      <c r="O4" s="9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1" t="s">
        <v>30</v>
      </c>
      <c r="C5" s="201"/>
      <c r="D5" s="202">
        <v>0</v>
      </c>
      <c r="E5" s="202"/>
      <c r="F5" s="13"/>
      <c r="G5" s="204" t="s">
        <v>74</v>
      </c>
      <c r="H5" s="205"/>
      <c r="I5" s="206">
        <v>2298.1066063073658</v>
      </c>
      <c r="J5" s="207"/>
      <c r="K5" s="13"/>
      <c r="L5" s="69">
        <v>45105.652916666666</v>
      </c>
      <c r="M5" s="13"/>
      <c r="N5" s="94"/>
      <c r="O5" s="9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1" t="s">
        <v>115</v>
      </c>
      <c r="C6" s="201"/>
      <c r="D6" s="202">
        <v>0</v>
      </c>
      <c r="E6" s="202"/>
      <c r="F6" s="13"/>
      <c r="G6" s="204" t="s">
        <v>106</v>
      </c>
      <c r="H6" s="205"/>
      <c r="I6" s="206">
        <v>322.01861482861761</v>
      </c>
      <c r="J6" s="207"/>
      <c r="K6" s="64"/>
      <c r="L6" s="23"/>
      <c r="M6" s="13"/>
      <c r="N6" s="94"/>
      <c r="O6" s="9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4" t="s">
        <v>88</v>
      </c>
      <c r="H7" s="205"/>
      <c r="I7" s="206">
        <v>594.117158313299</v>
      </c>
      <c r="J7" s="207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3" t="s">
        <v>61</v>
      </c>
      <c r="C10" s="203"/>
      <c r="D10" s="203"/>
      <c r="E10" s="203"/>
      <c r="F10" s="203"/>
      <c r="G10" s="203"/>
      <c r="H10" s="203"/>
      <c r="I10" s="203" t="s">
        <v>64</v>
      </c>
      <c r="J10" s="203"/>
      <c r="K10" s="203"/>
      <c r="L10" s="203"/>
      <c r="M10" s="203"/>
      <c r="N10" s="203"/>
      <c r="O10" s="203"/>
      <c r="P10" s="13"/>
      <c r="Q10" s="203" t="s">
        <v>98</v>
      </c>
      <c r="R10" s="203"/>
      <c r="S10" s="13"/>
      <c r="T10" s="13"/>
      <c r="U10" s="203" t="s">
        <v>99</v>
      </c>
      <c r="V10" s="203"/>
      <c r="W10" s="13"/>
      <c r="Y10" s="203" t="s">
        <v>100</v>
      </c>
      <c r="Z10" s="203"/>
      <c r="AA10" s="13"/>
      <c r="AB10" s="13"/>
      <c r="AC10" s="203" t="s">
        <v>101</v>
      </c>
      <c r="AD10" s="203"/>
      <c r="AE10" s="13"/>
      <c r="AF10" s="13"/>
      <c r="AG10" s="203" t="s">
        <v>102</v>
      </c>
      <c r="AH10" s="203"/>
      <c r="AI10" s="13"/>
      <c r="AJ10" s="13"/>
      <c r="AK10" s="203" t="s">
        <v>103</v>
      </c>
      <c r="AL10" s="203"/>
      <c r="AM10" s="13"/>
      <c r="AN10" s="13"/>
      <c r="AO10" s="203" t="s">
        <v>104</v>
      </c>
      <c r="AP10" s="203"/>
      <c r="AQ10" s="13"/>
      <c r="AR10" s="13"/>
      <c r="AS10" s="203" t="s">
        <v>105</v>
      </c>
      <c r="AT10" s="203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0.99199511174957522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0.99199511174957522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3.4378190896155271E-2</v>
      </c>
      <c r="F13" s="54"/>
      <c r="G13" s="55">
        <v>84.768141935724927</v>
      </c>
      <c r="H13" s="54">
        <v>0.98364747972093602</v>
      </c>
      <c r="I13" s="52">
        <v>45028</v>
      </c>
      <c r="J13" s="53">
        <v>4.812323141934384E-2</v>
      </c>
      <c r="M13" s="54"/>
      <c r="N13" s="55">
        <v>123.59152952714884</v>
      </c>
      <c r="O13" s="54">
        <v>0.98364747972093602</v>
      </c>
      <c r="P13" s="13"/>
      <c r="Q13" s="203" t="s">
        <v>97</v>
      </c>
      <c r="R13" s="203"/>
      <c r="S13" s="72"/>
      <c r="T13" s="13"/>
      <c r="U13" s="203" t="s">
        <v>97</v>
      </c>
      <c r="V13" s="203"/>
      <c r="W13" s="72"/>
      <c r="Y13" s="203" t="s">
        <v>97</v>
      </c>
      <c r="Z13" s="203"/>
      <c r="AA13" s="72"/>
      <c r="AB13" s="13"/>
      <c r="AC13" s="203" t="s">
        <v>97</v>
      </c>
      <c r="AD13" s="203"/>
      <c r="AE13" s="72"/>
      <c r="AF13" s="13"/>
      <c r="AG13" s="203" t="s">
        <v>97</v>
      </c>
      <c r="AH13" s="203"/>
      <c r="AI13" s="72"/>
      <c r="AJ13" s="13"/>
      <c r="AK13" s="203" t="s">
        <v>97</v>
      </c>
      <c r="AL13" s="203"/>
      <c r="AM13" s="72"/>
      <c r="AN13" s="13"/>
      <c r="AO13" s="203" t="s">
        <v>97</v>
      </c>
      <c r="AP13" s="203"/>
      <c r="AQ13" s="72"/>
      <c r="AR13" s="13"/>
      <c r="AS13" s="203" t="s">
        <v>97</v>
      </c>
      <c r="AT13" s="203"/>
      <c r="AU13" s="72"/>
    </row>
    <row r="14" spans="1:47" x14ac:dyDescent="0.4">
      <c r="B14" s="52">
        <v>45119</v>
      </c>
      <c r="C14" s="53">
        <v>3.5111098567047465E-2</v>
      </c>
      <c r="F14" s="54"/>
      <c r="G14" s="55">
        <v>87.537259441131994</v>
      </c>
      <c r="H14" s="54">
        <v>0.97509485033495003</v>
      </c>
      <c r="I14" s="52">
        <v>45119</v>
      </c>
      <c r="J14" s="53">
        <v>5.040124409073117E-2</v>
      </c>
      <c r="M14" s="54"/>
      <c r="N14" s="55">
        <v>130.64419759606889</v>
      </c>
      <c r="O14" s="54">
        <v>0.97509485033495003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3.6130256699032491E-2</v>
      </c>
      <c r="F15" s="54"/>
      <c r="G15" s="55">
        <v>91.068044282493403</v>
      </c>
      <c r="H15" s="54">
        <v>0.96627997279492805</v>
      </c>
      <c r="I15" s="52">
        <v>45211</v>
      </c>
      <c r="J15" s="53">
        <v>5.3529119134228018E-2</v>
      </c>
      <c r="M15" s="54"/>
      <c r="N15" s="55">
        <v>139.96380713284896</v>
      </c>
      <c r="O15" s="54">
        <v>0.96627997279492805</v>
      </c>
      <c r="P15" s="13"/>
      <c r="T15" s="13"/>
    </row>
    <row r="16" spans="1:47" x14ac:dyDescent="0.4">
      <c r="B16" s="52">
        <v>45303</v>
      </c>
      <c r="C16" s="53">
        <v>4.7802131593179489E-2</v>
      </c>
      <c r="F16" s="54"/>
      <c r="G16" s="55">
        <v>120.48756456363033</v>
      </c>
      <c r="H16" s="54">
        <v>0.9546665212442762</v>
      </c>
      <c r="I16" s="52">
        <v>45303</v>
      </c>
      <c r="J16" s="53">
        <v>4.8522778742439265E-2</v>
      </c>
      <c r="M16" s="54"/>
      <c r="N16" s="55">
        <v>127.34508614532577</v>
      </c>
      <c r="O16" s="54">
        <v>0.9546665212442762</v>
      </c>
      <c r="P16" s="13"/>
      <c r="T16" s="13"/>
    </row>
    <row r="17" spans="2:20" x14ac:dyDescent="0.4">
      <c r="B17" s="52">
        <v>45394</v>
      </c>
      <c r="C17" s="53">
        <v>5.3933757920992038E-2</v>
      </c>
      <c r="F17" s="54"/>
      <c r="G17" s="55">
        <v>134.46498550165109</v>
      </c>
      <c r="H17" s="54">
        <v>0.9419689303337655</v>
      </c>
      <c r="I17" s="52">
        <v>45394</v>
      </c>
      <c r="J17" s="53">
        <v>4.7907169018241498E-2</v>
      </c>
      <c r="M17" s="54"/>
      <c r="N17" s="55">
        <v>124.42609262082128</v>
      </c>
      <c r="O17" s="54">
        <v>0.9419689303337655</v>
      </c>
      <c r="P17" s="13"/>
      <c r="T17" s="13"/>
    </row>
    <row r="18" spans="2:20" x14ac:dyDescent="0.4">
      <c r="B18" s="52">
        <v>45485</v>
      </c>
      <c r="C18" s="53">
        <v>4.8640029382442246E-2</v>
      </c>
      <c r="F18" s="54"/>
      <c r="G18" s="55">
        <v>121.2669225699252</v>
      </c>
      <c r="H18" s="54">
        <v>0.93076792847834811</v>
      </c>
      <c r="I18" s="52">
        <v>45485</v>
      </c>
      <c r="J18" s="53">
        <v>4.7657285651697204E-2</v>
      </c>
      <c r="M18" s="54"/>
      <c r="N18" s="55">
        <v>123.80309573436881</v>
      </c>
      <c r="O18" s="54">
        <v>0.93076792847834811</v>
      </c>
      <c r="P18" s="13"/>
      <c r="T18" s="13"/>
    </row>
    <row r="19" spans="2:20" x14ac:dyDescent="0.4">
      <c r="B19" s="52">
        <v>45577</v>
      </c>
      <c r="C19" s="53">
        <v>5.0517103046467463E-2</v>
      </c>
      <c r="F19" s="54"/>
      <c r="G19" s="55">
        <v>127.33078028150739</v>
      </c>
      <c r="H19" s="54">
        <v>0.91909077917057203</v>
      </c>
      <c r="I19" s="52">
        <v>45577</v>
      </c>
      <c r="J19" s="53">
        <v>4.7444863752257815E-2</v>
      </c>
      <c r="M19" s="54"/>
      <c r="N19" s="55">
        <v>124.6281497317175</v>
      </c>
      <c r="O19" s="54">
        <v>0.91909077917057203</v>
      </c>
      <c r="P19" s="13"/>
      <c r="T19" s="13"/>
    </row>
    <row r="20" spans="2:20" x14ac:dyDescent="0.4">
      <c r="B20" s="52">
        <v>45669</v>
      </c>
      <c r="C20" s="53">
        <v>4.3670638593475961E-2</v>
      </c>
      <c r="F20" s="54"/>
      <c r="G20" s="56">
        <v>110.0739383725966</v>
      </c>
      <c r="H20" s="54">
        <v>0.90920998308325152</v>
      </c>
      <c r="I20" s="52">
        <v>45669</v>
      </c>
      <c r="J20" s="53">
        <v>4.8730782479735398E-2</v>
      </c>
      <c r="M20" s="54"/>
      <c r="N20" s="56">
        <v>127.86936953796207</v>
      </c>
      <c r="O20" s="54">
        <v>0.90920998308325152</v>
      </c>
      <c r="P20" s="13"/>
      <c r="T20" s="13"/>
    </row>
    <row r="21" spans="2:20" x14ac:dyDescent="0.4">
      <c r="B21" s="52">
        <v>45759</v>
      </c>
      <c r="C21" s="53">
        <v>4.3479714090779081E-2</v>
      </c>
      <c r="F21" s="54"/>
      <c r="G21" s="56">
        <v>107.21025392246833</v>
      </c>
      <c r="H21" s="54">
        <v>0.89961975899451241</v>
      </c>
      <c r="I21" s="52">
        <v>45759</v>
      </c>
      <c r="J21" s="53">
        <v>4.8864161083876152E-2</v>
      </c>
      <c r="M21" s="54"/>
      <c r="N21" s="56">
        <v>125.41847938490024</v>
      </c>
      <c r="O21" s="54">
        <v>0.89961975899451241</v>
      </c>
      <c r="P21" s="13"/>
      <c r="T21" s="13"/>
    </row>
    <row r="22" spans="2:20" x14ac:dyDescent="0.4">
      <c r="B22" s="52">
        <v>45850</v>
      </c>
      <c r="C22" s="53">
        <v>4.3691255742510107E-2</v>
      </c>
      <c r="F22" s="54"/>
      <c r="G22" s="56">
        <v>108.92888417995682</v>
      </c>
      <c r="H22" s="54">
        <v>0.88998920673003379</v>
      </c>
      <c r="I22" s="52">
        <v>45850</v>
      </c>
      <c r="J22" s="53">
        <v>4.9048067270933103E-2</v>
      </c>
      <c r="M22" s="54"/>
      <c r="N22" s="56">
        <v>127.2705238809566</v>
      </c>
      <c r="O22" s="54">
        <v>0.88998920673003379</v>
      </c>
      <c r="P22" s="13"/>
      <c r="T22" s="13"/>
    </row>
    <row r="23" spans="2:20" x14ac:dyDescent="0.4">
      <c r="B23" s="52">
        <v>45942</v>
      </c>
      <c r="C23" s="53">
        <v>4.385593507831452E-2</v>
      </c>
      <c r="F23" s="54"/>
      <c r="G23" s="56">
        <v>110.5409870467106</v>
      </c>
      <c r="H23" s="54">
        <v>0.88033812430636349</v>
      </c>
      <c r="I23" s="52">
        <v>45942</v>
      </c>
      <c r="J23" s="53">
        <v>4.9246278787305864E-2</v>
      </c>
      <c r="M23" s="54"/>
      <c r="N23" s="56">
        <v>129.16870269677105</v>
      </c>
      <c r="O23" s="54">
        <v>0.88033812430636349</v>
      </c>
      <c r="P23" s="13"/>
      <c r="T23" s="13"/>
    </row>
    <row r="24" spans="2:20" x14ac:dyDescent="0.4">
      <c r="B24" s="52">
        <v>46034</v>
      </c>
      <c r="C24" s="53">
        <v>4.6216711921259895E-2</v>
      </c>
      <c r="F24" s="54"/>
      <c r="G24" s="56">
        <v>116.49143826728545</v>
      </c>
      <c r="H24" s="54">
        <v>0.87026809357994928</v>
      </c>
      <c r="I24" s="52">
        <v>46034</v>
      </c>
      <c r="J24" s="53">
        <v>4.6320646904621739E-2</v>
      </c>
      <c r="M24" s="54"/>
      <c r="N24" s="56">
        <v>121.79450726644396</v>
      </c>
      <c r="O24" s="54">
        <v>0.87026809357994928</v>
      </c>
      <c r="P24" s="13"/>
      <c r="T24" s="13"/>
    </row>
    <row r="25" spans="2:20" x14ac:dyDescent="0.4">
      <c r="B25" s="52">
        <v>46124</v>
      </c>
      <c r="C25" s="53">
        <v>4.688196947533025E-2</v>
      </c>
      <c r="F25" s="54"/>
      <c r="G25" s="56">
        <v>115.59937678848563</v>
      </c>
      <c r="H25" s="54">
        <v>0.86042164520010156</v>
      </c>
      <c r="I25" s="52">
        <v>46124</v>
      </c>
      <c r="J25" s="53">
        <v>4.5874496939711948E-2</v>
      </c>
      <c r="M25" s="54"/>
      <c r="N25" s="56">
        <v>118.04670478285162</v>
      </c>
      <c r="O25" s="54">
        <v>0.86042164520010156</v>
      </c>
      <c r="P25" s="13"/>
      <c r="T25" s="13"/>
    </row>
    <row r="26" spans="2:20" x14ac:dyDescent="0.4">
      <c r="B26" s="52">
        <v>46215</v>
      </c>
      <c r="C26" s="53">
        <v>4.7437257890846483E-2</v>
      </c>
      <c r="F26" s="54"/>
      <c r="G26" s="56">
        <v>118.26823200183607</v>
      </c>
      <c r="H26" s="54">
        <v>0.8504829323204699</v>
      </c>
      <c r="I26" s="52">
        <v>46215</v>
      </c>
      <c r="J26" s="53">
        <v>4.559273072478378E-2</v>
      </c>
      <c r="M26" s="54"/>
      <c r="N26" s="56">
        <v>118.6558492042559</v>
      </c>
      <c r="O26" s="54">
        <v>0.8504829323204699</v>
      </c>
      <c r="P26" s="13"/>
      <c r="T26" s="13"/>
    </row>
    <row r="27" spans="2:20" x14ac:dyDescent="0.4">
      <c r="B27" s="52">
        <v>46307</v>
      </c>
      <c r="C27" s="53">
        <v>4.8027010457443349E-2</v>
      </c>
      <c r="F27" s="54"/>
      <c r="G27" s="56">
        <v>121.05438252287068</v>
      </c>
      <c r="H27" s="54">
        <v>0.84044469811790423</v>
      </c>
      <c r="I27" s="52">
        <v>46307</v>
      </c>
      <c r="J27" s="53">
        <v>4.5254931593260349E-2</v>
      </c>
      <c r="M27" s="54"/>
      <c r="N27" s="56">
        <v>119.1083207282186</v>
      </c>
      <c r="O27" s="54">
        <v>0.84044469811790423</v>
      </c>
      <c r="P27" s="13"/>
      <c r="T27" s="13"/>
    </row>
    <row r="28" spans="2:20" x14ac:dyDescent="0.4">
      <c r="B28" s="52">
        <v>46399</v>
      </c>
      <c r="C28" s="53">
        <v>4.2331404426387338E-2</v>
      </c>
      <c r="F28" s="54"/>
      <c r="G28" s="56">
        <v>106.69833444459199</v>
      </c>
      <c r="H28" s="54">
        <v>0.83177396258575298</v>
      </c>
      <c r="I28" s="52">
        <v>46399</v>
      </c>
      <c r="J28" s="53">
        <v>4.4868893783017692E-2</v>
      </c>
      <c r="M28" s="54"/>
      <c r="N28" s="56">
        <v>118.13529391883873</v>
      </c>
      <c r="O28" s="54">
        <v>0.83177396258575298</v>
      </c>
      <c r="P28" s="13"/>
      <c r="T28" s="13"/>
    </row>
    <row r="29" spans="2:20" x14ac:dyDescent="0.4">
      <c r="B29" s="52">
        <v>46489</v>
      </c>
      <c r="C29" s="53">
        <v>4.1977158894301134E-2</v>
      </c>
      <c r="F29" s="54"/>
      <c r="G29" s="56">
        <v>103.50532330101632</v>
      </c>
      <c r="H29" s="54">
        <v>0.823412350086977</v>
      </c>
      <c r="I29" s="52">
        <v>46489</v>
      </c>
      <c r="J29" s="53">
        <v>4.4630250008628941E-2</v>
      </c>
      <c r="M29" s="54"/>
      <c r="N29" s="56">
        <v>114.97869865141378</v>
      </c>
      <c r="O29" s="54">
        <v>0.823412350086977</v>
      </c>
      <c r="P29" s="13"/>
      <c r="T29" s="13"/>
    </row>
    <row r="30" spans="2:20" x14ac:dyDescent="0.4">
      <c r="B30" s="52">
        <v>46580</v>
      </c>
      <c r="C30" s="53">
        <v>4.180669430663058E-2</v>
      </c>
      <c r="F30" s="54"/>
      <c r="G30" s="56">
        <v>104.23038854529811</v>
      </c>
      <c r="H30" s="54">
        <v>0.81511530458079573</v>
      </c>
      <c r="I30" s="52">
        <v>46580</v>
      </c>
      <c r="J30" s="53">
        <v>4.4231810905297798E-2</v>
      </c>
      <c r="M30" s="54"/>
      <c r="N30" s="56">
        <v>115.26287102416791</v>
      </c>
      <c r="O30" s="54">
        <v>0.81511530458079573</v>
      </c>
      <c r="P30" s="13"/>
      <c r="T30" s="13"/>
    </row>
    <row r="31" spans="2:20" x14ac:dyDescent="0.4">
      <c r="B31" s="52">
        <v>46672</v>
      </c>
      <c r="C31" s="53">
        <v>4.1682522862757032E-2</v>
      </c>
      <c r="F31" s="54"/>
      <c r="G31" s="56">
        <v>105.06279735270262</v>
      </c>
      <c r="H31" s="54">
        <v>0.80685839376041602</v>
      </c>
      <c r="I31" s="52">
        <v>46672</v>
      </c>
      <c r="J31" s="53">
        <v>4.388548320144553E-2</v>
      </c>
      <c r="M31" s="54"/>
      <c r="N31" s="56">
        <v>115.65656039816379</v>
      </c>
      <c r="O31" s="54">
        <v>0.80685839376041602</v>
      </c>
      <c r="P31" s="13"/>
      <c r="T31" s="13"/>
    </row>
    <row r="32" spans="2:20" x14ac:dyDescent="0.4">
      <c r="B32" s="52">
        <v>46764</v>
      </c>
      <c r="C32" s="53">
        <v>4.421793139829297E-2</v>
      </c>
      <c r="F32" s="54"/>
      <c r="G32" s="56">
        <v>111.4534161272037</v>
      </c>
      <c r="H32" s="54">
        <v>0.79819412290771896</v>
      </c>
      <c r="I32" s="52">
        <v>46764</v>
      </c>
      <c r="J32" s="53">
        <v>4.6534851080385652E-2</v>
      </c>
      <c r="M32" s="54"/>
      <c r="N32" s="56">
        <v>122.33441916152016</v>
      </c>
      <c r="O32" s="54">
        <v>0.79819412290771896</v>
      </c>
      <c r="P32" s="13"/>
      <c r="T32" s="13"/>
    </row>
    <row r="33" spans="2:20" x14ac:dyDescent="0.4">
      <c r="B33" s="52"/>
      <c r="F33" s="54"/>
      <c r="G33" s="56"/>
      <c r="H33" s="54"/>
      <c r="I33" s="52"/>
      <c r="M33" s="54"/>
      <c r="N33" s="56"/>
      <c r="O33" s="54"/>
      <c r="P33" s="13"/>
      <c r="T33" s="13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2023-06-28T06:40:14Z</dcterms:modified>
</cp:coreProperties>
</file>