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<sst xmlns="http://schemas.openxmlformats.org/spreadsheetml/2006/main" count="238" uniqueCount="107">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</sst>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7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2" fillId="7" borderId="0" xfId="0" applyNumberFormat="1" applyFont="1" applyFill="1" applyBorder="1" applyAlignment="1">
      <alignment vertical="center"/>
    </xf>
    <xf numFmtId="179" fontId="3" fillId="8" borderId="0" xfId="0" applyNumberFormat="1" applyFont="1" applyFill="1" applyBorder="1">
      <alignment vertical="center"/>
    </xf>
    <xf numFmtId="177" fontId="6" fillId="11" borderId="0" xfId="0" applyNumberFormat="1" applyFont="1" applyFill="1" applyBorder="1" applyAlignment="1">
      <alignment vertical="center"/>
    </xf>
    <xf numFmtId="0" fontId="10" fillId="11" borderId="0" xfId="0" applyFont="1" applyFill="1" applyBorder="1">
      <alignment vertical="center"/>
    </xf>
    <xf numFmtId="0" fontId="11" fillId="12" borderId="0" xfId="0" applyFont="1" applyFill="1" applyBorder="1">
      <alignment vertical="center"/>
    </xf>
    <xf numFmtId="0" fontId="11" fillId="11" borderId="0" xfId="0" applyFont="1" applyFill="1" applyBorder="1">
      <alignment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3"/>
  <sheetViews>
    <sheetView tabSelected="1" topLeftCell="B7" zoomScale="90" zoomScaleNormal="90" workbookViewId="0">
      <selection activeCell="I20" sqref="I20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9" style="14" customWidth="1"/>
    <col min="11" max="14" width="9" style="14"/>
    <col min="15" max="15" width="9" style="14" customWidth="1"/>
    <col min="16" max="19" width="9" style="14"/>
    <col min="20" max="20" width="9" style="14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94" t="s">
        <v>0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</row>
    <row r="3" spans="1:45" x14ac:dyDescent="0.4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</row>
    <row r="4" spans="1:45" x14ac:dyDescent="0.4">
      <c r="A4" s="14">
        <f>4</f>
        <v>4</v>
      </c>
      <c r="B4" s="95" t="s">
        <v>2</v>
      </c>
      <c r="C4" s="95"/>
      <c r="D4" s="96">
        <v>4</v>
      </c>
      <c r="E4" s="96"/>
    </row>
    <row r="5" spans="1:45" x14ac:dyDescent="0.4">
      <c r="A5" s="14">
        <f>A4+1</f>
        <v>5</v>
      </c>
      <c r="G5" s="100" t="s">
        <v>22</v>
      </c>
      <c r="H5" s="102" t="s">
        <v>21</v>
      </c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</row>
    <row r="6" spans="1:45" x14ac:dyDescent="0.4">
      <c r="A6" s="14">
        <f t="shared" ref="A6:A82" si="1">A5+1</f>
        <v>6</v>
      </c>
      <c r="B6" s="95" t="s">
        <v>3</v>
      </c>
      <c r="C6" s="95"/>
      <c r="D6" s="96">
        <v>1</v>
      </c>
      <c r="E6" s="96"/>
      <c r="G6" s="101"/>
      <c r="H6" s="103" t="s">
        <v>7</v>
      </c>
      <c r="I6" s="104"/>
      <c r="L6" s="97" t="s">
        <v>11</v>
      </c>
      <c r="M6" s="97"/>
      <c r="N6" s="97"/>
      <c r="Q6" s="97" t="s">
        <v>12</v>
      </c>
      <c r="R6" s="97"/>
      <c r="S6" s="97"/>
      <c r="V6" s="97" t="s">
        <v>13</v>
      </c>
      <c r="W6" s="97"/>
      <c r="X6" s="97"/>
    </row>
    <row r="7" spans="1:45" x14ac:dyDescent="0.4">
      <c r="A7" s="14">
        <f t="shared" si="1"/>
        <v>7</v>
      </c>
      <c r="B7" s="95" t="s">
        <v>4</v>
      </c>
      <c r="C7" s="95"/>
      <c r="D7" s="96">
        <v>1</v>
      </c>
      <c r="E7" s="96"/>
      <c r="G7" s="101"/>
      <c r="H7" s="105"/>
      <c r="I7" s="106"/>
      <c r="L7" s="97"/>
      <c r="M7" s="97"/>
      <c r="N7" s="97"/>
      <c r="Q7" s="97"/>
      <c r="R7" s="97"/>
      <c r="S7" s="97"/>
      <c r="V7" s="97"/>
      <c r="W7" s="97"/>
      <c r="X7" s="97"/>
    </row>
    <row r="8" spans="1:45" x14ac:dyDescent="0.4">
      <c r="A8" s="14">
        <f t="shared" si="1"/>
        <v>8</v>
      </c>
      <c r="B8" s="95" t="s">
        <v>1</v>
      </c>
      <c r="C8" s="95"/>
      <c r="D8" s="96">
        <v>0.01</v>
      </c>
      <c r="E8" s="96"/>
      <c r="G8" s="101"/>
      <c r="V8" s="97" t="s">
        <v>14</v>
      </c>
      <c r="W8" s="97"/>
      <c r="X8" s="5">
        <v>3</v>
      </c>
    </row>
    <row r="9" spans="1:45" x14ac:dyDescent="0.4">
      <c r="A9" s="14">
        <f t="shared" si="1"/>
        <v>9</v>
      </c>
      <c r="G9" s="101"/>
      <c r="H9" s="2" t="s">
        <v>8</v>
      </c>
      <c r="I9" s="3">
        <v>0.01</v>
      </c>
      <c r="Q9" s="97" t="s">
        <v>15</v>
      </c>
      <c r="R9" s="97"/>
      <c r="S9" s="5">
        <v>3</v>
      </c>
      <c r="V9" s="98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101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72</v>
      </c>
      <c r="Q10" s="8" t="s">
        <v>18</v>
      </c>
      <c r="R10" s="8" t="s">
        <v>19</v>
      </c>
      <c r="S10" s="2" t="s">
        <v>20</v>
      </c>
      <c r="V10" s="99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101"/>
      <c r="H11" s="1">
        <v>0.5</v>
      </c>
      <c r="I11" s="4">
        <v>1.3000000000000001E-2</v>
      </c>
      <c r="L11" s="10">
        <v>1</v>
      </c>
      <c r="M11" s="11">
        <v>2.7397260273972603E-3</v>
      </c>
      <c r="N11" s="12">
        <v>3.1519999999999999E-2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101"/>
      <c r="H12" s="1">
        <v>1</v>
      </c>
      <c r="I12" s="4">
        <v>1.3600000000000001E-2</v>
      </c>
      <c r="L12" s="10">
        <f>L11+1</f>
        <v>2</v>
      </c>
      <c r="M12" s="11">
        <v>0.25</v>
      </c>
      <c r="N12" s="12">
        <v>3.261E-2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3" t="s">
        <v>6</v>
      </c>
      <c r="E13" s="93"/>
      <c r="G13" s="101"/>
      <c r="H13" s="1">
        <v>1.5</v>
      </c>
      <c r="I13" s="4">
        <v>1.2199999999999999E-2</v>
      </c>
      <c r="L13" s="10">
        <f t="shared" ref="L13:L40" si="2">L12+1</f>
        <v>3</v>
      </c>
      <c r="M13" s="11">
        <v>0.5</v>
      </c>
      <c r="N13" s="12">
        <v>3.3500000000000002E-2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3"/>
      <c r="E14" s="93"/>
      <c r="G14" s="101"/>
      <c r="H14" s="1">
        <v>2</v>
      </c>
      <c r="I14" s="4">
        <v>1.2199999999999999E-2</v>
      </c>
      <c r="L14" s="10">
        <f t="shared" si="2"/>
        <v>4</v>
      </c>
      <c r="M14" s="11">
        <v>1</v>
      </c>
      <c r="N14" s="12">
        <v>3.4509999999999999E-2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3"/>
      <c r="E15" s="93"/>
      <c r="G15" s="101"/>
      <c r="H15" s="1">
        <v>3</v>
      </c>
      <c r="I15" s="4">
        <v>1.14E-2</v>
      </c>
      <c r="L15" s="10">
        <f t="shared" si="2"/>
        <v>5</v>
      </c>
      <c r="M15" s="11">
        <v>1.5</v>
      </c>
      <c r="N15" s="12">
        <v>0.04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101"/>
      <c r="H16" s="1">
        <v>4</v>
      </c>
      <c r="I16" s="4">
        <v>1.1800000000000001E-2</v>
      </c>
      <c r="L16" s="10">
        <f t="shared" si="2"/>
        <v>6</v>
      </c>
      <c r="M16" s="11">
        <v>2</v>
      </c>
      <c r="N16" s="12">
        <v>4.2229999999999997E-2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2">
        <v>44928.341296296298</v>
      </c>
      <c r="E17" s="92"/>
      <c r="G17" s="101"/>
      <c r="H17" s="1">
        <v>5</v>
      </c>
      <c r="I17" s="4">
        <v>1.2799999999999999E-2</v>
      </c>
      <c r="L17" s="10">
        <f t="shared" si="2"/>
        <v>7</v>
      </c>
      <c r="M17" s="11">
        <v>2</v>
      </c>
      <c r="N17" s="12">
        <v>4.2229999999999997E-2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2">
        <v>44928.341307870367</v>
      </c>
      <c r="E18" s="92"/>
      <c r="G18" s="101"/>
      <c r="H18" s="1">
        <v>7</v>
      </c>
      <c r="I18" s="4">
        <v>1.1200000000000002E-2</v>
      </c>
      <c r="L18" s="10">
        <f t="shared" si="2"/>
        <v>8</v>
      </c>
      <c r="M18" s="11">
        <v>3</v>
      </c>
      <c r="N18" s="12">
        <v>4.2500000000000003E-2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101"/>
      <c r="H19" s="1">
        <v>10</v>
      </c>
      <c r="I19" s="4">
        <v>1.1599999999999999E-2</v>
      </c>
      <c r="L19" s="10">
        <f t="shared" si="2"/>
        <v>9</v>
      </c>
      <c r="M19" s="11">
        <v>4</v>
      </c>
      <c r="N19" s="12">
        <v>4.3450000000000003E-2</v>
      </c>
      <c r="P19" s="39"/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101"/>
      <c r="H20" s="1"/>
      <c r="I20" s="4"/>
      <c r="L20" s="10">
        <f t="shared" si="2"/>
        <v>10</v>
      </c>
      <c r="M20" s="11">
        <v>5</v>
      </c>
      <c r="N20" s="12">
        <v>4.2889999999999998E-2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101"/>
      <c r="H21" s="1"/>
      <c r="I21" s="4"/>
      <c r="L21" s="10">
        <f t="shared" si="2"/>
        <v>11</v>
      </c>
      <c r="M21" s="11">
        <v>10</v>
      </c>
      <c r="N21" s="12">
        <v>4.274E-2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101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/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101"/>
      <c r="H23" s="1"/>
      <c r="I23" s="4"/>
      <c r="L23" s="10">
        <f t="shared" si="2"/>
        <v>13</v>
      </c>
      <c r="M23" s="11">
        <v>30</v>
      </c>
      <c r="N23" s="12">
        <v>4.0489999999999998E-2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101"/>
      <c r="H24" s="1"/>
      <c r="I24" s="4"/>
      <c r="L24" s="10">
        <f t="shared" si="2"/>
        <v>14</v>
      </c>
      <c r="M24" s="11"/>
      <c r="N24" s="12"/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101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101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101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101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101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101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101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101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101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101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101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101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101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101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101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101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35">
      <c r="G41" s="83"/>
      <c r="H41" s="84"/>
      <c r="I41" s="85"/>
      <c r="L41" s="86"/>
      <c r="M41" s="87"/>
      <c r="N41" s="88"/>
      <c r="Q41" s="86"/>
      <c r="R41" s="89"/>
      <c r="S41" s="88"/>
      <c r="V41" s="90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1"/>
    </row>
    <row r="42" spans="1:40" x14ac:dyDescent="0.35">
      <c r="G42" s="83"/>
      <c r="H42" s="84"/>
      <c r="I42" s="85"/>
      <c r="L42" s="86"/>
      <c r="M42" s="87"/>
      <c r="N42" s="88"/>
      <c r="Q42" s="86"/>
      <c r="R42" s="89"/>
      <c r="S42" s="88"/>
      <c r="V42" s="90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</row>
    <row r="43" spans="1:40" x14ac:dyDescent="0.35">
      <c r="G43" s="83"/>
      <c r="H43" s="84"/>
      <c r="I43" s="85"/>
      <c r="L43" s="86"/>
      <c r="M43" s="87"/>
      <c r="N43" s="88"/>
      <c r="Q43" s="86"/>
      <c r="R43" s="89"/>
      <c r="S43" s="88"/>
      <c r="V43" s="90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1"/>
    </row>
    <row r="44" spans="1:40" x14ac:dyDescent="0.35">
      <c r="G44" s="83"/>
      <c r="H44" s="84"/>
      <c r="I44" s="85"/>
      <c r="L44" s="86"/>
      <c r="M44" s="87"/>
      <c r="N44" s="88"/>
      <c r="Q44" s="86"/>
      <c r="R44" s="89"/>
      <c r="S44" s="88"/>
      <c r="V44" s="90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1"/>
    </row>
    <row r="45" spans="1:40" x14ac:dyDescent="0.35">
      <c r="G45" s="83"/>
      <c r="H45" s="84"/>
      <c r="I45" s="85"/>
      <c r="L45" s="86"/>
      <c r="M45" s="87"/>
      <c r="N45" s="88"/>
      <c r="Q45" s="86"/>
      <c r="R45" s="89"/>
      <c r="S45" s="88"/>
      <c r="V45" s="90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1"/>
      <c r="AL45" s="91"/>
      <c r="AM45" s="91"/>
      <c r="AN45" s="91"/>
    </row>
    <row r="46" spans="1:40" x14ac:dyDescent="0.35">
      <c r="G46" s="83"/>
      <c r="H46" s="84"/>
      <c r="I46" s="85"/>
      <c r="L46" s="86"/>
      <c r="M46" s="87"/>
      <c r="N46" s="88"/>
      <c r="Q46" s="86"/>
      <c r="R46" s="89"/>
      <c r="S46" s="88"/>
      <c r="V46" s="90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1"/>
    </row>
    <row r="47" spans="1:40" x14ac:dyDescent="0.35">
      <c r="G47" s="83"/>
      <c r="H47" s="84"/>
      <c r="I47" s="85"/>
      <c r="L47" s="86"/>
      <c r="M47" s="87"/>
      <c r="N47" s="88"/>
      <c r="Q47" s="86"/>
      <c r="R47" s="89"/>
      <c r="S47" s="88"/>
      <c r="V47" s="90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1"/>
      <c r="AL47" s="91"/>
      <c r="AM47" s="91"/>
      <c r="AN47" s="91"/>
    </row>
    <row r="48" spans="1:40" x14ac:dyDescent="0.35">
      <c r="G48" s="83"/>
      <c r="H48" s="84"/>
      <c r="I48" s="85"/>
      <c r="L48" s="86"/>
      <c r="M48" s="87"/>
      <c r="N48" s="88"/>
      <c r="Q48" s="86"/>
      <c r="R48" s="89"/>
      <c r="S48" s="88"/>
      <c r="V48" s="90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91"/>
    </row>
    <row r="49" spans="1:40" x14ac:dyDescent="0.35">
      <c r="G49" s="83"/>
      <c r="H49" s="84"/>
      <c r="I49" s="85"/>
      <c r="L49" s="86"/>
      <c r="M49" s="87"/>
      <c r="N49" s="88"/>
      <c r="Q49" s="86"/>
      <c r="R49" s="89"/>
      <c r="S49" s="88"/>
      <c r="V49" s="90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  <c r="AJ49" s="91"/>
      <c r="AK49" s="91"/>
      <c r="AL49" s="91"/>
      <c r="AM49" s="91"/>
      <c r="AN49" s="91"/>
    </row>
    <row r="50" spans="1:40" x14ac:dyDescent="0.35">
      <c r="G50" s="83"/>
      <c r="H50" s="84"/>
      <c r="I50" s="85"/>
      <c r="L50" s="86"/>
      <c r="M50" s="87"/>
      <c r="N50" s="88"/>
      <c r="Q50" s="86"/>
      <c r="R50" s="89"/>
      <c r="S50" s="88"/>
      <c r="V50" s="90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</row>
    <row r="51" spans="1:40" x14ac:dyDescent="0.35">
      <c r="G51" s="83"/>
      <c r="H51" s="84"/>
      <c r="I51" s="85"/>
      <c r="L51" s="86"/>
      <c r="M51" s="87"/>
      <c r="N51" s="88"/>
      <c r="Q51" s="86"/>
      <c r="R51" s="89"/>
      <c r="S51" s="88"/>
      <c r="V51" s="90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</row>
    <row r="52" spans="1:40" x14ac:dyDescent="0.35">
      <c r="G52" s="83"/>
      <c r="H52" s="84"/>
      <c r="I52" s="85"/>
      <c r="L52" s="86"/>
      <c r="M52" s="87"/>
      <c r="N52" s="88"/>
      <c r="Q52" s="86"/>
      <c r="R52" s="89"/>
      <c r="S52" s="88"/>
      <c r="V52" s="90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</row>
    <row r="53" spans="1:40" x14ac:dyDescent="0.35">
      <c r="G53" s="83"/>
      <c r="H53" s="84"/>
      <c r="I53" s="85"/>
      <c r="L53" s="86"/>
      <c r="M53" s="87"/>
      <c r="N53" s="88"/>
      <c r="Q53" s="86"/>
      <c r="R53" s="89"/>
      <c r="S53" s="88"/>
      <c r="V53" s="90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</row>
    <row r="54" spans="1:40" x14ac:dyDescent="0.4">
      <c r="A54" s="14">
        <f>A40+1</f>
        <v>41</v>
      </c>
    </row>
    <row r="55" spans="1:40" x14ac:dyDescent="0.4">
      <c r="A55" s="14">
        <f t="shared" si="1"/>
        <v>42</v>
      </c>
      <c r="G55" s="100" t="s">
        <v>24</v>
      </c>
      <c r="H55" s="102" t="s">
        <v>23</v>
      </c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1:40" x14ac:dyDescent="0.4">
      <c r="A56" s="14">
        <f t="shared" si="1"/>
        <v>43</v>
      </c>
      <c r="B56" s="95" t="s">
        <v>3</v>
      </c>
      <c r="C56" s="95"/>
      <c r="D56" s="96">
        <v>1</v>
      </c>
      <c r="E56" s="96"/>
      <c r="G56" s="101"/>
      <c r="H56" s="103" t="s">
        <v>7</v>
      </c>
      <c r="I56" s="104"/>
      <c r="L56" s="97" t="s">
        <v>11</v>
      </c>
      <c r="M56" s="97"/>
      <c r="N56" s="97"/>
      <c r="Q56" s="97" t="s">
        <v>12</v>
      </c>
      <c r="R56" s="97"/>
      <c r="S56" s="97"/>
      <c r="V56" s="97" t="s">
        <v>13</v>
      </c>
      <c r="W56" s="97"/>
      <c r="X56" s="97"/>
    </row>
    <row r="57" spans="1:40" x14ac:dyDescent="0.4">
      <c r="A57" s="14">
        <f t="shared" si="1"/>
        <v>44</v>
      </c>
      <c r="B57" s="95" t="s">
        <v>4</v>
      </c>
      <c r="C57" s="95"/>
      <c r="D57" s="96">
        <v>1</v>
      </c>
      <c r="E57" s="96"/>
      <c r="G57" s="101"/>
      <c r="H57" s="105"/>
      <c r="I57" s="106"/>
      <c r="L57" s="97"/>
      <c r="M57" s="97"/>
      <c r="N57" s="97"/>
      <c r="Q57" s="97"/>
      <c r="R57" s="97"/>
      <c r="S57" s="97"/>
      <c r="V57" s="97"/>
      <c r="W57" s="97"/>
      <c r="X57" s="97"/>
    </row>
    <row r="58" spans="1:40" x14ac:dyDescent="0.4">
      <c r="A58" s="14">
        <f t="shared" si="1"/>
        <v>45</v>
      </c>
      <c r="B58" s="95" t="s">
        <v>1</v>
      </c>
      <c r="C58" s="95"/>
      <c r="D58" s="96">
        <v>0.01</v>
      </c>
      <c r="E58" s="96"/>
      <c r="G58" s="101"/>
      <c r="V58" s="97" t="s">
        <v>14</v>
      </c>
      <c r="W58" s="97"/>
      <c r="X58" s="5">
        <v>3</v>
      </c>
    </row>
    <row r="59" spans="1:40" x14ac:dyDescent="0.4">
      <c r="A59" s="14">
        <f t="shared" si="1"/>
        <v>46</v>
      </c>
      <c r="G59" s="101"/>
      <c r="H59" s="2" t="s">
        <v>8</v>
      </c>
      <c r="I59" s="3">
        <v>0.01</v>
      </c>
      <c r="Q59" s="97" t="s">
        <v>15</v>
      </c>
      <c r="R59" s="97"/>
      <c r="S59" s="5">
        <v>3</v>
      </c>
      <c r="V59" s="98" t="s">
        <v>16</v>
      </c>
      <c r="W59" s="6" t="s">
        <v>17</v>
      </c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</row>
    <row r="60" spans="1:40" x14ac:dyDescent="0.4">
      <c r="A60" s="14">
        <f t="shared" si="1"/>
        <v>47</v>
      </c>
      <c r="G60" s="101"/>
      <c r="H60" s="2" t="s">
        <v>9</v>
      </c>
      <c r="I60" s="2" t="s">
        <v>10</v>
      </c>
      <c r="L60" s="8" t="s">
        <v>18</v>
      </c>
      <c r="M60" s="8" t="s">
        <v>19</v>
      </c>
      <c r="N60" s="2" t="s">
        <v>72</v>
      </c>
      <c r="Q60" s="8" t="s">
        <v>18</v>
      </c>
      <c r="R60" s="8" t="s">
        <v>19</v>
      </c>
      <c r="S60" s="2" t="s">
        <v>20</v>
      </c>
      <c r="V60" s="99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4">
        <f t="shared" si="1"/>
        <v>48</v>
      </c>
      <c r="G61" s="101"/>
      <c r="H61" s="1">
        <v>0.5</v>
      </c>
      <c r="I61" s="4">
        <v>1.2400000000000001E-2</v>
      </c>
      <c r="L61" s="10">
        <v>1</v>
      </c>
      <c r="M61" s="11">
        <v>0.25</v>
      </c>
      <c r="N61" s="12">
        <v>3.9140000000000001E-2</v>
      </c>
      <c r="Q61" s="10">
        <v>1</v>
      </c>
      <c r="R61" s="11">
        <v>1</v>
      </c>
      <c r="S61" s="12">
        <v>0.17964285714285716</v>
      </c>
      <c r="V61" s="9">
        <v>0.5</v>
      </c>
      <c r="W61" s="13">
        <v>0.29434168787402887</v>
      </c>
      <c r="X61" s="13">
        <v>0.30331660541725325</v>
      </c>
      <c r="Y61" s="13">
        <v>0.30058675746783731</v>
      </c>
      <c r="Z61" s="13">
        <v>0.29892354593785941</v>
      </c>
      <c r="AA61" s="13">
        <v>0.29900186783208377</v>
      </c>
      <c r="AB61" s="13">
        <v>0.29710065479911291</v>
      </c>
      <c r="AC61" s="13">
        <v>0.29499752732323348</v>
      </c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49</v>
      </c>
      <c r="G62" s="101"/>
      <c r="H62" s="1">
        <v>1</v>
      </c>
      <c r="I62" s="4">
        <v>1.1800000000000001E-2</v>
      </c>
      <c r="L62" s="10">
        <f>L61+1</f>
        <v>2</v>
      </c>
      <c r="M62" s="11">
        <v>0.5</v>
      </c>
      <c r="N62" s="12">
        <v>4.4299999999999999E-2</v>
      </c>
      <c r="Q62" s="10">
        <f>Q61+1</f>
        <v>2</v>
      </c>
      <c r="R62" s="11">
        <v>2</v>
      </c>
      <c r="S62" s="12">
        <v>0.18085714285714286</v>
      </c>
      <c r="V62" s="9">
        <v>1</v>
      </c>
      <c r="W62" s="13">
        <v>0.29711575189940853</v>
      </c>
      <c r="X62" s="13">
        <v>0.30223277511673557</v>
      </c>
      <c r="Y62" s="13">
        <v>0.29785690951842136</v>
      </c>
      <c r="Z62" s="13">
        <v>0.29726033440788158</v>
      </c>
      <c r="AA62" s="13">
        <v>0.29908018972630812</v>
      </c>
      <c r="AB62" s="13">
        <v>0.29519944176614205</v>
      </c>
      <c r="AC62" s="13">
        <v>0.29289439984735399</v>
      </c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50</v>
      </c>
      <c r="C63" s="1" t="s">
        <v>5</v>
      </c>
      <c r="D63" s="93" t="s">
        <v>6</v>
      </c>
      <c r="E63" s="93"/>
      <c r="G63" s="101"/>
      <c r="H63" s="1">
        <v>1.5</v>
      </c>
      <c r="I63" s="4">
        <v>1.1599999999999999E-2</v>
      </c>
      <c r="L63" s="10">
        <f t="shared" ref="L63:L90" si="4">L62+1</f>
        <v>3</v>
      </c>
      <c r="M63" s="11">
        <v>1</v>
      </c>
      <c r="N63" s="12">
        <v>4.521E-2</v>
      </c>
      <c r="Q63" s="10">
        <f t="shared" ref="Q63:Q90" si="5">Q62+1</f>
        <v>3</v>
      </c>
      <c r="R63" s="11">
        <v>3</v>
      </c>
      <c r="S63" s="12">
        <v>0.17971428571428572</v>
      </c>
      <c r="V63" s="9">
        <v>1.5</v>
      </c>
      <c r="W63" s="13">
        <v>0.29748633070891495</v>
      </c>
      <c r="X63" s="13">
        <v>0.29785690951842136</v>
      </c>
      <c r="Y63" s="13">
        <v>0.29348104392010715</v>
      </c>
      <c r="Z63" s="13">
        <v>0.29666375929734184</v>
      </c>
      <c r="AA63" s="13">
        <v>0.30090004504473467</v>
      </c>
      <c r="AB63" s="13">
        <v>0.29131869380597597</v>
      </c>
      <c r="AC63" s="13">
        <v>0.29058935792856599</v>
      </c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51</v>
      </c>
      <c r="D64" s="93"/>
      <c r="E64" s="93"/>
      <c r="G64" s="101"/>
      <c r="H64" s="1">
        <v>2</v>
      </c>
      <c r="I64" s="4">
        <v>1.1599999999999999E-2</v>
      </c>
      <c r="L64" s="10">
        <f t="shared" si="4"/>
        <v>4</v>
      </c>
      <c r="M64" s="11">
        <v>2</v>
      </c>
      <c r="N64" s="12">
        <v>4.4409999999999998E-2</v>
      </c>
      <c r="Q64" s="10">
        <f t="shared" si="5"/>
        <v>4</v>
      </c>
      <c r="R64" s="11">
        <v>4</v>
      </c>
      <c r="S64" s="12">
        <v>0.1772857142857143</v>
      </c>
      <c r="V64" s="9">
        <v>2</v>
      </c>
      <c r="W64" s="13">
        <v>0.29731816815825485</v>
      </c>
      <c r="X64" s="13">
        <v>0.29715000560759469</v>
      </c>
      <c r="Y64" s="13">
        <v>0.29644310169676802</v>
      </c>
      <c r="Z64" s="13">
        <v>0.29438544513377152</v>
      </c>
      <c r="AA64" s="13">
        <v>0.29541479871739407</v>
      </c>
      <c r="AB64" s="13">
        <v>0.28717613046935253</v>
      </c>
      <c r="AC64" s="13">
        <v>0.28649021678069087</v>
      </c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52</v>
      </c>
      <c r="D65" s="93"/>
      <c r="E65" s="93"/>
      <c r="G65" s="101"/>
      <c r="H65" s="1">
        <v>3</v>
      </c>
      <c r="I65" s="4">
        <v>1.0800000000000001E-2</v>
      </c>
      <c r="L65" s="10">
        <f t="shared" si="4"/>
        <v>5</v>
      </c>
      <c r="M65" s="11">
        <v>3</v>
      </c>
      <c r="N65" s="12">
        <v>4.4269999999999997E-2</v>
      </c>
      <c r="Q65" s="10">
        <f t="shared" si="5"/>
        <v>5</v>
      </c>
      <c r="R65" s="11">
        <v>5</v>
      </c>
      <c r="S65" s="12">
        <v>0.17885714285714285</v>
      </c>
      <c r="V65" s="9">
        <v>3</v>
      </c>
      <c r="W65" s="13">
        <v>0.29724033204370953</v>
      </c>
      <c r="X65" s="13">
        <v>0.29716249592916422</v>
      </c>
      <c r="Y65" s="13">
        <v>0.29717498625073369</v>
      </c>
      <c r="Z65" s="13">
        <v>0.28937257030241842</v>
      </c>
      <c r="AA65" s="13">
        <v>0.29040069342335539</v>
      </c>
      <c r="AB65" s="13">
        <v>0.28492963240514568</v>
      </c>
      <c r="AC65" s="13">
        <v>0.28240863276377215</v>
      </c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53</v>
      </c>
      <c r="G66" s="101"/>
      <c r="H66" s="1">
        <v>4</v>
      </c>
      <c r="I66" s="4">
        <v>1.0800000000000001E-2</v>
      </c>
      <c r="L66" s="10">
        <f t="shared" si="4"/>
        <v>6</v>
      </c>
      <c r="M66" s="11">
        <v>5</v>
      </c>
      <c r="N66" s="12">
        <v>4.2089999999999995E-2</v>
      </c>
      <c r="Q66" s="10">
        <f t="shared" si="5"/>
        <v>6</v>
      </c>
      <c r="R66" s="11">
        <v>7</v>
      </c>
      <c r="S66" s="12">
        <v>0.17299999999999999</v>
      </c>
      <c r="V66" s="9">
        <v>4</v>
      </c>
      <c r="W66" s="13">
        <v>0.29598553031924729</v>
      </c>
      <c r="X66" s="13">
        <v>0.29473072859478505</v>
      </c>
      <c r="Y66" s="13">
        <v>0.29229896126040589</v>
      </c>
      <c r="Z66" s="13">
        <v>0.28636830666588853</v>
      </c>
      <c r="AA66" s="13">
        <v>0.2849370904526739</v>
      </c>
      <c r="AB66" s="13">
        <v>0.28379388192157057</v>
      </c>
      <c r="AC66" s="13">
        <v>0.2798070663699882</v>
      </c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54</v>
      </c>
      <c r="D67" s="92">
        <v>44928.341307870367</v>
      </c>
      <c r="E67" s="92"/>
      <c r="G67" s="101"/>
      <c r="H67" s="1">
        <v>5</v>
      </c>
      <c r="I67" s="4">
        <v>1.1599999999999999E-2</v>
      </c>
      <c r="L67" s="10">
        <f t="shared" si="4"/>
        <v>7</v>
      </c>
      <c r="M67" s="11">
        <v>7</v>
      </c>
      <c r="N67" s="12">
        <v>4.1120000000000004E-2</v>
      </c>
      <c r="Q67" s="10">
        <f t="shared" si="5"/>
        <v>7</v>
      </c>
      <c r="R67" s="11">
        <v>10</v>
      </c>
      <c r="S67" s="12">
        <v>0.17214285714285715</v>
      </c>
      <c r="V67" s="9">
        <v>5</v>
      </c>
      <c r="W67" s="13">
        <v>0.29504729567195132</v>
      </c>
      <c r="X67" s="13">
        <v>0.29410906102465528</v>
      </c>
      <c r="Y67" s="13">
        <v>0.29348739345452551</v>
      </c>
      <c r="Z67" s="13">
        <v>0.29064634905996189</v>
      </c>
      <c r="AA67" s="13">
        <v>0.28762985175765876</v>
      </c>
      <c r="AB67" s="13">
        <v>0.2824484379257759</v>
      </c>
      <c r="AC67" s="13">
        <v>0.28044120852128707</v>
      </c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55</v>
      </c>
      <c r="D68" s="92">
        <v>44928.341319444444</v>
      </c>
      <c r="E68" s="92"/>
      <c r="G68" s="101"/>
      <c r="H68" s="1">
        <v>7</v>
      </c>
      <c r="I68" s="4">
        <v>1.1200000000000002E-2</v>
      </c>
      <c r="L68" s="10">
        <f t="shared" si="4"/>
        <v>8</v>
      </c>
      <c r="M68" s="11">
        <v>10</v>
      </c>
      <c r="N68" s="12">
        <v>3.984E-2</v>
      </c>
      <c r="Q68" s="10">
        <f t="shared" si="5"/>
        <v>8</v>
      </c>
      <c r="R68" s="11"/>
      <c r="S68" s="12"/>
      <c r="U68" s="15"/>
      <c r="V68" s="9">
        <v>7</v>
      </c>
      <c r="W68" s="13">
        <v>0.29334100811282815</v>
      </c>
      <c r="X68" s="13">
        <v>0.29163472055370498</v>
      </c>
      <c r="Y68" s="13">
        <v>0.28916038008275469</v>
      </c>
      <c r="Z68" s="13">
        <v>0.28763947086819353</v>
      </c>
      <c r="AA68" s="13">
        <v>0.28099732722068071</v>
      </c>
      <c r="AB68" s="13">
        <v>0.28156800987879538</v>
      </c>
      <c r="AC68" s="13">
        <v>0.27650085643237637</v>
      </c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56</v>
      </c>
      <c r="G69" s="101"/>
      <c r="H69" s="1">
        <v>10</v>
      </c>
      <c r="I69" s="4">
        <v>1.54E-2</v>
      </c>
      <c r="L69" s="10">
        <f t="shared" si="4"/>
        <v>9</v>
      </c>
      <c r="M69" s="11">
        <v>20</v>
      </c>
      <c r="N69" s="12">
        <v>4.2839999999999996E-2</v>
      </c>
      <c r="Q69" s="10">
        <f t="shared" si="5"/>
        <v>9</v>
      </c>
      <c r="R69" s="11"/>
      <c r="S69" s="12"/>
      <c r="U69" s="15"/>
      <c r="V69" s="9">
        <v>10</v>
      </c>
      <c r="W69" s="13">
        <v>0.29168249543038094</v>
      </c>
      <c r="X69" s="13">
        <v>0.29002398274793367</v>
      </c>
      <c r="Y69" s="13">
        <v>0.28841324494216236</v>
      </c>
      <c r="Z69" s="13">
        <v>0.28657200821606188</v>
      </c>
      <c r="AA69" s="13">
        <v>0.28293319162819597</v>
      </c>
      <c r="AB69" s="13">
        <v>0.27733549492199805</v>
      </c>
      <c r="AC69" s="13">
        <v>0.27242134733632339</v>
      </c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si="1"/>
        <v>57</v>
      </c>
      <c r="G70" s="101"/>
      <c r="H70" s="1"/>
      <c r="I70" s="4"/>
      <c r="L70" s="10">
        <f t="shared" si="4"/>
        <v>10</v>
      </c>
      <c r="M70" s="11">
        <v>30</v>
      </c>
      <c r="N70" s="12">
        <v>4.0039999999999992E-2</v>
      </c>
      <c r="Q70" s="10">
        <f t="shared" si="5"/>
        <v>10</v>
      </c>
      <c r="R70" s="11"/>
      <c r="S70" s="12"/>
      <c r="U70" s="15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1"/>
        <v>58</v>
      </c>
      <c r="G71" s="101"/>
      <c r="H71" s="1"/>
      <c r="I71" s="4"/>
      <c r="L71" s="10">
        <f t="shared" si="4"/>
        <v>11</v>
      </c>
      <c r="M71" s="11"/>
      <c r="N71" s="12"/>
      <c r="Q71" s="10">
        <f t="shared" si="5"/>
        <v>11</v>
      </c>
      <c r="R71" s="11"/>
      <c r="S71" s="12"/>
      <c r="U71" s="16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1"/>
        <v>59</v>
      </c>
      <c r="G72" s="101"/>
      <c r="H72" s="1"/>
      <c r="I72" s="4"/>
      <c r="L72" s="10">
        <f t="shared" si="4"/>
        <v>12</v>
      </c>
      <c r="M72" s="11"/>
      <c r="N72" s="12"/>
      <c r="Q72" s="10">
        <f t="shared" si="5"/>
        <v>12</v>
      </c>
      <c r="R72" s="11"/>
      <c r="S72" s="12"/>
      <c r="U72" s="17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1"/>
        <v>60</v>
      </c>
      <c r="G73" s="101"/>
      <c r="H73" s="1"/>
      <c r="I73" s="4"/>
      <c r="L73" s="10">
        <f t="shared" si="4"/>
        <v>13</v>
      </c>
      <c r="M73" s="11"/>
      <c r="N73" s="12"/>
      <c r="Q73" s="10">
        <f t="shared" si="5"/>
        <v>13</v>
      </c>
      <c r="R73" s="11"/>
      <c r="S73" s="12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1"/>
        <v>61</v>
      </c>
      <c r="G74" s="101"/>
      <c r="H74" s="1"/>
      <c r="I74" s="4"/>
      <c r="L74" s="10">
        <f t="shared" si="4"/>
        <v>14</v>
      </c>
      <c r="M74" s="11"/>
      <c r="N74" s="12"/>
      <c r="Q74" s="10">
        <f t="shared" si="5"/>
        <v>14</v>
      </c>
      <c r="R74" s="11"/>
      <c r="S74" s="12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1"/>
        <v>62</v>
      </c>
      <c r="G75" s="101"/>
      <c r="H75" s="1"/>
      <c r="I75" s="4"/>
      <c r="L75" s="10">
        <f t="shared" si="4"/>
        <v>15</v>
      </c>
      <c r="M75" s="11"/>
      <c r="N75" s="12"/>
      <c r="Q75" s="10">
        <f t="shared" si="5"/>
        <v>15</v>
      </c>
      <c r="R75" s="11"/>
      <c r="S75" s="12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1"/>
        <v>63</v>
      </c>
      <c r="G76" s="101"/>
      <c r="H76" s="1"/>
      <c r="I76" s="4"/>
      <c r="L76" s="10">
        <f t="shared" si="4"/>
        <v>16</v>
      </c>
      <c r="M76" s="11"/>
      <c r="N76" s="12"/>
      <c r="Q76" s="10">
        <f t="shared" si="5"/>
        <v>16</v>
      </c>
      <c r="R76" s="11"/>
      <c r="S76" s="12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1"/>
        <v>64</v>
      </c>
      <c r="G77" s="101"/>
      <c r="H77" s="1"/>
      <c r="I77" s="4"/>
      <c r="L77" s="10">
        <f t="shared" si="4"/>
        <v>17</v>
      </c>
      <c r="M77" s="11"/>
      <c r="N77" s="12"/>
      <c r="Q77" s="10">
        <f t="shared" si="5"/>
        <v>17</v>
      </c>
      <c r="R77" s="11"/>
      <c r="S77" s="12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35">
      <c r="A78" s="14">
        <f t="shared" si="1"/>
        <v>65</v>
      </c>
      <c r="G78" s="101"/>
      <c r="H78" s="1"/>
      <c r="I78" s="4"/>
      <c r="L78" s="10">
        <f t="shared" si="4"/>
        <v>18</v>
      </c>
      <c r="M78" s="11"/>
      <c r="N78" s="12"/>
      <c r="Q78" s="10">
        <f t="shared" si="5"/>
        <v>18</v>
      </c>
      <c r="R78" s="11"/>
      <c r="S78" s="12"/>
      <c r="V78" s="9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</row>
    <row r="79" spans="1:40" x14ac:dyDescent="0.35">
      <c r="A79" s="14">
        <f t="shared" si="1"/>
        <v>66</v>
      </c>
      <c r="G79" s="101"/>
      <c r="H79" s="1"/>
      <c r="I79" s="4"/>
      <c r="L79" s="10">
        <f t="shared" si="4"/>
        <v>19</v>
      </c>
      <c r="M79" s="18"/>
      <c r="N79" s="19"/>
      <c r="Q79" s="10">
        <f t="shared" si="5"/>
        <v>19</v>
      </c>
      <c r="R79" s="20"/>
      <c r="S79" s="19"/>
      <c r="V79" s="9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</row>
    <row r="80" spans="1:40" x14ac:dyDescent="0.35">
      <c r="A80" s="14">
        <f t="shared" si="1"/>
        <v>67</v>
      </c>
      <c r="G80" s="101"/>
      <c r="H80" s="1"/>
      <c r="I80" s="4"/>
      <c r="L80" s="10">
        <f t="shared" si="4"/>
        <v>20</v>
      </c>
      <c r="M80" s="18"/>
      <c r="N80" s="19"/>
      <c r="Q80" s="10">
        <f t="shared" si="5"/>
        <v>20</v>
      </c>
      <c r="R80" s="20"/>
      <c r="S80" s="19"/>
      <c r="V80" s="9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</row>
    <row r="81" spans="1:40" x14ac:dyDescent="0.35">
      <c r="A81" s="14">
        <f t="shared" si="1"/>
        <v>68</v>
      </c>
      <c r="G81" s="101"/>
      <c r="H81" s="1"/>
      <c r="I81" s="4"/>
      <c r="L81" s="10">
        <f t="shared" si="4"/>
        <v>21</v>
      </c>
      <c r="M81" s="18"/>
      <c r="N81" s="19"/>
      <c r="Q81" s="10">
        <f t="shared" si="5"/>
        <v>21</v>
      </c>
      <c r="R81" s="20"/>
      <c r="S81" s="19"/>
      <c r="V81" s="9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</row>
    <row r="82" spans="1:40" x14ac:dyDescent="0.35">
      <c r="A82" s="14">
        <f t="shared" si="1"/>
        <v>69</v>
      </c>
      <c r="G82" s="101"/>
      <c r="H82" s="1"/>
      <c r="I82" s="4"/>
      <c r="L82" s="10">
        <f t="shared" si="4"/>
        <v>22</v>
      </c>
      <c r="M82" s="18"/>
      <c r="N82" s="19"/>
      <c r="Q82" s="10">
        <f t="shared" si="5"/>
        <v>22</v>
      </c>
      <c r="R82" s="20"/>
      <c r="S82" s="19"/>
      <c r="V82" s="9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</row>
    <row r="83" spans="1:40" x14ac:dyDescent="0.35">
      <c r="A83" s="14">
        <f t="shared" ref="A83:A126" si="6">A82+1</f>
        <v>70</v>
      </c>
      <c r="G83" s="101"/>
      <c r="H83" s="1"/>
      <c r="I83" s="4"/>
      <c r="L83" s="10">
        <f t="shared" si="4"/>
        <v>23</v>
      </c>
      <c r="M83" s="18"/>
      <c r="N83" s="19"/>
      <c r="Q83" s="10">
        <f t="shared" si="5"/>
        <v>23</v>
      </c>
      <c r="R83" s="20"/>
      <c r="S83" s="19"/>
      <c r="V83" s="9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</row>
    <row r="84" spans="1:40" x14ac:dyDescent="0.35">
      <c r="A84" s="14">
        <f t="shared" si="6"/>
        <v>71</v>
      </c>
      <c r="G84" s="101"/>
      <c r="H84" s="1"/>
      <c r="I84" s="4"/>
      <c r="L84" s="10">
        <f t="shared" si="4"/>
        <v>24</v>
      </c>
      <c r="M84" s="18"/>
      <c r="N84" s="19"/>
      <c r="Q84" s="10">
        <f t="shared" si="5"/>
        <v>24</v>
      </c>
      <c r="R84" s="20"/>
      <c r="S84" s="19"/>
      <c r="V84" s="9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</row>
    <row r="85" spans="1:40" x14ac:dyDescent="0.35">
      <c r="A85" s="14">
        <f t="shared" si="6"/>
        <v>72</v>
      </c>
      <c r="G85" s="101"/>
      <c r="H85" s="1"/>
      <c r="I85" s="4"/>
      <c r="L85" s="10">
        <f t="shared" si="4"/>
        <v>25</v>
      </c>
      <c r="M85" s="18"/>
      <c r="N85" s="19"/>
      <c r="Q85" s="10">
        <f t="shared" si="5"/>
        <v>25</v>
      </c>
      <c r="R85" s="20"/>
      <c r="S85" s="19"/>
      <c r="V85" s="9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73</v>
      </c>
      <c r="G86" s="101"/>
      <c r="H86" s="1"/>
      <c r="I86" s="4"/>
      <c r="L86" s="10">
        <f t="shared" si="4"/>
        <v>26</v>
      </c>
      <c r="M86" s="18"/>
      <c r="N86" s="19"/>
      <c r="Q86" s="10">
        <f t="shared" si="5"/>
        <v>26</v>
      </c>
      <c r="R86" s="20"/>
      <c r="S86" s="19"/>
      <c r="V86" s="9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74</v>
      </c>
      <c r="G87" s="101"/>
      <c r="H87" s="1"/>
      <c r="I87" s="4"/>
      <c r="L87" s="10">
        <f t="shared" si="4"/>
        <v>27</v>
      </c>
      <c r="M87" s="18"/>
      <c r="N87" s="19"/>
      <c r="Q87" s="10">
        <f t="shared" si="5"/>
        <v>27</v>
      </c>
      <c r="R87" s="20"/>
      <c r="S87" s="19"/>
      <c r="V87" s="9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75</v>
      </c>
      <c r="G88" s="101"/>
      <c r="H88" s="1"/>
      <c r="I88" s="4"/>
      <c r="L88" s="10">
        <f t="shared" si="4"/>
        <v>28</v>
      </c>
      <c r="M88" s="18"/>
      <c r="N88" s="19"/>
      <c r="Q88" s="10">
        <f t="shared" si="5"/>
        <v>28</v>
      </c>
      <c r="R88" s="20"/>
      <c r="S88" s="19"/>
      <c r="V88" s="9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76</v>
      </c>
      <c r="G89" s="101"/>
      <c r="H89" s="1"/>
      <c r="I89" s="4"/>
      <c r="L89" s="10">
        <f t="shared" si="4"/>
        <v>29</v>
      </c>
      <c r="M89" s="18"/>
      <c r="N89" s="19"/>
      <c r="Q89" s="10">
        <f t="shared" si="5"/>
        <v>29</v>
      </c>
      <c r="R89" s="20"/>
      <c r="S89" s="19"/>
      <c r="V89" s="9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77</v>
      </c>
      <c r="G90" s="101"/>
      <c r="H90" s="1"/>
      <c r="I90" s="4"/>
      <c r="L90" s="10">
        <f t="shared" si="4"/>
        <v>30</v>
      </c>
      <c r="M90" s="18"/>
      <c r="N90" s="19"/>
      <c r="Q90" s="10">
        <f t="shared" si="5"/>
        <v>30</v>
      </c>
      <c r="R90" s="20"/>
      <c r="S90" s="19"/>
      <c r="V90" s="9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G91" s="83"/>
      <c r="H91" s="84"/>
      <c r="I91" s="85"/>
      <c r="L91" s="86"/>
      <c r="M91" s="87"/>
      <c r="N91" s="88"/>
      <c r="Q91" s="86"/>
      <c r="R91" s="89"/>
      <c r="S91" s="88"/>
      <c r="V91" s="90"/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</row>
    <row r="92" spans="1:40" x14ac:dyDescent="0.35">
      <c r="G92" s="83"/>
      <c r="H92" s="84"/>
      <c r="I92" s="85"/>
      <c r="L92" s="86"/>
      <c r="M92" s="87"/>
      <c r="N92" s="88"/>
      <c r="Q92" s="86"/>
      <c r="R92" s="89"/>
      <c r="S92" s="88"/>
      <c r="V92" s="90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</row>
    <row r="93" spans="1:40" x14ac:dyDescent="0.35">
      <c r="G93" s="83"/>
      <c r="H93" s="84"/>
      <c r="I93" s="85"/>
      <c r="L93" s="86"/>
      <c r="M93" s="87"/>
      <c r="N93" s="88"/>
      <c r="Q93" s="86"/>
      <c r="R93" s="89"/>
      <c r="S93" s="88"/>
      <c r="V93" s="90"/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</row>
    <row r="94" spans="1:40" x14ac:dyDescent="0.35">
      <c r="G94" s="83"/>
      <c r="H94" s="84"/>
      <c r="I94" s="85"/>
      <c r="L94" s="86"/>
      <c r="M94" s="87"/>
      <c r="N94" s="88"/>
      <c r="Q94" s="86"/>
      <c r="R94" s="89"/>
      <c r="S94" s="88"/>
      <c r="V94" s="90"/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</row>
    <row r="95" spans="1:40" x14ac:dyDescent="0.35">
      <c r="G95" s="83"/>
      <c r="H95" s="84"/>
      <c r="I95" s="85"/>
      <c r="L95" s="86"/>
      <c r="M95" s="87"/>
      <c r="N95" s="88"/>
      <c r="Q95" s="86"/>
      <c r="R95" s="89"/>
      <c r="S95" s="88"/>
      <c r="V95" s="90"/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</row>
    <row r="96" spans="1:40" x14ac:dyDescent="0.35">
      <c r="G96" s="83"/>
      <c r="H96" s="84"/>
      <c r="I96" s="85"/>
      <c r="L96" s="86"/>
      <c r="M96" s="87"/>
      <c r="N96" s="88"/>
      <c r="Q96" s="86"/>
      <c r="R96" s="89"/>
      <c r="S96" s="88"/>
      <c r="V96" s="90"/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</row>
    <row r="97" spans="1:40" x14ac:dyDescent="0.35">
      <c r="G97" s="83"/>
      <c r="H97" s="84"/>
      <c r="I97" s="85"/>
      <c r="L97" s="86"/>
      <c r="M97" s="87"/>
      <c r="N97" s="88"/>
      <c r="Q97" s="86"/>
      <c r="R97" s="89"/>
      <c r="S97" s="88"/>
      <c r="V97" s="90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</row>
    <row r="98" spans="1:40" x14ac:dyDescent="0.35">
      <c r="G98" s="83"/>
      <c r="H98" s="84"/>
      <c r="I98" s="85"/>
      <c r="L98" s="86"/>
      <c r="M98" s="87"/>
      <c r="N98" s="88"/>
      <c r="Q98" s="86"/>
      <c r="R98" s="89"/>
      <c r="S98" s="88"/>
      <c r="V98" s="90"/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</row>
    <row r="99" spans="1:40" x14ac:dyDescent="0.35">
      <c r="G99" s="83"/>
      <c r="H99" s="84"/>
      <c r="I99" s="85"/>
      <c r="L99" s="86"/>
      <c r="M99" s="87"/>
      <c r="N99" s="88"/>
      <c r="Q99" s="86"/>
      <c r="R99" s="89"/>
      <c r="S99" s="88"/>
      <c r="V99" s="90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</row>
    <row r="100" spans="1:40" x14ac:dyDescent="0.35">
      <c r="G100" s="83"/>
      <c r="H100" s="84"/>
      <c r="I100" s="85"/>
      <c r="L100" s="86"/>
      <c r="M100" s="87"/>
      <c r="N100" s="88"/>
      <c r="Q100" s="86"/>
      <c r="R100" s="89"/>
      <c r="S100" s="88"/>
      <c r="V100" s="90"/>
      <c r="W100" s="91"/>
      <c r="X100" s="91"/>
      <c r="Y100" s="91"/>
      <c r="Z100" s="91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91"/>
      <c r="AL100" s="91"/>
      <c r="AM100" s="91"/>
      <c r="AN100" s="91"/>
    </row>
    <row r="101" spans="1:40" x14ac:dyDescent="0.35">
      <c r="G101" s="83"/>
      <c r="H101" s="84"/>
      <c r="I101" s="85"/>
      <c r="L101" s="86"/>
      <c r="M101" s="87"/>
      <c r="N101" s="88"/>
      <c r="Q101" s="86"/>
      <c r="R101" s="89"/>
      <c r="S101" s="88"/>
      <c r="V101" s="90"/>
      <c r="W101" s="91"/>
      <c r="X101" s="91"/>
      <c r="Y101" s="91"/>
      <c r="Z101" s="91"/>
      <c r="AA101" s="91"/>
      <c r="AB101" s="91"/>
      <c r="AC101" s="91"/>
      <c r="AD101" s="91"/>
      <c r="AE101" s="91"/>
      <c r="AF101" s="91"/>
      <c r="AG101" s="91"/>
      <c r="AH101" s="91"/>
      <c r="AI101" s="91"/>
      <c r="AJ101" s="91"/>
      <c r="AK101" s="91"/>
      <c r="AL101" s="91"/>
      <c r="AM101" s="91"/>
      <c r="AN101" s="91"/>
    </row>
    <row r="102" spans="1:40" x14ac:dyDescent="0.35">
      <c r="G102" s="83"/>
      <c r="H102" s="84"/>
      <c r="I102" s="85"/>
      <c r="L102" s="86"/>
      <c r="M102" s="87"/>
      <c r="N102" s="88"/>
      <c r="Q102" s="86"/>
      <c r="R102" s="89"/>
      <c r="S102" s="88"/>
      <c r="V102" s="90"/>
      <c r="W102" s="91"/>
      <c r="X102" s="91"/>
      <c r="Y102" s="91"/>
      <c r="Z102" s="91"/>
      <c r="AA102" s="91"/>
      <c r="AB102" s="91"/>
      <c r="AC102" s="91"/>
      <c r="AD102" s="91"/>
      <c r="AE102" s="91"/>
      <c r="AF102" s="91"/>
      <c r="AG102" s="91"/>
      <c r="AH102" s="91"/>
      <c r="AI102" s="91"/>
      <c r="AJ102" s="91"/>
      <c r="AK102" s="91"/>
      <c r="AL102" s="91"/>
      <c r="AM102" s="91"/>
      <c r="AN102" s="91"/>
    </row>
    <row r="103" spans="1:40" x14ac:dyDescent="0.35">
      <c r="G103" s="83"/>
      <c r="H103" s="84"/>
      <c r="I103" s="85"/>
      <c r="L103" s="86"/>
      <c r="M103" s="87"/>
      <c r="N103" s="88"/>
      <c r="Q103" s="86"/>
      <c r="R103" s="89"/>
      <c r="S103" s="88"/>
      <c r="V103" s="90"/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1"/>
    </row>
    <row r="104" spans="1:40" x14ac:dyDescent="0.4">
      <c r="A104" s="14">
        <f>A90+1</f>
        <v>78</v>
      </c>
    </row>
    <row r="105" spans="1:40" x14ac:dyDescent="0.4">
      <c r="A105" s="14">
        <f t="shared" si="6"/>
        <v>79</v>
      </c>
      <c r="G105" s="100" t="s">
        <v>26</v>
      </c>
      <c r="H105" s="102" t="s">
        <v>25</v>
      </c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</row>
    <row r="106" spans="1:40" x14ac:dyDescent="0.4">
      <c r="A106" s="14">
        <f t="shared" si="6"/>
        <v>80</v>
      </c>
      <c r="B106" s="95" t="s">
        <v>3</v>
      </c>
      <c r="C106" s="95"/>
      <c r="D106" s="96">
        <v>1</v>
      </c>
      <c r="E106" s="96"/>
      <c r="G106" s="101"/>
      <c r="H106" s="103" t="s">
        <v>7</v>
      </c>
      <c r="I106" s="104"/>
      <c r="L106" s="97" t="s">
        <v>11</v>
      </c>
      <c r="M106" s="97"/>
      <c r="N106" s="97"/>
      <c r="Q106" s="97" t="s">
        <v>12</v>
      </c>
      <c r="R106" s="97"/>
      <c r="S106" s="97"/>
      <c r="V106" s="97" t="s">
        <v>13</v>
      </c>
      <c r="W106" s="97"/>
      <c r="X106" s="97"/>
    </row>
    <row r="107" spans="1:40" x14ac:dyDescent="0.4">
      <c r="A107" s="14">
        <f t="shared" si="6"/>
        <v>81</v>
      </c>
      <c r="B107" s="95" t="s">
        <v>4</v>
      </c>
      <c r="C107" s="95"/>
      <c r="D107" s="96">
        <v>1</v>
      </c>
      <c r="E107" s="96"/>
      <c r="G107" s="101"/>
      <c r="H107" s="105"/>
      <c r="I107" s="106"/>
      <c r="L107" s="97"/>
      <c r="M107" s="97"/>
      <c r="N107" s="97"/>
      <c r="Q107" s="97"/>
      <c r="R107" s="97"/>
      <c r="S107" s="97"/>
      <c r="V107" s="97"/>
      <c r="W107" s="97"/>
      <c r="X107" s="97"/>
    </row>
    <row r="108" spans="1:40" x14ac:dyDescent="0.4">
      <c r="A108" s="14">
        <f t="shared" si="6"/>
        <v>82</v>
      </c>
      <c r="B108" s="95" t="s">
        <v>1</v>
      </c>
      <c r="C108" s="95"/>
      <c r="D108" s="96">
        <v>0.01</v>
      </c>
      <c r="E108" s="96"/>
      <c r="G108" s="101"/>
      <c r="V108" s="97" t="s">
        <v>14</v>
      </c>
      <c r="W108" s="97"/>
      <c r="X108" s="5">
        <v>3</v>
      </c>
    </row>
    <row r="109" spans="1:40" x14ac:dyDescent="0.4">
      <c r="A109" s="14">
        <f t="shared" si="6"/>
        <v>83</v>
      </c>
      <c r="G109" s="101"/>
      <c r="H109" s="2" t="s">
        <v>8</v>
      </c>
      <c r="I109" s="3">
        <v>0.01</v>
      </c>
      <c r="Q109" s="97" t="s">
        <v>15</v>
      </c>
      <c r="R109" s="97"/>
      <c r="S109" s="5">
        <v>3</v>
      </c>
      <c r="V109" s="98" t="s">
        <v>16</v>
      </c>
      <c r="W109" s="6" t="s">
        <v>17</v>
      </c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</row>
    <row r="110" spans="1:40" x14ac:dyDescent="0.4">
      <c r="A110" s="14">
        <f t="shared" si="6"/>
        <v>84</v>
      </c>
      <c r="G110" s="101"/>
      <c r="H110" s="2" t="s">
        <v>9</v>
      </c>
      <c r="I110" s="2" t="s">
        <v>10</v>
      </c>
      <c r="L110" s="8" t="s">
        <v>18</v>
      </c>
      <c r="M110" s="8" t="s">
        <v>19</v>
      </c>
      <c r="N110" s="2" t="s">
        <v>72</v>
      </c>
      <c r="Q110" s="8" t="s">
        <v>18</v>
      </c>
      <c r="R110" s="8" t="s">
        <v>19</v>
      </c>
      <c r="S110" s="2" t="s">
        <v>20</v>
      </c>
      <c r="V110" s="99"/>
      <c r="W110" s="9">
        <v>1</v>
      </c>
      <c r="X110" s="9">
        <v>2</v>
      </c>
      <c r="Y110" s="9">
        <v>3</v>
      </c>
      <c r="Z110" s="9">
        <v>4</v>
      </c>
      <c r="AA110" s="9">
        <v>5</v>
      </c>
      <c r="AB110" s="9">
        <v>7</v>
      </c>
      <c r="AC110" s="9">
        <v>10</v>
      </c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</row>
    <row r="111" spans="1:40" x14ac:dyDescent="0.35">
      <c r="A111" s="14">
        <f t="shared" si="6"/>
        <v>85</v>
      </c>
      <c r="G111" s="101"/>
      <c r="H111" s="1">
        <v>0.5</v>
      </c>
      <c r="I111" s="4">
        <v>2.8000000000000004E-3</v>
      </c>
      <c r="L111" s="10">
        <v>1</v>
      </c>
      <c r="M111" s="11">
        <v>2.7397260273972603E-3</v>
      </c>
      <c r="N111" s="12">
        <v>9.2987051584846429E-3</v>
      </c>
      <c r="Q111" s="10">
        <v>1</v>
      </c>
      <c r="R111" s="11">
        <v>1</v>
      </c>
      <c r="S111" s="12">
        <v>0.14964285714285716</v>
      </c>
      <c r="V111" s="9">
        <v>0.5</v>
      </c>
      <c r="W111" s="13">
        <v>0.1384926171182437</v>
      </c>
      <c r="X111" s="13">
        <v>0.14761163721770634</v>
      </c>
      <c r="Y111" s="13">
        <v>0.15539780400383685</v>
      </c>
      <c r="Z111" s="13">
        <v>0.1631096088487676</v>
      </c>
      <c r="AA111" s="13">
        <v>0.16961076375315337</v>
      </c>
      <c r="AB111" s="13">
        <v>0.16646469259116742</v>
      </c>
      <c r="AC111" s="13">
        <v>0.16336780983229174</v>
      </c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A112" s="14">
        <f t="shared" si="6"/>
        <v>86</v>
      </c>
      <c r="G112" s="101"/>
      <c r="H112" s="1">
        <v>1</v>
      </c>
      <c r="I112" s="4">
        <v>3.2000000000000002E-3</v>
      </c>
      <c r="L112" s="10">
        <f>L111+1</f>
        <v>2</v>
      </c>
      <c r="M112" s="11">
        <v>0.25</v>
      </c>
      <c r="N112" s="12">
        <v>1.0100494925245816E-2</v>
      </c>
      <c r="Q112" s="10">
        <f>Q111+1</f>
        <v>2</v>
      </c>
      <c r="R112" s="11">
        <v>2</v>
      </c>
      <c r="S112" s="12">
        <v>0.15085714285714286</v>
      </c>
      <c r="V112" s="9">
        <v>1</v>
      </c>
      <c r="W112" s="13">
        <v>0.14040057981470888</v>
      </c>
      <c r="X112" s="13">
        <v>0.14632666205134551</v>
      </c>
      <c r="Y112" s="13">
        <v>0.15543022337463921</v>
      </c>
      <c r="Z112" s="13">
        <v>0.15785275519807879</v>
      </c>
      <c r="AA112" s="13">
        <v>0.16308967009957046</v>
      </c>
      <c r="AB112" s="13">
        <v>0.15954804642315323</v>
      </c>
      <c r="AC112" s="13">
        <v>0.15105843675710656</v>
      </c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1:40" x14ac:dyDescent="0.35">
      <c r="A113" s="14">
        <f t="shared" si="6"/>
        <v>87</v>
      </c>
      <c r="C113" s="1" t="s">
        <v>5</v>
      </c>
      <c r="D113" s="93" t="s">
        <v>6</v>
      </c>
      <c r="E113" s="93"/>
      <c r="G113" s="101"/>
      <c r="H113" s="1">
        <v>1.5</v>
      </c>
      <c r="I113" s="4">
        <v>3.2000000000000002E-3</v>
      </c>
      <c r="L113" s="10">
        <f t="shared" ref="L113:L140" si="7">L112+1</f>
        <v>3</v>
      </c>
      <c r="M113" s="11">
        <v>0.5</v>
      </c>
      <c r="N113" s="12">
        <v>1.0585744906933231E-2</v>
      </c>
      <c r="Q113" s="10">
        <f t="shared" ref="Q113:Q140" si="8">Q112+1</f>
        <v>3</v>
      </c>
      <c r="R113" s="11">
        <v>3</v>
      </c>
      <c r="S113" s="12">
        <v>0.14971428571428572</v>
      </c>
      <c r="V113" s="9">
        <v>1.5</v>
      </c>
      <c r="W113" s="13">
        <v>0.14867838499611513</v>
      </c>
      <c r="X113" s="13">
        <v>0.15594323469063806</v>
      </c>
      <c r="Y113" s="13">
        <v>0.15373874638360399</v>
      </c>
      <c r="Z113" s="13">
        <v>0.16148796990508402</v>
      </c>
      <c r="AA113" s="13">
        <v>0.16262826059881971</v>
      </c>
      <c r="AB113" s="13">
        <v>0.15460711266034871</v>
      </c>
      <c r="AC113" s="13">
        <v>0.15421386590513125</v>
      </c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1:40" x14ac:dyDescent="0.35">
      <c r="A114" s="14">
        <f t="shared" si="6"/>
        <v>88</v>
      </c>
      <c r="D114" s="93"/>
      <c r="E114" s="93"/>
      <c r="G114" s="101"/>
      <c r="H114" s="1">
        <v>2</v>
      </c>
      <c r="I114" s="4">
        <v>3.2000000000000002E-3</v>
      </c>
      <c r="L114" s="10">
        <f t="shared" si="7"/>
        <v>4</v>
      </c>
      <c r="M114" s="11">
        <v>1</v>
      </c>
      <c r="N114" s="12">
        <v>1.1364206149595617E-2</v>
      </c>
      <c r="Q114" s="10">
        <f t="shared" si="8"/>
        <v>4</v>
      </c>
      <c r="R114" s="11">
        <v>4</v>
      </c>
      <c r="S114" s="12">
        <v>0.1472857142857143</v>
      </c>
      <c r="V114" s="9">
        <v>2</v>
      </c>
      <c r="W114" s="13">
        <v>0.16121864439147726</v>
      </c>
      <c r="X114" s="13">
        <v>0.16053635199165964</v>
      </c>
      <c r="Y114" s="13">
        <v>0.15736933692690278</v>
      </c>
      <c r="Z114" s="13">
        <v>0.15800328343197115</v>
      </c>
      <c r="AA114" s="13">
        <v>0.15892692041421808</v>
      </c>
      <c r="AB114" s="13">
        <v>0.15134526839467008</v>
      </c>
      <c r="AC114" s="13">
        <v>0.14901771251662804</v>
      </c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5" spans="1:40" x14ac:dyDescent="0.35">
      <c r="A115" s="14">
        <f t="shared" si="6"/>
        <v>89</v>
      </c>
      <c r="D115" s="93"/>
      <c r="E115" s="93"/>
      <c r="G115" s="101"/>
      <c r="H115" s="1">
        <v>3</v>
      </c>
      <c r="I115" s="4">
        <v>3.0000000000000001E-3</v>
      </c>
      <c r="L115" s="10">
        <f t="shared" si="7"/>
        <v>5</v>
      </c>
      <c r="M115" s="11">
        <v>1.5</v>
      </c>
      <c r="N115" s="12">
        <v>1.1240699512420845E-2</v>
      </c>
      <c r="Q115" s="10">
        <f t="shared" si="8"/>
        <v>5</v>
      </c>
      <c r="R115" s="11">
        <v>5</v>
      </c>
      <c r="S115" s="12">
        <v>0.14885714285714285</v>
      </c>
      <c r="U115" s="15"/>
      <c r="V115" s="9">
        <v>3</v>
      </c>
      <c r="W115" s="13">
        <v>0.16541051318262792</v>
      </c>
      <c r="X115" s="13">
        <v>0.1660830439979728</v>
      </c>
      <c r="Y115" s="13">
        <v>0.15902347969061983</v>
      </c>
      <c r="Z115" s="13">
        <v>0.15329416202884838</v>
      </c>
      <c r="AA115" s="13">
        <v>0.15054749157879738</v>
      </c>
      <c r="AB115" s="13">
        <v>0.14554512012573781</v>
      </c>
      <c r="AC115" s="13">
        <v>0.14304469755409441</v>
      </c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</row>
    <row r="116" spans="1:40" x14ac:dyDescent="0.35">
      <c r="A116" s="14">
        <f t="shared" si="6"/>
        <v>90</v>
      </c>
      <c r="G116" s="101"/>
      <c r="H116" s="1">
        <v>4</v>
      </c>
      <c r="I116" s="4">
        <v>3.2000000000000002E-3</v>
      </c>
      <c r="L116" s="10">
        <f t="shared" si="7"/>
        <v>6</v>
      </c>
      <c r="M116" s="11">
        <v>2</v>
      </c>
      <c r="N116" s="12">
        <v>1.2560340009797765E-2</v>
      </c>
      <c r="Q116" s="10">
        <f t="shared" si="8"/>
        <v>6</v>
      </c>
      <c r="R116" s="11">
        <v>7</v>
      </c>
      <c r="S116" s="12">
        <v>0.14299999999999999</v>
      </c>
      <c r="U116" s="15"/>
      <c r="V116" s="9">
        <v>4</v>
      </c>
      <c r="W116" s="13">
        <v>0.16571355883609359</v>
      </c>
      <c r="X116" s="13">
        <v>0.16043784832858055</v>
      </c>
      <c r="Y116" s="13">
        <v>0.15385665589690289</v>
      </c>
      <c r="Z116" s="13">
        <v>0.14935620752451784</v>
      </c>
      <c r="AA116" s="13">
        <v>0.14646149655214519</v>
      </c>
      <c r="AB116" s="13">
        <v>0.14695190421678975</v>
      </c>
      <c r="AC116" s="13">
        <v>0.14403394176004788</v>
      </c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</row>
    <row r="117" spans="1:40" x14ac:dyDescent="0.35">
      <c r="A117" s="14">
        <f t="shared" si="6"/>
        <v>91</v>
      </c>
      <c r="D117" s="92">
        <v>44928.341319444444</v>
      </c>
      <c r="E117" s="92"/>
      <c r="G117" s="101"/>
      <c r="H117" s="1">
        <v>5</v>
      </c>
      <c r="I117" s="4">
        <v>3.2000000000000002E-3</v>
      </c>
      <c r="L117" s="10">
        <f t="shared" si="7"/>
        <v>7</v>
      </c>
      <c r="M117" s="11">
        <v>3</v>
      </c>
      <c r="N117" s="12">
        <v>1.344051633469635E-2</v>
      </c>
      <c r="Q117" s="10">
        <f t="shared" si="8"/>
        <v>7</v>
      </c>
      <c r="R117" s="11">
        <v>10</v>
      </c>
      <c r="S117" s="12">
        <v>0.14214285714285715</v>
      </c>
      <c r="U117" s="15"/>
      <c r="V117" s="9">
        <v>5</v>
      </c>
      <c r="W117" s="13">
        <v>0.16726334298435172</v>
      </c>
      <c r="X117" s="13">
        <v>0.1612655591185379</v>
      </c>
      <c r="Y117" s="13">
        <v>0.15610325772866515</v>
      </c>
      <c r="Z117" s="13">
        <v>0.15198229026153823</v>
      </c>
      <c r="AA117" s="13">
        <v>0.1501992428744624</v>
      </c>
      <c r="AB117" s="13">
        <v>0.14479366571507052</v>
      </c>
      <c r="AC117" s="13">
        <v>0.14381254572824181</v>
      </c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</row>
    <row r="118" spans="1:40" x14ac:dyDescent="0.35">
      <c r="A118" s="14">
        <f t="shared" si="6"/>
        <v>92</v>
      </c>
      <c r="D118" s="92">
        <v>44928.341331018521</v>
      </c>
      <c r="E118" s="92"/>
      <c r="G118" s="101"/>
      <c r="H118" s="1">
        <v>7</v>
      </c>
      <c r="I118" s="4">
        <v>3.2000000000000002E-3</v>
      </c>
      <c r="L118" s="10">
        <f t="shared" si="7"/>
        <v>8</v>
      </c>
      <c r="M118" s="11">
        <v>4</v>
      </c>
      <c r="N118" s="12">
        <v>1.5128217867816219E-2</v>
      </c>
      <c r="Q118" s="10">
        <f t="shared" si="8"/>
        <v>8</v>
      </c>
      <c r="R118" s="11"/>
      <c r="S118" s="12"/>
      <c r="U118" s="15"/>
      <c r="V118" s="9">
        <v>7</v>
      </c>
      <c r="W118" s="13">
        <v>0.15365898592959146</v>
      </c>
      <c r="X118" s="13">
        <v>0.15156817792569124</v>
      </c>
      <c r="Y118" s="13">
        <v>0.15173965385614124</v>
      </c>
      <c r="Z118" s="13">
        <v>0.15263485175206262</v>
      </c>
      <c r="AA118" s="13">
        <v>0.1413006769229472</v>
      </c>
      <c r="AB118" s="13">
        <v>0.1448818531521979</v>
      </c>
      <c r="AC118" s="13">
        <v>0.13975968160245669</v>
      </c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</row>
    <row r="119" spans="1:40" x14ac:dyDescent="0.35">
      <c r="A119" s="14">
        <f t="shared" si="6"/>
        <v>93</v>
      </c>
      <c r="G119" s="101"/>
      <c r="H119" s="1">
        <v>10</v>
      </c>
      <c r="I119" s="4">
        <v>3.4000000000000002E-3</v>
      </c>
      <c r="L119" s="10">
        <f t="shared" si="7"/>
        <v>9</v>
      </c>
      <c r="M119" s="11">
        <v>5</v>
      </c>
      <c r="N119" s="12">
        <v>1.6145008698489109E-2</v>
      </c>
      <c r="Q119" s="10">
        <f t="shared" si="8"/>
        <v>9</v>
      </c>
      <c r="R119" s="11"/>
      <c r="S119" s="12"/>
      <c r="U119" s="15"/>
      <c r="V119" s="9">
        <v>10</v>
      </c>
      <c r="W119" s="13">
        <v>0.15429364170184443</v>
      </c>
      <c r="X119" s="13">
        <v>0.15655757595465852</v>
      </c>
      <c r="Y119" s="13">
        <v>0.15230380437456112</v>
      </c>
      <c r="Z119" s="13">
        <v>0.14828138188985771</v>
      </c>
      <c r="AA119" s="13">
        <v>0.14547451624609753</v>
      </c>
      <c r="AB119" s="13">
        <v>0.14166601969580189</v>
      </c>
      <c r="AC119" s="13">
        <v>0.13402708173569783</v>
      </c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</row>
    <row r="120" spans="1:40" x14ac:dyDescent="0.35">
      <c r="A120" s="14">
        <f t="shared" si="6"/>
        <v>94</v>
      </c>
      <c r="G120" s="101"/>
      <c r="H120" s="1"/>
      <c r="I120" s="4"/>
      <c r="L120" s="10">
        <f t="shared" si="7"/>
        <v>10</v>
      </c>
      <c r="M120" s="11">
        <v>6</v>
      </c>
      <c r="N120" s="12">
        <v>1.6196912530765887E-2</v>
      </c>
      <c r="Q120" s="10">
        <f t="shared" si="8"/>
        <v>10</v>
      </c>
      <c r="R120" s="11"/>
      <c r="S120" s="12"/>
      <c r="U120" s="15"/>
      <c r="V120" s="9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</row>
    <row r="121" spans="1:40" x14ac:dyDescent="0.35">
      <c r="A121" s="14">
        <f t="shared" si="6"/>
        <v>95</v>
      </c>
      <c r="G121" s="101"/>
      <c r="H121" s="1"/>
      <c r="I121" s="4"/>
      <c r="L121" s="10">
        <f t="shared" si="7"/>
        <v>11</v>
      </c>
      <c r="M121" s="11">
        <v>7</v>
      </c>
      <c r="N121" s="12">
        <v>1.7576413300879615E-2</v>
      </c>
      <c r="Q121" s="10">
        <f t="shared" si="8"/>
        <v>11</v>
      </c>
      <c r="R121" s="11"/>
      <c r="S121" s="12"/>
      <c r="U121" s="16"/>
      <c r="V121" s="9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</row>
    <row r="122" spans="1:40" x14ac:dyDescent="0.35">
      <c r="A122" s="14">
        <f t="shared" si="6"/>
        <v>96</v>
      </c>
      <c r="G122" s="101"/>
      <c r="H122" s="1"/>
      <c r="I122" s="4"/>
      <c r="L122" s="10">
        <f t="shared" si="7"/>
        <v>12</v>
      </c>
      <c r="M122" s="11">
        <v>8</v>
      </c>
      <c r="N122" s="12">
        <v>1.7788002445556443E-2</v>
      </c>
      <c r="Q122" s="10">
        <f t="shared" si="8"/>
        <v>12</v>
      </c>
      <c r="R122" s="11"/>
      <c r="S122" s="12"/>
      <c r="U122" s="17"/>
      <c r="V122" s="9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1:40" x14ac:dyDescent="0.35">
      <c r="A123" s="14">
        <f t="shared" si="6"/>
        <v>97</v>
      </c>
      <c r="G123" s="101"/>
      <c r="H123" s="1"/>
      <c r="I123" s="4"/>
      <c r="L123" s="10">
        <f t="shared" si="7"/>
        <v>13</v>
      </c>
      <c r="M123" s="11">
        <v>9</v>
      </c>
      <c r="N123" s="12">
        <v>1.8387991814191845E-2</v>
      </c>
      <c r="Q123" s="10">
        <f t="shared" si="8"/>
        <v>13</v>
      </c>
      <c r="R123" s="11"/>
      <c r="S123" s="12"/>
      <c r="V123" s="9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1:40" x14ac:dyDescent="0.35">
      <c r="A124" s="14">
        <f t="shared" si="6"/>
        <v>98</v>
      </c>
      <c r="G124" s="101"/>
      <c r="H124" s="1"/>
      <c r="I124" s="4"/>
      <c r="L124" s="10">
        <f t="shared" si="7"/>
        <v>14</v>
      </c>
      <c r="M124" s="11">
        <v>10</v>
      </c>
      <c r="N124" s="12">
        <v>1.8834234363904127E-2</v>
      </c>
      <c r="Q124" s="10">
        <f t="shared" si="8"/>
        <v>14</v>
      </c>
      <c r="R124" s="11"/>
      <c r="S124" s="12"/>
      <c r="V124" s="9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1:40" x14ac:dyDescent="0.35">
      <c r="A125" s="14">
        <f t="shared" si="6"/>
        <v>99</v>
      </c>
      <c r="G125" s="101"/>
      <c r="H125" s="1"/>
      <c r="I125" s="4"/>
      <c r="L125" s="10">
        <f t="shared" si="7"/>
        <v>15</v>
      </c>
      <c r="M125" s="11">
        <v>12</v>
      </c>
      <c r="N125" s="12">
        <v>1.8971011340666574E-2</v>
      </c>
      <c r="Q125" s="10">
        <f t="shared" si="8"/>
        <v>15</v>
      </c>
      <c r="R125" s="11"/>
      <c r="S125" s="12"/>
      <c r="V125" s="9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1:40" x14ac:dyDescent="0.35">
      <c r="A126" s="14">
        <f t="shared" si="6"/>
        <v>100</v>
      </c>
      <c r="G126" s="101"/>
      <c r="H126" s="1"/>
      <c r="I126" s="4"/>
      <c r="L126" s="10">
        <f t="shared" si="7"/>
        <v>16</v>
      </c>
      <c r="M126" s="11">
        <v>15</v>
      </c>
      <c r="N126" s="12">
        <v>1.9495973300093089E-2</v>
      </c>
      <c r="Q126" s="10">
        <f t="shared" si="8"/>
        <v>16</v>
      </c>
      <c r="R126" s="11"/>
      <c r="S126" s="12"/>
      <c r="V126" s="9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1:40" x14ac:dyDescent="0.35">
      <c r="G127" s="101"/>
      <c r="H127" s="1"/>
      <c r="I127" s="4"/>
      <c r="L127" s="10">
        <f t="shared" si="7"/>
        <v>17</v>
      </c>
      <c r="M127" s="11">
        <v>20</v>
      </c>
      <c r="N127" s="12">
        <v>2.117680539084018E-2</v>
      </c>
      <c r="Q127" s="10">
        <f t="shared" si="8"/>
        <v>17</v>
      </c>
      <c r="R127" s="11"/>
      <c r="S127" s="12"/>
      <c r="V127" s="9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1:40" x14ac:dyDescent="0.35">
      <c r="G128" s="101"/>
      <c r="H128" s="1"/>
      <c r="I128" s="4"/>
      <c r="L128" s="10">
        <f t="shared" si="7"/>
        <v>18</v>
      </c>
      <c r="M128" s="11"/>
      <c r="N128" s="12"/>
      <c r="Q128" s="10">
        <f t="shared" si="8"/>
        <v>18</v>
      </c>
      <c r="R128" s="11"/>
      <c r="S128" s="12"/>
      <c r="V128" s="9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7:40" x14ac:dyDescent="0.35">
      <c r="G129" s="101"/>
      <c r="H129" s="1"/>
      <c r="I129" s="4"/>
      <c r="L129" s="10">
        <f t="shared" si="7"/>
        <v>19</v>
      </c>
      <c r="M129" s="18"/>
      <c r="N129" s="19"/>
      <c r="Q129" s="10">
        <f t="shared" si="8"/>
        <v>19</v>
      </c>
      <c r="R129" s="20"/>
      <c r="S129" s="19"/>
      <c r="V129" s="9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7:40" x14ac:dyDescent="0.35">
      <c r="G130" s="101"/>
      <c r="H130" s="1"/>
      <c r="I130" s="4"/>
      <c r="L130" s="10">
        <f t="shared" si="7"/>
        <v>20</v>
      </c>
      <c r="M130" s="18"/>
      <c r="N130" s="19"/>
      <c r="Q130" s="10">
        <f t="shared" si="8"/>
        <v>20</v>
      </c>
      <c r="R130" s="20"/>
      <c r="S130" s="19"/>
      <c r="V130" s="9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7:40" x14ac:dyDescent="0.35">
      <c r="G131" s="101"/>
      <c r="H131" s="1"/>
      <c r="I131" s="4"/>
      <c r="L131" s="10">
        <f t="shared" si="7"/>
        <v>21</v>
      </c>
      <c r="M131" s="18"/>
      <c r="N131" s="19"/>
      <c r="Q131" s="10">
        <f t="shared" si="8"/>
        <v>21</v>
      </c>
      <c r="R131" s="20"/>
      <c r="S131" s="19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7:40" x14ac:dyDescent="0.35">
      <c r="G132" s="101"/>
      <c r="H132" s="1"/>
      <c r="I132" s="4"/>
      <c r="L132" s="10">
        <f t="shared" si="7"/>
        <v>22</v>
      </c>
      <c r="M132" s="18"/>
      <c r="N132" s="19"/>
      <c r="Q132" s="10">
        <f t="shared" si="8"/>
        <v>22</v>
      </c>
      <c r="R132" s="20"/>
      <c r="S132" s="19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7:40" x14ac:dyDescent="0.35">
      <c r="G133" s="101"/>
      <c r="H133" s="1"/>
      <c r="I133" s="4"/>
      <c r="L133" s="10">
        <f t="shared" si="7"/>
        <v>23</v>
      </c>
      <c r="M133" s="18"/>
      <c r="N133" s="19"/>
      <c r="Q133" s="10">
        <f t="shared" si="8"/>
        <v>23</v>
      </c>
      <c r="R133" s="20"/>
      <c r="S133" s="19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7:40" x14ac:dyDescent="0.35">
      <c r="G134" s="101"/>
      <c r="H134" s="1"/>
      <c r="I134" s="4"/>
      <c r="L134" s="10">
        <f t="shared" si="7"/>
        <v>24</v>
      </c>
      <c r="M134" s="18"/>
      <c r="N134" s="19"/>
      <c r="Q134" s="10">
        <f t="shared" si="8"/>
        <v>24</v>
      </c>
      <c r="R134" s="20"/>
      <c r="S134" s="19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7:40" x14ac:dyDescent="0.35">
      <c r="G135" s="101"/>
      <c r="H135" s="1"/>
      <c r="I135" s="4"/>
      <c r="L135" s="10">
        <f t="shared" si="7"/>
        <v>25</v>
      </c>
      <c r="M135" s="18"/>
      <c r="N135" s="19"/>
      <c r="Q135" s="10">
        <f t="shared" si="8"/>
        <v>25</v>
      </c>
      <c r="R135" s="20"/>
      <c r="S135" s="19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7:40" x14ac:dyDescent="0.35">
      <c r="G136" s="101"/>
      <c r="H136" s="1"/>
      <c r="I136" s="4"/>
      <c r="L136" s="10">
        <f t="shared" si="7"/>
        <v>26</v>
      </c>
      <c r="M136" s="18"/>
      <c r="N136" s="19"/>
      <c r="Q136" s="10">
        <f t="shared" si="8"/>
        <v>26</v>
      </c>
      <c r="R136" s="20"/>
      <c r="S136" s="19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7:40" x14ac:dyDescent="0.35">
      <c r="G137" s="101"/>
      <c r="H137" s="1"/>
      <c r="I137" s="4"/>
      <c r="L137" s="10">
        <f t="shared" si="7"/>
        <v>27</v>
      </c>
      <c r="M137" s="18"/>
      <c r="N137" s="19"/>
      <c r="Q137" s="10">
        <f t="shared" si="8"/>
        <v>27</v>
      </c>
      <c r="R137" s="20"/>
      <c r="S137" s="19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7:40" x14ac:dyDescent="0.35">
      <c r="G138" s="101"/>
      <c r="H138" s="1"/>
      <c r="I138" s="4"/>
      <c r="L138" s="10">
        <f t="shared" si="7"/>
        <v>28</v>
      </c>
      <c r="M138" s="18"/>
      <c r="N138" s="19"/>
      <c r="Q138" s="10">
        <f t="shared" si="8"/>
        <v>28</v>
      </c>
      <c r="R138" s="20"/>
      <c r="S138" s="19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7:40" x14ac:dyDescent="0.35">
      <c r="G139" s="101"/>
      <c r="H139" s="1"/>
      <c r="I139" s="4"/>
      <c r="L139" s="10">
        <f t="shared" si="7"/>
        <v>29</v>
      </c>
      <c r="M139" s="18"/>
      <c r="N139" s="19"/>
      <c r="Q139" s="10">
        <f t="shared" si="8"/>
        <v>29</v>
      </c>
      <c r="R139" s="20"/>
      <c r="S139" s="19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7:40" x14ac:dyDescent="0.35">
      <c r="G140" s="101"/>
      <c r="H140" s="1"/>
      <c r="I140" s="4"/>
      <c r="L140" s="10">
        <f t="shared" si="7"/>
        <v>30</v>
      </c>
      <c r="M140" s="18"/>
      <c r="N140" s="19"/>
      <c r="Q140" s="10">
        <f t="shared" si="8"/>
        <v>30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7:40" x14ac:dyDescent="0.35">
      <c r="G141" s="83"/>
      <c r="H141" s="84"/>
      <c r="I141" s="85"/>
      <c r="L141" s="86"/>
      <c r="M141" s="87"/>
      <c r="N141" s="88"/>
      <c r="Q141" s="86"/>
      <c r="R141" s="89"/>
      <c r="S141" s="88"/>
      <c r="V141" s="90"/>
      <c r="W141" s="91"/>
      <c r="X141" s="91"/>
      <c r="Y141" s="91"/>
      <c r="Z141" s="91"/>
      <c r="AA141" s="91"/>
      <c r="AB141" s="91"/>
      <c r="AC141" s="91"/>
      <c r="AD141" s="91"/>
      <c r="AE141" s="91"/>
      <c r="AF141" s="91"/>
      <c r="AG141" s="91"/>
      <c r="AH141" s="91"/>
      <c r="AI141" s="91"/>
      <c r="AJ141" s="91"/>
      <c r="AK141" s="91"/>
      <c r="AL141" s="91"/>
      <c r="AM141" s="91"/>
      <c r="AN141" s="91"/>
    </row>
    <row r="142" spans="7:40" x14ac:dyDescent="0.35">
      <c r="G142" s="83"/>
      <c r="H142" s="84"/>
      <c r="I142" s="85"/>
      <c r="L142" s="86"/>
      <c r="M142" s="87"/>
      <c r="N142" s="88"/>
      <c r="Q142" s="86"/>
      <c r="R142" s="89"/>
      <c r="S142" s="88"/>
      <c r="V142" s="90"/>
      <c r="W142" s="91"/>
      <c r="X142" s="91"/>
      <c r="Y142" s="91"/>
      <c r="Z142" s="91"/>
      <c r="AA142" s="91"/>
      <c r="AB142" s="91"/>
      <c r="AC142" s="91"/>
      <c r="AD142" s="91"/>
      <c r="AE142" s="91"/>
      <c r="AF142" s="91"/>
      <c r="AG142" s="91"/>
      <c r="AH142" s="91"/>
      <c r="AI142" s="91"/>
      <c r="AJ142" s="91"/>
      <c r="AK142" s="91"/>
      <c r="AL142" s="91"/>
      <c r="AM142" s="91"/>
      <c r="AN142" s="91"/>
    </row>
    <row r="143" spans="7:40" x14ac:dyDescent="0.35">
      <c r="G143" s="83"/>
      <c r="H143" s="84"/>
      <c r="I143" s="85"/>
      <c r="L143" s="86"/>
      <c r="M143" s="87"/>
      <c r="N143" s="88"/>
      <c r="Q143" s="86"/>
      <c r="R143" s="89"/>
      <c r="S143" s="88"/>
      <c r="V143" s="90"/>
      <c r="W143" s="91"/>
      <c r="X143" s="91"/>
      <c r="Y143" s="91"/>
      <c r="Z143" s="91"/>
      <c r="AA143" s="91"/>
      <c r="AB143" s="91"/>
      <c r="AC143" s="91"/>
      <c r="AD143" s="91"/>
      <c r="AE143" s="91"/>
      <c r="AF143" s="91"/>
      <c r="AG143" s="91"/>
      <c r="AH143" s="91"/>
      <c r="AI143" s="91"/>
      <c r="AJ143" s="91"/>
      <c r="AK143" s="91"/>
      <c r="AL143" s="91"/>
      <c r="AM143" s="91"/>
      <c r="AN143" s="91"/>
    </row>
    <row r="144" spans="7:40" x14ac:dyDescent="0.35">
      <c r="G144" s="83"/>
      <c r="H144" s="84"/>
      <c r="I144" s="85"/>
      <c r="L144" s="86"/>
      <c r="M144" s="87"/>
      <c r="N144" s="88"/>
      <c r="Q144" s="86"/>
      <c r="R144" s="89"/>
      <c r="S144" s="88"/>
      <c r="V144" s="90"/>
      <c r="W144" s="91"/>
      <c r="X144" s="91"/>
      <c r="Y144" s="91"/>
      <c r="Z144" s="91"/>
      <c r="AA144" s="91"/>
      <c r="AB144" s="91"/>
      <c r="AC144" s="91"/>
      <c r="AD144" s="91"/>
      <c r="AE144" s="91"/>
      <c r="AF144" s="91"/>
      <c r="AG144" s="91"/>
      <c r="AH144" s="91"/>
      <c r="AI144" s="91"/>
      <c r="AJ144" s="91"/>
      <c r="AK144" s="91"/>
      <c r="AL144" s="91"/>
      <c r="AM144" s="91"/>
      <c r="AN144" s="91"/>
    </row>
    <row r="145" spans="2:40" x14ac:dyDescent="0.35">
      <c r="G145" s="83"/>
      <c r="H145" s="84"/>
      <c r="I145" s="85"/>
      <c r="L145" s="86"/>
      <c r="M145" s="87"/>
      <c r="N145" s="88"/>
      <c r="Q145" s="86"/>
      <c r="R145" s="89"/>
      <c r="S145" s="88"/>
      <c r="V145" s="90"/>
      <c r="W145" s="91"/>
      <c r="X145" s="91"/>
      <c r="Y145" s="91"/>
      <c r="Z145" s="91"/>
      <c r="AA145" s="91"/>
      <c r="AB145" s="91"/>
      <c r="AC145" s="91"/>
      <c r="AD145" s="91"/>
      <c r="AE145" s="91"/>
      <c r="AF145" s="91"/>
      <c r="AG145" s="91"/>
      <c r="AH145" s="91"/>
      <c r="AI145" s="91"/>
      <c r="AJ145" s="91"/>
      <c r="AK145" s="91"/>
      <c r="AL145" s="91"/>
      <c r="AM145" s="91"/>
      <c r="AN145" s="91"/>
    </row>
    <row r="146" spans="2:40" x14ac:dyDescent="0.35">
      <c r="G146" s="83"/>
      <c r="H146" s="84"/>
      <c r="I146" s="85"/>
      <c r="L146" s="86"/>
      <c r="M146" s="87"/>
      <c r="N146" s="88"/>
      <c r="Q146" s="86"/>
      <c r="R146" s="89"/>
      <c r="S146" s="88"/>
      <c r="V146" s="90"/>
      <c r="W146" s="91"/>
      <c r="X146" s="91"/>
      <c r="Y146" s="91"/>
      <c r="Z146" s="91"/>
      <c r="AA146" s="91"/>
      <c r="AB146" s="91"/>
      <c r="AC146" s="91"/>
      <c r="AD146" s="91"/>
      <c r="AE146" s="91"/>
      <c r="AF146" s="91"/>
      <c r="AG146" s="91"/>
      <c r="AH146" s="91"/>
      <c r="AI146" s="91"/>
      <c r="AJ146" s="91"/>
      <c r="AK146" s="91"/>
      <c r="AL146" s="91"/>
      <c r="AM146" s="91"/>
      <c r="AN146" s="91"/>
    </row>
    <row r="147" spans="2:40" x14ac:dyDescent="0.35">
      <c r="G147" s="83"/>
      <c r="H147" s="84"/>
      <c r="I147" s="85"/>
      <c r="L147" s="86"/>
      <c r="M147" s="87"/>
      <c r="N147" s="88"/>
      <c r="Q147" s="86"/>
      <c r="R147" s="89"/>
      <c r="S147" s="88"/>
      <c r="V147" s="90"/>
      <c r="W147" s="91"/>
      <c r="X147" s="91"/>
      <c r="Y147" s="91"/>
      <c r="Z147" s="91"/>
      <c r="AA147" s="91"/>
      <c r="AB147" s="91"/>
      <c r="AC147" s="91"/>
      <c r="AD147" s="91"/>
      <c r="AE147" s="91"/>
      <c r="AF147" s="91"/>
      <c r="AG147" s="91"/>
      <c r="AH147" s="91"/>
      <c r="AI147" s="91"/>
      <c r="AJ147" s="91"/>
      <c r="AK147" s="91"/>
      <c r="AL147" s="91"/>
      <c r="AM147" s="91"/>
      <c r="AN147" s="91"/>
    </row>
    <row r="148" spans="2:40" x14ac:dyDescent="0.35">
      <c r="G148" s="83"/>
      <c r="H148" s="84"/>
      <c r="I148" s="85"/>
      <c r="L148" s="86"/>
      <c r="M148" s="87"/>
      <c r="N148" s="88"/>
      <c r="Q148" s="86"/>
      <c r="R148" s="89"/>
      <c r="S148" s="88"/>
      <c r="V148" s="90"/>
      <c r="W148" s="91"/>
      <c r="X148" s="91"/>
      <c r="Y148" s="91"/>
      <c r="Z148" s="91"/>
      <c r="AA148" s="91"/>
      <c r="AB148" s="91"/>
      <c r="AC148" s="91"/>
      <c r="AD148" s="91"/>
      <c r="AE148" s="91"/>
      <c r="AF148" s="91"/>
      <c r="AG148" s="91"/>
      <c r="AH148" s="91"/>
      <c r="AI148" s="91"/>
      <c r="AJ148" s="91"/>
      <c r="AK148" s="91"/>
      <c r="AL148" s="91"/>
      <c r="AM148" s="91"/>
      <c r="AN148" s="91"/>
    </row>
    <row r="149" spans="2:40" x14ac:dyDescent="0.35">
      <c r="G149" s="83"/>
      <c r="H149" s="84"/>
      <c r="I149" s="85"/>
      <c r="L149" s="86"/>
      <c r="M149" s="87"/>
      <c r="N149" s="88"/>
      <c r="Q149" s="86"/>
      <c r="R149" s="89"/>
      <c r="S149" s="88"/>
      <c r="V149" s="90"/>
      <c r="W149" s="91"/>
      <c r="X149" s="91"/>
      <c r="Y149" s="91"/>
      <c r="Z149" s="91"/>
      <c r="AA149" s="91"/>
      <c r="AB149" s="91"/>
      <c r="AC149" s="91"/>
      <c r="AD149" s="91"/>
      <c r="AE149" s="91"/>
      <c r="AF149" s="91"/>
      <c r="AG149" s="91"/>
      <c r="AH149" s="91"/>
      <c r="AI149" s="91"/>
      <c r="AJ149" s="91"/>
      <c r="AK149" s="91"/>
      <c r="AL149" s="91"/>
      <c r="AM149" s="91"/>
      <c r="AN149" s="91"/>
    </row>
    <row r="150" spans="2:40" x14ac:dyDescent="0.35">
      <c r="G150" s="83"/>
      <c r="H150" s="84"/>
      <c r="I150" s="85"/>
      <c r="L150" s="86"/>
      <c r="M150" s="87"/>
      <c r="N150" s="88"/>
      <c r="Q150" s="86"/>
      <c r="R150" s="89"/>
      <c r="S150" s="88"/>
      <c r="V150" s="90"/>
      <c r="W150" s="91"/>
      <c r="X150" s="91"/>
      <c r="Y150" s="91"/>
      <c r="Z150" s="91"/>
      <c r="AA150" s="91"/>
      <c r="AB150" s="91"/>
      <c r="AC150" s="91"/>
      <c r="AD150" s="91"/>
      <c r="AE150" s="91"/>
      <c r="AF150" s="91"/>
      <c r="AG150" s="91"/>
      <c r="AH150" s="91"/>
      <c r="AI150" s="91"/>
      <c r="AJ150" s="91"/>
      <c r="AK150" s="91"/>
      <c r="AL150" s="91"/>
      <c r="AM150" s="91"/>
      <c r="AN150" s="91"/>
    </row>
    <row r="151" spans="2:40" x14ac:dyDescent="0.35">
      <c r="G151" s="83"/>
      <c r="H151" s="84"/>
      <c r="I151" s="85"/>
      <c r="L151" s="86"/>
      <c r="M151" s="87"/>
      <c r="N151" s="88"/>
      <c r="Q151" s="86"/>
      <c r="R151" s="89"/>
      <c r="S151" s="88"/>
      <c r="V151" s="90"/>
      <c r="W151" s="91"/>
      <c r="X151" s="91"/>
      <c r="Y151" s="91"/>
      <c r="Z151" s="91"/>
      <c r="AA151" s="91"/>
      <c r="AB151" s="91"/>
      <c r="AC151" s="91"/>
      <c r="AD151" s="91"/>
      <c r="AE151" s="91"/>
      <c r="AF151" s="91"/>
      <c r="AG151" s="91"/>
      <c r="AH151" s="91"/>
      <c r="AI151" s="91"/>
      <c r="AJ151" s="91"/>
      <c r="AK151" s="91"/>
      <c r="AL151" s="91"/>
      <c r="AM151" s="91"/>
      <c r="AN151" s="91"/>
    </row>
    <row r="152" spans="2:40" x14ac:dyDescent="0.35">
      <c r="G152" s="83"/>
      <c r="H152" s="84"/>
      <c r="I152" s="85"/>
      <c r="L152" s="86"/>
      <c r="M152" s="87"/>
      <c r="N152" s="88"/>
      <c r="Q152" s="86"/>
      <c r="R152" s="89"/>
      <c r="S152" s="88"/>
      <c r="V152" s="90"/>
      <c r="W152" s="91"/>
      <c r="X152" s="91"/>
      <c r="Y152" s="91"/>
      <c r="Z152" s="91"/>
      <c r="AA152" s="91"/>
      <c r="AB152" s="91"/>
      <c r="AC152" s="91"/>
      <c r="AD152" s="91"/>
      <c r="AE152" s="91"/>
      <c r="AF152" s="91"/>
      <c r="AG152" s="91"/>
      <c r="AH152" s="91"/>
      <c r="AI152" s="91"/>
      <c r="AJ152" s="91"/>
      <c r="AK152" s="91"/>
      <c r="AL152" s="91"/>
      <c r="AM152" s="91"/>
      <c r="AN152" s="91"/>
    </row>
    <row r="153" spans="2:40" x14ac:dyDescent="0.35">
      <c r="G153" s="83"/>
      <c r="H153" s="84"/>
      <c r="I153" s="85"/>
      <c r="L153" s="86"/>
      <c r="M153" s="87"/>
      <c r="N153" s="88"/>
      <c r="Q153" s="86"/>
      <c r="R153" s="89"/>
      <c r="S153" s="88"/>
      <c r="V153" s="90"/>
      <c r="W153" s="91"/>
      <c r="X153" s="91"/>
      <c r="Y153" s="91"/>
      <c r="Z153" s="91"/>
      <c r="AA153" s="91"/>
      <c r="AB153" s="91"/>
      <c r="AC153" s="91"/>
      <c r="AD153" s="91"/>
      <c r="AE153" s="91"/>
      <c r="AF153" s="91"/>
      <c r="AG153" s="91"/>
      <c r="AH153" s="91"/>
      <c r="AI153" s="91"/>
      <c r="AJ153" s="91"/>
      <c r="AK153" s="91"/>
      <c r="AL153" s="91"/>
      <c r="AM153" s="91"/>
      <c r="AN153" s="91"/>
    </row>
    <row r="155" spans="2:40" x14ac:dyDescent="0.4">
      <c r="G155" s="100" t="s">
        <v>28</v>
      </c>
      <c r="H155" s="102" t="s">
        <v>27</v>
      </c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</row>
    <row r="156" spans="2:40" x14ac:dyDescent="0.4">
      <c r="B156" s="95" t="s">
        <v>3</v>
      </c>
      <c r="C156" s="95"/>
      <c r="D156" s="96">
        <v>1</v>
      </c>
      <c r="E156" s="96"/>
      <c r="G156" s="101"/>
      <c r="H156" s="103" t="s">
        <v>7</v>
      </c>
      <c r="I156" s="104"/>
      <c r="L156" s="97" t="s">
        <v>11</v>
      </c>
      <c r="M156" s="97"/>
      <c r="N156" s="97"/>
      <c r="Q156" s="97" t="s">
        <v>12</v>
      </c>
      <c r="R156" s="97"/>
      <c r="S156" s="97"/>
      <c r="V156" s="97" t="s">
        <v>13</v>
      </c>
      <c r="W156" s="97"/>
      <c r="X156" s="97"/>
    </row>
    <row r="157" spans="2:40" x14ac:dyDescent="0.4">
      <c r="B157" s="95" t="s">
        <v>4</v>
      </c>
      <c r="C157" s="95"/>
      <c r="D157" s="96">
        <v>1</v>
      </c>
      <c r="E157" s="96"/>
      <c r="G157" s="101"/>
      <c r="H157" s="105"/>
      <c r="I157" s="106"/>
      <c r="L157" s="97"/>
      <c r="M157" s="97"/>
      <c r="N157" s="97"/>
      <c r="Q157" s="97"/>
      <c r="R157" s="97"/>
      <c r="S157" s="97"/>
      <c r="V157" s="97"/>
      <c r="W157" s="97"/>
      <c r="X157" s="97"/>
    </row>
    <row r="158" spans="2:40" x14ac:dyDescent="0.4">
      <c r="B158" s="95" t="s">
        <v>1</v>
      </c>
      <c r="C158" s="95"/>
      <c r="D158" s="96">
        <v>0.01</v>
      </c>
      <c r="E158" s="96"/>
      <c r="G158" s="101"/>
      <c r="V158" s="97" t="s">
        <v>14</v>
      </c>
      <c r="W158" s="97"/>
      <c r="X158" s="5">
        <v>3</v>
      </c>
    </row>
    <row r="159" spans="2:40" x14ac:dyDescent="0.4">
      <c r="G159" s="101"/>
      <c r="H159" s="2" t="s">
        <v>8</v>
      </c>
      <c r="I159" s="3">
        <v>0.01</v>
      </c>
      <c r="Q159" s="97" t="s">
        <v>15</v>
      </c>
      <c r="R159" s="97"/>
      <c r="S159" s="5">
        <v>3</v>
      </c>
      <c r="V159" s="98" t="s">
        <v>16</v>
      </c>
      <c r="W159" s="6" t="s">
        <v>17</v>
      </c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</row>
    <row r="160" spans="2:40" x14ac:dyDescent="0.4">
      <c r="G160" s="101"/>
      <c r="H160" s="2" t="s">
        <v>9</v>
      </c>
      <c r="I160" s="2" t="s">
        <v>10</v>
      </c>
      <c r="L160" s="8" t="s">
        <v>18</v>
      </c>
      <c r="M160" s="8" t="s">
        <v>19</v>
      </c>
      <c r="N160" s="2" t="s">
        <v>72</v>
      </c>
      <c r="Q160" s="8" t="s">
        <v>18</v>
      </c>
      <c r="R160" s="8" t="s">
        <v>19</v>
      </c>
      <c r="S160" s="2" t="s">
        <v>20</v>
      </c>
      <c r="V160" s="99"/>
      <c r="W160" s="9">
        <v>1</v>
      </c>
      <c r="X160" s="9">
        <v>2</v>
      </c>
      <c r="Y160" s="9">
        <v>3</v>
      </c>
      <c r="Z160" s="9">
        <v>4</v>
      </c>
      <c r="AA160" s="9">
        <v>5</v>
      </c>
      <c r="AB160" s="9">
        <v>7</v>
      </c>
      <c r="AC160" s="9">
        <v>10</v>
      </c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</row>
    <row r="161" spans="3:40" x14ac:dyDescent="0.35">
      <c r="G161" s="101"/>
      <c r="H161" s="1">
        <v>0.5</v>
      </c>
      <c r="I161" s="4">
        <v>3.0000000000000001E-3</v>
      </c>
      <c r="L161" s="10">
        <v>1</v>
      </c>
      <c r="M161" s="11">
        <v>2.7397260273972603E-3</v>
      </c>
      <c r="N161" s="12">
        <v>1.0027029778086581E-2</v>
      </c>
      <c r="Q161" s="10">
        <v>1</v>
      </c>
      <c r="R161" s="11">
        <v>1</v>
      </c>
      <c r="S161" s="12">
        <v>0.14964285714285716</v>
      </c>
      <c r="V161" s="9">
        <v>0.5</v>
      </c>
      <c r="W161" s="13">
        <v>0.13897671938610195</v>
      </c>
      <c r="X161" s="13">
        <v>0.15092062269831474</v>
      </c>
      <c r="Y161" s="13">
        <v>0.1559973749070592</v>
      </c>
      <c r="Z161" s="13">
        <v>0.16630923987698532</v>
      </c>
      <c r="AA161" s="13">
        <v>0.174160916608498</v>
      </c>
      <c r="AB161" s="13">
        <v>0.1692372470784102</v>
      </c>
      <c r="AC161" s="13">
        <v>0.1644239476786947</v>
      </c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</row>
    <row r="162" spans="3:40" x14ac:dyDescent="0.35">
      <c r="G162" s="101"/>
      <c r="H162" s="1">
        <v>1</v>
      </c>
      <c r="I162" s="4">
        <v>3.2000000000000002E-3</v>
      </c>
      <c r="L162" s="10">
        <f>L161+1</f>
        <v>2</v>
      </c>
      <c r="M162" s="11">
        <v>0.25</v>
      </c>
      <c r="N162" s="12">
        <v>1.1065709845408186E-2</v>
      </c>
      <c r="Q162" s="10">
        <f>Q161+1</f>
        <v>2</v>
      </c>
      <c r="R162" s="11">
        <v>2</v>
      </c>
      <c r="S162" s="12">
        <v>0.15085714285714286</v>
      </c>
      <c r="V162" s="9">
        <v>1</v>
      </c>
      <c r="W162" s="13">
        <v>0.14416196920823851</v>
      </c>
      <c r="X162" s="13">
        <v>0.14719508505591927</v>
      </c>
      <c r="Y162" s="13">
        <v>0.15919579256625782</v>
      </c>
      <c r="Z162" s="13">
        <v>0.15810816045978396</v>
      </c>
      <c r="AA162" s="13">
        <v>0.16719234566275756</v>
      </c>
      <c r="AB162" s="13">
        <v>0.163020389995474</v>
      </c>
      <c r="AC162" s="13">
        <v>0.15242615535912449</v>
      </c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</row>
    <row r="163" spans="3:40" x14ac:dyDescent="0.35">
      <c r="C163" s="1" t="s">
        <v>5</v>
      </c>
      <c r="D163" s="93" t="s">
        <v>6</v>
      </c>
      <c r="E163" s="93"/>
      <c r="G163" s="101"/>
      <c r="H163" s="1">
        <v>1.5</v>
      </c>
      <c r="I163" s="4">
        <v>3.2000000000000002E-3</v>
      </c>
      <c r="L163" s="10">
        <f t="shared" ref="L163:L190" si="9">L162+1</f>
        <v>3</v>
      </c>
      <c r="M163" s="11">
        <v>0.5</v>
      </c>
      <c r="N163" s="12">
        <v>1.1370283877900454E-2</v>
      </c>
      <c r="Q163" s="10">
        <f t="shared" ref="Q163:Q190" si="10">Q162+1</f>
        <v>3</v>
      </c>
      <c r="R163" s="11">
        <v>3</v>
      </c>
      <c r="S163" s="12">
        <v>0.14971428571428572</v>
      </c>
      <c r="V163" s="9">
        <v>1.5</v>
      </c>
      <c r="W163" s="13">
        <v>0.14892168855304375</v>
      </c>
      <c r="X163" s="13">
        <v>0.15711064446863182</v>
      </c>
      <c r="Y163" s="13">
        <v>0.15737295457677644</v>
      </c>
      <c r="Z163" s="13">
        <v>0.16529437025646773</v>
      </c>
      <c r="AA163" s="13">
        <v>0.16411473899089804</v>
      </c>
      <c r="AB163" s="13">
        <v>0.15620156600799054</v>
      </c>
      <c r="AC163" s="13">
        <v>0.1544122491922835</v>
      </c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</row>
    <row r="164" spans="3:40" x14ac:dyDescent="0.35">
      <c r="D164" s="93"/>
      <c r="E164" s="93"/>
      <c r="G164" s="101"/>
      <c r="H164" s="1">
        <v>2</v>
      </c>
      <c r="I164" s="4">
        <v>3.4000000000000002E-3</v>
      </c>
      <c r="L164" s="10">
        <f t="shared" si="9"/>
        <v>4</v>
      </c>
      <c r="M164" s="11">
        <v>1</v>
      </c>
      <c r="N164" s="12">
        <v>1.1758753303254273E-2</v>
      </c>
      <c r="Q164" s="10">
        <f t="shared" si="10"/>
        <v>4</v>
      </c>
      <c r="R164" s="11">
        <v>4</v>
      </c>
      <c r="S164" s="12">
        <v>0.1472857142857143</v>
      </c>
      <c r="V164" s="9">
        <v>2</v>
      </c>
      <c r="W164" s="13">
        <v>0.16144368842833856</v>
      </c>
      <c r="X164" s="13">
        <v>0.16306673372038621</v>
      </c>
      <c r="Y164" s="13">
        <v>0.16148421974283506</v>
      </c>
      <c r="Z164" s="13">
        <v>0.15824487451813951</v>
      </c>
      <c r="AA164" s="13">
        <v>0.16292368610205285</v>
      </c>
      <c r="AB164" s="13">
        <v>0.15581016265461484</v>
      </c>
      <c r="AC164" s="13">
        <v>0.15097949637018351</v>
      </c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</row>
    <row r="165" spans="3:40" x14ac:dyDescent="0.35">
      <c r="D165" s="93"/>
      <c r="E165" s="93"/>
      <c r="G165" s="101"/>
      <c r="H165" s="1">
        <v>3</v>
      </c>
      <c r="I165" s="4">
        <v>3.0000000000000001E-3</v>
      </c>
      <c r="L165" s="10">
        <f t="shared" si="9"/>
        <v>5</v>
      </c>
      <c r="M165" s="11">
        <v>1.5</v>
      </c>
      <c r="N165" s="12">
        <v>1.1661190571769517E-2</v>
      </c>
      <c r="Q165" s="10">
        <f t="shared" si="10"/>
        <v>5</v>
      </c>
      <c r="R165" s="11">
        <v>5</v>
      </c>
      <c r="S165" s="12">
        <v>0.14885714285714285</v>
      </c>
      <c r="U165" s="15"/>
      <c r="V165" s="9">
        <v>3</v>
      </c>
      <c r="W165" s="13">
        <v>0.16583204913005625</v>
      </c>
      <c r="X165" s="13">
        <v>0.16654565890127171</v>
      </c>
      <c r="Y165" s="13">
        <v>0.16175696634586209</v>
      </c>
      <c r="Z165" s="13">
        <v>0.15536842349853694</v>
      </c>
      <c r="AA165" s="13">
        <v>0.15292907042486187</v>
      </c>
      <c r="AB165" s="13">
        <v>0.1502753076486836</v>
      </c>
      <c r="AC165" s="13">
        <v>0.14423328531268015</v>
      </c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</row>
    <row r="166" spans="3:40" x14ac:dyDescent="0.35">
      <c r="G166" s="101"/>
      <c r="H166" s="1">
        <v>4</v>
      </c>
      <c r="I166" s="4">
        <v>3.6000000000000003E-3</v>
      </c>
      <c r="L166" s="10">
        <f t="shared" si="9"/>
        <v>6</v>
      </c>
      <c r="M166" s="11">
        <v>2</v>
      </c>
      <c r="N166" s="12">
        <v>1.3153899088696243E-2</v>
      </c>
      <c r="Q166" s="10">
        <f t="shared" si="10"/>
        <v>6</v>
      </c>
      <c r="R166" s="11">
        <v>7</v>
      </c>
      <c r="S166" s="12">
        <v>0.14299999999999999</v>
      </c>
      <c r="U166" s="15"/>
      <c r="V166" s="9">
        <v>4</v>
      </c>
      <c r="W166" s="13">
        <v>0.16612291180864996</v>
      </c>
      <c r="X166" s="13">
        <v>0.16194398449969211</v>
      </c>
      <c r="Y166" s="13">
        <v>0.15644155580690108</v>
      </c>
      <c r="Z166" s="13">
        <v>0.1543128438672404</v>
      </c>
      <c r="AA166" s="13">
        <v>0.15054253101001622</v>
      </c>
      <c r="AB166" s="13">
        <v>0.15054965709325172</v>
      </c>
      <c r="AC166" s="13">
        <v>0.14827650267074671</v>
      </c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</row>
    <row r="167" spans="3:40" x14ac:dyDescent="0.35">
      <c r="D167" s="92">
        <v>44928.341331018521</v>
      </c>
      <c r="E167" s="92"/>
      <c r="G167" s="101"/>
      <c r="H167" s="1">
        <v>5</v>
      </c>
      <c r="I167" s="4">
        <v>3.6000000000000003E-3</v>
      </c>
      <c r="L167" s="10">
        <f t="shared" si="9"/>
        <v>7</v>
      </c>
      <c r="M167" s="11">
        <v>3</v>
      </c>
      <c r="N167" s="12">
        <v>1.4038279155587861E-2</v>
      </c>
      <c r="Q167" s="10">
        <f t="shared" si="10"/>
        <v>7</v>
      </c>
      <c r="R167" s="11">
        <v>10</v>
      </c>
      <c r="S167" s="12">
        <v>0.14214285714285715</v>
      </c>
      <c r="U167" s="15"/>
      <c r="V167" s="9">
        <v>5</v>
      </c>
      <c r="W167" s="13">
        <v>0.16750296688268065</v>
      </c>
      <c r="X167" s="13">
        <v>0.16221934078728109</v>
      </c>
      <c r="Y167" s="13">
        <v>0.15885461992980204</v>
      </c>
      <c r="Z167" s="13">
        <v>0.15383294258828084</v>
      </c>
      <c r="AA167" s="13">
        <v>0.15377576651517999</v>
      </c>
      <c r="AB167" s="13">
        <v>0.14609973348390001</v>
      </c>
      <c r="AC167" s="13">
        <v>0.14669478357309174</v>
      </c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</row>
    <row r="168" spans="3:40" x14ac:dyDescent="0.35">
      <c r="D168" s="92">
        <v>44928.34134259259</v>
      </c>
      <c r="E168" s="92"/>
      <c r="G168" s="101"/>
      <c r="H168" s="1">
        <v>7</v>
      </c>
      <c r="I168" s="4">
        <v>3.2000000000000002E-3</v>
      </c>
      <c r="L168" s="10">
        <f t="shared" si="9"/>
        <v>8</v>
      </c>
      <c r="M168" s="11">
        <v>4</v>
      </c>
      <c r="N168" s="12">
        <v>1.5228465405965569E-2</v>
      </c>
      <c r="Q168" s="10">
        <f t="shared" si="10"/>
        <v>8</v>
      </c>
      <c r="R168" s="11"/>
      <c r="S168" s="12"/>
      <c r="U168" s="15"/>
      <c r="V168" s="9">
        <v>7</v>
      </c>
      <c r="W168" s="13">
        <v>0.1582072453652012</v>
      </c>
      <c r="X168" s="13">
        <v>0.15545062653971484</v>
      </c>
      <c r="Y168" s="13">
        <v>0.15246850687939051</v>
      </c>
      <c r="Z168" s="13">
        <v>0.15274996615326727</v>
      </c>
      <c r="AA168" s="13">
        <v>0.14298658761876706</v>
      </c>
      <c r="AB168" s="13">
        <v>0.148180350338671</v>
      </c>
      <c r="AC168" s="13">
        <v>0.14006328979838198</v>
      </c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</row>
    <row r="169" spans="3:40" x14ac:dyDescent="0.35">
      <c r="G169" s="101"/>
      <c r="H169" s="1">
        <v>10</v>
      </c>
      <c r="I169" s="4">
        <v>3.2000000000000002E-3</v>
      </c>
      <c r="L169" s="10">
        <f t="shared" si="9"/>
        <v>9</v>
      </c>
      <c r="M169" s="11">
        <v>5</v>
      </c>
      <c r="N169" s="12">
        <v>1.6590447672740104E-2</v>
      </c>
      <c r="Q169" s="10">
        <f t="shared" si="10"/>
        <v>9</v>
      </c>
      <c r="R169" s="11"/>
      <c r="S169" s="12"/>
      <c r="U169" s="15"/>
      <c r="V169" s="9">
        <v>10</v>
      </c>
      <c r="W169" s="13">
        <v>0.15687723151672589</v>
      </c>
      <c r="X169" s="13">
        <v>0.15944147169923567</v>
      </c>
      <c r="Y169" s="13">
        <v>0.15554396777611321</v>
      </c>
      <c r="Z169" s="13">
        <v>0.15247786647944234</v>
      </c>
      <c r="AA169" s="13">
        <v>0.14736823351441977</v>
      </c>
      <c r="AB169" s="13">
        <v>0.14169063501094475</v>
      </c>
      <c r="AC169" s="13">
        <v>0.13821544950783426</v>
      </c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</row>
    <row r="170" spans="3:40" x14ac:dyDescent="0.35">
      <c r="G170" s="101"/>
      <c r="H170" s="1"/>
      <c r="I170" s="4"/>
      <c r="L170" s="10">
        <f t="shared" si="9"/>
        <v>10</v>
      </c>
      <c r="M170" s="11">
        <v>6</v>
      </c>
      <c r="N170" s="12">
        <v>1.6691768173297903E-2</v>
      </c>
      <c r="Q170" s="10">
        <f t="shared" si="10"/>
        <v>10</v>
      </c>
      <c r="R170" s="11"/>
      <c r="S170" s="12"/>
      <c r="U170" s="15"/>
      <c r="V170" s="9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</row>
    <row r="171" spans="3:40" x14ac:dyDescent="0.35">
      <c r="G171" s="101"/>
      <c r="H171" s="1"/>
      <c r="I171" s="4"/>
      <c r="L171" s="10">
        <f t="shared" si="9"/>
        <v>11</v>
      </c>
      <c r="M171" s="11">
        <v>7</v>
      </c>
      <c r="N171" s="12">
        <v>1.7631946842794257E-2</v>
      </c>
      <c r="Q171" s="10">
        <f t="shared" si="10"/>
        <v>11</v>
      </c>
      <c r="R171" s="11"/>
      <c r="S171" s="12"/>
      <c r="U171" s="16"/>
      <c r="V171" s="9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</row>
    <row r="172" spans="3:40" x14ac:dyDescent="0.35">
      <c r="G172" s="101"/>
      <c r="H172" s="1"/>
      <c r="I172" s="4"/>
      <c r="L172" s="10">
        <f t="shared" si="9"/>
        <v>12</v>
      </c>
      <c r="M172" s="11">
        <v>8</v>
      </c>
      <c r="N172" s="12">
        <v>1.8396889713374068E-2</v>
      </c>
      <c r="Q172" s="10">
        <f t="shared" si="10"/>
        <v>12</v>
      </c>
      <c r="R172" s="11"/>
      <c r="S172" s="12"/>
      <c r="U172" s="17"/>
      <c r="V172" s="9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</row>
    <row r="173" spans="3:40" x14ac:dyDescent="0.35">
      <c r="G173" s="101"/>
      <c r="H173" s="1"/>
      <c r="I173" s="4"/>
      <c r="L173" s="10">
        <f t="shared" si="9"/>
        <v>13</v>
      </c>
      <c r="M173" s="11">
        <v>9</v>
      </c>
      <c r="N173" s="12">
        <v>1.8841970262082976E-2</v>
      </c>
      <c r="Q173" s="10">
        <f t="shared" si="10"/>
        <v>13</v>
      </c>
      <c r="R173" s="11"/>
      <c r="S173" s="12"/>
      <c r="V173" s="9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</row>
    <row r="174" spans="3:40" x14ac:dyDescent="0.35">
      <c r="G174" s="101"/>
      <c r="H174" s="1"/>
      <c r="I174" s="4"/>
      <c r="L174" s="10">
        <f t="shared" si="9"/>
        <v>14</v>
      </c>
      <c r="M174" s="11">
        <v>10</v>
      </c>
      <c r="N174" s="12">
        <v>1.9635269154900388E-2</v>
      </c>
      <c r="Q174" s="10">
        <f t="shared" si="10"/>
        <v>14</v>
      </c>
      <c r="R174" s="11"/>
      <c r="S174" s="12"/>
      <c r="V174" s="9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</row>
    <row r="175" spans="3:40" x14ac:dyDescent="0.35">
      <c r="G175" s="101"/>
      <c r="H175" s="1"/>
      <c r="I175" s="4"/>
      <c r="L175" s="10">
        <f t="shared" si="9"/>
        <v>15</v>
      </c>
      <c r="M175" s="11">
        <v>12</v>
      </c>
      <c r="N175" s="12">
        <v>1.9609676088898114E-2</v>
      </c>
      <c r="Q175" s="10">
        <f t="shared" si="10"/>
        <v>15</v>
      </c>
      <c r="R175" s="11"/>
      <c r="S175" s="12"/>
      <c r="V175" s="9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</row>
    <row r="176" spans="3:40" x14ac:dyDescent="0.35">
      <c r="G176" s="101"/>
      <c r="H176" s="1"/>
      <c r="I176" s="4"/>
      <c r="L176" s="10">
        <f t="shared" si="9"/>
        <v>16</v>
      </c>
      <c r="M176" s="11">
        <v>15</v>
      </c>
      <c r="N176" s="12">
        <v>2.0188153773473286E-2</v>
      </c>
      <c r="Q176" s="10">
        <f t="shared" si="10"/>
        <v>16</v>
      </c>
      <c r="R176" s="11"/>
      <c r="S176" s="12"/>
      <c r="V176" s="9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</row>
    <row r="177" spans="7:40" x14ac:dyDescent="0.35">
      <c r="G177" s="101"/>
      <c r="H177" s="1"/>
      <c r="I177" s="4"/>
      <c r="L177" s="10">
        <f t="shared" si="9"/>
        <v>17</v>
      </c>
      <c r="M177" s="11">
        <v>20</v>
      </c>
      <c r="N177" s="12">
        <v>2.1266724635835076E-2</v>
      </c>
      <c r="Q177" s="10">
        <f t="shared" si="10"/>
        <v>17</v>
      </c>
      <c r="R177" s="11"/>
      <c r="S177" s="12"/>
      <c r="V177" s="9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</row>
    <row r="178" spans="7:40" x14ac:dyDescent="0.35">
      <c r="G178" s="101"/>
      <c r="H178" s="1"/>
      <c r="I178" s="4"/>
      <c r="L178" s="10">
        <f t="shared" si="9"/>
        <v>18</v>
      </c>
      <c r="M178" s="11"/>
      <c r="N178" s="12"/>
      <c r="Q178" s="10">
        <f t="shared" si="10"/>
        <v>18</v>
      </c>
      <c r="R178" s="11"/>
      <c r="S178" s="12"/>
      <c r="V178" s="9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</row>
    <row r="179" spans="7:40" x14ac:dyDescent="0.35">
      <c r="G179" s="101"/>
      <c r="H179" s="1"/>
      <c r="I179" s="4"/>
      <c r="L179" s="10">
        <f t="shared" si="9"/>
        <v>19</v>
      </c>
      <c r="M179" s="18"/>
      <c r="N179" s="19"/>
      <c r="Q179" s="10">
        <f t="shared" si="10"/>
        <v>19</v>
      </c>
      <c r="R179" s="20"/>
      <c r="S179" s="19"/>
      <c r="V179" s="9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</row>
    <row r="180" spans="7:40" x14ac:dyDescent="0.35">
      <c r="G180" s="101"/>
      <c r="H180" s="1"/>
      <c r="I180" s="4"/>
      <c r="L180" s="10">
        <f t="shared" si="9"/>
        <v>20</v>
      </c>
      <c r="M180" s="18"/>
      <c r="N180" s="19"/>
      <c r="Q180" s="10">
        <f t="shared" si="10"/>
        <v>20</v>
      </c>
      <c r="R180" s="20"/>
      <c r="S180" s="19"/>
      <c r="V180" s="9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</row>
    <row r="181" spans="7:40" x14ac:dyDescent="0.35">
      <c r="G181" s="101"/>
      <c r="H181" s="1"/>
      <c r="I181" s="4"/>
      <c r="L181" s="10">
        <f t="shared" si="9"/>
        <v>21</v>
      </c>
      <c r="M181" s="18"/>
      <c r="N181" s="19"/>
      <c r="Q181" s="10">
        <f t="shared" si="10"/>
        <v>21</v>
      </c>
      <c r="R181" s="20"/>
      <c r="S181" s="19"/>
      <c r="V181" s="9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</row>
    <row r="182" spans="7:40" x14ac:dyDescent="0.35">
      <c r="G182" s="101"/>
      <c r="H182" s="1"/>
      <c r="I182" s="4"/>
      <c r="L182" s="10">
        <f t="shared" si="9"/>
        <v>22</v>
      </c>
      <c r="M182" s="18"/>
      <c r="N182" s="19"/>
      <c r="Q182" s="10">
        <f t="shared" si="10"/>
        <v>22</v>
      </c>
      <c r="R182" s="20"/>
      <c r="S182" s="19"/>
      <c r="V182" s="9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</row>
    <row r="183" spans="7:40" x14ac:dyDescent="0.35">
      <c r="G183" s="101"/>
      <c r="H183" s="1"/>
      <c r="I183" s="4"/>
      <c r="L183" s="10">
        <f t="shared" si="9"/>
        <v>23</v>
      </c>
      <c r="M183" s="18"/>
      <c r="N183" s="19"/>
      <c r="Q183" s="10">
        <f t="shared" si="10"/>
        <v>23</v>
      </c>
      <c r="R183" s="20"/>
      <c r="S183" s="19"/>
      <c r="V183" s="9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</row>
    <row r="184" spans="7:40" x14ac:dyDescent="0.35">
      <c r="G184" s="101"/>
      <c r="H184" s="1"/>
      <c r="I184" s="4"/>
      <c r="L184" s="10">
        <f t="shared" si="9"/>
        <v>24</v>
      </c>
      <c r="M184" s="18"/>
      <c r="N184" s="19"/>
      <c r="Q184" s="10">
        <f t="shared" si="10"/>
        <v>24</v>
      </c>
      <c r="R184" s="20"/>
      <c r="S184" s="19"/>
      <c r="V184" s="9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</row>
    <row r="185" spans="7:40" x14ac:dyDescent="0.35">
      <c r="G185" s="101"/>
      <c r="H185" s="1"/>
      <c r="I185" s="4"/>
      <c r="L185" s="10">
        <f t="shared" si="9"/>
        <v>25</v>
      </c>
      <c r="M185" s="18"/>
      <c r="N185" s="19"/>
      <c r="Q185" s="10">
        <f t="shared" si="10"/>
        <v>25</v>
      </c>
      <c r="R185" s="20"/>
      <c r="S185" s="19"/>
      <c r="V185" s="9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</row>
    <row r="186" spans="7:40" x14ac:dyDescent="0.35">
      <c r="G186" s="101"/>
      <c r="H186" s="1"/>
      <c r="I186" s="4"/>
      <c r="L186" s="10">
        <f t="shared" si="9"/>
        <v>26</v>
      </c>
      <c r="M186" s="18"/>
      <c r="N186" s="19"/>
      <c r="Q186" s="10">
        <f t="shared" si="10"/>
        <v>26</v>
      </c>
      <c r="R186" s="20"/>
      <c r="S186" s="19"/>
      <c r="V186" s="9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</row>
    <row r="187" spans="7:40" x14ac:dyDescent="0.35">
      <c r="G187" s="101"/>
      <c r="H187" s="1"/>
      <c r="I187" s="4"/>
      <c r="L187" s="10">
        <f t="shared" si="9"/>
        <v>27</v>
      </c>
      <c r="M187" s="18"/>
      <c r="N187" s="19"/>
      <c r="Q187" s="10">
        <f t="shared" si="10"/>
        <v>27</v>
      </c>
      <c r="R187" s="20"/>
      <c r="S187" s="19"/>
      <c r="V187" s="9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</row>
    <row r="188" spans="7:40" x14ac:dyDescent="0.35">
      <c r="G188" s="101"/>
      <c r="H188" s="1"/>
      <c r="I188" s="4"/>
      <c r="L188" s="10">
        <f t="shared" si="9"/>
        <v>28</v>
      </c>
      <c r="M188" s="18"/>
      <c r="N188" s="19"/>
      <c r="Q188" s="10">
        <f t="shared" si="10"/>
        <v>28</v>
      </c>
      <c r="R188" s="20"/>
      <c r="S188" s="19"/>
      <c r="V188" s="9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</row>
    <row r="189" spans="7:40" x14ac:dyDescent="0.35">
      <c r="G189" s="101"/>
      <c r="H189" s="1"/>
      <c r="I189" s="4"/>
      <c r="L189" s="10">
        <f t="shared" si="9"/>
        <v>29</v>
      </c>
      <c r="M189" s="18"/>
      <c r="N189" s="19"/>
      <c r="Q189" s="10">
        <f t="shared" si="10"/>
        <v>29</v>
      </c>
      <c r="R189" s="20"/>
      <c r="S189" s="19"/>
      <c r="V189" s="9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</row>
    <row r="190" spans="7:40" x14ac:dyDescent="0.35">
      <c r="G190" s="101"/>
      <c r="H190" s="1"/>
      <c r="I190" s="4"/>
      <c r="L190" s="10">
        <f t="shared" si="9"/>
        <v>30</v>
      </c>
      <c r="M190" s="18"/>
      <c r="N190" s="19"/>
      <c r="Q190" s="10">
        <f t="shared" si="10"/>
        <v>30</v>
      </c>
      <c r="R190" s="20"/>
      <c r="S190" s="19"/>
      <c r="V190" s="9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</row>
    <row r="191" spans="7:40" x14ac:dyDescent="0.35">
      <c r="G191" s="83"/>
      <c r="H191" s="84"/>
      <c r="I191" s="85"/>
      <c r="L191" s="86"/>
      <c r="M191" s="87"/>
      <c r="N191" s="88"/>
      <c r="Q191" s="86"/>
      <c r="R191" s="89"/>
      <c r="S191" s="88"/>
      <c r="V191" s="90"/>
      <c r="W191" s="91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1"/>
      <c r="AL191" s="91"/>
      <c r="AM191" s="91"/>
      <c r="AN191" s="91"/>
    </row>
    <row r="192" spans="7:40" x14ac:dyDescent="0.35">
      <c r="G192" s="83"/>
      <c r="H192" s="84"/>
      <c r="I192" s="85"/>
      <c r="L192" s="86"/>
      <c r="M192" s="87"/>
      <c r="N192" s="88"/>
      <c r="Q192" s="86"/>
      <c r="R192" s="89"/>
      <c r="S192" s="88"/>
      <c r="V192" s="90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</row>
    <row r="193" spans="7:40" x14ac:dyDescent="0.35">
      <c r="G193" s="83"/>
      <c r="H193" s="84"/>
      <c r="I193" s="85"/>
      <c r="L193" s="86"/>
      <c r="M193" s="87"/>
      <c r="N193" s="88"/>
      <c r="Q193" s="86"/>
      <c r="R193" s="89"/>
      <c r="S193" s="88"/>
      <c r="V193" s="90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  <c r="AM193" s="91"/>
      <c r="AN193" s="91"/>
    </row>
    <row r="194" spans="7:40" x14ac:dyDescent="0.35">
      <c r="G194" s="83"/>
      <c r="H194" s="84"/>
      <c r="I194" s="85"/>
      <c r="L194" s="86"/>
      <c r="M194" s="87"/>
      <c r="N194" s="88"/>
      <c r="Q194" s="86"/>
      <c r="R194" s="89"/>
      <c r="S194" s="88"/>
      <c r="V194" s="90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</row>
    <row r="195" spans="7:40" x14ac:dyDescent="0.35">
      <c r="G195" s="83"/>
      <c r="H195" s="84"/>
      <c r="I195" s="85"/>
      <c r="L195" s="86"/>
      <c r="M195" s="87"/>
      <c r="N195" s="88"/>
      <c r="Q195" s="86"/>
      <c r="R195" s="89"/>
      <c r="S195" s="88"/>
      <c r="V195" s="90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</row>
    <row r="196" spans="7:40" x14ac:dyDescent="0.35">
      <c r="G196" s="83"/>
      <c r="H196" s="84"/>
      <c r="I196" s="85"/>
      <c r="L196" s="86"/>
      <c r="M196" s="87"/>
      <c r="N196" s="88"/>
      <c r="Q196" s="86"/>
      <c r="R196" s="89"/>
      <c r="S196" s="88"/>
      <c r="V196" s="90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</row>
    <row r="197" spans="7:40" x14ac:dyDescent="0.35">
      <c r="G197" s="83"/>
      <c r="H197" s="84"/>
      <c r="I197" s="85"/>
      <c r="L197" s="86"/>
      <c r="M197" s="87"/>
      <c r="N197" s="88"/>
      <c r="Q197" s="86"/>
      <c r="R197" s="89"/>
      <c r="S197" s="88"/>
      <c r="V197" s="90"/>
      <c r="W197" s="91"/>
      <c r="X197" s="91"/>
      <c r="Y197" s="91"/>
      <c r="Z197" s="91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91"/>
      <c r="AL197" s="91"/>
      <c r="AM197" s="91"/>
      <c r="AN197" s="91"/>
    </row>
    <row r="198" spans="7:40" x14ac:dyDescent="0.35">
      <c r="G198" s="83"/>
      <c r="H198" s="84"/>
      <c r="I198" s="85"/>
      <c r="L198" s="86"/>
      <c r="M198" s="87"/>
      <c r="N198" s="88"/>
      <c r="Q198" s="86"/>
      <c r="R198" s="89"/>
      <c r="S198" s="88"/>
      <c r="V198" s="90"/>
      <c r="W198" s="91"/>
      <c r="X198" s="91"/>
      <c r="Y198" s="91"/>
      <c r="Z198" s="91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91"/>
      <c r="AL198" s="91"/>
      <c r="AM198" s="91"/>
      <c r="AN198" s="91"/>
    </row>
    <row r="199" spans="7:40" x14ac:dyDescent="0.35">
      <c r="G199" s="83"/>
      <c r="H199" s="84"/>
      <c r="I199" s="85"/>
      <c r="L199" s="86"/>
      <c r="M199" s="87"/>
      <c r="N199" s="88"/>
      <c r="Q199" s="86"/>
      <c r="R199" s="89"/>
      <c r="S199" s="88"/>
      <c r="V199" s="90"/>
      <c r="W199" s="91"/>
      <c r="X199" s="91"/>
      <c r="Y199" s="91"/>
      <c r="Z199" s="91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91"/>
      <c r="AL199" s="91"/>
      <c r="AM199" s="91"/>
      <c r="AN199" s="91"/>
    </row>
    <row r="200" spans="7:40" x14ac:dyDescent="0.35">
      <c r="G200" s="83"/>
      <c r="H200" s="84"/>
      <c r="I200" s="85"/>
      <c r="L200" s="86"/>
      <c r="M200" s="87"/>
      <c r="N200" s="88"/>
      <c r="Q200" s="86"/>
      <c r="R200" s="89"/>
      <c r="S200" s="88"/>
      <c r="V200" s="90"/>
      <c r="W200" s="91"/>
      <c r="X200" s="91"/>
      <c r="Y200" s="91"/>
      <c r="Z200" s="91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91"/>
      <c r="AL200" s="91"/>
      <c r="AM200" s="91"/>
      <c r="AN200" s="91"/>
    </row>
    <row r="201" spans="7:40" x14ac:dyDescent="0.35">
      <c r="G201" s="83"/>
      <c r="H201" s="84"/>
      <c r="I201" s="85"/>
      <c r="L201" s="86"/>
      <c r="M201" s="87"/>
      <c r="N201" s="88"/>
      <c r="Q201" s="86"/>
      <c r="R201" s="89"/>
      <c r="S201" s="88"/>
      <c r="V201" s="90"/>
      <c r="W201" s="91"/>
      <c r="X201" s="91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1"/>
      <c r="AL201" s="91"/>
      <c r="AM201" s="91"/>
      <c r="AN201" s="91"/>
    </row>
    <row r="202" spans="7:40" x14ac:dyDescent="0.35">
      <c r="G202" s="83"/>
      <c r="H202" s="84"/>
      <c r="I202" s="85"/>
      <c r="L202" s="86"/>
      <c r="M202" s="87"/>
      <c r="N202" s="88"/>
      <c r="Q202" s="86"/>
      <c r="R202" s="89"/>
      <c r="S202" s="88"/>
      <c r="V202" s="90"/>
      <c r="W202" s="91"/>
      <c r="X202" s="91"/>
      <c r="Y202" s="91"/>
      <c r="Z202" s="91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1"/>
      <c r="AL202" s="91"/>
      <c r="AM202" s="91"/>
      <c r="AN202" s="91"/>
    </row>
    <row r="203" spans="7:40" x14ac:dyDescent="0.35">
      <c r="G203" s="83"/>
      <c r="H203" s="84"/>
      <c r="I203" s="85"/>
      <c r="L203" s="86"/>
      <c r="M203" s="87"/>
      <c r="N203" s="88"/>
      <c r="Q203" s="86"/>
      <c r="R203" s="89"/>
      <c r="S203" s="88"/>
      <c r="V203" s="90"/>
      <c r="W203" s="91"/>
      <c r="X203" s="91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1"/>
      <c r="AL203" s="91"/>
      <c r="AM203" s="91"/>
      <c r="AN203" s="91"/>
    </row>
  </sheetData>
  <mergeCells count="75">
    <mergeCell ref="B106:C106"/>
    <mergeCell ref="D106:E106"/>
    <mergeCell ref="B107:C107"/>
    <mergeCell ref="D107:E107"/>
    <mergeCell ref="B108:C108"/>
    <mergeCell ref="D108:E108"/>
    <mergeCell ref="B156:C156"/>
    <mergeCell ref="D156:E156"/>
    <mergeCell ref="B157:C157"/>
    <mergeCell ref="D157:E157"/>
    <mergeCell ref="B158:C158"/>
    <mergeCell ref="D158:E158"/>
    <mergeCell ref="B56:C56"/>
    <mergeCell ref="D56:E56"/>
    <mergeCell ref="B57:C57"/>
    <mergeCell ref="D57:E57"/>
    <mergeCell ref="B58:C58"/>
    <mergeCell ref="D58:E58"/>
    <mergeCell ref="V159:V160"/>
    <mergeCell ref="Q109:R109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V106:X107"/>
    <mergeCell ref="V108:W108"/>
    <mergeCell ref="Q6:S7"/>
    <mergeCell ref="V6:X7"/>
    <mergeCell ref="V8:W8"/>
    <mergeCell ref="V58:W58"/>
    <mergeCell ref="Q59:R59"/>
    <mergeCell ref="V59:V60"/>
    <mergeCell ref="G55:G90"/>
    <mergeCell ref="H55:X55"/>
    <mergeCell ref="H56:I57"/>
    <mergeCell ref="L56:N57"/>
    <mergeCell ref="Q56:S57"/>
    <mergeCell ref="V56:X5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117:E117"/>
    <mergeCell ref="D118:E118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G29" sqref="G29:H30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9" t="s">
        <v>29</v>
      </c>
      <c r="C3" s="159"/>
      <c r="D3" s="160">
        <v>44846</v>
      </c>
      <c r="E3" s="131"/>
      <c r="F3" s="128" t="s">
        <v>31</v>
      </c>
      <c r="G3" s="128"/>
      <c r="H3" s="131">
        <v>0</v>
      </c>
      <c r="I3" s="131"/>
      <c r="J3" s="128" t="s">
        <v>67</v>
      </c>
      <c r="K3" s="128"/>
      <c r="L3" s="131">
        <v>10000000000</v>
      </c>
      <c r="M3" s="131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63" t="s">
        <v>46</v>
      </c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D5" s="163" t="s">
        <v>47</v>
      </c>
      <c r="AE5" s="163"/>
      <c r="AF5" s="163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</row>
    <row r="6" spans="1:57" ht="16.2" customHeight="1" x14ac:dyDescent="0.4">
      <c r="A6" s="42">
        <f t="shared" si="1"/>
        <v>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  <c r="BB6" s="163"/>
    </row>
    <row r="7" spans="1:57" ht="16.2" customHeight="1" x14ac:dyDescent="0.4">
      <c r="A7" s="42">
        <f t="shared" si="1"/>
        <v>7</v>
      </c>
      <c r="B7" s="159" t="str">
        <f>IF(D7&gt;0,"레퍼런스금리 개수","기초금리는 1개 - 3개 입력가능")</f>
        <v>레퍼런스금리 개수</v>
      </c>
      <c r="C7" s="159"/>
      <c r="D7" s="130">
        <v>1</v>
      </c>
      <c r="E7" s="130"/>
      <c r="F7" s="146" t="s">
        <v>32</v>
      </c>
      <c r="G7" s="147"/>
      <c r="H7" s="131">
        <v>1</v>
      </c>
      <c r="I7" s="131"/>
      <c r="J7" s="128" t="s">
        <v>92</v>
      </c>
      <c r="K7" s="128"/>
      <c r="L7" s="131">
        <v>0</v>
      </c>
      <c r="M7" s="131"/>
      <c r="N7" s="43"/>
      <c r="O7" s="43"/>
      <c r="P7" s="43"/>
      <c r="Q7" s="43"/>
      <c r="R7" s="43"/>
      <c r="S7" s="43"/>
      <c r="T7" s="43"/>
      <c r="U7" s="43"/>
      <c r="AD7" s="159" t="str">
        <f>IF(AF7&gt;0,"레퍼런스금리 개수","기초금리는 1개 - 3개 입력가능")</f>
        <v>레퍼런스금리 개수</v>
      </c>
      <c r="AE7" s="159"/>
      <c r="AF7" s="130">
        <v>1</v>
      </c>
      <c r="AG7" s="130"/>
      <c r="AH7" s="146" t="s">
        <v>32</v>
      </c>
      <c r="AI7" s="147"/>
      <c r="AJ7" s="131">
        <v>0</v>
      </c>
      <c r="AK7" s="131"/>
      <c r="AL7" s="128" t="s">
        <v>92</v>
      </c>
      <c r="AM7" s="128"/>
      <c r="AN7" s="131">
        <v>0</v>
      </c>
      <c r="AO7" s="131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28" t="s">
        <v>50</v>
      </c>
      <c r="C8" s="128"/>
      <c r="D8" s="129">
        <v>1</v>
      </c>
      <c r="E8" s="130"/>
      <c r="F8" s="128" t="s">
        <v>51</v>
      </c>
      <c r="G8" s="128"/>
      <c r="H8" s="129">
        <v>1</v>
      </c>
      <c r="I8" s="130"/>
      <c r="J8" s="128" t="s">
        <v>42</v>
      </c>
      <c r="K8" s="128"/>
      <c r="L8" s="131">
        <v>0</v>
      </c>
      <c r="M8" s="131"/>
      <c r="N8" s="43"/>
      <c r="O8" s="43"/>
      <c r="P8" s="43"/>
      <c r="Q8" s="43"/>
      <c r="R8" s="43"/>
      <c r="S8" s="43"/>
      <c r="T8" s="43"/>
      <c r="U8" s="43"/>
      <c r="AD8" s="128" t="s">
        <v>50</v>
      </c>
      <c r="AE8" s="128"/>
      <c r="AF8" s="129">
        <v>1</v>
      </c>
      <c r="AG8" s="130"/>
      <c r="AH8" s="128" t="s">
        <v>51</v>
      </c>
      <c r="AI8" s="128"/>
      <c r="AJ8" s="129">
        <v>1</v>
      </c>
      <c r="AK8" s="130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44" t="str">
        <f>IF(D7&gt;=1,"기초금리1", "")</f>
        <v>기초금리1</v>
      </c>
      <c r="C10" s="161" t="str">
        <f>IF($D$7&gt;=1,"커브번호", "")</f>
        <v>커브번호</v>
      </c>
      <c r="D10" s="161"/>
      <c r="E10" s="162">
        <v>1</v>
      </c>
      <c r="F10" s="162"/>
      <c r="G10" s="79"/>
      <c r="H10" s="44"/>
      <c r="I10" s="164" t="str">
        <f>IF(OR(E11 = 0, E11 = 2, E11 = 4), "RefType = "&amp;E11&amp;" 이므로 Ref Swap 금리정보 사용안함", "사용")</f>
        <v>RefType = 0 이므로 Ref Swap 금리정보 사용안함</v>
      </c>
      <c r="J10" s="165"/>
      <c r="K10" s="165"/>
      <c r="L10" s="193"/>
      <c r="N10" s="148" t="s">
        <v>34</v>
      </c>
      <c r="O10" s="148"/>
      <c r="P10" s="148"/>
      <c r="Q10" s="148"/>
      <c r="R10" s="42"/>
      <c r="S10" s="42"/>
      <c r="T10" s="42"/>
      <c r="U10" s="42"/>
      <c r="W10" s="148" t="s">
        <v>52</v>
      </c>
      <c r="X10" s="148"/>
      <c r="Y10" s="148"/>
      <c r="AD10" s="116" t="str">
        <f>IF($AF$7&gt;=1,"기초금리1", "")</f>
        <v>기초금리1</v>
      </c>
      <c r="AE10" s="122" t="str">
        <f>IF($AF$7&gt;=1,"커브번호", "")</f>
        <v>커브번호</v>
      </c>
      <c r="AF10" s="122"/>
      <c r="AG10" s="162">
        <v>2</v>
      </c>
      <c r="AH10" s="162"/>
      <c r="AI10" s="79"/>
      <c r="AJ10" s="44"/>
      <c r="AK10" s="186" t="str">
        <f>IF(OR(AG11 = 0, AG11 = 2, AG11 = 4), "RefType = "&amp;AG11&amp;" 이므로 Ref Swap 금리정보 사용안함", "사용")</f>
        <v>RefType = 0 이므로 Ref Swap 금리정보 사용안함</v>
      </c>
      <c r="AL10" s="186"/>
      <c r="AM10" s="186"/>
      <c r="AN10" s="187"/>
      <c r="AP10" s="148" t="s">
        <v>54</v>
      </c>
      <c r="AQ10" s="148"/>
      <c r="AR10" s="148"/>
      <c r="AS10" s="148"/>
      <c r="AT10" s="42"/>
      <c r="AU10" s="42"/>
      <c r="AV10" s="42"/>
      <c r="AW10" s="42"/>
      <c r="AY10" s="148" t="s">
        <v>53</v>
      </c>
      <c r="AZ10" s="148"/>
      <c r="BA10" s="148"/>
    </row>
    <row r="11" spans="1:57" ht="16.2" customHeight="1" x14ac:dyDescent="0.4">
      <c r="A11" s="42">
        <f t="shared" si="1"/>
        <v>11</v>
      </c>
      <c r="B11" s="145"/>
      <c r="C11" s="142" t="str">
        <f>IF($D$7&gt;=1,"Reference Rate Type", "")</f>
        <v>Reference Rate Type</v>
      </c>
      <c r="D11" s="143"/>
      <c r="E11" s="169">
        <v>0</v>
      </c>
      <c r="F11" s="170"/>
      <c r="G11" s="164" t="str">
        <f>IF(OR(E11 = 0, E11 = 2, E11 = 4), "", "Zero/Swap 레퍼런스금리정보")</f>
        <v/>
      </c>
      <c r="H11" s="165"/>
      <c r="I11" s="136" t="str">
        <f>IF(OR(E11 = 0, E11 = 2, E11 = 4), "", "연 지급횟수")</f>
        <v/>
      </c>
      <c r="J11" s="137"/>
      <c r="K11" s="138">
        <v>4</v>
      </c>
      <c r="L11" s="139"/>
      <c r="M11" s="42"/>
      <c r="N11" s="149" t="str">
        <f>IF(OR(E11 = 0, E11 = 2, E11 = 4), "ForwardStart", "ResetStart")</f>
        <v>ForwardStart</v>
      </c>
      <c r="O11" s="149" t="str">
        <f>IF(OR(E11 = 0, E11 = 2, E11 = 4), "ForwardEnd", "ResetEnd")</f>
        <v>ForwardEnd</v>
      </c>
      <c r="P11" s="150" t="s">
        <v>35</v>
      </c>
      <c r="Q11" s="150" t="s">
        <v>36</v>
      </c>
      <c r="R11" s="150" t="s">
        <v>37</v>
      </c>
      <c r="S11" s="150" t="s">
        <v>38</v>
      </c>
      <c r="T11" s="150" t="s">
        <v>91</v>
      </c>
      <c r="U11" s="150" t="s">
        <v>71</v>
      </c>
      <c r="W11" s="45" t="s">
        <v>43</v>
      </c>
      <c r="X11" s="183">
        <v>0</v>
      </c>
      <c r="Y11" s="183"/>
      <c r="AD11" s="188"/>
      <c r="AE11" s="173" t="str">
        <f>IF($AF$7&gt;=1,"Reference Rate Type", "")</f>
        <v>Reference Rate Type</v>
      </c>
      <c r="AF11" s="174"/>
      <c r="AG11" s="169">
        <v>0</v>
      </c>
      <c r="AH11" s="169"/>
      <c r="AI11" s="175" t="str">
        <f>IF(OR(AG11 = 0, AG11 = 2, AG11 = 4), "", "Zero/Swap 레퍼런스금리정보")</f>
        <v/>
      </c>
      <c r="AJ11" s="175"/>
      <c r="AK11" s="175" t="str">
        <f>IF(OR(AG11 = 0, AG11 = 2, AG11 = 4), "", "연 지급횟수")</f>
        <v/>
      </c>
      <c r="AL11" s="176"/>
      <c r="AM11" s="138">
        <v>4</v>
      </c>
      <c r="AN11" s="139"/>
      <c r="AO11" s="42"/>
      <c r="AP11" s="150" t="str">
        <f>IF(OR(AG11 = 0, AG11 = 2, AG11 = 4), "ForwardStart", "ResetEnd")</f>
        <v>ForwardStart</v>
      </c>
      <c r="AQ11" s="150" t="str">
        <f>IF(OR(AG11 = 0, AG11 = 2, AG11 = 4), "ForwardEnd", "ResetEnd")</f>
        <v>ForwardEnd</v>
      </c>
      <c r="AR11" s="150" t="s">
        <v>35</v>
      </c>
      <c r="AS11" s="150" t="s">
        <v>36</v>
      </c>
      <c r="AT11" s="150" t="s">
        <v>37</v>
      </c>
      <c r="AU11" s="150" t="s">
        <v>38</v>
      </c>
      <c r="AV11" s="150" t="s">
        <v>91</v>
      </c>
      <c r="AW11" s="150" t="s">
        <v>71</v>
      </c>
      <c r="AY11" s="45" t="s">
        <v>43</v>
      </c>
      <c r="AZ11" s="183">
        <v>0</v>
      </c>
      <c r="BA11" s="183"/>
    </row>
    <row r="12" spans="1:57" ht="16.2" customHeight="1" x14ac:dyDescent="0.4">
      <c r="A12" s="42">
        <f t="shared" si="1"/>
        <v>12</v>
      </c>
      <c r="B12" s="145"/>
      <c r="C12" s="142" t="str">
        <f>IF($D$7&gt;=1,"DayCount", "")</f>
        <v>DayCount</v>
      </c>
      <c r="D12" s="142"/>
      <c r="E12" s="155">
        <v>0</v>
      </c>
      <c r="F12" s="156"/>
      <c r="G12" s="166"/>
      <c r="H12" s="136"/>
      <c r="I12" s="136" t="str">
        <f>IF(OR(E11 = 0, E11 = 2, E11 = 4,E14=1), "", "만기")</f>
        <v/>
      </c>
      <c r="J12" s="137"/>
      <c r="K12" s="167">
        <v>5</v>
      </c>
      <c r="L12" s="168"/>
      <c r="N12" s="150"/>
      <c r="O12" s="150"/>
      <c r="P12" s="150"/>
      <c r="Q12" s="150"/>
      <c r="R12" s="150"/>
      <c r="S12" s="150"/>
      <c r="T12" s="150"/>
      <c r="U12" s="150"/>
      <c r="W12" s="45" t="s">
        <v>44</v>
      </c>
      <c r="X12" s="183">
        <v>0</v>
      </c>
      <c r="Y12" s="183"/>
      <c r="AD12" s="188"/>
      <c r="AE12" s="173" t="str">
        <f>IF($AF$7&gt;=1,"DayCount", "")</f>
        <v>DayCount</v>
      </c>
      <c r="AF12" s="173"/>
      <c r="AG12" s="155">
        <v>0</v>
      </c>
      <c r="AH12" s="155"/>
      <c r="AI12" s="175"/>
      <c r="AJ12" s="175"/>
      <c r="AK12" s="136" t="str">
        <f>IF(OR(AG11 = 0, AG11 = 2, AG11 = 4,AG14=1), "", "만기")</f>
        <v/>
      </c>
      <c r="AL12" s="137"/>
      <c r="AM12" s="140">
        <v>0.25</v>
      </c>
      <c r="AN12" s="141"/>
      <c r="AP12" s="150"/>
      <c r="AQ12" s="150"/>
      <c r="AR12" s="150"/>
      <c r="AS12" s="150"/>
      <c r="AT12" s="150"/>
      <c r="AU12" s="150"/>
      <c r="AV12" s="150"/>
      <c r="AW12" s="150"/>
      <c r="AY12" s="45" t="s">
        <v>44</v>
      </c>
      <c r="AZ12" s="183">
        <v>0</v>
      </c>
      <c r="BA12" s="183"/>
    </row>
    <row r="13" spans="1:57" ht="16.2" customHeight="1" x14ac:dyDescent="0.4">
      <c r="A13" s="42">
        <f t="shared" si="1"/>
        <v>13</v>
      </c>
      <c r="B13" s="145"/>
      <c r="C13" s="142" t="str">
        <f>IF($D$7&gt;=1,"금리결정조건Multiple", "")</f>
        <v>금리결정조건Multiple</v>
      </c>
      <c r="D13" s="143"/>
      <c r="E13" s="132">
        <v>1</v>
      </c>
      <c r="F13" s="182"/>
      <c r="G13" s="157" t="str">
        <f>IF(OR(E11 = 0, E11 = 2, E11 = 4), "", "ex) Zero Rate 5년 -&gt; 연 지급횟수= 0, 만기= 5 // CD91일 -&gt; 연 지급횟수= 4, 만기= 0.25")</f>
        <v/>
      </c>
      <c r="H13" s="157"/>
      <c r="I13" s="157"/>
      <c r="J13" s="157"/>
      <c r="K13" s="157"/>
      <c r="L13" s="158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83">
        <v>0</v>
      </c>
      <c r="Y13" s="183"/>
      <c r="AD13" s="188"/>
      <c r="AE13" s="173" t="str">
        <f>IF($AF$7&gt;=1,"금리결정조건Multiple", "")</f>
        <v>금리결정조건Multiple</v>
      </c>
      <c r="AF13" s="174"/>
      <c r="AG13" s="132">
        <v>1</v>
      </c>
      <c r="AH13" s="132"/>
      <c r="AI13" s="157" t="str">
        <f>IF(OR(AG11 = 0, AG11 = 2, AG11 = 4), "", "ex) Zero Rate 5년 -&gt; 연 지급횟수= 0, 만기= 5 // CD91일 -&gt; 연 지급횟수= 4, 만기= 0.25")</f>
        <v/>
      </c>
      <c r="AJ13" s="157"/>
      <c r="AK13" s="157"/>
      <c r="AL13" s="157"/>
      <c r="AM13" s="157"/>
      <c r="AN13" s="158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83">
        <v>0</v>
      </c>
      <c r="BA13" s="183"/>
    </row>
    <row r="14" spans="1:57" ht="16.2" customHeight="1" x14ac:dyDescent="0.4">
      <c r="A14" s="42">
        <f t="shared" si="1"/>
        <v>14</v>
      </c>
      <c r="B14" s="145"/>
      <c r="C14" s="177" t="str">
        <f>IF($D$7&gt;=1,"Power Spread Flag", "")</f>
        <v>Power Spread Flag</v>
      </c>
      <c r="D14" s="177"/>
      <c r="E14" s="155">
        <v>0</v>
      </c>
      <c r="F14" s="156"/>
      <c r="G14" s="133" t="str">
        <f>IF(E14&gt;0,"PowerSpreadFlag 1일때 입력","입력필요X")</f>
        <v>입력필요X</v>
      </c>
      <c r="H14" s="133"/>
      <c r="I14" s="133" t="str">
        <f>IF(E14&gt;0,"만기1","")</f>
        <v/>
      </c>
      <c r="J14" s="133"/>
      <c r="K14" s="134">
        <v>10</v>
      </c>
      <c r="L14" s="135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88"/>
      <c r="AE14" s="171" t="str">
        <f>IF($AF$7&gt;=1,"Power Spread Flag", "")</f>
        <v>Power Spread Flag</v>
      </c>
      <c r="AF14" s="171"/>
      <c r="AG14" s="155">
        <v>0</v>
      </c>
      <c r="AH14" s="155"/>
      <c r="AI14" s="172" t="str">
        <f>IF(AG14&gt;0,"PowerSpreadFlag 1일때 입력","입력필요X")</f>
        <v>입력필요X</v>
      </c>
      <c r="AJ14" s="172"/>
      <c r="AK14" s="172" t="str">
        <f>IF(AG14&gt;0,"만기1","")</f>
        <v/>
      </c>
      <c r="AL14" s="172"/>
      <c r="AM14" s="134">
        <v>10</v>
      </c>
      <c r="AN14" s="135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45" t="str">
        <f>IF($D$7&gt;0, "사용", "커브개수"&amp;"="&amp;$D$7&amp;"이므로 사용안함")</f>
        <v>사용</v>
      </c>
      <c r="C15" s="177" t="str">
        <f>IF($D$7&gt;=1,"기초금리 Range상한", "")</f>
        <v>기초금리 Range상한</v>
      </c>
      <c r="D15" s="177"/>
      <c r="E15" s="180">
        <v>10</v>
      </c>
      <c r="F15" s="184"/>
      <c r="G15" s="133"/>
      <c r="H15" s="133"/>
      <c r="I15" s="133" t="str">
        <f>IF(E14&gt;0,"만기2","")</f>
        <v/>
      </c>
      <c r="J15" s="133"/>
      <c r="K15" s="134">
        <v>5</v>
      </c>
      <c r="L15" s="135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88" t="str">
        <f>IF($AF$7&gt;0, "사용", "커브개수"&amp;"="&amp;$AF$7&amp;"이므로 사용안함")</f>
        <v>사용</v>
      </c>
      <c r="AE15" s="171" t="str">
        <f>IF($AF$7&gt;=1,"기초금리 Range상한", "")</f>
        <v>기초금리 Range상한</v>
      </c>
      <c r="AF15" s="171"/>
      <c r="AG15" s="180">
        <v>10</v>
      </c>
      <c r="AH15" s="180"/>
      <c r="AI15" s="172"/>
      <c r="AJ15" s="172"/>
      <c r="AK15" s="172" t="str">
        <f>IF(AG14&gt;0,"만기2","")</f>
        <v/>
      </c>
      <c r="AL15" s="172"/>
      <c r="AM15" s="134">
        <v>5</v>
      </c>
      <c r="AN15" s="135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45"/>
      <c r="C16" s="177" t="str">
        <f>IF($D$7&gt;=1,"기초금리 Range하한", "")</f>
        <v>기초금리 Range하한</v>
      </c>
      <c r="D16" s="142"/>
      <c r="E16" s="179">
        <v>-1</v>
      </c>
      <c r="F16" s="185"/>
      <c r="G16" s="181"/>
      <c r="H16" s="181"/>
      <c r="I16" s="151" t="str">
        <f>IF(E14&gt;0,"Spread1","")</f>
        <v/>
      </c>
      <c r="J16" s="151"/>
      <c r="K16" s="152" t="str">
        <f>IF(E14&gt;0, I14&amp;"-"&amp;I15, "")</f>
        <v/>
      </c>
      <c r="L16" s="153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88"/>
      <c r="AE16" s="171" t="str">
        <f>IF($AF$7&gt;=1,"기초금리 Range하한", "")</f>
        <v>기초금리 Range하한</v>
      </c>
      <c r="AF16" s="173"/>
      <c r="AG16" s="179">
        <v>-1</v>
      </c>
      <c r="AH16" s="179"/>
      <c r="AI16" s="192"/>
      <c r="AJ16" s="192"/>
      <c r="AK16" s="189" t="str">
        <f>IF(AG14&gt;0,"Spread1","")</f>
        <v/>
      </c>
      <c r="AL16" s="189"/>
      <c r="AM16" s="190" t="str">
        <f>IF(AG14&gt;0, AK14&amp;"-"&amp;AK15, "")</f>
        <v/>
      </c>
      <c r="AN16" s="191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78" t="str">
        <f>IF($D$7&gt;=1,"Payoff조건Multiple", "")</f>
        <v>Payoff조건Multiple</v>
      </c>
      <c r="D17" s="178"/>
      <c r="E17" s="194">
        <v>1</v>
      </c>
      <c r="F17" s="195"/>
      <c r="G17" s="197" t="str">
        <f>IF(E14&gt;0,"예시) 10년-5년 스왑: 연 지급횟수=4, 만기1=10, 만기2=5","")</f>
        <v/>
      </c>
      <c r="H17" s="197"/>
      <c r="I17" s="197"/>
      <c r="J17" s="197"/>
      <c r="K17" s="197"/>
      <c r="L17" s="198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23" t="str">
        <f>IF($AF$7&gt;=1,"Payoff조건Multiple", "")</f>
        <v>Payoff조건Multiple</v>
      </c>
      <c r="AF17" s="123"/>
      <c r="AG17" s="194">
        <v>1</v>
      </c>
      <c r="AH17" s="194"/>
      <c r="AI17" s="197" t="str">
        <f>IF(AG14&gt;0,"예시) 10년-5년 스왑: 연 지급횟수=4, 만기1=10, 만기2=5","")</f>
        <v/>
      </c>
      <c r="AJ17" s="197"/>
      <c r="AK17" s="197"/>
      <c r="AL17" s="197"/>
      <c r="AM17" s="197"/>
      <c r="AN17" s="198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44" t="str">
        <f>IF(D7&gt;=2,"기초금리2", "")</f>
        <v/>
      </c>
      <c r="C19" s="161" t="str">
        <f>IF($D$7&gt;=2,"커브번호", "")</f>
        <v/>
      </c>
      <c r="D19" s="161"/>
      <c r="E19" s="162">
        <v>2</v>
      </c>
      <c r="F19" s="162"/>
      <c r="G19" s="79"/>
      <c r="H19" s="44"/>
      <c r="I19" s="165" t="str">
        <f>IF(OR(E20 = 0, E20 = 2, E20 = 4), "RefType = "&amp;E20&amp;" 이므로 Ref Swap 금리정보 사용안함", "사용")</f>
        <v>RefType = 0 이므로 Ref Swap 금리정보 사용안함</v>
      </c>
      <c r="J19" s="165"/>
      <c r="K19" s="165"/>
      <c r="L19" s="193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16" t="str">
        <f>IF($AF$7&gt;=2,"기초금리2", "")</f>
        <v/>
      </c>
      <c r="AE19" s="122" t="str">
        <f>IF($AF$7&gt;=2,"커브번호", "")</f>
        <v/>
      </c>
      <c r="AF19" s="122"/>
      <c r="AG19" s="162">
        <v>2</v>
      </c>
      <c r="AH19" s="162"/>
      <c r="AI19" s="79"/>
      <c r="AJ19" s="44"/>
      <c r="AK19" s="186" t="str">
        <f>IF(OR(AG20 = 0, AG20 = 2, AG20 = 4), "RefType = "&amp;AG20&amp;" 이므로 Ref Swap 금리정보 사용안함", "사용")</f>
        <v>RefType = 0 이므로 Ref Swap 금리정보 사용안함</v>
      </c>
      <c r="AL19" s="186"/>
      <c r="AM19" s="186"/>
      <c r="AN19" s="187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45"/>
      <c r="C20" s="142" t="str">
        <f>IF($D$7&gt;=2,"Reference Rate Type", "")</f>
        <v/>
      </c>
      <c r="D20" s="143"/>
      <c r="E20" s="154">
        <v>0</v>
      </c>
      <c r="F20" s="154"/>
      <c r="G20" s="136" t="str">
        <f>IF(OR(E20 = 0, E20 = 2, E20 = 4), "", "Zero/Swap 레퍼런스금리정보")</f>
        <v/>
      </c>
      <c r="H20" s="136"/>
      <c r="I20" s="136" t="str">
        <f>IF(OR(E20 = 0, E20 = 2, E20 = 4), "", "연 지급횟수")</f>
        <v/>
      </c>
      <c r="J20" s="137"/>
      <c r="K20" s="138">
        <v>4</v>
      </c>
      <c r="L20" s="139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88"/>
      <c r="AE20" s="173" t="str">
        <f>IF($AF$7&gt;=2,"Reference Rate Type", "")</f>
        <v/>
      </c>
      <c r="AF20" s="174"/>
      <c r="AG20" s="154">
        <v>0</v>
      </c>
      <c r="AH20" s="154"/>
      <c r="AI20" s="175" t="str">
        <f>IF(OR(AG20 = 0, AG20 = 2, AG20 = 4), "", "Zero/Swap 레퍼런스금리정보")</f>
        <v/>
      </c>
      <c r="AJ20" s="175"/>
      <c r="AK20" s="175" t="str">
        <f>IF(OR(AG20 = 0, AG20 = 2, AG20 = 4), "", "연 지급횟수")</f>
        <v/>
      </c>
      <c r="AL20" s="176"/>
      <c r="AM20" s="138">
        <v>4</v>
      </c>
      <c r="AN20" s="139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45"/>
      <c r="C21" s="142" t="str">
        <f>IF($D$7&gt;=2,"DayCount", "")</f>
        <v/>
      </c>
      <c r="D21" s="142"/>
      <c r="E21" s="155">
        <v>0</v>
      </c>
      <c r="F21" s="155"/>
      <c r="G21" s="136"/>
      <c r="H21" s="136"/>
      <c r="I21" s="136" t="str">
        <f>IF(OR(E20 = 0, E20 = 2, E20 = 4,E23=1), "", "만기")</f>
        <v/>
      </c>
      <c r="J21" s="137"/>
      <c r="K21" s="140">
        <v>1</v>
      </c>
      <c r="L21" s="141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88"/>
      <c r="AE21" s="173" t="str">
        <f>IF($AF$7&gt;=2,"DayCount", "")</f>
        <v/>
      </c>
      <c r="AF21" s="173"/>
      <c r="AG21" s="155">
        <v>0</v>
      </c>
      <c r="AH21" s="155"/>
      <c r="AI21" s="175"/>
      <c r="AJ21" s="175"/>
      <c r="AK21" s="136" t="str">
        <f>IF(OR(AG20 = 0, AG20 = 2, AG20 = 4,AG23=1), "", "만기")</f>
        <v/>
      </c>
      <c r="AL21" s="137"/>
      <c r="AM21" s="140">
        <v>5</v>
      </c>
      <c r="AN21" s="141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45"/>
      <c r="C22" s="142" t="str">
        <f>IF($D$7&gt;=2,"금리결정조건Multiple", "")</f>
        <v/>
      </c>
      <c r="D22" s="143"/>
      <c r="E22" s="132">
        <v>1</v>
      </c>
      <c r="F22" s="132"/>
      <c r="G22" s="157" t="str">
        <f>IF(OR(E20 = 0, E20 = 2, E20 = 4), "", "ex) Zero Rate 5년 -&gt; 연 지급횟수= 0, 만기= 5 // CD91일 -&gt; 연 지급횟수= 4, 만기= 0.25")</f>
        <v/>
      </c>
      <c r="H22" s="157"/>
      <c r="I22" s="157"/>
      <c r="J22" s="157"/>
      <c r="K22" s="157"/>
      <c r="L22" s="158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88"/>
      <c r="AE22" s="173" t="str">
        <f>IF($AF$7&gt;=2,"금리결정조건Multiple", "")</f>
        <v/>
      </c>
      <c r="AF22" s="174"/>
      <c r="AG22" s="132">
        <v>1</v>
      </c>
      <c r="AH22" s="132"/>
      <c r="AI22" s="157" t="str">
        <f>IF(OR(AG20 = 0, AG20 = 2, AG20 = 4), "", "ex) Zero Rate 5년 -&gt; 연 지급횟수= 0, 만기= 5 // CD91일 -&gt; 연 지급횟수= 4, 만기= 0.25")</f>
        <v/>
      </c>
      <c r="AJ22" s="157"/>
      <c r="AK22" s="157"/>
      <c r="AL22" s="157"/>
      <c r="AM22" s="157"/>
      <c r="AN22" s="158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45"/>
      <c r="C23" s="177" t="str">
        <f>IF($D$7&gt;=2,"Power Spread Flag", "")</f>
        <v/>
      </c>
      <c r="D23" s="177"/>
      <c r="E23" s="155">
        <v>0</v>
      </c>
      <c r="F23" s="155"/>
      <c r="G23" s="133" t="str">
        <f>IF(E23&gt;0,"PowerSpreadFlag 1일때 입력","입력필요X")</f>
        <v>입력필요X</v>
      </c>
      <c r="H23" s="133"/>
      <c r="I23" s="133" t="str">
        <f>IF(E23&gt;0,"만기1","")</f>
        <v/>
      </c>
      <c r="J23" s="133"/>
      <c r="K23" s="134">
        <v>10</v>
      </c>
      <c r="L23" s="135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88"/>
      <c r="AE23" s="171" t="str">
        <f>IF($AF$7&gt;=2,"Power Spread Flag", "")</f>
        <v/>
      </c>
      <c r="AF23" s="171"/>
      <c r="AG23" s="155">
        <v>0</v>
      </c>
      <c r="AH23" s="155"/>
      <c r="AI23" s="172" t="str">
        <f>IF(AG23&gt;0,"PowerSpreadFlag 1일때 입력","입력필요X")</f>
        <v>입력필요X</v>
      </c>
      <c r="AJ23" s="172"/>
      <c r="AK23" s="172" t="str">
        <f>IF(AG23&gt;0,"만기1","")</f>
        <v/>
      </c>
      <c r="AL23" s="172"/>
      <c r="AM23" s="134">
        <v>10</v>
      </c>
      <c r="AN23" s="135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45" t="str">
        <f>IF($D$7&gt;1, "사용", "커브개수"&amp;"="&amp;$D$7&amp;"이므로 사용안함")</f>
        <v>커브개수=1이므로 사용안함</v>
      </c>
      <c r="C24" s="177" t="str">
        <f>IF($D$7&gt;=2,"기초금리 Range상한", "")</f>
        <v/>
      </c>
      <c r="D24" s="177"/>
      <c r="E24" s="180">
        <v>10</v>
      </c>
      <c r="F24" s="180"/>
      <c r="G24" s="133"/>
      <c r="H24" s="133"/>
      <c r="I24" s="133" t="str">
        <f>IF(E23&gt;0,"만기2","")</f>
        <v/>
      </c>
      <c r="J24" s="133"/>
      <c r="K24" s="134">
        <v>5</v>
      </c>
      <c r="L24" s="135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88" t="str">
        <f>IF($AF$7&gt;1, "사용", "커브개수"&amp;"="&amp;$AF$7&amp;"이므로 사용안함")</f>
        <v>커브개수=1이므로 사용안함</v>
      </c>
      <c r="AE24" s="171" t="str">
        <f>IF($AF$7&gt;=2,"기초금리 Range상한", "")</f>
        <v/>
      </c>
      <c r="AF24" s="171"/>
      <c r="AG24" s="180">
        <v>0.5</v>
      </c>
      <c r="AH24" s="180"/>
      <c r="AI24" s="172"/>
      <c r="AJ24" s="172"/>
      <c r="AK24" s="172" t="str">
        <f>IF(AG23&gt;0,"만기2","")</f>
        <v/>
      </c>
      <c r="AL24" s="172"/>
      <c r="AM24" s="134">
        <v>5</v>
      </c>
      <c r="AN24" s="135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45"/>
      <c r="C25" s="177" t="str">
        <f>IF($D$7&gt;=2,"기초금리 Range하한", "")</f>
        <v/>
      </c>
      <c r="D25" s="142"/>
      <c r="E25" s="179">
        <v>-1</v>
      </c>
      <c r="F25" s="179"/>
      <c r="G25" s="181"/>
      <c r="H25" s="181"/>
      <c r="I25" s="151" t="str">
        <f>IF(E23&gt;0,"Spread1","")</f>
        <v/>
      </c>
      <c r="J25" s="151"/>
      <c r="K25" s="152" t="str">
        <f>IF(E23&gt;0, I23&amp;"-"&amp;I24, "")</f>
        <v/>
      </c>
      <c r="L25" s="153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88"/>
      <c r="AE25" s="171" t="str">
        <f>IF($AF$7&gt;=2,"기초금리 Range하한", "")</f>
        <v/>
      </c>
      <c r="AF25" s="173"/>
      <c r="AG25" s="179">
        <v>-0.1</v>
      </c>
      <c r="AH25" s="179"/>
      <c r="AI25" s="192"/>
      <c r="AJ25" s="192"/>
      <c r="AK25" s="189" t="str">
        <f>IF(AG23&gt;0,"Spread1","")</f>
        <v/>
      </c>
      <c r="AL25" s="189"/>
      <c r="AM25" s="190" t="str">
        <f>IF(AG23&gt;0, AK23&amp;"-"&amp;AK24, "")</f>
        <v/>
      </c>
      <c r="AN25" s="191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78" t="str">
        <f>IF($D$7&gt;=2,"Payoff조건Multiple", "")</f>
        <v/>
      </c>
      <c r="D26" s="178"/>
      <c r="E26" s="194">
        <v>0</v>
      </c>
      <c r="F26" s="194"/>
      <c r="G26" s="197" t="str">
        <f>IF(E23&gt;0,"예시) 10년-5년 스왑: 연 지급횟수=4, 만기1=10, 만기2=5","")</f>
        <v/>
      </c>
      <c r="H26" s="197"/>
      <c r="I26" s="197"/>
      <c r="J26" s="197"/>
      <c r="K26" s="197"/>
      <c r="L26" s="198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23" t="str">
        <f>IF($AF$7&gt;=2,"Payoff조건Multiple", "")</f>
        <v/>
      </c>
      <c r="AF26" s="123"/>
      <c r="AG26" s="194">
        <v>0</v>
      </c>
      <c r="AH26" s="194"/>
      <c r="AI26" s="197" t="str">
        <f>IF(AG23&gt;0,"예시) 10년-5년 스왑: 연 지급횟수=4, 만기1=10, 만기2=5","")</f>
        <v/>
      </c>
      <c r="AJ26" s="197"/>
      <c r="AK26" s="197"/>
      <c r="AL26" s="197"/>
      <c r="AM26" s="197"/>
      <c r="AN26" s="198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44" t="str">
        <f>IF($D$7&gt;=3,"기초금리3", "")</f>
        <v/>
      </c>
      <c r="C28" s="161" t="str">
        <f>IF($D$7&gt;=3,"커브번호", "")</f>
        <v/>
      </c>
      <c r="D28" s="161"/>
      <c r="E28" s="162">
        <v>3</v>
      </c>
      <c r="F28" s="162"/>
      <c r="G28" s="79"/>
      <c r="H28" s="44"/>
      <c r="I28" s="165" t="str">
        <f>IF(OR(E29 = 0, E29 = 2, E29 = 4), "RefType = "&amp;E29&amp;" 이므로 Ref Swap 금리정보 사용안함", "사용")</f>
        <v>RefType = 0 이므로 Ref Swap 금리정보 사용안함</v>
      </c>
      <c r="J28" s="165"/>
      <c r="K28" s="165"/>
      <c r="L28" s="193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16" t="str">
        <f>IF($AF$7&gt;=3,"기초금리3", "")</f>
        <v/>
      </c>
      <c r="AE28" s="122" t="str">
        <f>IF($AF$7&gt;=3,"커브번호", "")</f>
        <v/>
      </c>
      <c r="AF28" s="122"/>
      <c r="AG28" s="162">
        <v>3</v>
      </c>
      <c r="AH28" s="162"/>
      <c r="AI28" s="79"/>
      <c r="AJ28" s="44"/>
      <c r="AK28" s="186" t="str">
        <f>IF(OR(AG29 = 0, AG29 = 2, AG29 = 4), "RefType = "&amp;AG29&amp;" 이므로 Ref Swap 금리정보 사용안함", "사용")</f>
        <v>RefType = 0 이므로 Ref Swap 금리정보 사용안함</v>
      </c>
      <c r="AL28" s="186"/>
      <c r="AM28" s="186"/>
      <c r="AN28" s="187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45"/>
      <c r="C29" s="142" t="str">
        <f>IF($D$7&gt;=3,"Reference Rate Type", "")</f>
        <v/>
      </c>
      <c r="D29" s="143"/>
      <c r="E29" s="154">
        <v>0</v>
      </c>
      <c r="F29" s="154"/>
      <c r="G29" s="136" t="str">
        <f>IF(OR(E29 = 0, E29 = 2, E29 = 4), "", "Zero/Swap 레퍼런스금리정보")</f>
        <v/>
      </c>
      <c r="H29" s="136"/>
      <c r="I29" s="136" t="str">
        <f>IF(OR(E29 = 0, E29 = 2, E29 = 4), "", "연 지급횟수")</f>
        <v/>
      </c>
      <c r="J29" s="137"/>
      <c r="K29" s="138">
        <v>4</v>
      </c>
      <c r="L29" s="139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88"/>
      <c r="AE29" s="173" t="str">
        <f>IF($AF$7&gt;=3,"Reference Rate Type", "")</f>
        <v/>
      </c>
      <c r="AF29" s="174"/>
      <c r="AG29" s="154">
        <v>0</v>
      </c>
      <c r="AH29" s="154"/>
      <c r="AI29" s="175" t="str">
        <f>IF(OR(AG29 = 0, AG29 = 2, AG29 = 4), "", "Zero/Swap 레퍼런스금리정보")</f>
        <v/>
      </c>
      <c r="AJ29" s="175"/>
      <c r="AK29" s="175" t="str">
        <f>IF(OR(AG29 = 0, AG29 = 2, AG29 = 4), "", "연 지급횟수")</f>
        <v/>
      </c>
      <c r="AL29" s="176"/>
      <c r="AM29" s="138">
        <v>4</v>
      </c>
      <c r="AN29" s="139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45"/>
      <c r="C30" s="142" t="str">
        <f>IF($D$7&gt;=3,"DayCount", "")</f>
        <v/>
      </c>
      <c r="D30" s="142"/>
      <c r="E30" s="155">
        <v>0</v>
      </c>
      <c r="F30" s="155"/>
      <c r="G30" s="136"/>
      <c r="H30" s="136"/>
      <c r="I30" s="136" t="str">
        <f>IF(OR(E29 = 0, E29 = 2, E29 = 4,E32=1), "", "만기")</f>
        <v/>
      </c>
      <c r="J30" s="137"/>
      <c r="K30" s="140">
        <v>5</v>
      </c>
      <c r="L30" s="141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88"/>
      <c r="AE30" s="173" t="str">
        <f>IF($AF$7&gt;=3,"DayCount", "")</f>
        <v/>
      </c>
      <c r="AF30" s="173"/>
      <c r="AG30" s="155">
        <v>0</v>
      </c>
      <c r="AH30" s="155"/>
      <c r="AI30" s="175"/>
      <c r="AJ30" s="175"/>
      <c r="AK30" s="136" t="str">
        <f>IF(OR(AG29 = 0, AG29 = 2, AG29 = 4,AG32=1), "", "만기")</f>
        <v/>
      </c>
      <c r="AL30" s="137"/>
      <c r="AM30" s="140">
        <v>5</v>
      </c>
      <c r="AN30" s="141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45"/>
      <c r="C31" s="142" t="str">
        <f>IF($D$7&gt;=3,"금리결정조건Multiple", "")</f>
        <v/>
      </c>
      <c r="D31" s="143"/>
      <c r="E31" s="132">
        <v>1</v>
      </c>
      <c r="F31" s="132"/>
      <c r="G31" s="157" t="str">
        <f>IF(OR(E29 = 0, E29 = 2, E29 = 4), "", "ex) Zero Rate 5년 -&gt; 연 지급횟수= 0, 만기= 5 // CD91일 -&gt; 연 지급횟수= 4, 만기= 0.25")</f>
        <v/>
      </c>
      <c r="H31" s="157"/>
      <c r="I31" s="157"/>
      <c r="J31" s="157"/>
      <c r="K31" s="157"/>
      <c r="L31" s="158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88"/>
      <c r="AE31" s="173" t="str">
        <f>IF($AF$7&gt;=3,"금리결정조건Multiple", "")</f>
        <v/>
      </c>
      <c r="AF31" s="174"/>
      <c r="AG31" s="132">
        <v>1</v>
      </c>
      <c r="AH31" s="132"/>
      <c r="AI31" s="157" t="str">
        <f>IF(OR(AG29 = 0, AG29 = 2, AG29 = 4), "", "ex) Zero Rate 5년 -&gt; 연 지급횟수= 0, 만기= 5 // CD91일 -&gt; 연 지급횟수= 4, 만기= 0.25")</f>
        <v/>
      </c>
      <c r="AJ31" s="157"/>
      <c r="AK31" s="157"/>
      <c r="AL31" s="157"/>
      <c r="AM31" s="157"/>
      <c r="AN31" s="158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45"/>
      <c r="C32" s="177" t="str">
        <f>IF($D$7&gt;=3,"Power Spread Flag", "")</f>
        <v/>
      </c>
      <c r="D32" s="177"/>
      <c r="E32" s="155">
        <v>0</v>
      </c>
      <c r="F32" s="155"/>
      <c r="G32" s="133" t="str">
        <f>IF(E32&gt;0,"PowerSpreadFlag 1일때 입력","입력필요X")</f>
        <v>입력필요X</v>
      </c>
      <c r="H32" s="133"/>
      <c r="I32" s="133" t="str">
        <f>IF(E32&gt;0,"만기1","")</f>
        <v/>
      </c>
      <c r="J32" s="133"/>
      <c r="K32" s="134">
        <v>10</v>
      </c>
      <c r="L32" s="135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88"/>
      <c r="AE32" s="171" t="str">
        <f>IF($AF$7&gt;=3,"Power Spread Flag", "")</f>
        <v/>
      </c>
      <c r="AF32" s="171"/>
      <c r="AG32" s="155">
        <v>0</v>
      </c>
      <c r="AH32" s="155"/>
      <c r="AI32" s="172" t="str">
        <f>IF(AG32&gt;0,"PowerSpreadFlag 1일때 입력","입력필요X")</f>
        <v>입력필요X</v>
      </c>
      <c r="AJ32" s="172"/>
      <c r="AK32" s="172" t="str">
        <f>IF(AG32&gt;0,"만기1","")</f>
        <v/>
      </c>
      <c r="AL32" s="172"/>
      <c r="AM32" s="134">
        <v>10</v>
      </c>
      <c r="AN32" s="135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45" t="str">
        <f>IF($D$7&gt;2, "사용", "커브개수"&amp;"="&amp;$D$7&amp;"이므로 사용안함")</f>
        <v>커브개수=1이므로 사용안함</v>
      </c>
      <c r="C33" s="177" t="str">
        <f>IF($D$7&gt;=3,"기초금리 Range상한", "")</f>
        <v/>
      </c>
      <c r="D33" s="177"/>
      <c r="E33" s="180">
        <v>0.5</v>
      </c>
      <c r="F33" s="180"/>
      <c r="G33" s="133"/>
      <c r="H33" s="133"/>
      <c r="I33" s="133" t="str">
        <f>IF(E32&gt;0,"만기2","")</f>
        <v/>
      </c>
      <c r="J33" s="133"/>
      <c r="K33" s="134">
        <v>5</v>
      </c>
      <c r="L33" s="135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88" t="str">
        <f>IF($AF$7&gt;2, "사용", "커브개수"&amp;"="&amp;$AF$7&amp;"이므로 사용안함")</f>
        <v>커브개수=1이므로 사용안함</v>
      </c>
      <c r="AE33" s="171" t="str">
        <f>IF($AF$7&gt;=3,"기초금리 Range상한", "")</f>
        <v/>
      </c>
      <c r="AF33" s="171"/>
      <c r="AG33" s="180">
        <v>0.5</v>
      </c>
      <c r="AH33" s="180"/>
      <c r="AI33" s="172"/>
      <c r="AJ33" s="172"/>
      <c r="AK33" s="172" t="str">
        <f>IF(AG32&gt;0,"만기2","")</f>
        <v/>
      </c>
      <c r="AL33" s="172"/>
      <c r="AM33" s="134">
        <v>5</v>
      </c>
      <c r="AN33" s="135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45"/>
      <c r="C34" s="177" t="str">
        <f>IF($D$7&gt;=3,"기초금리 Range하한", "")</f>
        <v/>
      </c>
      <c r="D34" s="142"/>
      <c r="E34" s="179">
        <v>-0.1</v>
      </c>
      <c r="F34" s="179"/>
      <c r="G34" s="181"/>
      <c r="H34" s="181"/>
      <c r="I34" s="151" t="str">
        <f>IF(E32&gt;0,"Spread1","")</f>
        <v/>
      </c>
      <c r="J34" s="151"/>
      <c r="K34" s="152" t="str">
        <f>IF(E32&gt;0, I32&amp;"-"&amp;I33, "")</f>
        <v/>
      </c>
      <c r="L34" s="153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88"/>
      <c r="AE34" s="171" t="str">
        <f>IF($AF$7&gt;=3,"기초금리 Range하한", "")</f>
        <v/>
      </c>
      <c r="AF34" s="173"/>
      <c r="AG34" s="179">
        <v>-0.1</v>
      </c>
      <c r="AH34" s="179"/>
      <c r="AI34" s="192"/>
      <c r="AJ34" s="192"/>
      <c r="AK34" s="189" t="str">
        <f>IF(AG32&gt;0,"Spread1","")</f>
        <v/>
      </c>
      <c r="AL34" s="189"/>
      <c r="AM34" s="190" t="str">
        <f>IF(AG32&gt;0, AK32&amp;"-"&amp;AK33, "")</f>
        <v/>
      </c>
      <c r="AN34" s="191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78" t="str">
        <f>IF($D$7&gt;=3,"Payoff조건Multiple", "")</f>
        <v/>
      </c>
      <c r="D35" s="178"/>
      <c r="E35" s="194">
        <v>0</v>
      </c>
      <c r="F35" s="194"/>
      <c r="G35" s="197" t="str">
        <f>IF(E32&gt;0,"예시) 10년-5년 스왑: 연 지급횟수=4, 만기1=10, 만기2=5","")</f>
        <v/>
      </c>
      <c r="H35" s="197"/>
      <c r="I35" s="197"/>
      <c r="J35" s="197"/>
      <c r="K35" s="197"/>
      <c r="L35" s="198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23" t="str">
        <f>IF($AF$7&gt;=3,"Payoff조건Multiple", "")</f>
        <v/>
      </c>
      <c r="AF35" s="123"/>
      <c r="AG35" s="194">
        <v>0</v>
      </c>
      <c r="AH35" s="194"/>
      <c r="AI35" s="197" t="str">
        <f>IF(AG32&gt;0,"예시) 10년-5년 스왑: 연 지급횟수=4, 만기1=10, 만기2=5","")</f>
        <v/>
      </c>
      <c r="AJ35" s="197"/>
      <c r="AK35" s="197"/>
      <c r="AL35" s="197"/>
      <c r="AM35" s="197"/>
      <c r="AN35" s="198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17" t="s">
        <v>94</v>
      </c>
      <c r="C37" s="122" t="s">
        <v>33</v>
      </c>
      <c r="D37" s="122"/>
      <c r="E37" s="124">
        <v>1</v>
      </c>
      <c r="F37" s="125"/>
      <c r="G37" s="43"/>
      <c r="H37" s="116" t="s">
        <v>48</v>
      </c>
      <c r="I37" s="117"/>
      <c r="J37" s="118">
        <v>0</v>
      </c>
      <c r="K37" s="118"/>
      <c r="L37" s="119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17" t="s">
        <v>94</v>
      </c>
      <c r="AE37" s="122" t="s">
        <v>33</v>
      </c>
      <c r="AF37" s="122"/>
      <c r="AG37" s="124">
        <v>1</v>
      </c>
      <c r="AH37" s="125"/>
      <c r="AJ37" s="116" t="s">
        <v>48</v>
      </c>
      <c r="AK37" s="117"/>
      <c r="AL37" s="118">
        <v>0</v>
      </c>
      <c r="AM37" s="118"/>
      <c r="AN37" s="119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20"/>
      <c r="C38" s="123"/>
      <c r="D38" s="123"/>
      <c r="E38" s="126"/>
      <c r="F38" s="127"/>
      <c r="G38" s="43"/>
      <c r="H38" s="107" t="s">
        <v>49</v>
      </c>
      <c r="I38" s="108"/>
      <c r="J38" s="108"/>
      <c r="K38" s="108"/>
      <c r="L38" s="109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20"/>
      <c r="AE38" s="123"/>
      <c r="AF38" s="123"/>
      <c r="AG38" s="126"/>
      <c r="AH38" s="127"/>
      <c r="AJ38" s="107" t="s">
        <v>49</v>
      </c>
      <c r="AK38" s="108"/>
      <c r="AL38" s="108"/>
      <c r="AM38" s="108"/>
      <c r="AN38" s="109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20"/>
      <c r="C39" s="121"/>
      <c r="D39" s="121"/>
      <c r="E39" s="121"/>
      <c r="F39" s="121"/>
      <c r="G39" s="43"/>
      <c r="H39" s="113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4"/>
      <c r="J39" s="114"/>
      <c r="K39" s="114"/>
      <c r="L39" s="115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20"/>
      <c r="AE39" s="121"/>
      <c r="AF39" s="121"/>
      <c r="AG39" s="121"/>
      <c r="AH39" s="121"/>
      <c r="AJ39" s="110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1"/>
      <c r="AL39" s="111"/>
      <c r="AM39" s="111"/>
      <c r="AN39" s="112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196" t="s">
        <v>89</v>
      </c>
      <c r="C42" s="196"/>
      <c r="D42" s="196"/>
      <c r="E42" s="196"/>
      <c r="F42" s="196"/>
      <c r="G42" s="196"/>
      <c r="H42" s="196"/>
      <c r="I42" s="196"/>
      <c r="J42" s="196"/>
      <c r="K42" s="196"/>
      <c r="L42" s="196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78</v>
      </c>
      <c r="C43" s="66" t="s">
        <v>90</v>
      </c>
      <c r="D43" s="66" t="s">
        <v>79</v>
      </c>
      <c r="E43" s="66" t="s">
        <v>80</v>
      </c>
      <c r="F43" s="66" t="s">
        <v>81</v>
      </c>
      <c r="G43" s="66" t="s">
        <v>82</v>
      </c>
      <c r="H43" s="66" t="s">
        <v>83</v>
      </c>
      <c r="I43" s="66" t="s">
        <v>87</v>
      </c>
      <c r="J43" s="66" t="s">
        <v>84</v>
      </c>
      <c r="K43" s="66" t="s">
        <v>85</v>
      </c>
      <c r="L43" s="66" t="s">
        <v>86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99" t="s">
        <v>56</v>
      </c>
      <c r="B3" s="199"/>
      <c r="C3" s="199"/>
      <c r="D3" s="199"/>
      <c r="E3" s="199"/>
      <c r="G3" s="199" t="s">
        <v>76</v>
      </c>
      <c r="H3" s="199"/>
      <c r="I3" s="199"/>
      <c r="J3" s="199"/>
      <c r="K3" s="199"/>
      <c r="L3" s="21"/>
      <c r="M3" s="21"/>
      <c r="N3" s="21"/>
      <c r="P3" s="199" t="s">
        <v>77</v>
      </c>
      <c r="Q3" s="199"/>
      <c r="R3" s="199"/>
      <c r="S3" s="199"/>
      <c r="T3" s="199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68</v>
      </c>
      <c r="H4" s="29" t="s">
        <v>57</v>
      </c>
      <c r="I4" s="28" t="s">
        <v>69</v>
      </c>
      <c r="J4" s="29" t="s">
        <v>58</v>
      </c>
      <c r="K4" s="28" t="s">
        <v>70</v>
      </c>
      <c r="L4" s="29" t="s">
        <v>59</v>
      </c>
      <c r="M4" s="28"/>
      <c r="N4" s="29"/>
      <c r="P4" s="28" t="s">
        <v>68</v>
      </c>
      <c r="Q4" s="29" t="s">
        <v>57</v>
      </c>
      <c r="R4" s="28" t="s">
        <v>69</v>
      </c>
      <c r="S4" s="29" t="s">
        <v>58</v>
      </c>
      <c r="T4" s="28" t="s">
        <v>70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커브정보!N61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zoomScale="85" zoomScaleNormal="85" workbookViewId="0">
      <selection activeCell="D19" sqref="D19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6" width="13.8984375" style="76"/>
    <col min="17" max="17" width="13.8984375" style="82"/>
    <col min="18" max="18" width="13.8984375" style="74"/>
    <col min="19" max="19" width="0" style="74" hidden="1" customWidth="1"/>
    <col min="20" max="20" width="13.8984375" style="76"/>
    <col min="21" max="21" width="13.8984375" style="82"/>
    <col min="22" max="22" width="13.8984375" style="74"/>
    <col min="23" max="23" width="0" style="74" hidden="1" customWidth="1"/>
    <col min="24" max="24" width="13.8984375" style="21"/>
    <col min="25" max="25" width="13.8984375" style="82"/>
    <col min="26" max="26" width="13.8984375" style="74"/>
    <col min="27" max="27" width="0" style="74" hidden="1" customWidth="1"/>
    <col min="28" max="28" width="13.8984375" style="76"/>
    <col min="29" max="29" width="13.8984375" style="82"/>
    <col min="30" max="30" width="13.8984375" style="74"/>
    <col min="31" max="31" width="0" style="74" hidden="1" customWidth="1"/>
    <col min="32" max="32" width="13.8984375" style="76"/>
    <col min="33" max="33" width="13.8984375" style="82"/>
    <col min="34" max="34" width="13.8984375" style="74"/>
    <col min="35" max="35" width="0" style="74" hidden="1" customWidth="1"/>
    <col min="36" max="36" width="13.8984375" style="76"/>
    <col min="37" max="37" width="13.8984375" style="82"/>
    <col min="38" max="38" width="13.8984375" style="74"/>
    <col min="39" max="39" width="0" style="74" hidden="1" customWidth="1"/>
    <col min="40" max="40" width="13.8984375" style="76"/>
    <col min="41" max="41" width="13.8984375" style="82"/>
    <col min="42" max="42" width="13.8984375" style="74"/>
    <col min="43" max="43" width="0" style="74" hidden="1" customWidth="1"/>
    <col min="44" max="44" width="13.8984375" style="76"/>
    <col min="45" max="45" width="13.8984375" style="82"/>
    <col min="46" max="46" width="13.8984375" style="74"/>
    <col min="47" max="47" width="0" style="74" hidden="1" customWidth="1"/>
    <col min="48" max="16384" width="13.8984375" style="21"/>
  </cols>
  <sheetData>
    <row r="1" spans="1:47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</row>
    <row r="2" spans="1:47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93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x14ac:dyDescent="0.4">
      <c r="B4" s="201" t="s">
        <v>55</v>
      </c>
      <c r="C4" s="201"/>
      <c r="D4" s="202">
        <v>10000</v>
      </c>
      <c r="E4" s="202"/>
      <c r="F4" s="21"/>
      <c r="G4" s="203" t="s">
        <v>73</v>
      </c>
      <c r="H4" s="204"/>
      <c r="I4" s="205">
        <v>2026013045.6967492</v>
      </c>
      <c r="J4" s="206"/>
      <c r="K4" s="21"/>
      <c r="L4" s="77">
        <v>44887.700543981482</v>
      </c>
      <c r="M4" s="1" t="s">
        <v>5</v>
      </c>
      <c r="N4" s="93" t="s">
        <v>6</v>
      </c>
      <c r="O4" s="93"/>
      <c r="P4" s="21"/>
      <c r="Q4" s="21"/>
      <c r="R4" s="21"/>
      <c r="S4" s="21"/>
      <c r="T4" s="21"/>
      <c r="U4" s="21"/>
      <c r="V4" s="21"/>
      <c r="W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x14ac:dyDescent="0.4">
      <c r="B5" s="201" t="s">
        <v>30</v>
      </c>
      <c r="C5" s="201"/>
      <c r="D5" s="202">
        <v>0</v>
      </c>
      <c r="E5" s="202"/>
      <c r="F5" s="21"/>
      <c r="G5" s="203" t="s">
        <v>74</v>
      </c>
      <c r="H5" s="204"/>
      <c r="I5" s="205">
        <v>2397476810.9091411</v>
      </c>
      <c r="J5" s="206"/>
      <c r="K5" s="21"/>
      <c r="L5" s="77">
        <v>44887.700543981482</v>
      </c>
      <c r="M5" s="21"/>
      <c r="N5" s="93"/>
      <c r="O5" s="93"/>
      <c r="P5" s="21"/>
      <c r="Q5" s="21"/>
      <c r="R5" s="21"/>
      <c r="S5" s="21"/>
      <c r="T5" s="21"/>
      <c r="U5" s="21"/>
      <c r="V5" s="21"/>
      <c r="W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x14ac:dyDescent="0.4">
      <c r="B6" s="21"/>
      <c r="C6" s="21"/>
      <c r="D6" s="21"/>
      <c r="E6" s="21"/>
      <c r="F6" s="21"/>
      <c r="G6" s="203" t="s">
        <v>106</v>
      </c>
      <c r="H6" s="204"/>
      <c r="I6" s="205">
        <v>249214742.8257221</v>
      </c>
      <c r="J6" s="206"/>
      <c r="K6" s="72"/>
      <c r="L6" s="31"/>
      <c r="M6" s="21"/>
      <c r="N6" s="93"/>
      <c r="O6" s="93"/>
      <c r="P6" s="21"/>
      <c r="Q6" s="21"/>
      <c r="R6" s="21"/>
      <c r="S6" s="21"/>
      <c r="T6" s="21"/>
      <c r="U6" s="21"/>
      <c r="V6" s="21"/>
      <c r="W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x14ac:dyDescent="0.4">
      <c r="B7" s="21"/>
      <c r="C7" s="21"/>
      <c r="D7" s="21">
        <v>1</v>
      </c>
      <c r="E7" s="21"/>
      <c r="F7" s="21"/>
      <c r="G7" s="203" t="s">
        <v>88</v>
      </c>
      <c r="H7" s="204"/>
      <c r="I7" s="205">
        <v>620678508.03811395</v>
      </c>
      <c r="J7" s="206"/>
      <c r="K7" s="72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x14ac:dyDescent="0.4">
      <c r="A10" s="65"/>
      <c r="B10" s="200" t="s">
        <v>61</v>
      </c>
      <c r="C10" s="200"/>
      <c r="D10" s="200"/>
      <c r="E10" s="200"/>
      <c r="F10" s="200"/>
      <c r="G10" s="200"/>
      <c r="H10" s="200"/>
      <c r="I10" s="200" t="s">
        <v>64</v>
      </c>
      <c r="J10" s="200"/>
      <c r="K10" s="200"/>
      <c r="L10" s="200"/>
      <c r="M10" s="200"/>
      <c r="N10" s="200"/>
      <c r="O10" s="200"/>
      <c r="P10" s="21"/>
      <c r="Q10" s="200" t="s">
        <v>98</v>
      </c>
      <c r="R10" s="200"/>
      <c r="S10" s="21"/>
      <c r="T10" s="21"/>
      <c r="U10" s="200" t="s">
        <v>99</v>
      </c>
      <c r="V10" s="200"/>
      <c r="W10" s="21"/>
      <c r="Y10" s="200" t="s">
        <v>100</v>
      </c>
      <c r="Z10" s="200"/>
      <c r="AA10" s="21"/>
      <c r="AB10" s="21"/>
      <c r="AC10" s="200" t="s">
        <v>101</v>
      </c>
      <c r="AD10" s="200"/>
      <c r="AE10" s="21"/>
      <c r="AF10" s="21"/>
      <c r="AG10" s="200" t="s">
        <v>102</v>
      </c>
      <c r="AH10" s="200"/>
      <c r="AI10" s="21"/>
      <c r="AJ10" s="21"/>
      <c r="AK10" s="200" t="s">
        <v>103</v>
      </c>
      <c r="AL10" s="200"/>
      <c r="AM10" s="21"/>
      <c r="AN10" s="21"/>
      <c r="AO10" s="200" t="s">
        <v>104</v>
      </c>
      <c r="AP10" s="200"/>
      <c r="AQ10" s="21"/>
      <c r="AR10" s="21"/>
      <c r="AS10" s="200" t="s">
        <v>105</v>
      </c>
      <c r="AT10" s="200"/>
      <c r="AU10" s="21"/>
    </row>
    <row r="11" spans="1:47" x14ac:dyDescent="0.4">
      <c r="B11" s="56" t="s">
        <v>62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75</v>
      </c>
      <c r="G11" s="58" t="s">
        <v>66</v>
      </c>
      <c r="H11" s="59" t="s">
        <v>65</v>
      </c>
      <c r="I11" s="56" t="s">
        <v>62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63</v>
      </c>
      <c r="N11" s="58" t="s">
        <v>66</v>
      </c>
      <c r="O11" s="59" t="s">
        <v>65</v>
      </c>
      <c r="P11" s="21"/>
      <c r="Q11" s="57" t="s">
        <v>96</v>
      </c>
      <c r="R11" s="74">
        <v>0</v>
      </c>
      <c r="S11" s="21"/>
      <c r="T11" s="21"/>
      <c r="U11" s="57" t="s">
        <v>96</v>
      </c>
      <c r="V11" s="74">
        <v>0</v>
      </c>
      <c r="W11" s="21"/>
      <c r="Y11" s="57" t="s">
        <v>96</v>
      </c>
      <c r="Z11" s="74">
        <v>0</v>
      </c>
      <c r="AA11" s="21"/>
      <c r="AB11" s="21"/>
      <c r="AC11" s="57" t="s">
        <v>96</v>
      </c>
      <c r="AD11" s="74">
        <v>0</v>
      </c>
      <c r="AE11" s="21"/>
      <c r="AF11" s="21"/>
      <c r="AG11" s="57" t="s">
        <v>96</v>
      </c>
      <c r="AH11" s="74">
        <v>0</v>
      </c>
      <c r="AI11" s="21"/>
      <c r="AJ11" s="21"/>
      <c r="AK11" s="57" t="s">
        <v>96</v>
      </c>
      <c r="AL11" s="74">
        <v>0</v>
      </c>
      <c r="AM11" s="21"/>
      <c r="AN11" s="21"/>
      <c r="AO11" s="57" t="s">
        <v>96</v>
      </c>
      <c r="AP11" s="74">
        <v>0</v>
      </c>
      <c r="AQ11" s="21"/>
      <c r="AR11" s="21"/>
      <c r="AS11" s="57" t="s">
        <v>96</v>
      </c>
      <c r="AT11" s="74">
        <v>0</v>
      </c>
      <c r="AU11" s="21"/>
    </row>
    <row r="12" spans="1:47" x14ac:dyDescent="0.4">
      <c r="B12" s="60">
        <v>44938</v>
      </c>
      <c r="C12" s="61">
        <v>3.0399999999995049E-2</v>
      </c>
      <c r="F12" s="62"/>
      <c r="G12" s="63">
        <v>76624657.534227997</v>
      </c>
      <c r="H12" s="62">
        <v>0.99181235223143582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0.99181235223143582</v>
      </c>
      <c r="P12" s="21"/>
      <c r="Q12" s="21"/>
      <c r="R12" s="21"/>
      <c r="S12" s="21"/>
      <c r="T12" s="21"/>
      <c r="U12" s="21"/>
      <c r="V12" s="21"/>
      <c r="W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x14ac:dyDescent="0.4">
      <c r="B13" s="60">
        <v>45028</v>
      </c>
      <c r="C13" s="61">
        <v>3.4413370842029209E-2</v>
      </c>
      <c r="F13" s="62"/>
      <c r="G13" s="63">
        <v>84854887.007743821</v>
      </c>
      <c r="H13" s="62">
        <v>0.98345742493951349</v>
      </c>
      <c r="I13" s="60">
        <v>45028</v>
      </c>
      <c r="J13" s="61">
        <v>4.9436968314583891E-2</v>
      </c>
      <c r="M13" s="62"/>
      <c r="N13" s="63">
        <v>141625401.32363117</v>
      </c>
      <c r="O13" s="62">
        <v>0.98345742493951349</v>
      </c>
      <c r="P13" s="21"/>
      <c r="Q13" s="200" t="s">
        <v>97</v>
      </c>
      <c r="R13" s="200"/>
      <c r="S13" s="80"/>
      <c r="T13" s="21"/>
      <c r="U13" s="200" t="s">
        <v>97</v>
      </c>
      <c r="V13" s="200"/>
      <c r="W13" s="80"/>
      <c r="Y13" s="200" t="s">
        <v>97</v>
      </c>
      <c r="Z13" s="200"/>
      <c r="AA13" s="80"/>
      <c r="AB13" s="21"/>
      <c r="AC13" s="200" t="s">
        <v>97</v>
      </c>
      <c r="AD13" s="200"/>
      <c r="AE13" s="80"/>
      <c r="AF13" s="21"/>
      <c r="AG13" s="200" t="s">
        <v>97</v>
      </c>
      <c r="AH13" s="200"/>
      <c r="AI13" s="80"/>
      <c r="AJ13" s="21"/>
      <c r="AK13" s="200" t="s">
        <v>97</v>
      </c>
      <c r="AL13" s="200"/>
      <c r="AM13" s="80"/>
      <c r="AN13" s="21"/>
      <c r="AO13" s="200" t="s">
        <v>97</v>
      </c>
      <c r="AP13" s="200"/>
      <c r="AQ13" s="80"/>
      <c r="AR13" s="21"/>
      <c r="AS13" s="200" t="s">
        <v>97</v>
      </c>
      <c r="AT13" s="200"/>
      <c r="AU13" s="80"/>
    </row>
    <row r="14" spans="1:47" x14ac:dyDescent="0.4">
      <c r="B14" s="60">
        <v>45119</v>
      </c>
      <c r="C14" s="61">
        <v>3.5116860375620951E-2</v>
      </c>
      <c r="F14" s="62"/>
      <c r="G14" s="63">
        <v>87551624.498123333</v>
      </c>
      <c r="H14" s="62">
        <v>0.97490518279827487</v>
      </c>
      <c r="I14" s="60">
        <v>45119</v>
      </c>
      <c r="J14" s="61">
        <v>4.6403872001502471E-2</v>
      </c>
      <c r="M14" s="62"/>
      <c r="N14" s="63">
        <v>135637050.74347198</v>
      </c>
      <c r="O14" s="62">
        <v>0.97490518279827487</v>
      </c>
      <c r="P14" s="21"/>
      <c r="Q14" s="56" t="s">
        <v>95</v>
      </c>
      <c r="R14" s="57" t="s">
        <v>96</v>
      </c>
      <c r="S14" s="81"/>
      <c r="T14" s="21"/>
      <c r="U14" s="56" t="s">
        <v>95</v>
      </c>
      <c r="V14" s="57" t="s">
        <v>96</v>
      </c>
      <c r="W14" s="81"/>
      <c r="Y14" s="56" t="s">
        <v>95</v>
      </c>
      <c r="Z14" s="57" t="s">
        <v>96</v>
      </c>
      <c r="AA14" s="81"/>
      <c r="AB14" s="21"/>
      <c r="AC14" s="56" t="s">
        <v>95</v>
      </c>
      <c r="AD14" s="57" t="s">
        <v>96</v>
      </c>
      <c r="AE14" s="81"/>
      <c r="AF14" s="21"/>
      <c r="AG14" s="56" t="s">
        <v>95</v>
      </c>
      <c r="AH14" s="57" t="s">
        <v>96</v>
      </c>
      <c r="AI14" s="81"/>
      <c r="AJ14" s="21"/>
      <c r="AK14" s="56" t="s">
        <v>95</v>
      </c>
      <c r="AL14" s="57" t="s">
        <v>96</v>
      </c>
      <c r="AM14" s="81"/>
      <c r="AN14" s="21"/>
      <c r="AO14" s="56" t="s">
        <v>95</v>
      </c>
      <c r="AP14" s="57" t="s">
        <v>96</v>
      </c>
      <c r="AQ14" s="81"/>
      <c r="AR14" s="21"/>
      <c r="AS14" s="56" t="s">
        <v>95</v>
      </c>
      <c r="AT14" s="57" t="s">
        <v>96</v>
      </c>
      <c r="AU14" s="81"/>
    </row>
    <row r="15" spans="1:47" x14ac:dyDescent="0.4">
      <c r="B15" s="60">
        <v>45211</v>
      </c>
      <c r="C15" s="61">
        <v>3.6151483497887792E-2</v>
      </c>
      <c r="F15" s="62"/>
      <c r="G15" s="63">
        <v>91121547.446730912</v>
      </c>
      <c r="H15" s="62">
        <v>0.96608674191567756</v>
      </c>
      <c r="I15" s="60">
        <v>45211</v>
      </c>
      <c r="J15" s="61">
        <v>4.7004478424845023E-2</v>
      </c>
      <c r="M15" s="62"/>
      <c r="N15" s="63">
        <v>138641425.07084244</v>
      </c>
      <c r="O15" s="62">
        <v>0.96608674191567756</v>
      </c>
      <c r="P15" s="21"/>
      <c r="Q15" s="82">
        <v>2.7397260273972603E-3</v>
      </c>
      <c r="R15" s="74">
        <v>0</v>
      </c>
      <c r="U15" s="82">
        <v>0.25</v>
      </c>
      <c r="V15" s="74">
        <v>0</v>
      </c>
      <c r="Y15" s="82">
        <v>2.7397260273972603E-3</v>
      </c>
      <c r="Z15" s="74">
        <v>0</v>
      </c>
      <c r="AC15" s="82">
        <v>2.7397260273972603E-3</v>
      </c>
      <c r="AD15" s="74">
        <v>0</v>
      </c>
      <c r="AG15" s="82">
        <v>2.7397260273972603E-3</v>
      </c>
      <c r="AH15" s="74">
        <v>0</v>
      </c>
      <c r="AK15" s="82">
        <v>0.25</v>
      </c>
      <c r="AL15" s="74">
        <v>0</v>
      </c>
      <c r="AO15" s="82">
        <v>2.7397260273972603E-3</v>
      </c>
      <c r="AP15" s="74">
        <v>0</v>
      </c>
      <c r="AS15" s="82">
        <v>2.7397260273972603E-3</v>
      </c>
      <c r="AT15" s="74">
        <v>0</v>
      </c>
    </row>
    <row r="16" spans="1:47" x14ac:dyDescent="0.4">
      <c r="B16" s="60">
        <v>45303</v>
      </c>
      <c r="C16" s="61">
        <v>4.8114912696361416E-2</v>
      </c>
      <c r="F16" s="62"/>
      <c r="G16" s="63">
        <v>121275944.3305544</v>
      </c>
      <c r="H16" s="62">
        <v>0.95440015614647655</v>
      </c>
      <c r="I16" s="60">
        <v>45303</v>
      </c>
      <c r="J16" s="61">
        <v>4.4786663618115369E-2</v>
      </c>
      <c r="M16" s="62"/>
      <c r="N16" s="63">
        <v>133051316.51689336</v>
      </c>
      <c r="O16" s="62">
        <v>0.95440015614647655</v>
      </c>
      <c r="P16" s="21"/>
      <c r="Q16" s="82">
        <v>0.25</v>
      </c>
      <c r="R16" s="74">
        <v>0</v>
      </c>
      <c r="U16" s="82">
        <v>0.5</v>
      </c>
      <c r="V16" s="74">
        <v>0</v>
      </c>
      <c r="Y16" s="82">
        <v>0.25</v>
      </c>
      <c r="Z16" s="74">
        <v>0</v>
      </c>
      <c r="AC16" s="82">
        <v>0.25</v>
      </c>
      <c r="AD16" s="74">
        <v>0</v>
      </c>
      <c r="AG16" s="82">
        <v>0.25</v>
      </c>
      <c r="AH16" s="74">
        <v>0</v>
      </c>
      <c r="AK16" s="82">
        <v>0.5</v>
      </c>
      <c r="AL16" s="74">
        <v>0</v>
      </c>
      <c r="AO16" s="82">
        <v>0.25</v>
      </c>
      <c r="AP16" s="74">
        <v>0</v>
      </c>
      <c r="AS16" s="82">
        <v>0.25</v>
      </c>
      <c r="AT16" s="74">
        <v>0</v>
      </c>
    </row>
    <row r="17" spans="2:46" x14ac:dyDescent="0.4">
      <c r="B17" s="60">
        <v>45394</v>
      </c>
      <c r="C17" s="61">
        <v>5.4052788150362144E-2</v>
      </c>
      <c r="F17" s="62"/>
      <c r="G17" s="63">
        <v>134761745.79953253</v>
      </c>
      <c r="H17" s="62">
        <v>0.94169067130477691</v>
      </c>
      <c r="I17" s="60">
        <v>45394</v>
      </c>
      <c r="J17" s="61">
        <v>4.4364602949403163E-2</v>
      </c>
      <c r="M17" s="62"/>
      <c r="N17" s="63">
        <v>130552845.70947072</v>
      </c>
      <c r="O17" s="62">
        <v>0.94169067130477691</v>
      </c>
      <c r="P17" s="21"/>
      <c r="Q17" s="82">
        <v>0.5</v>
      </c>
      <c r="R17" s="74">
        <v>0</v>
      </c>
      <c r="U17" s="82">
        <v>1</v>
      </c>
      <c r="V17" s="74">
        <v>0</v>
      </c>
      <c r="Y17" s="82">
        <v>0.5</v>
      </c>
      <c r="Z17" s="74">
        <v>0</v>
      </c>
      <c r="AC17" s="82">
        <v>0.5</v>
      </c>
      <c r="AD17" s="74">
        <v>0</v>
      </c>
      <c r="AG17" s="82">
        <v>0.5</v>
      </c>
      <c r="AH17" s="74">
        <v>0</v>
      </c>
      <c r="AK17" s="82">
        <v>1</v>
      </c>
      <c r="AL17" s="74">
        <v>0</v>
      </c>
      <c r="AO17" s="82">
        <v>0.5</v>
      </c>
      <c r="AP17" s="74">
        <v>0</v>
      </c>
      <c r="AS17" s="82">
        <v>0.5</v>
      </c>
      <c r="AT17" s="74">
        <v>0</v>
      </c>
    </row>
    <row r="18" spans="2:46" x14ac:dyDescent="0.4">
      <c r="B18" s="60">
        <v>45485</v>
      </c>
      <c r="C18" s="61">
        <v>4.8470636634928441E-2</v>
      </c>
      <c r="F18" s="62"/>
      <c r="G18" s="63">
        <v>120844600.92543764</v>
      </c>
      <c r="H18" s="62">
        <v>0.93051914532059699</v>
      </c>
      <c r="I18" s="60">
        <v>45485</v>
      </c>
      <c r="J18" s="61">
        <v>4.4013818412834617E-2</v>
      </c>
      <c r="M18" s="62"/>
      <c r="N18" s="63">
        <v>129678287.00186148</v>
      </c>
      <c r="O18" s="62">
        <v>0.93051914532059699</v>
      </c>
      <c r="P18" s="21"/>
      <c r="Q18" s="82">
        <v>1</v>
      </c>
      <c r="R18" s="74">
        <v>0</v>
      </c>
      <c r="U18" s="82">
        <v>2</v>
      </c>
      <c r="V18" s="74">
        <v>0</v>
      </c>
      <c r="Y18" s="82">
        <v>1</v>
      </c>
      <c r="Z18" s="74">
        <v>0</v>
      </c>
      <c r="AC18" s="82">
        <v>1</v>
      </c>
      <c r="AD18" s="74">
        <v>0</v>
      </c>
      <c r="AG18" s="82">
        <v>1</v>
      </c>
      <c r="AH18" s="74">
        <v>0</v>
      </c>
      <c r="AK18" s="82">
        <v>2</v>
      </c>
      <c r="AL18" s="74">
        <v>0</v>
      </c>
      <c r="AO18" s="82">
        <v>1</v>
      </c>
      <c r="AP18" s="74">
        <v>0</v>
      </c>
      <c r="AS18" s="82">
        <v>1</v>
      </c>
      <c r="AT18" s="74">
        <v>0</v>
      </c>
    </row>
    <row r="19" spans="2:46" x14ac:dyDescent="0.4">
      <c r="B19" s="60">
        <v>45577</v>
      </c>
      <c r="C19" s="61">
        <v>5.0561116283765951E-2</v>
      </c>
      <c r="F19" s="62"/>
      <c r="G19" s="63">
        <v>127441717.75634174</v>
      </c>
      <c r="H19" s="62">
        <v>0.91885517942115502</v>
      </c>
      <c r="I19" s="60">
        <v>45577</v>
      </c>
      <c r="J19" s="61">
        <v>4.3698993930962639E-2</v>
      </c>
      <c r="M19" s="62"/>
      <c r="N19" s="63">
        <v>130309792.92187831</v>
      </c>
      <c r="O19" s="62">
        <v>0.91885517942115502</v>
      </c>
      <c r="P19" s="21"/>
      <c r="Q19" s="82">
        <v>1.5</v>
      </c>
      <c r="R19" s="74">
        <v>0</v>
      </c>
      <c r="U19" s="82">
        <v>3</v>
      </c>
      <c r="V19" s="74">
        <v>0</v>
      </c>
      <c r="Y19" s="82">
        <v>1.5</v>
      </c>
      <c r="Z19" s="74">
        <v>0</v>
      </c>
      <c r="AC19" s="82">
        <v>1.5</v>
      </c>
      <c r="AD19" s="74">
        <v>0</v>
      </c>
      <c r="AG19" s="82">
        <v>1.5</v>
      </c>
      <c r="AH19" s="74">
        <v>0</v>
      </c>
      <c r="AK19" s="82">
        <v>3</v>
      </c>
      <c r="AL19" s="74">
        <v>0</v>
      </c>
      <c r="AO19" s="82">
        <v>1.5</v>
      </c>
      <c r="AP19" s="74">
        <v>0</v>
      </c>
      <c r="AS19" s="82">
        <v>1.5</v>
      </c>
      <c r="AT19" s="74">
        <v>0</v>
      </c>
    </row>
    <row r="20" spans="2:46" x14ac:dyDescent="0.4">
      <c r="B20" s="60">
        <v>45669</v>
      </c>
      <c r="C20" s="61">
        <v>4.34859965228604E-2</v>
      </c>
      <c r="F20" s="62"/>
      <c r="G20" s="64">
        <v>109608539.18090808</v>
      </c>
      <c r="H20" s="62">
        <v>0.90899688723360539</v>
      </c>
      <c r="I20" s="60">
        <v>45669</v>
      </c>
      <c r="J20" s="61">
        <v>4.4905992341056362E-2</v>
      </c>
      <c r="M20" s="62"/>
      <c r="N20" s="64">
        <v>133352090.28430681</v>
      </c>
      <c r="O20" s="62">
        <v>0.90899688723360539</v>
      </c>
      <c r="P20" s="21"/>
      <c r="Q20" s="82">
        <v>2</v>
      </c>
      <c r="R20" s="74">
        <v>0</v>
      </c>
      <c r="U20" s="82">
        <v>5</v>
      </c>
      <c r="V20" s="74">
        <v>0</v>
      </c>
      <c r="Y20" s="82">
        <v>2</v>
      </c>
      <c r="Z20" s="74">
        <v>0</v>
      </c>
      <c r="AC20" s="82">
        <v>2</v>
      </c>
      <c r="AD20" s="74">
        <v>0</v>
      </c>
      <c r="AG20" s="82">
        <v>2</v>
      </c>
      <c r="AH20" s="74">
        <v>0</v>
      </c>
      <c r="AK20" s="82">
        <v>5</v>
      </c>
      <c r="AL20" s="74">
        <v>0</v>
      </c>
      <c r="AO20" s="82">
        <v>2</v>
      </c>
      <c r="AP20" s="74">
        <v>0</v>
      </c>
      <c r="AS20" s="82">
        <v>2</v>
      </c>
      <c r="AT20" s="74">
        <v>0</v>
      </c>
    </row>
    <row r="21" spans="2:46" x14ac:dyDescent="0.4">
      <c r="B21" s="60">
        <v>45759</v>
      </c>
      <c r="C21" s="61">
        <v>4.3477834075851006E-2</v>
      </c>
      <c r="F21" s="62"/>
      <c r="G21" s="64">
        <v>107205618.26922169</v>
      </c>
      <c r="H21" s="62">
        <v>0.8994081619288582</v>
      </c>
      <c r="I21" s="60">
        <v>45759</v>
      </c>
      <c r="J21" s="61">
        <v>4.4907425800655529E-2</v>
      </c>
      <c r="M21" s="62"/>
      <c r="N21" s="64">
        <v>130456666.35778049</v>
      </c>
      <c r="O21" s="62">
        <v>0.8994081619288582</v>
      </c>
      <c r="P21" s="21"/>
      <c r="Q21" s="82">
        <v>2</v>
      </c>
      <c r="R21" s="74">
        <v>0</v>
      </c>
      <c r="U21" s="82">
        <v>7</v>
      </c>
      <c r="V21" s="74">
        <v>0</v>
      </c>
      <c r="Y21" s="82">
        <v>3</v>
      </c>
      <c r="Z21" s="74">
        <v>0</v>
      </c>
      <c r="AC21" s="82">
        <v>3</v>
      </c>
      <c r="AD21" s="74">
        <v>0</v>
      </c>
      <c r="AG21" s="82">
        <v>2</v>
      </c>
      <c r="AH21" s="74">
        <v>0</v>
      </c>
      <c r="AK21" s="82">
        <v>7</v>
      </c>
      <c r="AL21" s="74">
        <v>0</v>
      </c>
      <c r="AO21" s="82">
        <v>3</v>
      </c>
      <c r="AP21" s="74">
        <v>0</v>
      </c>
      <c r="AS21" s="82">
        <v>3</v>
      </c>
      <c r="AT21" s="74">
        <v>0</v>
      </c>
    </row>
    <row r="22" spans="2:46" x14ac:dyDescent="0.4">
      <c r="B22" s="60">
        <v>45850</v>
      </c>
      <c r="C22" s="61">
        <v>4.3689544135169803E-2</v>
      </c>
      <c r="F22" s="62"/>
      <c r="G22" s="64">
        <v>108924616.88494352</v>
      </c>
      <c r="H22" s="62">
        <v>0.88977910719145414</v>
      </c>
      <c r="I22" s="60">
        <v>45850</v>
      </c>
      <c r="J22" s="61">
        <v>4.4984522336349995E-2</v>
      </c>
      <c r="M22" s="62"/>
      <c r="N22" s="64">
        <v>132098398.15363975</v>
      </c>
      <c r="O22" s="62">
        <v>0.88977910719145414</v>
      </c>
      <c r="P22" s="21"/>
      <c r="Q22" s="82">
        <v>3</v>
      </c>
      <c r="R22" s="74">
        <v>0</v>
      </c>
      <c r="U22" s="82">
        <v>10</v>
      </c>
      <c r="V22" s="74">
        <v>0</v>
      </c>
      <c r="Y22" s="82">
        <v>4</v>
      </c>
      <c r="Z22" s="74">
        <v>0</v>
      </c>
      <c r="AC22" s="82">
        <v>4</v>
      </c>
      <c r="AD22" s="74">
        <v>0</v>
      </c>
      <c r="AG22" s="82">
        <v>3</v>
      </c>
      <c r="AH22" s="74">
        <v>0</v>
      </c>
      <c r="AK22" s="82">
        <v>10</v>
      </c>
      <c r="AL22" s="74">
        <v>0</v>
      </c>
      <c r="AO22" s="82">
        <v>4</v>
      </c>
      <c r="AP22" s="74">
        <v>0</v>
      </c>
      <c r="AS22" s="82">
        <v>4</v>
      </c>
      <c r="AT22" s="74">
        <v>0</v>
      </c>
    </row>
    <row r="23" spans="2:46" x14ac:dyDescent="0.4">
      <c r="B23" s="60">
        <v>45942</v>
      </c>
      <c r="C23" s="61">
        <v>4.3854410677064033E-2</v>
      </c>
      <c r="F23" s="62"/>
      <c r="G23" s="64">
        <v>110537144.72027025</v>
      </c>
      <c r="H23" s="62">
        <v>0.88012461491202887</v>
      </c>
      <c r="I23" s="60">
        <v>45942</v>
      </c>
      <c r="J23" s="61">
        <v>4.5071242172051239E-2</v>
      </c>
      <c r="M23" s="62"/>
      <c r="N23" s="64">
        <v>133768610.40626633</v>
      </c>
      <c r="O23" s="62">
        <v>0.88012461491202887</v>
      </c>
      <c r="P23" s="21"/>
      <c r="Q23" s="82">
        <v>4</v>
      </c>
      <c r="R23" s="74">
        <v>0</v>
      </c>
      <c r="U23" s="82">
        <v>20</v>
      </c>
      <c r="V23" s="74">
        <v>0</v>
      </c>
      <c r="Y23" s="82">
        <v>5</v>
      </c>
      <c r="Z23" s="74">
        <v>0</v>
      </c>
      <c r="AC23" s="82">
        <v>5</v>
      </c>
      <c r="AD23" s="74">
        <v>0</v>
      </c>
      <c r="AG23" s="82">
        <v>4</v>
      </c>
      <c r="AH23" s="74">
        <v>0</v>
      </c>
      <c r="AK23" s="82">
        <v>20</v>
      </c>
      <c r="AL23" s="74">
        <v>0</v>
      </c>
      <c r="AO23" s="82">
        <v>5</v>
      </c>
      <c r="AP23" s="74">
        <v>0</v>
      </c>
      <c r="AS23" s="82">
        <v>5</v>
      </c>
      <c r="AT23" s="74">
        <v>0</v>
      </c>
    </row>
    <row r="24" spans="2:46" x14ac:dyDescent="0.4">
      <c r="B24" s="60">
        <v>46034</v>
      </c>
      <c r="C24" s="61">
        <v>4.6263056275659208E-2</v>
      </c>
      <c r="F24" s="62"/>
      <c r="G24" s="64">
        <v>116608251.43453845</v>
      </c>
      <c r="H24" s="62">
        <v>0.87005078021321913</v>
      </c>
      <c r="I24" s="60">
        <v>46034</v>
      </c>
      <c r="J24" s="61">
        <v>4.1973283815309181E-2</v>
      </c>
      <c r="M24" s="62"/>
      <c r="N24" s="64">
        <v>125960057.83584751</v>
      </c>
      <c r="O24" s="62">
        <v>0.87005078021321913</v>
      </c>
      <c r="P24" s="21"/>
      <c r="Q24" s="82">
        <v>5</v>
      </c>
      <c r="R24" s="74">
        <v>0</v>
      </c>
      <c r="U24" s="82">
        <v>30</v>
      </c>
      <c r="V24" s="74">
        <v>0</v>
      </c>
      <c r="Y24" s="82">
        <v>6</v>
      </c>
      <c r="Z24" s="74">
        <v>0</v>
      </c>
      <c r="AC24" s="82">
        <v>6</v>
      </c>
      <c r="AD24" s="74">
        <v>0</v>
      </c>
      <c r="AG24" s="82">
        <v>5</v>
      </c>
      <c r="AH24" s="74">
        <v>0</v>
      </c>
      <c r="AK24" s="82">
        <v>30</v>
      </c>
      <c r="AL24" s="74">
        <v>0</v>
      </c>
      <c r="AO24" s="82">
        <v>6</v>
      </c>
      <c r="AP24" s="74">
        <v>0</v>
      </c>
      <c r="AS24" s="82">
        <v>6</v>
      </c>
      <c r="AT24" s="74">
        <v>0</v>
      </c>
    </row>
    <row r="25" spans="2:46" x14ac:dyDescent="0.4">
      <c r="B25" s="60">
        <v>46124</v>
      </c>
      <c r="C25" s="61">
        <v>4.688531006228619E-2</v>
      </c>
      <c r="F25" s="62"/>
      <c r="G25" s="64">
        <v>115607613.85221279</v>
      </c>
      <c r="H25" s="62">
        <v>0.86020415485029611</v>
      </c>
      <c r="I25" s="60">
        <v>46124</v>
      </c>
      <c r="J25" s="61">
        <v>4.1480369915493809E-2</v>
      </c>
      <c r="M25" s="62"/>
      <c r="N25" s="64">
        <v>122006391.57245061</v>
      </c>
      <c r="O25" s="62">
        <v>0.86020415485029611</v>
      </c>
      <c r="P25" s="21"/>
      <c r="Q25" s="82">
        <v>10</v>
      </c>
      <c r="R25" s="74">
        <v>0</v>
      </c>
      <c r="Y25" s="82">
        <v>7</v>
      </c>
      <c r="Z25" s="74">
        <v>0</v>
      </c>
      <c r="AC25" s="82">
        <v>7</v>
      </c>
      <c r="AD25" s="74">
        <v>0</v>
      </c>
      <c r="AG25" s="82">
        <v>10</v>
      </c>
      <c r="AH25" s="74">
        <v>0</v>
      </c>
      <c r="AO25" s="82">
        <v>7</v>
      </c>
      <c r="AP25" s="74">
        <v>0</v>
      </c>
      <c r="AS25" s="82">
        <v>7</v>
      </c>
      <c r="AT25" s="74">
        <v>0</v>
      </c>
    </row>
    <row r="26" spans="2:46" x14ac:dyDescent="0.4">
      <c r="B26" s="60">
        <v>46215</v>
      </c>
      <c r="C26" s="61">
        <v>4.7443446845845318E-2</v>
      </c>
      <c r="F26" s="62"/>
      <c r="G26" s="64">
        <v>118283661.99923053</v>
      </c>
      <c r="H26" s="62">
        <v>0.85026507282112718</v>
      </c>
      <c r="I26" s="60">
        <v>46215</v>
      </c>
      <c r="J26" s="61">
        <v>4.1085756237163776E-2</v>
      </c>
      <c r="M26" s="62"/>
      <c r="N26" s="64">
        <v>122378186.78306571</v>
      </c>
      <c r="O26" s="62">
        <v>0.85026507282112718</v>
      </c>
      <c r="P26" s="21"/>
      <c r="Q26" s="82">
        <v>20</v>
      </c>
      <c r="R26" s="74">
        <v>0</v>
      </c>
      <c r="Y26" s="82">
        <v>8</v>
      </c>
      <c r="Z26" s="74">
        <v>0</v>
      </c>
      <c r="AC26" s="82">
        <v>8</v>
      </c>
      <c r="AD26" s="74">
        <v>0</v>
      </c>
      <c r="AG26" s="82">
        <v>20</v>
      </c>
      <c r="AH26" s="74">
        <v>0</v>
      </c>
      <c r="AO26" s="82">
        <v>8</v>
      </c>
      <c r="AP26" s="74">
        <v>0</v>
      </c>
      <c r="AS26" s="82">
        <v>8</v>
      </c>
      <c r="AT26" s="74">
        <v>0</v>
      </c>
    </row>
    <row r="27" spans="2:46" x14ac:dyDescent="0.4">
      <c r="B27" s="60">
        <v>46307</v>
      </c>
      <c r="C27" s="61">
        <v>4.8036504596230399E-2</v>
      </c>
      <c r="F27" s="62"/>
      <c r="G27" s="64">
        <v>121078312.95488177</v>
      </c>
      <c r="H27" s="62">
        <v>0.84024033088210892</v>
      </c>
      <c r="I27" s="60">
        <v>46307</v>
      </c>
      <c r="J27" s="61">
        <v>4.0636577232574002E-2</v>
      </c>
      <c r="M27" s="62"/>
      <c r="N27" s="64">
        <v>122590824.80539219</v>
      </c>
      <c r="O27" s="62">
        <v>0.84024033088210892</v>
      </c>
      <c r="P27" s="21"/>
      <c r="Q27" s="82">
        <v>30</v>
      </c>
      <c r="R27" s="74">
        <v>0</v>
      </c>
      <c r="Y27" s="82">
        <v>9</v>
      </c>
      <c r="Z27" s="74">
        <v>0</v>
      </c>
      <c r="AC27" s="82">
        <v>9</v>
      </c>
      <c r="AD27" s="74">
        <v>0</v>
      </c>
      <c r="AG27" s="82">
        <v>30</v>
      </c>
      <c r="AH27" s="74">
        <v>0</v>
      </c>
      <c r="AO27" s="82">
        <v>9</v>
      </c>
      <c r="AP27" s="74">
        <v>0</v>
      </c>
      <c r="AS27" s="82">
        <v>9</v>
      </c>
      <c r="AT27" s="74">
        <v>0</v>
      </c>
    </row>
    <row r="28" spans="2:46" x14ac:dyDescent="0.4">
      <c r="B28" s="60">
        <v>46399</v>
      </c>
      <c r="C28" s="61">
        <v>4.2197475128997901E-2</v>
      </c>
      <c r="F28" s="62"/>
      <c r="G28" s="64">
        <v>106360759.22925539</v>
      </c>
      <c r="H28" s="62">
        <v>0.83158550800873599</v>
      </c>
      <c r="I28" s="60">
        <v>46399</v>
      </c>
      <c r="J28" s="61">
        <v>4.0135241086231559E-2</v>
      </c>
      <c r="M28" s="62"/>
      <c r="N28" s="64">
        <v>121327183.01187176</v>
      </c>
      <c r="O28" s="62">
        <v>0.83158550800873599</v>
      </c>
      <c r="P28" s="21"/>
      <c r="Y28" s="82">
        <v>10</v>
      </c>
      <c r="Z28" s="74">
        <v>0</v>
      </c>
      <c r="AC28" s="82">
        <v>10</v>
      </c>
      <c r="AD28" s="74">
        <v>0</v>
      </c>
      <c r="AO28" s="82">
        <v>10</v>
      </c>
      <c r="AP28" s="74">
        <v>0</v>
      </c>
      <c r="AS28" s="82">
        <v>10</v>
      </c>
      <c r="AT28" s="74">
        <v>0</v>
      </c>
    </row>
    <row r="29" spans="2:46" x14ac:dyDescent="0.4">
      <c r="B29" s="60">
        <v>46489</v>
      </c>
      <c r="C29" s="61">
        <v>4.1971966768621152E-2</v>
      </c>
      <c r="F29" s="62"/>
      <c r="G29" s="64">
        <v>103492520.79933871</v>
      </c>
      <c r="H29" s="62">
        <v>0.82322775228881362</v>
      </c>
      <c r="I29" s="60">
        <v>46489</v>
      </c>
      <c r="J29" s="61">
        <v>3.9788822812066228E-2</v>
      </c>
      <c r="M29" s="62"/>
      <c r="N29" s="64">
        <v>117835453.5092044</v>
      </c>
      <c r="O29" s="62">
        <v>0.82322775228881362</v>
      </c>
      <c r="P29" s="21"/>
      <c r="Y29" s="82">
        <v>12</v>
      </c>
      <c r="Z29" s="74">
        <v>0</v>
      </c>
      <c r="AC29" s="82">
        <v>12</v>
      </c>
      <c r="AD29" s="74">
        <v>0</v>
      </c>
      <c r="AO29" s="82">
        <v>12</v>
      </c>
      <c r="AP29" s="74">
        <v>0</v>
      </c>
      <c r="AS29" s="82">
        <v>12</v>
      </c>
      <c r="AT29" s="74">
        <v>0</v>
      </c>
    </row>
    <row r="30" spans="2:46" x14ac:dyDescent="0.4">
      <c r="B30" s="60">
        <v>46580</v>
      </c>
      <c r="C30" s="61">
        <v>4.1798657018801144E-2</v>
      </c>
      <c r="F30" s="62"/>
      <c r="G30" s="64">
        <v>104210350.37564053</v>
      </c>
      <c r="H30" s="62">
        <v>0.8149343220285401</v>
      </c>
      <c r="I30" s="60">
        <v>46580</v>
      </c>
      <c r="J30" s="61">
        <v>3.928747401095227E-2</v>
      </c>
      <c r="M30" s="62"/>
      <c r="N30" s="64">
        <v>117894798.21908604</v>
      </c>
      <c r="O30" s="62">
        <v>0.8149343220285401</v>
      </c>
      <c r="P30" s="21"/>
      <c r="Y30" s="82">
        <v>15</v>
      </c>
      <c r="Z30" s="74">
        <v>0</v>
      </c>
      <c r="AC30" s="82">
        <v>15</v>
      </c>
      <c r="AD30" s="74">
        <v>0</v>
      </c>
      <c r="AO30" s="82">
        <v>15</v>
      </c>
      <c r="AP30" s="74">
        <v>0</v>
      </c>
      <c r="AS30" s="82">
        <v>15</v>
      </c>
      <c r="AT30" s="74">
        <v>0</v>
      </c>
    </row>
    <row r="31" spans="2:46" x14ac:dyDescent="0.4">
      <c r="B31" s="60">
        <v>46672</v>
      </c>
      <c r="C31" s="61">
        <v>4.1670228728698508E-2</v>
      </c>
      <c r="F31" s="62"/>
      <c r="G31" s="64">
        <v>105031809.39836319</v>
      </c>
      <c r="H31" s="62">
        <v>0.80667544878716724</v>
      </c>
      <c r="I31" s="60">
        <v>46672</v>
      </c>
      <c r="J31" s="61">
        <v>3.8836356487568578E-2</v>
      </c>
      <c r="M31" s="62"/>
      <c r="N31" s="64">
        <v>118053282.10565215</v>
      </c>
      <c r="O31" s="62">
        <v>0.80667544878716724</v>
      </c>
      <c r="P31" s="21"/>
      <c r="Y31" s="82">
        <v>20</v>
      </c>
      <c r="Z31" s="74">
        <v>0</v>
      </c>
      <c r="AC31" s="82">
        <v>20</v>
      </c>
      <c r="AD31" s="74">
        <v>0</v>
      </c>
      <c r="AO31" s="82">
        <v>20</v>
      </c>
      <c r="AP31" s="74">
        <v>0</v>
      </c>
      <c r="AS31" s="82">
        <v>20</v>
      </c>
      <c r="AT31" s="74">
        <v>0</v>
      </c>
    </row>
    <row r="32" spans="2:46" x14ac:dyDescent="0.4">
      <c r="B32" s="60">
        <v>46764</v>
      </c>
      <c r="C32" s="61">
        <v>4.4264779290777365E-2</v>
      </c>
      <c r="F32" s="62"/>
      <c r="G32" s="64">
        <v>111571498.48634245</v>
      </c>
      <c r="H32" s="62">
        <v>0.7980083533214356</v>
      </c>
      <c r="I32" s="60">
        <v>46764</v>
      </c>
      <c r="J32" s="61">
        <v>4.1452048171934375E-2</v>
      </c>
      <c r="M32" s="62"/>
      <c r="N32" s="64">
        <v>124646258.40597157</v>
      </c>
      <c r="O32" s="62">
        <v>0.7980083533214356</v>
      </c>
      <c r="P32" s="21"/>
    </row>
    <row r="33" spans="2:16" x14ac:dyDescent="0.4">
      <c r="B33" s="60"/>
      <c r="F33" s="62"/>
      <c r="G33" s="64"/>
      <c r="H33" s="62"/>
      <c r="I33" s="60"/>
      <c r="M33" s="62"/>
      <c r="N33" s="64"/>
      <c r="O33" s="62"/>
      <c r="P33" s="21"/>
    </row>
  </sheetData>
  <mergeCells count="31"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Q10:R10"/>
    <mergeCell ref="Q13:R13"/>
    <mergeCell ref="U10:V10"/>
    <mergeCell ref="U13:V13"/>
    <mergeCell ref="Y10:Z10"/>
    <mergeCell ref="Y13:Z1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2023-01-01T23:11:34Z</dcterms:modified>
</cp:coreProperties>
</file>