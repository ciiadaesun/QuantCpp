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<sst xmlns="http://schemas.openxmlformats.org/spreadsheetml/2006/main" count="254" uniqueCount="111">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</sst>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G5" sqref="G5:G40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1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0.01</v>
      </c>
      <c r="J9" s="78">
        <v>0.01</v>
      </c>
      <c r="K9" s="78">
        <v>0.9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0.5</v>
      </c>
      <c r="I11" s="81">
        <v>1.3219156796420429E-2</v>
      </c>
      <c r="J11" s="82">
        <v>6.4941910411635932E-3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0.5</v>
      </c>
      <c r="W11" s="8">
        <v>0.29149999999999998</v>
      </c>
      <c r="X11" s="8">
        <v>0.30049999999999999</v>
      </c>
      <c r="Y11" s="8">
        <v>0.29799999999999999</v>
      </c>
      <c r="Z11" s="8">
        <v>0.29612499999999997</v>
      </c>
      <c r="AA11" s="8">
        <v>0.295875</v>
      </c>
      <c r="AB11" s="8">
        <v>0.29459374999999999</v>
      </c>
      <c r="AC11" s="8">
        <v>0.29212499999999997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1</v>
      </c>
      <c r="I12" s="81">
        <v>1.3366790318947351E-2</v>
      </c>
      <c r="J12" s="82">
        <v>5.5944374778427123E-3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1</v>
      </c>
      <c r="W12" s="8">
        <v>0.29549999999999998</v>
      </c>
      <c r="X12" s="8">
        <v>0.30149999999999999</v>
      </c>
      <c r="Y12" s="8">
        <v>0.29549999999999998</v>
      </c>
      <c r="Z12" s="8">
        <v>0.29425000000000001</v>
      </c>
      <c r="AA12" s="8">
        <v>0.29562500000000003</v>
      </c>
      <c r="AB12" s="8">
        <v>0.29331249999999998</v>
      </c>
      <c r="AC12" s="8">
        <v>0.28965624999999995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6"/>
      <c r="H13" s="80">
        <v>1.5</v>
      </c>
      <c r="I13" s="81">
        <v>1.2363773728836739E-2</v>
      </c>
      <c r="J13" s="82">
        <v>5.0282206606550826E-3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1.5</v>
      </c>
      <c r="W13" s="8">
        <v>0.30300000000000005</v>
      </c>
      <c r="X13" s="8">
        <v>0.30800000000000005</v>
      </c>
      <c r="Y13" s="8">
        <v>0.28949999999999998</v>
      </c>
      <c r="Z13" s="8">
        <v>0.29299999999999998</v>
      </c>
      <c r="AA13" s="8">
        <v>0.29699999999999999</v>
      </c>
      <c r="AB13" s="8">
        <v>0.29099999999999998</v>
      </c>
      <c r="AC13" s="8">
        <v>0.28599999999999998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6"/>
      <c r="H14" s="80">
        <v>2</v>
      </c>
      <c r="I14" s="81">
        <v>1.2065903707004546E-2</v>
      </c>
      <c r="J14" s="82">
        <v>4.4252647022282668E-3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2</v>
      </c>
      <c r="W14" s="8">
        <v>0.314</v>
      </c>
      <c r="X14" s="8">
        <v>0.3155</v>
      </c>
      <c r="Y14" s="8">
        <v>0.29199999999999998</v>
      </c>
      <c r="Z14" s="8">
        <v>0.29249999999999998</v>
      </c>
      <c r="AA14" s="8">
        <v>0.29299999999999998</v>
      </c>
      <c r="AB14" s="8">
        <v>0.28699999999999998</v>
      </c>
      <c r="AC14" s="8">
        <v>0.28199999999999997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6"/>
      <c r="H15" s="80">
        <v>3</v>
      </c>
      <c r="I15" s="81">
        <v>1.203838400260015E-2</v>
      </c>
      <c r="J15" s="82">
        <v>4.8344837621659541E-3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3</v>
      </c>
      <c r="W15" s="8">
        <v>0.32250000000000001</v>
      </c>
      <c r="X15" s="8">
        <v>0.3165</v>
      </c>
      <c r="Y15" s="8">
        <v>0.29249999999999998</v>
      </c>
      <c r="Z15" s="8">
        <v>0.28899999999999998</v>
      </c>
      <c r="AA15" s="8">
        <v>0.28549999999999998</v>
      </c>
      <c r="AB15" s="8">
        <v>0.28199999999999997</v>
      </c>
      <c r="AC15" s="8">
        <v>0.28000000000000003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5.3100000000000001E-2</v>
      </c>
      <c r="G16" s="96"/>
      <c r="H16" s="80">
        <v>4</v>
      </c>
      <c r="I16" s="81">
        <v>1.178692417605914E-2</v>
      </c>
      <c r="J16" s="82">
        <v>4.5791631520868317E-3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4</v>
      </c>
      <c r="W16" s="8">
        <v>0.31900000000000001</v>
      </c>
      <c r="X16" s="8">
        <v>0.3155</v>
      </c>
      <c r="Y16" s="8">
        <v>0.29049999999999998</v>
      </c>
      <c r="Z16" s="8">
        <v>0.28599999999999998</v>
      </c>
      <c r="AA16" s="8">
        <v>0.28199999999999997</v>
      </c>
      <c r="AB16" s="8">
        <v>0.28000000000000003</v>
      </c>
      <c r="AC16" s="8">
        <v>0.27800000000000002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44959.977418981478</v>
      </c>
      <c r="E17" s="105"/>
      <c r="G17" s="96"/>
      <c r="H17" s="80">
        <v>5</v>
      </c>
      <c r="I17" s="81">
        <v>1.2600310785032589E-2</v>
      </c>
      <c r="J17" s="82">
        <v>5.089077206304974E-3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5</v>
      </c>
      <c r="W17" s="8">
        <v>0.32300000000000001</v>
      </c>
      <c r="X17" s="8">
        <v>0.3155</v>
      </c>
      <c r="Y17" s="8">
        <v>0.29199999999999998</v>
      </c>
      <c r="Z17" s="8">
        <v>0.28749999999999998</v>
      </c>
      <c r="AA17" s="8">
        <v>0.28300000000000003</v>
      </c>
      <c r="AB17" s="8">
        <v>0.28199999999999997</v>
      </c>
      <c r="AC17" s="8">
        <v>0.27900000000000003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44959.977418981478</v>
      </c>
      <c r="E18" s="105"/>
      <c r="G18" s="96"/>
      <c r="H18" s="80">
        <v>7</v>
      </c>
      <c r="I18" s="81">
        <v>1.1460311293392188E-2</v>
      </c>
      <c r="J18" s="82">
        <v>4.9058414092365346E-3</v>
      </c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>
        <v>7</v>
      </c>
      <c r="W18" s="8">
        <v>0.311</v>
      </c>
      <c r="X18" s="8">
        <v>0.3085</v>
      </c>
      <c r="Y18" s="8">
        <v>0.28599999999999998</v>
      </c>
      <c r="Z18" s="8">
        <v>0.28349999999999997</v>
      </c>
      <c r="AA18" s="8">
        <v>0.28000000000000003</v>
      </c>
      <c r="AB18" s="8">
        <v>0.27800000000000002</v>
      </c>
      <c r="AC18" s="8">
        <v>0.27400000000000002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>
        <v>10</v>
      </c>
      <c r="I19" s="81">
        <v>1.0977718963818184E-2</v>
      </c>
      <c r="J19" s="82">
        <v>4.6502249518207816E-3</v>
      </c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>
        <v>10</v>
      </c>
      <c r="W19" s="8">
        <v>0.311</v>
      </c>
      <c r="X19" s="8">
        <v>0.3095</v>
      </c>
      <c r="Y19" s="8">
        <v>0.28599999999999998</v>
      </c>
      <c r="Z19" s="8">
        <v>0.28349999999999997</v>
      </c>
      <c r="AA19" s="8">
        <v>0.28000000000000003</v>
      </c>
      <c r="AB19" s="8">
        <v>0.27699999999999997</v>
      </c>
      <c r="AC19" s="8">
        <v>0.26800000000000002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6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9.8470279485373229E-3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0.5</v>
      </c>
      <c r="I61" s="81">
        <v>1.060372831437008E-2</v>
      </c>
      <c r="J61" s="82">
        <v>6.9667745453369486E-3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0.5</v>
      </c>
      <c r="W61" s="8">
        <v>0.29434168787402887</v>
      </c>
      <c r="X61" s="8">
        <v>0.30331660541725325</v>
      </c>
      <c r="Y61" s="8">
        <v>0.30058675746783731</v>
      </c>
      <c r="Z61" s="8">
        <v>0.29892354593785941</v>
      </c>
      <c r="AA61" s="8">
        <v>0.29900186783208377</v>
      </c>
      <c r="AB61" s="8">
        <v>0.29710065479911291</v>
      </c>
      <c r="AC61" s="8">
        <v>0.29499752732323348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1</v>
      </c>
      <c r="I62" s="81">
        <v>9.4873385758715532E-3</v>
      </c>
      <c r="J62" s="82">
        <v>5.7206620693692079E-3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1</v>
      </c>
      <c r="W62" s="8">
        <v>0.29711575189940853</v>
      </c>
      <c r="X62" s="8">
        <v>0.30223277511673557</v>
      </c>
      <c r="Y62" s="8">
        <v>0.29785690951842136</v>
      </c>
      <c r="Z62" s="8">
        <v>0.29726033440788158</v>
      </c>
      <c r="AA62" s="8">
        <v>0.29908018972630812</v>
      </c>
      <c r="AB62" s="8">
        <v>0.29519944176614205</v>
      </c>
      <c r="AC62" s="8">
        <v>0.29289439984735399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6"/>
      <c r="H63" s="80">
        <v>1.5</v>
      </c>
      <c r="I63" s="81">
        <v>9.2034276800541642E-3</v>
      </c>
      <c r="J63" s="82">
        <v>5.4496805567415506E-3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1.5</v>
      </c>
      <c r="W63" s="8">
        <v>0.29748633070891495</v>
      </c>
      <c r="X63" s="8">
        <v>0.29785690951842136</v>
      </c>
      <c r="Y63" s="8">
        <v>0.29348104392010715</v>
      </c>
      <c r="Z63" s="8">
        <v>0.29666375929734184</v>
      </c>
      <c r="AA63" s="8">
        <v>0.30090004504473467</v>
      </c>
      <c r="AB63" s="8">
        <v>0.29131869380597597</v>
      </c>
      <c r="AC63" s="8">
        <v>0.29058935792856599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6"/>
      <c r="H64" s="80">
        <v>2</v>
      </c>
      <c r="I64" s="81">
        <v>8.3051873153973943E-3</v>
      </c>
      <c r="J64" s="82">
        <v>4.7876293443861774E-3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2</v>
      </c>
      <c r="W64" s="8">
        <v>0.29731816815825485</v>
      </c>
      <c r="X64" s="8">
        <v>0.29715000560759469</v>
      </c>
      <c r="Y64" s="8">
        <v>0.29644310169676802</v>
      </c>
      <c r="Z64" s="8">
        <v>0.29438544513377152</v>
      </c>
      <c r="AA64" s="8">
        <v>0.29541479871739407</v>
      </c>
      <c r="AB64" s="8">
        <v>0.28717613046935253</v>
      </c>
      <c r="AC64" s="8">
        <v>0.28649021678069087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6"/>
      <c r="H65" s="80">
        <v>3</v>
      </c>
      <c r="I65" s="81">
        <v>8.8634097523793386E-3</v>
      </c>
      <c r="J65" s="82">
        <v>5.3371633661274832E-3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3</v>
      </c>
      <c r="W65" s="8">
        <v>0.29724033204370953</v>
      </c>
      <c r="X65" s="8">
        <v>0.29716249592916422</v>
      </c>
      <c r="Y65" s="8">
        <v>0.29717498625073369</v>
      </c>
      <c r="Z65" s="8">
        <v>0.28937257030241842</v>
      </c>
      <c r="AA65" s="8">
        <v>0.29040069342335539</v>
      </c>
      <c r="AB65" s="8">
        <v>0.28492963240514568</v>
      </c>
      <c r="AC65" s="8">
        <v>0.28240863276377215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0.20130000000000001</v>
      </c>
      <c r="G66" s="96"/>
      <c r="H66" s="80">
        <v>4</v>
      </c>
      <c r="I66" s="81">
        <v>8.655635043116507E-3</v>
      </c>
      <c r="J66" s="82">
        <v>5.4256925834449375E-3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4</v>
      </c>
      <c r="W66" s="8">
        <v>0.29598553031924729</v>
      </c>
      <c r="X66" s="8">
        <v>0.29473072859478505</v>
      </c>
      <c r="Y66" s="8">
        <v>0.29229896126040589</v>
      </c>
      <c r="Z66" s="8">
        <v>0.28636830666588853</v>
      </c>
      <c r="AA66" s="8">
        <v>0.2849370904526739</v>
      </c>
      <c r="AB66" s="8">
        <v>0.28379388192157057</v>
      </c>
      <c r="AC66" s="8">
        <v>0.2798070663699882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44951.920474537037</v>
      </c>
      <c r="E67" s="105"/>
      <c r="G67" s="96"/>
      <c r="H67" s="80">
        <v>5</v>
      </c>
      <c r="I67" s="81">
        <v>8.8281993951242737E-3</v>
      </c>
      <c r="J67" s="82">
        <v>5.7466560069613336E-3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5</v>
      </c>
      <c r="W67" s="8">
        <v>0.29504729567195132</v>
      </c>
      <c r="X67" s="8">
        <v>0.29410906102465528</v>
      </c>
      <c r="Y67" s="8">
        <v>0.29348739345452551</v>
      </c>
      <c r="Z67" s="8">
        <v>0.29064634905996189</v>
      </c>
      <c r="AA67" s="8">
        <v>0.28762985175765876</v>
      </c>
      <c r="AB67" s="8">
        <v>0.2824484379257759</v>
      </c>
      <c r="AC67" s="8">
        <v>0.28044120852128707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44951.920659722222</v>
      </c>
      <c r="E68" s="105"/>
      <c r="G68" s="96"/>
      <c r="H68" s="80">
        <v>7</v>
      </c>
      <c r="I68" s="81">
        <v>9.7025869463819893E-3</v>
      </c>
      <c r="J68" s="82">
        <v>6.6192823415864993E-3</v>
      </c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>
        <v>7</v>
      </c>
      <c r="W68" s="8">
        <v>0.29334100811282815</v>
      </c>
      <c r="X68" s="8">
        <v>0.29163472055370498</v>
      </c>
      <c r="Y68" s="8">
        <v>0.28916038008275469</v>
      </c>
      <c r="Z68" s="8">
        <v>0.28763947086819353</v>
      </c>
      <c r="AA68" s="8">
        <v>0.28099732722068071</v>
      </c>
      <c r="AB68" s="8">
        <v>0.28156800987879538</v>
      </c>
      <c r="AC68" s="8">
        <v>0.27650085643237637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>
        <v>10</v>
      </c>
      <c r="I69" s="81">
        <v>1.0948768030800806E-2</v>
      </c>
      <c r="J69" s="82">
        <v>7.7555794163098185E-3</v>
      </c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>
        <v>10</v>
      </c>
      <c r="W69" s="8">
        <v>0.29168249543038094</v>
      </c>
      <c r="X69" s="8">
        <v>0.29002398274793367</v>
      </c>
      <c r="Y69" s="8">
        <v>0.28841324494216236</v>
      </c>
      <c r="Z69" s="8">
        <v>0.28657200821606188</v>
      </c>
      <c r="AA69" s="8">
        <v>0.28293319162819597</v>
      </c>
      <c r="AB69" s="8">
        <v>0.27733549492199805</v>
      </c>
      <c r="AC69" s="8">
        <v>0.27242134733632339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V58:W58"/>
    <mergeCell ref="Q59:R59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B56:C56"/>
    <mergeCell ref="D56:E56"/>
    <mergeCell ref="B57:C57"/>
    <mergeCell ref="D57:E57"/>
    <mergeCell ref="B58:C58"/>
    <mergeCell ref="D58:E58"/>
    <mergeCell ref="B156:C156"/>
    <mergeCell ref="D156:E156"/>
    <mergeCell ref="B157:C157"/>
    <mergeCell ref="D157:E157"/>
    <mergeCell ref="B158:C158"/>
    <mergeCell ref="D158:E158"/>
    <mergeCell ref="B106:C106"/>
    <mergeCell ref="D106:E106"/>
    <mergeCell ref="B107:C107"/>
    <mergeCell ref="D107:E107"/>
    <mergeCell ref="B108:C108"/>
    <mergeCell ref="D108:E10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AW13" sqref="AW13:AW52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44846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10000000000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RefType = 0 이므로 Ref Swap 금리정보 사용안함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0</v>
      </c>
      <c r="F11" s="184"/>
      <c r="G11" s="148" t="str">
        <f>IF(OR(E11 = 0, E11 = 2, E11 = 4), "", "Zero/Swap 레퍼런스금리정보")</f>
        <v/>
      </c>
      <c r="H11" s="149"/>
      <c r="I11" s="140" t="str">
        <f>IF(OR(E11 = 0, E11 = 2, E11 = 4), "", "연 지급횟수")</f>
        <v/>
      </c>
      <c r="J11" s="141"/>
      <c r="K11" s="127">
        <v>4</v>
      </c>
      <c r="L11" s="128"/>
      <c r="M11" s="34"/>
      <c r="N11" s="186" t="str">
        <f>IF(OR(E11 = 0, E11 = 2, E11 = 4), "ForwardStart", "ResetStart")</f>
        <v>ForwardStart</v>
      </c>
      <c r="O11" s="186" t="str">
        <f>IF(OR(E11 = 0, E11 = 2, E11 = 4), "ForwardEnd", "ResetEnd")</f>
        <v>ForwardEnd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5"/>
      <c r="G12" s="181"/>
      <c r="H12" s="140"/>
      <c r="I12" s="140" t="str">
        <f>IF(OR(E11 = 0, E11 = 2, E11 = 4,E14=1), "", "만기")</f>
        <v/>
      </c>
      <c r="J12" s="141"/>
      <c r="K12" s="182">
        <v>5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/>
      </c>
      <c r="H13" s="109"/>
      <c r="I13" s="109"/>
      <c r="J13" s="109"/>
      <c r="K13" s="109"/>
      <c r="L13" s="110"/>
      <c r="M13" s="34"/>
      <c r="N13" s="38">
        <v>43109</v>
      </c>
      <c r="O13" s="38">
        <f t="shared" ref="O13:O24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f>AS13+3</f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43199</v>
      </c>
      <c r="AQ14" s="38">
        <v>43290</v>
      </c>
      <c r="AR14" s="38">
        <v>43199</v>
      </c>
      <c r="AS14" s="38">
        <v>43290</v>
      </c>
      <c r="AT14" s="38">
        <f t="shared" ref="AT14:AT52" si="4">AS14+3</f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f t="shared" ref="N15" si="5">EDATE(N14,3)</f>
        <v>43290</v>
      </c>
      <c r="O15" s="38">
        <f t="shared" si="2"/>
        <v>43382</v>
      </c>
      <c r="P15" s="38">
        <f t="shared" ref="P15:P16" si="6">N15</f>
        <v>43290</v>
      </c>
      <c r="Q15" s="38">
        <f t="shared" ref="Q15:Q16" si="7">O15</f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43290</v>
      </c>
      <c r="AQ15" s="38">
        <v>43382</v>
      </c>
      <c r="AR15" s="38">
        <v>43290</v>
      </c>
      <c r="AS15" s="38">
        <v>43382</v>
      </c>
      <c r="AT15" s="38">
        <f t="shared" si="4"/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6"/>
        <v>43382</v>
      </c>
      <c r="Q16" s="38">
        <f t="shared" si="7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f t="shared" si="4"/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f t="shared" si="4"/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8">EDATE(N17,3)</f>
        <v>43564</v>
      </c>
      <c r="O18" s="38">
        <f t="shared" si="2"/>
        <v>43655</v>
      </c>
      <c r="P18" s="38">
        <f t="shared" ref="P18:P24" si="9">N18</f>
        <v>43564</v>
      </c>
      <c r="Q18" s="38">
        <f t="shared" ref="Q18:Q24" si="10">O18</f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f t="shared" si="4"/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f t="shared" si="8"/>
        <v>43655</v>
      </c>
      <c r="O19" s="38">
        <f t="shared" si="2"/>
        <v>43747</v>
      </c>
      <c r="P19" s="38">
        <f t="shared" si="9"/>
        <v>43655</v>
      </c>
      <c r="Q19" s="38">
        <f t="shared" si="10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43655</v>
      </c>
      <c r="AQ19" s="38">
        <v>43747</v>
      </c>
      <c r="AR19" s="38">
        <v>43655</v>
      </c>
      <c r="AS19" s="38">
        <v>43747</v>
      </c>
      <c r="AT19" s="38">
        <f t="shared" si="4"/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f t="shared" si="8"/>
        <v>43747</v>
      </c>
      <c r="O20" s="38">
        <f t="shared" si="2"/>
        <v>43839</v>
      </c>
      <c r="P20" s="38">
        <f t="shared" si="9"/>
        <v>43747</v>
      </c>
      <c r="Q20" s="38">
        <f t="shared" si="10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43747</v>
      </c>
      <c r="AQ20" s="38">
        <v>43839</v>
      </c>
      <c r="AR20" s="38">
        <v>43747</v>
      </c>
      <c r="AS20" s="38">
        <v>43839</v>
      </c>
      <c r="AT20" s="38">
        <f t="shared" si="4"/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f t="shared" si="8"/>
        <v>43839</v>
      </c>
      <c r="O21" s="38">
        <f t="shared" si="2"/>
        <v>43930</v>
      </c>
      <c r="P21" s="38">
        <f t="shared" si="9"/>
        <v>43839</v>
      </c>
      <c r="Q21" s="38">
        <f t="shared" si="10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43839</v>
      </c>
      <c r="AQ21" s="38">
        <v>43930</v>
      </c>
      <c r="AR21" s="38">
        <v>43839</v>
      </c>
      <c r="AS21" s="38">
        <v>43930</v>
      </c>
      <c r="AT21" s="38">
        <f t="shared" si="4"/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f t="shared" si="8"/>
        <v>43930</v>
      </c>
      <c r="O22" s="38">
        <f t="shared" si="2"/>
        <v>44021</v>
      </c>
      <c r="P22" s="38">
        <f t="shared" si="9"/>
        <v>43930</v>
      </c>
      <c r="Q22" s="38">
        <f t="shared" si="10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43930</v>
      </c>
      <c r="AQ22" s="38">
        <v>44021</v>
      </c>
      <c r="AR22" s="38">
        <v>43930</v>
      </c>
      <c r="AS22" s="38">
        <v>44021</v>
      </c>
      <c r="AT22" s="38">
        <f t="shared" si="4"/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f t="shared" si="8"/>
        <v>44021</v>
      </c>
      <c r="O23" s="38">
        <f t="shared" si="2"/>
        <v>44113</v>
      </c>
      <c r="P23" s="38">
        <f t="shared" si="9"/>
        <v>44021</v>
      </c>
      <c r="Q23" s="38">
        <f t="shared" si="10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44021</v>
      </c>
      <c r="AQ23" s="38">
        <v>44113</v>
      </c>
      <c r="AR23" s="38">
        <v>44021</v>
      </c>
      <c r="AS23" s="38">
        <v>44113</v>
      </c>
      <c r="AT23" s="38">
        <f t="shared" si="4"/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f t="shared" si="8"/>
        <v>44113</v>
      </c>
      <c r="O24" s="38">
        <f t="shared" si="2"/>
        <v>44205</v>
      </c>
      <c r="P24" s="38">
        <f t="shared" si="9"/>
        <v>44113</v>
      </c>
      <c r="Q24" s="38">
        <f t="shared" si="10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44113</v>
      </c>
      <c r="AQ24" s="38">
        <v>44205</v>
      </c>
      <c r="AR24" s="38">
        <v>44113</v>
      </c>
      <c r="AS24" s="38">
        <v>44205</v>
      </c>
      <c r="AT24" s="38">
        <f t="shared" si="4"/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f t="shared" si="8"/>
        <v>44205</v>
      </c>
      <c r="O25" s="38">
        <f t="shared" ref="O25:O40" si="11">EDATE(N25,3)</f>
        <v>44295</v>
      </c>
      <c r="P25" s="38">
        <f t="shared" ref="P25:P40" si="12">N25</f>
        <v>44205</v>
      </c>
      <c r="Q25" s="38">
        <f t="shared" ref="Q25:Q40" si="13">O25</f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44205</v>
      </c>
      <c r="AQ25" s="38">
        <v>44295</v>
      </c>
      <c r="AR25" s="38">
        <v>44205</v>
      </c>
      <c r="AS25" s="38">
        <v>44295</v>
      </c>
      <c r="AT25" s="38">
        <f t="shared" si="4"/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f t="shared" si="8"/>
        <v>44295</v>
      </c>
      <c r="O26" s="38">
        <f t="shared" si="11"/>
        <v>44386</v>
      </c>
      <c r="P26" s="38">
        <f t="shared" si="12"/>
        <v>44295</v>
      </c>
      <c r="Q26" s="38">
        <f t="shared" si="13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44295</v>
      </c>
      <c r="AQ26" s="38">
        <v>44386</v>
      </c>
      <c r="AR26" s="38">
        <v>44295</v>
      </c>
      <c r="AS26" s="38">
        <v>44386</v>
      </c>
      <c r="AT26" s="38">
        <f t="shared" si="4"/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8"/>
        <v>44386</v>
      </c>
      <c r="O27" s="38">
        <f t="shared" si="11"/>
        <v>44478</v>
      </c>
      <c r="P27" s="38">
        <f t="shared" si="12"/>
        <v>44386</v>
      </c>
      <c r="Q27" s="38">
        <f t="shared" si="13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f t="shared" si="4"/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f t="shared" si="8"/>
        <v>44478</v>
      </c>
      <c r="O28" s="38">
        <f t="shared" si="11"/>
        <v>44570</v>
      </c>
      <c r="P28" s="38">
        <f t="shared" si="12"/>
        <v>44478</v>
      </c>
      <c r="Q28" s="38">
        <f t="shared" si="13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44478</v>
      </c>
      <c r="AQ28" s="38">
        <v>44570</v>
      </c>
      <c r="AR28" s="38">
        <v>44478</v>
      </c>
      <c r="AS28" s="38">
        <v>44570</v>
      </c>
      <c r="AT28" s="38">
        <f t="shared" si="4"/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f t="shared" si="8"/>
        <v>44570</v>
      </c>
      <c r="O29" s="38">
        <f t="shared" si="11"/>
        <v>44660</v>
      </c>
      <c r="P29" s="38">
        <f t="shared" si="12"/>
        <v>44570</v>
      </c>
      <c r="Q29" s="38">
        <f t="shared" si="13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44570</v>
      </c>
      <c r="AQ29" s="38">
        <v>44660</v>
      </c>
      <c r="AR29" s="38">
        <v>44570</v>
      </c>
      <c r="AS29" s="38">
        <v>44660</v>
      </c>
      <c r="AT29" s="38">
        <f t="shared" si="4"/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f t="shared" si="8"/>
        <v>44660</v>
      </c>
      <c r="O30" s="38">
        <f t="shared" si="11"/>
        <v>44751</v>
      </c>
      <c r="P30" s="38">
        <f t="shared" si="12"/>
        <v>44660</v>
      </c>
      <c r="Q30" s="38">
        <f t="shared" si="13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44660</v>
      </c>
      <c r="AQ30" s="38">
        <v>44751</v>
      </c>
      <c r="AR30" s="38">
        <v>44660</v>
      </c>
      <c r="AS30" s="38">
        <v>44751</v>
      </c>
      <c r="AT30" s="38">
        <f t="shared" si="4"/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f t="shared" si="8"/>
        <v>44751</v>
      </c>
      <c r="O31" s="38">
        <f t="shared" si="11"/>
        <v>44843</v>
      </c>
      <c r="P31" s="38">
        <f t="shared" si="12"/>
        <v>44751</v>
      </c>
      <c r="Q31" s="38">
        <f t="shared" si="13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44751</v>
      </c>
      <c r="AQ31" s="38">
        <v>44843</v>
      </c>
      <c r="AR31" s="38">
        <v>44751</v>
      </c>
      <c r="AS31" s="38">
        <v>44843</v>
      </c>
      <c r="AT31" s="38">
        <f t="shared" si="4"/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f t="shared" si="8"/>
        <v>44843</v>
      </c>
      <c r="O32" s="38">
        <f t="shared" si="11"/>
        <v>44935</v>
      </c>
      <c r="P32" s="38">
        <f t="shared" si="12"/>
        <v>44843</v>
      </c>
      <c r="Q32" s="38">
        <f t="shared" si="13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44843</v>
      </c>
      <c r="AQ32" s="38">
        <v>44935</v>
      </c>
      <c r="AR32" s="38">
        <v>44843</v>
      </c>
      <c r="AS32" s="38">
        <v>44935</v>
      </c>
      <c r="AT32" s="38">
        <f t="shared" si="4"/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f t="shared" si="8"/>
        <v>44935</v>
      </c>
      <c r="O33" s="38">
        <f t="shared" si="11"/>
        <v>45025</v>
      </c>
      <c r="P33" s="38">
        <f t="shared" si="12"/>
        <v>44935</v>
      </c>
      <c r="Q33" s="38">
        <f t="shared" si="13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v>44935</v>
      </c>
      <c r="AQ33" s="38">
        <v>45025</v>
      </c>
      <c r="AR33" s="38">
        <v>44935</v>
      </c>
      <c r="AS33" s="38">
        <v>45025</v>
      </c>
      <c r="AT33" s="38">
        <f t="shared" si="4"/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f t="shared" si="8"/>
        <v>45025</v>
      </c>
      <c r="O34" s="38">
        <f t="shared" si="11"/>
        <v>45116</v>
      </c>
      <c r="P34" s="38">
        <f t="shared" si="12"/>
        <v>45025</v>
      </c>
      <c r="Q34" s="38">
        <f t="shared" si="13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v>45025</v>
      </c>
      <c r="AQ34" s="38">
        <v>45116</v>
      </c>
      <c r="AR34" s="38">
        <v>45025</v>
      </c>
      <c r="AS34" s="38">
        <v>45116</v>
      </c>
      <c r="AT34" s="38">
        <f t="shared" si="4"/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f t="shared" si="8"/>
        <v>45116</v>
      </c>
      <c r="O35" s="38">
        <f t="shared" si="11"/>
        <v>45208</v>
      </c>
      <c r="P35" s="38">
        <f t="shared" si="12"/>
        <v>45116</v>
      </c>
      <c r="Q35" s="38">
        <f t="shared" si="13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v>45116</v>
      </c>
      <c r="AQ35" s="38">
        <v>45208</v>
      </c>
      <c r="AR35" s="38">
        <v>45116</v>
      </c>
      <c r="AS35" s="38">
        <v>45208</v>
      </c>
      <c r="AT35" s="38">
        <f t="shared" si="4"/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8"/>
        <v>45208</v>
      </c>
      <c r="O36" s="38">
        <f t="shared" si="11"/>
        <v>45300</v>
      </c>
      <c r="P36" s="38">
        <f t="shared" si="12"/>
        <v>45208</v>
      </c>
      <c r="Q36" s="38">
        <f t="shared" si="13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f t="shared" si="4"/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f t="shared" si="8"/>
        <v>45300</v>
      </c>
      <c r="O37" s="38">
        <f t="shared" si="11"/>
        <v>45391</v>
      </c>
      <c r="P37" s="38">
        <f t="shared" si="12"/>
        <v>45300</v>
      </c>
      <c r="Q37" s="38">
        <f t="shared" si="13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v>45300</v>
      </c>
      <c r="AQ37" s="38">
        <v>45391</v>
      </c>
      <c r="AR37" s="38">
        <v>45300</v>
      </c>
      <c r="AS37" s="38">
        <v>45391</v>
      </c>
      <c r="AT37" s="38">
        <f t="shared" si="4"/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f t="shared" si="8"/>
        <v>45391</v>
      </c>
      <c r="O38" s="38">
        <f t="shared" si="11"/>
        <v>45482</v>
      </c>
      <c r="P38" s="38">
        <f t="shared" si="12"/>
        <v>45391</v>
      </c>
      <c r="Q38" s="38">
        <f t="shared" si="13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v>45391</v>
      </c>
      <c r="AQ38" s="38">
        <v>45482</v>
      </c>
      <c r="AR38" s="38">
        <v>45391</v>
      </c>
      <c r="AS38" s="38">
        <v>45482</v>
      </c>
      <c r="AT38" s="38">
        <f t="shared" si="4"/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f t="shared" si="8"/>
        <v>45482</v>
      </c>
      <c r="O39" s="38">
        <f t="shared" si="11"/>
        <v>45574</v>
      </c>
      <c r="P39" s="38">
        <f t="shared" si="12"/>
        <v>45482</v>
      </c>
      <c r="Q39" s="38">
        <f t="shared" si="13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v>45482</v>
      </c>
      <c r="AQ39" s="38">
        <v>45574</v>
      </c>
      <c r="AR39" s="38">
        <v>45482</v>
      </c>
      <c r="AS39" s="38">
        <v>45574</v>
      </c>
      <c r="AT39" s="38">
        <f t="shared" si="4"/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8"/>
        <v>45574</v>
      </c>
      <c r="O40" s="38">
        <f t="shared" si="11"/>
        <v>45666</v>
      </c>
      <c r="P40" s="38">
        <f t="shared" si="12"/>
        <v>45574</v>
      </c>
      <c r="Q40" s="38">
        <f t="shared" si="13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f t="shared" si="4"/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8"/>
        <v>45666</v>
      </c>
      <c r="O41" s="38">
        <f t="shared" ref="O41:O52" si="14">EDATE(N41,3)</f>
        <v>45756</v>
      </c>
      <c r="P41" s="38">
        <f t="shared" ref="P41:P52" si="15">N41</f>
        <v>45666</v>
      </c>
      <c r="Q41" s="38">
        <f t="shared" ref="Q41:Q52" si="16">O41</f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f t="shared" si="4"/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f t="shared" si="8"/>
        <v>45756</v>
      </c>
      <c r="O42" s="38">
        <f t="shared" si="14"/>
        <v>45847</v>
      </c>
      <c r="P42" s="38">
        <f t="shared" si="15"/>
        <v>45756</v>
      </c>
      <c r="Q42" s="38">
        <f t="shared" si="16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f t="shared" si="4"/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8"/>
        <v>45847</v>
      </c>
      <c r="O43" s="38">
        <f t="shared" si="14"/>
        <v>45939</v>
      </c>
      <c r="P43" s="38">
        <f t="shared" si="15"/>
        <v>45847</v>
      </c>
      <c r="Q43" s="38">
        <f t="shared" si="16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f t="shared" si="4"/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8"/>
        <v>45939</v>
      </c>
      <c r="O44" s="38">
        <f t="shared" si="14"/>
        <v>46031</v>
      </c>
      <c r="P44" s="38">
        <f t="shared" si="15"/>
        <v>45939</v>
      </c>
      <c r="Q44" s="38">
        <f t="shared" si="16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f t="shared" si="4"/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7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8"/>
        <v>46031</v>
      </c>
      <c r="O45" s="38">
        <f t="shared" si="14"/>
        <v>46121</v>
      </c>
      <c r="P45" s="38">
        <f t="shared" si="15"/>
        <v>46031</v>
      </c>
      <c r="Q45" s="38">
        <f t="shared" si="16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f t="shared" si="4"/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7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8"/>
        <v>46121</v>
      </c>
      <c r="O46" s="38">
        <f t="shared" si="14"/>
        <v>46212</v>
      </c>
      <c r="P46" s="38">
        <f t="shared" si="15"/>
        <v>46121</v>
      </c>
      <c r="Q46" s="38">
        <f t="shared" si="16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f t="shared" si="4"/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7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8"/>
        <v>46212</v>
      </c>
      <c r="O47" s="38">
        <f t="shared" si="14"/>
        <v>46304</v>
      </c>
      <c r="P47" s="38">
        <f t="shared" si="15"/>
        <v>46212</v>
      </c>
      <c r="Q47" s="38">
        <f t="shared" si="16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f t="shared" si="4"/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7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8"/>
        <v>46304</v>
      </c>
      <c r="O48" s="38">
        <f t="shared" si="14"/>
        <v>46396</v>
      </c>
      <c r="P48" s="38">
        <f t="shared" si="15"/>
        <v>46304</v>
      </c>
      <c r="Q48" s="38">
        <f t="shared" si="16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f t="shared" si="4"/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7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8"/>
        <v>46396</v>
      </c>
      <c r="O49" s="38">
        <f t="shared" si="14"/>
        <v>46486</v>
      </c>
      <c r="P49" s="38">
        <f t="shared" si="15"/>
        <v>46396</v>
      </c>
      <c r="Q49" s="38">
        <f t="shared" si="16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f t="shared" si="4"/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7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8"/>
        <v>46486</v>
      </c>
      <c r="O50" s="38">
        <f t="shared" si="14"/>
        <v>46577</v>
      </c>
      <c r="P50" s="38">
        <f t="shared" si="15"/>
        <v>46486</v>
      </c>
      <c r="Q50" s="38">
        <f t="shared" si="16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f t="shared" si="4"/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7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8"/>
        <v>46577</v>
      </c>
      <c r="O51" s="38">
        <f t="shared" si="14"/>
        <v>46669</v>
      </c>
      <c r="P51" s="38">
        <f t="shared" si="15"/>
        <v>46577</v>
      </c>
      <c r="Q51" s="38">
        <f t="shared" si="16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f t="shared" si="4"/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7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8"/>
        <v>46669</v>
      </c>
      <c r="O52" s="38">
        <f t="shared" si="14"/>
        <v>46761</v>
      </c>
      <c r="P52" s="38">
        <f t="shared" si="15"/>
        <v>46669</v>
      </c>
      <c r="Q52" s="38">
        <f t="shared" si="16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f t="shared" si="4"/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7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7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7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7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7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7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7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7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7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7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7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7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7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7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7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7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7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7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7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7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7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7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7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7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7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7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7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7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7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7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7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D19" sqref="D1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13"/>
      <c r="C3" s="13"/>
      <c r="D3" s="13"/>
      <c r="E3" s="13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2" t="s">
        <v>55</v>
      </c>
      <c r="C4" s="202"/>
      <c r="D4" s="203">
        <v>10000</v>
      </c>
      <c r="E4" s="203"/>
      <c r="F4" s="13"/>
      <c r="G4" s="204" t="s">
        <v>73</v>
      </c>
      <c r="H4" s="205"/>
      <c r="I4" s="206">
        <v>2023396114.984447</v>
      </c>
      <c r="J4" s="207"/>
      <c r="K4" s="13"/>
      <c r="L4" s="69">
        <v>44959.977986111109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2" t="s">
        <v>30</v>
      </c>
      <c r="C5" s="202"/>
      <c r="D5" s="203">
        <v>0</v>
      </c>
      <c r="E5" s="203"/>
      <c r="F5" s="13"/>
      <c r="G5" s="204" t="s">
        <v>74</v>
      </c>
      <c r="H5" s="205"/>
      <c r="I5" s="206">
        <v>2235780921.2042298</v>
      </c>
      <c r="J5" s="207"/>
      <c r="K5" s="13"/>
      <c r="L5" s="69">
        <v>44959.977997685186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4" t="s">
        <v>106</v>
      </c>
      <c r="H6" s="205"/>
      <c r="I6" s="206">
        <v>303107894.2694006</v>
      </c>
      <c r="J6" s="207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6">
        <v>515492700.48918343</v>
      </c>
      <c r="J7" s="207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76624657.534227997</v>
      </c>
      <c r="H12" s="54">
        <v>0.99169594970938235</v>
      </c>
      <c r="I12" s="52">
        <v>44938</v>
      </c>
      <c r="J12" s="53">
        <v>3.9140000000005316E-2</v>
      </c>
      <c r="M12" s="54"/>
      <c r="N12" s="55">
        <v>103695342.46577621</v>
      </c>
      <c r="O12" s="54">
        <v>0.99169594970938235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3.4449476173363622E-2</v>
      </c>
      <c r="F13" s="54"/>
      <c r="G13" s="55">
        <v>84943913.852128789</v>
      </c>
      <c r="H13" s="54">
        <v>0.98322155481975249</v>
      </c>
      <c r="I13" s="52">
        <v>45028</v>
      </c>
      <c r="J13" s="53">
        <v>4.8363109347443693E-2</v>
      </c>
      <c r="M13" s="54"/>
      <c r="N13" s="55">
        <v>124183009.34986126</v>
      </c>
      <c r="O13" s="54">
        <v>0.98322155481975249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3.5133880434718101E-2</v>
      </c>
      <c r="F14" s="54"/>
      <c r="G14" s="55">
        <v>87594058.070119292</v>
      </c>
      <c r="H14" s="54">
        <v>0.97454545580912755</v>
      </c>
      <c r="I14" s="52">
        <v>45119</v>
      </c>
      <c r="J14" s="53">
        <v>5.0224212163800998E-2</v>
      </c>
      <c r="M14" s="54"/>
      <c r="N14" s="55">
        <v>130202830.32618894</v>
      </c>
      <c r="O14" s="54">
        <v>0.97454545580912755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3.6402162203987357E-2</v>
      </c>
      <c r="F15" s="54"/>
      <c r="G15" s="55">
        <v>91753395.14429684</v>
      </c>
      <c r="H15" s="54">
        <v>0.96547430818113811</v>
      </c>
      <c r="I15" s="52">
        <v>45211</v>
      </c>
      <c r="J15" s="53">
        <v>5.3269488203988899E-2</v>
      </c>
      <c r="M15" s="54"/>
      <c r="N15" s="55">
        <v>139309394.92512408</v>
      </c>
      <c r="O15" s="54">
        <v>0.96547430818113811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4.8760183953482646E-2</v>
      </c>
      <c r="F16" s="54"/>
      <c r="G16" s="55">
        <v>122902381.47179209</v>
      </c>
      <c r="H16" s="54">
        <v>0.95355000623918629</v>
      </c>
      <c r="I16" s="52">
        <v>45303</v>
      </c>
      <c r="J16" s="53">
        <v>4.7670372851793832E-2</v>
      </c>
      <c r="M16" s="54"/>
      <c r="N16" s="55">
        <v>125196556.22917946</v>
      </c>
      <c r="O16" s="54">
        <v>0.95355000623918629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5.3935128621558547E-2</v>
      </c>
      <c r="F17" s="54"/>
      <c r="G17" s="55">
        <v>134468402.86470786</v>
      </c>
      <c r="H17" s="54">
        <v>0.94077125783767357</v>
      </c>
      <c r="I17" s="52">
        <v>45394</v>
      </c>
      <c r="J17" s="53">
        <v>4.7309226497173701E-2</v>
      </c>
      <c r="M17" s="54"/>
      <c r="N17" s="55">
        <v>122935331.81487119</v>
      </c>
      <c r="O17" s="54">
        <v>0.94077125783767357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4.8412058196647997E-2</v>
      </c>
      <c r="F18" s="54"/>
      <c r="G18" s="55">
        <v>120698556.0519173</v>
      </c>
      <c r="H18" s="54">
        <v>0.92940896884428281</v>
      </c>
      <c r="I18" s="52">
        <v>45485</v>
      </c>
      <c r="J18" s="53">
        <v>4.6936398350626678E-2</v>
      </c>
      <c r="M18" s="54"/>
      <c r="N18" s="55">
        <v>122005815.06594624</v>
      </c>
      <c r="O18" s="54">
        <v>0.92940896884428281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5.0060549369101398E-2</v>
      </c>
      <c r="F19" s="54"/>
      <c r="G19" s="55">
        <v>126180014.84814551</v>
      </c>
      <c r="H19" s="54">
        <v>0.9177604458866333</v>
      </c>
      <c r="I19" s="52">
        <v>45577</v>
      </c>
      <c r="J19" s="53">
        <v>4.6709230387062602E-2</v>
      </c>
      <c r="M19" s="54"/>
      <c r="N19" s="55">
        <v>122773950.56465127</v>
      </c>
      <c r="O19" s="54">
        <v>0.9177604458866333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4.3330033635950858E-2</v>
      </c>
      <c r="F20" s="54"/>
      <c r="G20" s="56">
        <v>109215427.24678096</v>
      </c>
      <c r="H20" s="54">
        <v>0.90777384386796822</v>
      </c>
      <c r="I20" s="52">
        <v>45669</v>
      </c>
      <c r="J20" s="53">
        <v>4.7832626306952244E-2</v>
      </c>
      <c r="M20" s="54"/>
      <c r="N20" s="56">
        <v>125605523.84218138</v>
      </c>
      <c r="O20" s="54">
        <v>0.90777384386796822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4.3509050992342514E-2</v>
      </c>
      <c r="F21" s="54"/>
      <c r="G21" s="56">
        <v>107282591.48796837</v>
      </c>
      <c r="H21" s="54">
        <v>0.89806140805681012</v>
      </c>
      <c r="I21" s="52">
        <v>45759</v>
      </c>
      <c r="J21" s="53">
        <v>4.778348678594193E-2</v>
      </c>
      <c r="M21" s="54"/>
      <c r="N21" s="56">
        <v>122753803.03382948</v>
      </c>
      <c r="O21" s="54">
        <v>0.89806140805681012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4.3724563100779851E-2</v>
      </c>
      <c r="F22" s="54"/>
      <c r="G22" s="56">
        <v>109011924.44304003</v>
      </c>
      <c r="H22" s="54">
        <v>0.8883091323403145</v>
      </c>
      <c r="I22" s="52">
        <v>45850</v>
      </c>
      <c r="J22" s="53">
        <v>4.7822523865872602E-2</v>
      </c>
      <c r="M22" s="54"/>
      <c r="N22" s="56">
        <v>124215059.50121662</v>
      </c>
      <c r="O22" s="54">
        <v>0.8883091323403145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4.4188609799016204E-2</v>
      </c>
      <c r="F23" s="54"/>
      <c r="G23" s="56">
        <v>111379509.63039629</v>
      </c>
      <c r="H23" s="54">
        <v>0.878456273453181</v>
      </c>
      <c r="I23" s="52">
        <v>45942</v>
      </c>
      <c r="J23" s="53">
        <v>4.7458212372022496E-2</v>
      </c>
      <c r="M23" s="54"/>
      <c r="N23" s="56">
        <v>124661795.56783843</v>
      </c>
      <c r="O23" s="54">
        <v>0.878456273453181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4.6411914210431365E-2</v>
      </c>
      <c r="F24" s="54"/>
      <c r="G24" s="56">
        <v>116983454.99615642</v>
      </c>
      <c r="H24" s="54">
        <v>0.86824374885889755</v>
      </c>
      <c r="I24" s="52">
        <v>46034</v>
      </c>
      <c r="J24" s="53">
        <v>4.4601995647119502E-2</v>
      </c>
      <c r="M24" s="54"/>
      <c r="N24" s="56">
        <v>117462564.37082195</v>
      </c>
      <c r="O24" s="54">
        <v>0.86824374885889755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4.6998738297777981E-2</v>
      </c>
      <c r="F25" s="54"/>
      <c r="G25" s="56">
        <v>115887299.91232909</v>
      </c>
      <c r="H25" s="54">
        <v>0.85826226140845108</v>
      </c>
      <c r="I25" s="52">
        <v>46124</v>
      </c>
      <c r="J25" s="53">
        <v>4.4122840806644734E-2</v>
      </c>
      <c r="M25" s="54"/>
      <c r="N25" s="56">
        <v>113727552.67391869</v>
      </c>
      <c r="O25" s="54">
        <v>0.85826226140845108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4.7566421247090505E-2</v>
      </c>
      <c r="F26" s="54"/>
      <c r="G26" s="56">
        <v>118590255.71192414</v>
      </c>
      <c r="H26" s="54">
        <v>0.84818756328768352</v>
      </c>
      <c r="I26" s="52">
        <v>46215</v>
      </c>
      <c r="J26" s="53">
        <v>4.3675900321258815E-2</v>
      </c>
      <c r="M26" s="54"/>
      <c r="N26" s="56">
        <v>113876902.17080899</v>
      </c>
      <c r="O26" s="54">
        <v>0.84818756328768352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4.6958260182670512E-2</v>
      </c>
      <c r="F27" s="54"/>
      <c r="G27" s="56">
        <v>118360546.21385372</v>
      </c>
      <c r="H27" s="54">
        <v>0.83831223568300695</v>
      </c>
      <c r="I27" s="52">
        <v>46307</v>
      </c>
      <c r="J27" s="53">
        <v>4.31783753010073E-2</v>
      </c>
      <c r="M27" s="54"/>
      <c r="N27" s="56">
        <v>113874261.0326761</v>
      </c>
      <c r="O27" s="54">
        <v>0.83831223568300695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4.2030075466431671E-2</v>
      </c>
      <c r="F28" s="54"/>
      <c r="G28" s="56">
        <v>105938820.35374548</v>
      </c>
      <c r="H28" s="54">
        <v>0.82957130864098561</v>
      </c>
      <c r="I28" s="52">
        <v>46399</v>
      </c>
      <c r="J28" s="53">
        <v>4.263951222475372E-2</v>
      </c>
      <c r="M28" s="54"/>
      <c r="N28" s="56">
        <v>112516030.81307785</v>
      </c>
      <c r="O28" s="54">
        <v>0.82957130864098561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4.1935496508942807E-2</v>
      </c>
      <c r="F29" s="54"/>
      <c r="G29" s="56">
        <v>103402594.13163932</v>
      </c>
      <c r="H29" s="54">
        <v>0.82113219137473681</v>
      </c>
      <c r="I29" s="52">
        <v>46489</v>
      </c>
      <c r="J29" s="53">
        <v>4.2227401960228492E-2</v>
      </c>
      <c r="M29" s="54"/>
      <c r="N29" s="56">
        <v>109053867.84713914</v>
      </c>
      <c r="O29" s="54">
        <v>0.82113219137473681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4.1760992471659375E-2</v>
      </c>
      <c r="F30" s="54"/>
      <c r="G30" s="56">
        <v>104116446.98413736</v>
      </c>
      <c r="H30" s="54">
        <v>0.81275975886920648</v>
      </c>
      <c r="I30" s="52">
        <v>46580</v>
      </c>
      <c r="J30" s="53">
        <v>4.1688710431783141E-2</v>
      </c>
      <c r="M30" s="54"/>
      <c r="N30" s="56">
        <v>108922538.33677438</v>
      </c>
      <c r="O30" s="54">
        <v>0.81275975886920648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4.2309561741536342E-2</v>
      </c>
      <c r="F31" s="54"/>
      <c r="G31" s="56">
        <v>106643278.91017343</v>
      </c>
      <c r="H31" s="54">
        <v>0.8042738480245758</v>
      </c>
      <c r="I31" s="52">
        <v>46672</v>
      </c>
      <c r="J31" s="53">
        <v>4.1962818208889474E-2</v>
      </c>
      <c r="M31" s="54"/>
      <c r="N31" s="56">
        <v>110810391.10185874</v>
      </c>
      <c r="O31" s="54">
        <v>0.8042738480245758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4.4359215109934833E-2</v>
      </c>
      <c r="F32" s="54"/>
      <c r="G32" s="56">
        <v>111809528.49627425</v>
      </c>
      <c r="H32" s="54">
        <v>0.79551358269105177</v>
      </c>
      <c r="I32" s="52">
        <v>46764</v>
      </c>
      <c r="J32" s="53">
        <v>4.3921094692099219E-2</v>
      </c>
      <c r="M32" s="54"/>
      <c r="N32" s="56">
        <v>115746320.86775689</v>
      </c>
      <c r="O32" s="54">
        <v>0.79551358269105177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1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2023-02-02T14:28:20Z</dcterms:modified>
</cp:coreProperties>
</file>