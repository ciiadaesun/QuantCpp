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14" i="2"/>
  <c r="P14" i="2" s="1"/>
  <c r="P13" i="2"/>
  <c r="O13" i="2"/>
  <c r="Q13" i="2" s="1"/>
  <c r="R13" i="2" s="1"/>
  <c r="N70" i="1"/>
  <c r="N15" i="2" l="1"/>
  <c r="O14" i="2"/>
  <c r="Q14" i="2" s="1"/>
  <c r="R14" i="2" s="1"/>
  <c r="N16" i="2" l="1"/>
  <c r="P15" i="2"/>
  <c r="O15" i="2"/>
  <c r="Q15" i="2" s="1"/>
  <c r="R15" i="2" s="1"/>
  <c r="N17" i="2" l="1"/>
  <c r="O16" i="2"/>
  <c r="Q16" i="2" s="1"/>
  <c r="R16" i="2" s="1"/>
  <c r="P16" i="2"/>
  <c r="P17" i="2" l="1"/>
  <c r="O17" i="2"/>
  <c r="Q17" i="2" s="1"/>
  <c r="R17" i="2" s="1"/>
  <c r="N18" i="2"/>
  <c r="O18" i="2" l="1"/>
  <c r="Q18" i="2" s="1"/>
  <c r="R18" i="2" s="1"/>
  <c r="N19" i="2"/>
  <c r="P18" i="2"/>
  <c r="P19" i="2" l="1"/>
  <c r="N20" i="2"/>
  <c r="O19" i="2"/>
  <c r="Q19" i="2" s="1"/>
  <c r="R19" i="2" s="1"/>
  <c r="P20" i="2" l="1"/>
  <c r="O20" i="2"/>
  <c r="Q20" i="2" s="1"/>
  <c r="R20" i="2" s="1"/>
  <c r="N21" i="2"/>
  <c r="O21" i="2" l="1"/>
  <c r="Q21" i="2" s="1"/>
  <c r="R21" i="2" s="1"/>
  <c r="P21" i="2"/>
  <c r="N22" i="2"/>
  <c r="N23" i="2" l="1"/>
  <c r="P22" i="2"/>
  <c r="O22" i="2"/>
  <c r="Q22" i="2" s="1"/>
  <c r="R22" i="2" s="1"/>
  <c r="N24" i="2" l="1"/>
  <c r="P23" i="2"/>
  <c r="O23" i="2"/>
  <c r="Q23" i="2" s="1"/>
  <c r="R23" i="2" s="1"/>
  <c r="N25" i="2" l="1"/>
  <c r="O24" i="2"/>
  <c r="Q24" i="2" s="1"/>
  <c r="R24" i="2" s="1"/>
  <c r="P24" i="2"/>
  <c r="O25" i="2" l="1"/>
  <c r="Q25" i="2" s="1"/>
  <c r="R25" i="2" s="1"/>
  <c r="N26" i="2"/>
  <c r="P25" i="2"/>
  <c r="N27" i="2" l="1"/>
  <c r="P26" i="2"/>
  <c r="O26" i="2"/>
  <c r="Q26" i="2" s="1"/>
  <c r="R26" i="2" s="1"/>
  <c r="O27" i="2" l="1"/>
  <c r="Q27" i="2" s="1"/>
  <c r="R27" i="2" s="1"/>
  <c r="P27" i="2"/>
  <c r="N28" i="2"/>
  <c r="O28" i="2" l="1"/>
  <c r="Q28" i="2" s="1"/>
  <c r="R28" i="2" s="1"/>
  <c r="N29" i="2"/>
  <c r="P28" i="2"/>
  <c r="N30" i="2" l="1"/>
  <c r="P29" i="2"/>
  <c r="O29" i="2"/>
  <c r="Q29" i="2" s="1"/>
  <c r="R29" i="2" s="1"/>
  <c r="P30" i="2" l="1"/>
  <c r="O30" i="2"/>
  <c r="Q30" i="2" s="1"/>
  <c r="R30" i="2" s="1"/>
  <c r="N31" i="2"/>
  <c r="P31" i="2" l="1"/>
  <c r="N32" i="2"/>
  <c r="O31" i="2"/>
  <c r="Q31" i="2" s="1"/>
  <c r="R31" i="2" s="1"/>
  <c r="N33" i="2" l="1"/>
  <c r="P32" i="2"/>
  <c r="O32" i="2"/>
  <c r="Q32" i="2" s="1"/>
  <c r="R32" i="2" s="1"/>
  <c r="P33" i="2" l="1"/>
  <c r="O33" i="2"/>
  <c r="Q33" i="2" s="1"/>
  <c r="R33" i="2" s="1"/>
  <c r="N34" i="2"/>
  <c r="N35" i="2" l="1"/>
  <c r="O34" i="2"/>
  <c r="Q34" i="2" s="1"/>
  <c r="R34" i="2" s="1"/>
  <c r="P34" i="2"/>
  <c r="N36" i="2" l="1"/>
  <c r="P35" i="2"/>
  <c r="O35" i="2"/>
  <c r="Q35" i="2" s="1"/>
  <c r="R35" i="2" s="1"/>
  <c r="N37" i="2" l="1"/>
  <c r="P36" i="2"/>
  <c r="O36" i="2"/>
  <c r="Q36" i="2" s="1"/>
  <c r="R36" i="2" s="1"/>
  <c r="O37" i="2" l="1"/>
  <c r="Q37" i="2" s="1"/>
  <c r="R37" i="2" s="1"/>
  <c r="P37" i="2"/>
  <c r="N38" i="2"/>
  <c r="N39" i="2" l="1"/>
  <c r="P38" i="2"/>
  <c r="O38" i="2"/>
  <c r="Q38" i="2" s="1"/>
  <c r="R38" i="2" s="1"/>
  <c r="N40" i="2" l="1"/>
  <c r="P39" i="2"/>
  <c r="O39" i="2"/>
  <c r="Q39" i="2" s="1"/>
  <c r="R39" i="2" s="1"/>
  <c r="N41" i="2" l="1"/>
  <c r="P40" i="2"/>
  <c r="O40" i="2"/>
  <c r="Q40" i="2" s="1"/>
  <c r="R40" i="2" s="1"/>
  <c r="N42" i="2" l="1"/>
  <c r="O41" i="2"/>
  <c r="Q41" i="2" s="1"/>
  <c r="R41" i="2" s="1"/>
  <c r="P41" i="2"/>
  <c r="N43" i="2" l="1"/>
  <c r="P42" i="2"/>
  <c r="O42" i="2"/>
  <c r="Q42" i="2" s="1"/>
  <c r="R42" i="2" s="1"/>
  <c r="O43" i="2" l="1"/>
  <c r="Q43" i="2" s="1"/>
  <c r="R43" i="2" s="1"/>
  <c r="P43" i="2"/>
  <c r="N44" i="2"/>
  <c r="P44" i="2" l="1"/>
  <c r="N45" i="2"/>
  <c r="O44" i="2"/>
  <c r="Q44" i="2" s="1"/>
  <c r="R44" i="2" s="1"/>
  <c r="N46" i="2" l="1"/>
  <c r="P45" i="2"/>
  <c r="O45" i="2"/>
  <c r="Q45" i="2" s="1"/>
  <c r="R45" i="2" s="1"/>
  <c r="P46" i="2" l="1"/>
  <c r="O46" i="2"/>
  <c r="Q46" i="2" s="1"/>
  <c r="R46" i="2" s="1"/>
  <c r="N47" i="2"/>
  <c r="P47" i="2" l="1"/>
  <c r="N48" i="2"/>
  <c r="O47" i="2"/>
  <c r="Q47" i="2" s="1"/>
  <c r="R47" i="2" s="1"/>
  <c r="N49" i="2" l="1"/>
  <c r="P48" i="2"/>
  <c r="O48" i="2"/>
  <c r="Q48" i="2" s="1"/>
  <c r="R48" i="2" s="1"/>
  <c r="P49" i="2" l="1"/>
  <c r="N50" i="2"/>
  <c r="O49" i="2"/>
  <c r="Q49" i="2" s="1"/>
  <c r="R49" i="2" s="1"/>
  <c r="O50" i="2" l="1"/>
  <c r="Q50" i="2" s="1"/>
  <c r="R50" i="2" s="1"/>
  <c r="N51" i="2"/>
  <c r="P50" i="2"/>
  <c r="N52" i="2" l="1"/>
  <c r="P51" i="2"/>
  <c r="O51" i="2"/>
  <c r="Q51" i="2" s="1"/>
  <c r="R51" i="2" s="1"/>
  <c r="P52" i="2" l="1"/>
  <c r="O52" i="2"/>
  <c r="Q52" i="2" s="1"/>
  <c r="R52" i="2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<sst xmlns="http://schemas.openxmlformats.org/spreadsheetml/2006/main" count="267" uniqueCount="115">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</sst>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49" zoomScale="90" zoomScaleNormal="90" workbookViewId="0">
      <selection activeCell="D77" sqref="D77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0.01</v>
      </c>
      <c r="J9" s="78">
        <v>9.6050968278254614E-3</v>
      </c>
      <c r="K9" s="78">
        <v>0.5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3" t="s">
        <v>10</v>
      </c>
      <c r="J10" s="104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7" t="s">
        <v>6</v>
      </c>
      <c r="E13" s="107"/>
      <c r="G13" s="96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7"/>
      <c r="E14" s="107"/>
      <c r="G14" s="96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7"/>
      <c r="E15" s="107"/>
      <c r="G15" s="96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6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45016.364976851852</v>
      </c>
      <c r="E17" s="105"/>
      <c r="G17" s="96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45016.364976851852</v>
      </c>
      <c r="E18" s="105"/>
      <c r="G18" s="96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6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0.01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3" t="s">
        <v>10</v>
      </c>
      <c r="J60" s="104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7" t="s">
        <v>6</v>
      </c>
      <c r="E63" s="107"/>
      <c r="G63" s="96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7"/>
      <c r="E64" s="107"/>
      <c r="G64" s="96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7"/>
      <c r="E65" s="107"/>
      <c r="G65" s="96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6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45016.364976851852</v>
      </c>
      <c r="E67" s="105"/>
      <c r="G67" s="96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45016.364976851852</v>
      </c>
      <c r="E68" s="105"/>
      <c r="G68" s="96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3" t="s">
        <v>10</v>
      </c>
      <c r="J110" s="104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7" t="s">
        <v>6</v>
      </c>
      <c r="E113" s="107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7"/>
      <c r="E114" s="107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7"/>
      <c r="E115" s="107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3" t="s">
        <v>10</v>
      </c>
      <c r="J160" s="104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7" t="s">
        <v>6</v>
      </c>
      <c r="E163" s="107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7"/>
      <c r="E164" s="107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7"/>
      <c r="E165" s="107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03"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107:C107"/>
    <mergeCell ref="D107:E107"/>
    <mergeCell ref="B108:C108"/>
    <mergeCell ref="D108:E108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60:J60"/>
    <mergeCell ref="I110:J110"/>
    <mergeCell ref="I160:J160"/>
    <mergeCell ref="D117:E117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E21" sqref="E21:F21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44848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RefType = 0 이므로 Ref Swap 금리정보 사용안함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0</v>
      </c>
      <c r="F11" s="184"/>
      <c r="G11" s="148" t="str">
        <f>IF(OR(E11 = 0, E11 = 2, E11 = 4), "", "Zero/Swap 레퍼런스금리정보")</f>
        <v/>
      </c>
      <c r="H11" s="149"/>
      <c r="I11" s="140" t="str">
        <f>IF(OR(E11 = 0, E11 = 2, E11 = 4), "", "연 지급횟수")</f>
        <v/>
      </c>
      <c r="J11" s="141"/>
      <c r="K11" s="127">
        <v>4</v>
      </c>
      <c r="L11" s="128"/>
      <c r="M11" s="34"/>
      <c r="N11" s="186" t="str">
        <f>IF(OR(E11 = 0, E11 = 2, E11 = 4), "ForwardStart", "ResetStart")</f>
        <v>ForwardStart</v>
      </c>
      <c r="O11" s="186" t="str">
        <f>IF(OR(E11 = 0, E11 = 2, E11 = 4), "ForwardEnd", "ResetEnd")</f>
        <v>ForwardEnd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5"/>
      <c r="G12" s="181"/>
      <c r="H12" s="140"/>
      <c r="I12" s="140" t="str">
        <f>IF(OR(E11 = 0, E11 = 2, E11 = 4,E14=1), "", "만기")</f>
        <v/>
      </c>
      <c r="J12" s="141"/>
      <c r="K12" s="182">
        <v>0.25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/>
      </c>
      <c r="H13" s="109"/>
      <c r="I13" s="109"/>
      <c r="J13" s="109"/>
      <c r="K13" s="109"/>
      <c r="L13" s="110"/>
      <c r="M13" s="34"/>
      <c r="N13" s="38">
        <v>43109</v>
      </c>
      <c r="O13" s="38">
        <f t="shared" ref="O13:O52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f t="shared" ref="N15" si="4">EDATE(N14,3)</f>
        <v>43290</v>
      </c>
      <c r="O15" s="38">
        <f t="shared" si="2"/>
        <v>43382</v>
      </c>
      <c r="P15" s="38">
        <f t="shared" ref="P15:Q16" si="5">N15</f>
        <v>43290</v>
      </c>
      <c r="Q15" s="38">
        <f t="shared" si="5"/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5"/>
        <v>43382</v>
      </c>
      <c r="Q16" s="38">
        <f t="shared" si="5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6">EDATE(N17,3)</f>
        <v>43564</v>
      </c>
      <c r="O18" s="38">
        <f t="shared" si="2"/>
        <v>43655</v>
      </c>
      <c r="P18" s="38">
        <f t="shared" ref="P18:Q33" si="7">N18</f>
        <v>43564</v>
      </c>
      <c r="Q18" s="38">
        <f t="shared" si="7"/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f t="shared" si="6"/>
        <v>43655</v>
      </c>
      <c r="O19" s="38">
        <f t="shared" si="2"/>
        <v>43747</v>
      </c>
      <c r="P19" s="38">
        <f t="shared" si="7"/>
        <v>43655</v>
      </c>
      <c r="Q19" s="38">
        <f t="shared" si="7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f t="shared" si="6"/>
        <v>43747</v>
      </c>
      <c r="O20" s="38">
        <f t="shared" si="2"/>
        <v>43839</v>
      </c>
      <c r="P20" s="38">
        <f t="shared" si="7"/>
        <v>43747</v>
      </c>
      <c r="Q20" s="38">
        <f t="shared" si="7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f t="shared" si="6"/>
        <v>43839</v>
      </c>
      <c r="O21" s="38">
        <f t="shared" si="2"/>
        <v>43930</v>
      </c>
      <c r="P21" s="38">
        <f t="shared" si="7"/>
        <v>43839</v>
      </c>
      <c r="Q21" s="38">
        <f t="shared" si="7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f t="shared" si="6"/>
        <v>43930</v>
      </c>
      <c r="O22" s="38">
        <f t="shared" si="2"/>
        <v>44021</v>
      </c>
      <c r="P22" s="38">
        <f t="shared" si="7"/>
        <v>43930</v>
      </c>
      <c r="Q22" s="38">
        <f t="shared" si="7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f t="shared" si="6"/>
        <v>44021</v>
      </c>
      <c r="O23" s="38">
        <f t="shared" si="2"/>
        <v>44113</v>
      </c>
      <c r="P23" s="38">
        <f t="shared" si="7"/>
        <v>44021</v>
      </c>
      <c r="Q23" s="38">
        <f t="shared" si="7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f t="shared" si="6"/>
        <v>44113</v>
      </c>
      <c r="O24" s="38">
        <f t="shared" si="2"/>
        <v>44205</v>
      </c>
      <c r="P24" s="38">
        <f t="shared" si="7"/>
        <v>44113</v>
      </c>
      <c r="Q24" s="38">
        <f t="shared" si="7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f t="shared" si="6"/>
        <v>44205</v>
      </c>
      <c r="O25" s="38">
        <f t="shared" si="2"/>
        <v>44295</v>
      </c>
      <c r="P25" s="38">
        <f t="shared" si="7"/>
        <v>44205</v>
      </c>
      <c r="Q25" s="38">
        <f t="shared" si="7"/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f t="shared" si="6"/>
        <v>44295</v>
      </c>
      <c r="O26" s="38">
        <f t="shared" si="2"/>
        <v>44386</v>
      </c>
      <c r="P26" s="38">
        <f t="shared" si="7"/>
        <v>44295</v>
      </c>
      <c r="Q26" s="38">
        <f t="shared" si="7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6"/>
        <v>44386</v>
      </c>
      <c r="O27" s="38">
        <f t="shared" si="2"/>
        <v>44478</v>
      </c>
      <c r="P27" s="38">
        <f t="shared" si="7"/>
        <v>44386</v>
      </c>
      <c r="Q27" s="38">
        <f t="shared" si="7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f t="shared" si="6"/>
        <v>44478</v>
      </c>
      <c r="O28" s="38">
        <f t="shared" si="2"/>
        <v>44570</v>
      </c>
      <c r="P28" s="38">
        <f t="shared" si="7"/>
        <v>44478</v>
      </c>
      <c r="Q28" s="38">
        <f t="shared" si="7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f t="shared" si="6"/>
        <v>44570</v>
      </c>
      <c r="O29" s="38">
        <f t="shared" si="2"/>
        <v>44660</v>
      </c>
      <c r="P29" s="38">
        <f t="shared" si="7"/>
        <v>44570</v>
      </c>
      <c r="Q29" s="38">
        <f t="shared" si="7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f t="shared" si="6"/>
        <v>44660</v>
      </c>
      <c r="O30" s="38">
        <f t="shared" si="2"/>
        <v>44751</v>
      </c>
      <c r="P30" s="38">
        <f t="shared" si="7"/>
        <v>44660</v>
      </c>
      <c r="Q30" s="38">
        <f t="shared" si="7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f t="shared" si="6"/>
        <v>44751</v>
      </c>
      <c r="O31" s="38">
        <f t="shared" si="2"/>
        <v>44843</v>
      </c>
      <c r="P31" s="38">
        <f t="shared" si="7"/>
        <v>44751</v>
      </c>
      <c r="Q31" s="38">
        <f t="shared" si="7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f t="shared" si="6"/>
        <v>44843</v>
      </c>
      <c r="O32" s="38">
        <f t="shared" si="2"/>
        <v>44935</v>
      </c>
      <c r="P32" s="38">
        <f t="shared" si="7"/>
        <v>44843</v>
      </c>
      <c r="Q32" s="38">
        <f t="shared" si="7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f t="shared" si="6"/>
        <v>44935</v>
      </c>
      <c r="O33" s="38">
        <f t="shared" si="2"/>
        <v>45025</v>
      </c>
      <c r="P33" s="38">
        <f t="shared" si="7"/>
        <v>44935</v>
      </c>
      <c r="Q33" s="38">
        <f t="shared" si="7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f t="shared" si="6"/>
        <v>45025</v>
      </c>
      <c r="O34" s="38">
        <f t="shared" si="2"/>
        <v>45116</v>
      </c>
      <c r="P34" s="38">
        <f t="shared" ref="P34:Q49" si="8">N34</f>
        <v>45025</v>
      </c>
      <c r="Q34" s="38">
        <f t="shared" si="8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f t="shared" si="6"/>
        <v>45116</v>
      </c>
      <c r="O35" s="38">
        <f t="shared" si="2"/>
        <v>45208</v>
      </c>
      <c r="P35" s="38">
        <f t="shared" si="8"/>
        <v>45116</v>
      </c>
      <c r="Q35" s="38">
        <f t="shared" si="8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6"/>
        <v>45208</v>
      </c>
      <c r="O36" s="38">
        <f t="shared" si="2"/>
        <v>45300</v>
      </c>
      <c r="P36" s="38">
        <f t="shared" si="8"/>
        <v>45208</v>
      </c>
      <c r="Q36" s="38">
        <f t="shared" si="8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f t="shared" si="6"/>
        <v>45300</v>
      </c>
      <c r="O37" s="38">
        <f t="shared" si="2"/>
        <v>45391</v>
      </c>
      <c r="P37" s="38">
        <f t="shared" si="8"/>
        <v>45300</v>
      </c>
      <c r="Q37" s="38">
        <f t="shared" si="8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f t="shared" si="6"/>
        <v>45391</v>
      </c>
      <c r="O38" s="38">
        <f t="shared" si="2"/>
        <v>45482</v>
      </c>
      <c r="P38" s="38">
        <f t="shared" si="8"/>
        <v>45391</v>
      </c>
      <c r="Q38" s="38">
        <f t="shared" si="8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f t="shared" si="6"/>
        <v>45482</v>
      </c>
      <c r="O39" s="38">
        <f t="shared" si="2"/>
        <v>45574</v>
      </c>
      <c r="P39" s="38">
        <f t="shared" si="8"/>
        <v>45482</v>
      </c>
      <c r="Q39" s="38">
        <f t="shared" si="8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6"/>
        <v>45574</v>
      </c>
      <c r="O40" s="38">
        <f t="shared" si="2"/>
        <v>45666</v>
      </c>
      <c r="P40" s="38">
        <f t="shared" si="8"/>
        <v>45574</v>
      </c>
      <c r="Q40" s="38">
        <f t="shared" si="8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6"/>
        <v>45666</v>
      </c>
      <c r="O41" s="38">
        <f t="shared" si="2"/>
        <v>45756</v>
      </c>
      <c r="P41" s="38">
        <f t="shared" si="8"/>
        <v>45666</v>
      </c>
      <c r="Q41" s="38">
        <f t="shared" si="8"/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f t="shared" si="6"/>
        <v>45756</v>
      </c>
      <c r="O42" s="38">
        <f t="shared" si="2"/>
        <v>45847</v>
      </c>
      <c r="P42" s="38">
        <f t="shared" si="8"/>
        <v>45756</v>
      </c>
      <c r="Q42" s="38">
        <f t="shared" si="8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6"/>
        <v>45847</v>
      </c>
      <c r="O43" s="38">
        <f t="shared" si="2"/>
        <v>45939</v>
      </c>
      <c r="P43" s="38">
        <f t="shared" si="8"/>
        <v>45847</v>
      </c>
      <c r="Q43" s="38">
        <f t="shared" si="8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6"/>
        <v>45939</v>
      </c>
      <c r="O44" s="38">
        <f t="shared" si="2"/>
        <v>46031</v>
      </c>
      <c r="P44" s="38">
        <f t="shared" si="8"/>
        <v>45939</v>
      </c>
      <c r="Q44" s="38">
        <f t="shared" si="8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9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6"/>
        <v>46031</v>
      </c>
      <c r="O45" s="38">
        <f t="shared" si="2"/>
        <v>46121</v>
      </c>
      <c r="P45" s="38">
        <f t="shared" si="8"/>
        <v>46031</v>
      </c>
      <c r="Q45" s="38">
        <f t="shared" si="8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9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6"/>
        <v>46121</v>
      </c>
      <c r="O46" s="38">
        <f t="shared" si="2"/>
        <v>46212</v>
      </c>
      <c r="P46" s="38">
        <f t="shared" si="8"/>
        <v>46121</v>
      </c>
      <c r="Q46" s="38">
        <f t="shared" si="8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9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6"/>
        <v>46212</v>
      </c>
      <c r="O47" s="38">
        <f t="shared" si="2"/>
        <v>46304</v>
      </c>
      <c r="P47" s="38">
        <f t="shared" si="8"/>
        <v>46212</v>
      </c>
      <c r="Q47" s="38">
        <f t="shared" si="8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9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6"/>
        <v>46304</v>
      </c>
      <c r="O48" s="38">
        <f t="shared" si="2"/>
        <v>46396</v>
      </c>
      <c r="P48" s="38">
        <f t="shared" si="8"/>
        <v>46304</v>
      </c>
      <c r="Q48" s="38">
        <f t="shared" si="8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9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6"/>
        <v>46396</v>
      </c>
      <c r="O49" s="38">
        <f t="shared" si="2"/>
        <v>46486</v>
      </c>
      <c r="P49" s="38">
        <f t="shared" si="8"/>
        <v>46396</v>
      </c>
      <c r="Q49" s="38">
        <f t="shared" si="8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9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6"/>
        <v>46486</v>
      </c>
      <c r="O50" s="38">
        <f t="shared" si="2"/>
        <v>46577</v>
      </c>
      <c r="P50" s="38">
        <f t="shared" ref="P50:Q52" si="10">N50</f>
        <v>46486</v>
      </c>
      <c r="Q50" s="38">
        <f t="shared" si="10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9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6"/>
        <v>46577</v>
      </c>
      <c r="O51" s="38">
        <f t="shared" si="2"/>
        <v>46669</v>
      </c>
      <c r="P51" s="38">
        <f t="shared" si="10"/>
        <v>46577</v>
      </c>
      <c r="Q51" s="38">
        <f t="shared" si="10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9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6"/>
        <v>46669</v>
      </c>
      <c r="O52" s="38">
        <f t="shared" si="2"/>
        <v>46761</v>
      </c>
      <c r="P52" s="38">
        <f t="shared" si="10"/>
        <v>46669</v>
      </c>
      <c r="Q52" s="38">
        <f t="shared" si="10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9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9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9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9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9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9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9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9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9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9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9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9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9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9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9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9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9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9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9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9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9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9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9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9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9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9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9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9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9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9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9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C9" sqref="C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111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6" t="s">
        <v>73</v>
      </c>
      <c r="H4" s="207"/>
      <c r="I4" s="202">
        <v>2023.4079901047185</v>
      </c>
      <c r="J4" s="203"/>
      <c r="K4" s="13"/>
      <c r="L4" s="69">
        <v>45050.463171296295</v>
      </c>
      <c r="M4" s="1" t="s">
        <v>5</v>
      </c>
      <c r="N4" s="107" t="s">
        <v>6</v>
      </c>
      <c r="O4" s="10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6" t="s">
        <v>74</v>
      </c>
      <c r="H5" s="207"/>
      <c r="I5" s="202">
        <v>2293.6384341357511</v>
      </c>
      <c r="J5" s="203"/>
      <c r="K5" s="13"/>
      <c r="L5" s="69">
        <v>45050.463171296295</v>
      </c>
      <c r="M5" s="13"/>
      <c r="N5" s="107"/>
      <c r="O5" s="10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6" t="s">
        <v>106</v>
      </c>
      <c r="H6" s="207"/>
      <c r="I6" s="202">
        <v>323.1404350816955</v>
      </c>
      <c r="J6" s="203"/>
      <c r="K6" s="64"/>
      <c r="L6" s="23"/>
      <c r="M6" s="13"/>
      <c r="N6" s="107"/>
      <c r="O6" s="10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6" t="s">
        <v>88</v>
      </c>
      <c r="H7" s="207"/>
      <c r="I7" s="202">
        <v>593.37087911272818</v>
      </c>
      <c r="J7" s="203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0.99188064150518163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0.99188064150518163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3.4413872029796934E-2</v>
      </c>
      <c r="F13" s="54"/>
      <c r="G13" s="55">
        <v>84.856122813198311</v>
      </c>
      <c r="H13" s="54">
        <v>0.98341021800224826</v>
      </c>
      <c r="I13" s="52">
        <v>45028</v>
      </c>
      <c r="J13" s="53">
        <v>4.8286218197116995E-2</v>
      </c>
      <c r="M13" s="54"/>
      <c r="N13" s="55">
        <v>123.99341473261644</v>
      </c>
      <c r="O13" s="54">
        <v>0.98341021800224826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3.5128280620175305E-2</v>
      </c>
      <c r="F14" s="54"/>
      <c r="G14" s="55">
        <v>87.580096888656257</v>
      </c>
      <c r="H14" s="54">
        <v>0.97473791200451354</v>
      </c>
      <c r="I14" s="52">
        <v>45119</v>
      </c>
      <c r="J14" s="53">
        <v>5.0438592875857731E-2</v>
      </c>
      <c r="M14" s="54"/>
      <c r="N14" s="55">
        <v>130.73731374528916</v>
      </c>
      <c r="O14" s="54">
        <v>0.97473791200451354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3.6182960850765798E-2</v>
      </c>
      <c r="F15" s="54"/>
      <c r="G15" s="55">
        <v>91.200887623848118</v>
      </c>
      <c r="H15" s="54">
        <v>0.9657195346780324</v>
      </c>
      <c r="I15" s="52">
        <v>45211</v>
      </c>
      <c r="J15" s="53">
        <v>5.3686436910480466E-2</v>
      </c>
      <c r="M15" s="54"/>
      <c r="N15" s="55">
        <v>140.36033413052559</v>
      </c>
      <c r="O15" s="54">
        <v>0.9657195346780324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4.863852528861165E-2</v>
      </c>
      <c r="F16" s="54"/>
      <c r="G16" s="55">
        <v>122.59573497403497</v>
      </c>
      <c r="H16" s="54">
        <v>0.95382184330873399</v>
      </c>
      <c r="I16" s="52">
        <v>45303</v>
      </c>
      <c r="J16" s="53">
        <v>4.8123574376904087E-2</v>
      </c>
      <c r="M16" s="54"/>
      <c r="N16" s="55">
        <v>126.33887240205893</v>
      </c>
      <c r="O16" s="54">
        <v>0.95382184330873399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5.4035526960111102E-2</v>
      </c>
      <c r="F17" s="54"/>
      <c r="G17" s="55">
        <v>134.71871105123611</v>
      </c>
      <c r="H17" s="54">
        <v>0.94101583038598569</v>
      </c>
      <c r="I17" s="52">
        <v>45394</v>
      </c>
      <c r="J17" s="53">
        <v>4.7884325586682458E-2</v>
      </c>
      <c r="M17" s="54"/>
      <c r="N17" s="55">
        <v>124.36914050378316</v>
      </c>
      <c r="O17" s="54">
        <v>0.94101583038598569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4.8366067434506492E-2</v>
      </c>
      <c r="F18" s="54"/>
      <c r="G18" s="55">
        <v>120.58389415178382</v>
      </c>
      <c r="H18" s="54">
        <v>0.92966201271866911</v>
      </c>
      <c r="I18" s="52">
        <v>45485</v>
      </c>
      <c r="J18" s="53">
        <v>4.7630102730676006E-2</v>
      </c>
      <c r="M18" s="54"/>
      <c r="N18" s="55">
        <v>123.73532461620592</v>
      </c>
      <c r="O18" s="54">
        <v>0.92966201271866911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5.0204016177851155E-2</v>
      </c>
      <c r="F19" s="54"/>
      <c r="G19" s="55">
        <v>126.54162981814531</v>
      </c>
      <c r="H19" s="54">
        <v>0.91797775936231918</v>
      </c>
      <c r="I19" s="52">
        <v>45577</v>
      </c>
      <c r="J19" s="53">
        <v>4.7501455478240508E-2</v>
      </c>
      <c r="M19" s="54"/>
      <c r="N19" s="55">
        <v>124.77079189035949</v>
      </c>
      <c r="O19" s="54">
        <v>0.91797775936231918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4.3332057988747931E-2</v>
      </c>
      <c r="F20" s="54"/>
      <c r="G20" s="56">
        <v>109.2205297250639</v>
      </c>
      <c r="H20" s="54">
        <v>0.90798968166156035</v>
      </c>
      <c r="I20" s="52">
        <v>45669</v>
      </c>
      <c r="J20" s="53">
        <v>4.8792703208928777E-2</v>
      </c>
      <c r="M20" s="54"/>
      <c r="N20" s="56">
        <v>128.02544370469727</v>
      </c>
      <c r="O20" s="54">
        <v>0.90798968166156035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4.3510874753686916E-2</v>
      </c>
      <c r="F21" s="54"/>
      <c r="G21" s="56">
        <v>107.28708843374822</v>
      </c>
      <c r="H21" s="54">
        <v>0.89827572794979926</v>
      </c>
      <c r="I21" s="52">
        <v>45759</v>
      </c>
      <c r="J21" s="53">
        <v>4.8868887244751046E-2</v>
      </c>
      <c r="M21" s="54"/>
      <c r="N21" s="56">
        <v>125.4301329322624</v>
      </c>
      <c r="O21" s="54">
        <v>0.89827572794979926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4.3726160890543674E-2</v>
      </c>
      <c r="F22" s="54"/>
      <c r="G22" s="56">
        <v>109.01590797368421</v>
      </c>
      <c r="H22" s="54">
        <v>0.88852192571218169</v>
      </c>
      <c r="I22" s="52">
        <v>45850</v>
      </c>
      <c r="J22" s="53">
        <v>4.9053734976347962E-2</v>
      </c>
      <c r="M22" s="54"/>
      <c r="N22" s="56">
        <v>127.28465432459458</v>
      </c>
      <c r="O22" s="54">
        <v>0.88852192571218169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4.4144823541339251E-2</v>
      </c>
      <c r="F23" s="54"/>
      <c r="G23" s="56">
        <v>111.26914426858092</v>
      </c>
      <c r="H23" s="54">
        <v>0.87867757646647782</v>
      </c>
      <c r="I23" s="52">
        <v>45942</v>
      </c>
      <c r="J23" s="53">
        <v>4.8904836083482922E-2</v>
      </c>
      <c r="M23" s="54"/>
      <c r="N23" s="56">
        <v>128.30807999124428</v>
      </c>
      <c r="O23" s="54">
        <v>0.87867757646647782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4.640994808270929E-2</v>
      </c>
      <c r="F24" s="54"/>
      <c r="G24" s="56">
        <v>116.97849927696556</v>
      </c>
      <c r="H24" s="54">
        <v>0.86846406954673228</v>
      </c>
      <c r="I24" s="52">
        <v>46034</v>
      </c>
      <c r="J24" s="53">
        <v>4.6120468804163192E-2</v>
      </c>
      <c r="M24" s="54"/>
      <c r="N24" s="56">
        <v>121.28994876665826</v>
      </c>
      <c r="O24" s="54">
        <v>0.86846406954673228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4.6994838139972857E-2</v>
      </c>
      <c r="F25" s="54"/>
      <c r="G25" s="56">
        <v>115.87768308486429</v>
      </c>
      <c r="H25" s="54">
        <v>0.85848281771437573</v>
      </c>
      <c r="I25" s="52">
        <v>46124</v>
      </c>
      <c r="J25" s="53">
        <v>4.5793821080424471E-2</v>
      </c>
      <c r="M25" s="54"/>
      <c r="N25" s="56">
        <v>117.84777800652556</v>
      </c>
      <c r="O25" s="54">
        <v>0.85848281771437573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4.7559490343648231E-2</v>
      </c>
      <c r="F26" s="54"/>
      <c r="G26" s="56">
        <v>118.5729759252599</v>
      </c>
      <c r="H26" s="54">
        <v>0.8484085185218071</v>
      </c>
      <c r="I26" s="52">
        <v>46215</v>
      </c>
      <c r="J26" s="53">
        <v>4.5506907428578242E-2</v>
      </c>
      <c r="M26" s="54"/>
      <c r="N26" s="56">
        <v>118.44187879453798</v>
      </c>
      <c r="O26" s="54">
        <v>0.8484085185218071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4.7083836001045681E-2</v>
      </c>
      <c r="F27" s="54"/>
      <c r="G27" s="56">
        <v>118.67706608482712</v>
      </c>
      <c r="H27" s="54">
        <v>0.83850480757861778</v>
      </c>
      <c r="I27" s="52">
        <v>46307</v>
      </c>
      <c r="J27" s="53">
        <v>4.5163997768740465E-2</v>
      </c>
      <c r="M27" s="54"/>
      <c r="N27" s="56">
        <v>118.87911766367409</v>
      </c>
      <c r="O27" s="54">
        <v>0.83850480757861778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4.2032265761398215E-2</v>
      </c>
      <c r="F28" s="54"/>
      <c r="G28" s="56">
        <v>105.9443410972228</v>
      </c>
      <c r="H28" s="54">
        <v>0.82976155523281936</v>
      </c>
      <c r="I28" s="52">
        <v>46399</v>
      </c>
      <c r="J28" s="53">
        <v>4.477358116588015E-2</v>
      </c>
      <c r="M28" s="54"/>
      <c r="N28" s="56">
        <v>117.89505389756086</v>
      </c>
      <c r="O28" s="54">
        <v>0.82976155523281936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4.1941397247590002E-2</v>
      </c>
      <c r="F29" s="54"/>
      <c r="G29" s="56">
        <v>103.41714389816684</v>
      </c>
      <c r="H29" s="54">
        <v>0.82131844069484528</v>
      </c>
      <c r="I29" s="52">
        <v>46489</v>
      </c>
      <c r="J29" s="53">
        <v>4.453036820082245E-2</v>
      </c>
      <c r="M29" s="54"/>
      <c r="N29" s="56">
        <v>114.73241474175522</v>
      </c>
      <c r="O29" s="54">
        <v>0.82131844069484528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4.1769964669045631E-2</v>
      </c>
      <c r="F30" s="54"/>
      <c r="G30" s="56">
        <v>104.13881602419659</v>
      </c>
      <c r="H30" s="54">
        <v>0.81294226862053787</v>
      </c>
      <c r="I30" s="52">
        <v>46580</v>
      </c>
      <c r="J30" s="53">
        <v>4.4127459293104555E-2</v>
      </c>
      <c r="M30" s="54"/>
      <c r="N30" s="56">
        <v>115.00270673075303</v>
      </c>
      <c r="O30" s="54">
        <v>0.81294226862053787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4.2263411968720258E-2</v>
      </c>
      <c r="F31" s="54"/>
      <c r="G31" s="56">
        <v>106.52695619513013</v>
      </c>
      <c r="H31" s="54">
        <v>0.80446446166436081</v>
      </c>
      <c r="I31" s="52">
        <v>46672</v>
      </c>
      <c r="J31" s="53">
        <v>4.4483162772929942E-2</v>
      </c>
      <c r="M31" s="54"/>
      <c r="N31" s="56">
        <v>117.16304041396056</v>
      </c>
      <c r="O31" s="54">
        <v>0.80446446166436081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4.4371799738288857E-2</v>
      </c>
      <c r="F32" s="54"/>
      <c r="G32" s="56">
        <v>111.84124865541298</v>
      </c>
      <c r="H32" s="54">
        <v>0.79570105700338323</v>
      </c>
      <c r="I32" s="52">
        <v>46764</v>
      </c>
      <c r="J32" s="53">
        <v>4.6641785920457236E-2</v>
      </c>
      <c r="M32" s="54"/>
      <c r="N32" s="56">
        <v>122.6039535529337</v>
      </c>
      <c r="O32" s="54">
        <v>0.79570105700338323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3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2023-05-04T02:06:59Z</dcterms:modified>
</cp:coreProperties>
</file>