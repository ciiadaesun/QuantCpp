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<sst xmlns="http://schemas.openxmlformats.org/spreadsheetml/2006/main" count="267" uniqueCount="115">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</sst>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49" zoomScale="90" zoomScaleNormal="90" workbookViewId="0">
      <selection activeCell="D77" sqref="D77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6" t="s">
        <v>22</v>
      </c>
      <c r="H5" s="98" t="s">
        <v>21</v>
      </c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7"/>
      <c r="H6" s="99" t="s">
        <v>7</v>
      </c>
      <c r="I6" s="100"/>
      <c r="L6" s="95" t="s">
        <v>11</v>
      </c>
      <c r="M6" s="95"/>
      <c r="N6" s="95"/>
      <c r="Q6" s="95" t="s">
        <v>12</v>
      </c>
      <c r="R6" s="95"/>
      <c r="S6" s="95"/>
      <c r="V6" s="95" t="s">
        <v>13</v>
      </c>
      <c r="W6" s="95"/>
      <c r="X6" s="95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7"/>
      <c r="H7" s="101"/>
      <c r="I7" s="102"/>
      <c r="L7" s="95"/>
      <c r="M7" s="95"/>
      <c r="N7" s="95"/>
      <c r="Q7" s="95"/>
      <c r="R7" s="95"/>
      <c r="S7" s="95"/>
      <c r="V7" s="95"/>
      <c r="W7" s="95"/>
      <c r="X7" s="95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7"/>
      <c r="I8" s="2" t="s">
        <v>107</v>
      </c>
      <c r="J8" s="2" t="s">
        <v>108</v>
      </c>
      <c r="K8" s="2" t="s">
        <v>110</v>
      </c>
      <c r="V8" s="95" t="s">
        <v>14</v>
      </c>
      <c r="W8" s="95"/>
      <c r="X8" s="4">
        <v>3</v>
      </c>
    </row>
    <row r="9" spans="1:45" x14ac:dyDescent="0.4">
      <c r="A9" s="9">
        <f t="shared" si="1"/>
        <v>9</v>
      </c>
      <c r="G9" s="97"/>
      <c r="H9" s="2" t="s">
        <v>8</v>
      </c>
      <c r="I9" s="3">
        <v>0.01</v>
      </c>
      <c r="J9" s="78">
        <v>9.6050968278254614E-3</v>
      </c>
      <c r="K9" s="78">
        <v>0.5</v>
      </c>
      <c r="Q9" s="95" t="s">
        <v>15</v>
      </c>
      <c r="R9" s="95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7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7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7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4" t="s">
        <v>6</v>
      </c>
      <c r="E13" s="94"/>
      <c r="G13" s="97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4"/>
      <c r="E14" s="94"/>
      <c r="G14" s="97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4"/>
      <c r="E15" s="94"/>
      <c r="G15" s="97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7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45016.364976851852</v>
      </c>
      <c r="E17" s="93"/>
      <c r="G17" s="97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45016.364976851852</v>
      </c>
      <c r="E18" s="93"/>
      <c r="G18" s="97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7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7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7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7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7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7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7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7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7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7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7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7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7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7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7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7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7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7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7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7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7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7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6" t="s">
        <v>24</v>
      </c>
      <c r="H55" s="98" t="s">
        <v>23</v>
      </c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7"/>
      <c r="H56" s="99" t="s">
        <v>7</v>
      </c>
      <c r="I56" s="100"/>
      <c r="L56" s="95" t="s">
        <v>11</v>
      </c>
      <c r="M56" s="95"/>
      <c r="N56" s="95"/>
      <c r="Q56" s="95" t="s">
        <v>12</v>
      </c>
      <c r="R56" s="95"/>
      <c r="S56" s="95"/>
      <c r="V56" s="95" t="s">
        <v>13</v>
      </c>
      <c r="W56" s="95"/>
      <c r="X56" s="95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7"/>
      <c r="H57" s="101"/>
      <c r="I57" s="102"/>
      <c r="L57" s="95"/>
      <c r="M57" s="95"/>
      <c r="N57" s="95"/>
      <c r="Q57" s="95"/>
      <c r="R57" s="95"/>
      <c r="S57" s="95"/>
      <c r="V57" s="95"/>
      <c r="W57" s="95"/>
      <c r="X57" s="95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7"/>
      <c r="I58" s="2" t="s">
        <v>107</v>
      </c>
      <c r="J58" s="2" t="s">
        <v>108</v>
      </c>
      <c r="K58" s="2" t="s">
        <v>110</v>
      </c>
      <c r="V58" s="95" t="s">
        <v>14</v>
      </c>
      <c r="W58" s="95"/>
      <c r="X58" s="4">
        <v>3</v>
      </c>
    </row>
    <row r="59" spans="1:40" x14ac:dyDescent="0.4">
      <c r="A59" s="9">
        <f t="shared" si="1"/>
        <v>59</v>
      </c>
      <c r="G59" s="97"/>
      <c r="H59" s="2" t="s">
        <v>8</v>
      </c>
      <c r="I59" s="3">
        <v>0.01</v>
      </c>
      <c r="J59" s="78">
        <v>0.01</v>
      </c>
      <c r="K59" s="78">
        <v>0.9</v>
      </c>
      <c r="Q59" s="95" t="s">
        <v>15</v>
      </c>
      <c r="R59" s="95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7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7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7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4" t="s">
        <v>6</v>
      </c>
      <c r="E63" s="94"/>
      <c r="G63" s="97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4"/>
      <c r="E64" s="94"/>
      <c r="G64" s="97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4"/>
      <c r="E65" s="94"/>
      <c r="G65" s="97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7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45016.364976851852</v>
      </c>
      <c r="E67" s="93"/>
      <c r="G67" s="97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45016.364976851852</v>
      </c>
      <c r="E68" s="93"/>
      <c r="G68" s="97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7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7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7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7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7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7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7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7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7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7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7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7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7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7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7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7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7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7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7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7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7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7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6" t="s">
        <v>26</v>
      </c>
      <c r="H105" s="98" t="s">
        <v>25</v>
      </c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7"/>
      <c r="H106" s="99" t="s">
        <v>7</v>
      </c>
      <c r="I106" s="100"/>
      <c r="L106" s="95" t="s">
        <v>11</v>
      </c>
      <c r="M106" s="95"/>
      <c r="N106" s="95"/>
      <c r="Q106" s="95" t="s">
        <v>12</v>
      </c>
      <c r="R106" s="95"/>
      <c r="S106" s="95"/>
      <c r="V106" s="95" t="s">
        <v>13</v>
      </c>
      <c r="W106" s="95"/>
      <c r="X106" s="95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7"/>
      <c r="H107" s="101"/>
      <c r="I107" s="102"/>
      <c r="L107" s="95"/>
      <c r="M107" s="95"/>
      <c r="N107" s="95"/>
      <c r="Q107" s="95"/>
      <c r="R107" s="95"/>
      <c r="S107" s="95"/>
      <c r="V107" s="95"/>
      <c r="W107" s="95"/>
      <c r="X107" s="95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7"/>
      <c r="I108" s="2" t="s">
        <v>107</v>
      </c>
      <c r="J108" s="2" t="s">
        <v>108</v>
      </c>
      <c r="K108" s="2" t="s">
        <v>110</v>
      </c>
      <c r="V108" s="95" t="s">
        <v>14</v>
      </c>
      <c r="W108" s="95"/>
      <c r="X108" s="4">
        <v>3</v>
      </c>
    </row>
    <row r="109" spans="1:40" x14ac:dyDescent="0.4">
      <c r="A109" s="9">
        <f t="shared" si="6"/>
        <v>109</v>
      </c>
      <c r="G109" s="97"/>
      <c r="H109" s="2" t="s">
        <v>8</v>
      </c>
      <c r="I109" s="3">
        <v>0.01</v>
      </c>
      <c r="J109" s="78">
        <v>0.01</v>
      </c>
      <c r="K109" s="78">
        <v>0.9</v>
      </c>
      <c r="Q109" s="95" t="s">
        <v>15</v>
      </c>
      <c r="R109" s="95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7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7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7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4" t="s">
        <v>6</v>
      </c>
      <c r="E113" s="94"/>
      <c r="G113" s="97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4"/>
      <c r="E114" s="94"/>
      <c r="G114" s="97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4"/>
      <c r="E115" s="94"/>
      <c r="G115" s="97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7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7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7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7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7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7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7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7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7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7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7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7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7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7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7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7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7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7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7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7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7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7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7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7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7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6" t="s">
        <v>28</v>
      </c>
      <c r="H155" s="98" t="s">
        <v>27</v>
      </c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7"/>
      <c r="H156" s="99" t="s">
        <v>7</v>
      </c>
      <c r="I156" s="100"/>
      <c r="L156" s="95" t="s">
        <v>11</v>
      </c>
      <c r="M156" s="95"/>
      <c r="N156" s="95"/>
      <c r="Q156" s="95" t="s">
        <v>12</v>
      </c>
      <c r="R156" s="95"/>
      <c r="S156" s="95"/>
      <c r="V156" s="95" t="s">
        <v>13</v>
      </c>
      <c r="W156" s="95"/>
      <c r="X156" s="95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7"/>
      <c r="H157" s="101"/>
      <c r="I157" s="102"/>
      <c r="L157" s="95"/>
      <c r="M157" s="95"/>
      <c r="N157" s="95"/>
      <c r="Q157" s="95"/>
      <c r="R157" s="95"/>
      <c r="S157" s="95"/>
      <c r="V157" s="95"/>
      <c r="W157" s="95"/>
      <c r="X157" s="95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7"/>
      <c r="I158" s="2" t="s">
        <v>107</v>
      </c>
      <c r="J158" s="2" t="s">
        <v>108</v>
      </c>
      <c r="K158" s="2" t="s">
        <v>110</v>
      </c>
      <c r="V158" s="95" t="s">
        <v>14</v>
      </c>
      <c r="W158" s="95"/>
      <c r="X158" s="4">
        <v>3</v>
      </c>
    </row>
    <row r="159" spans="1:40" x14ac:dyDescent="0.4">
      <c r="A159" s="9">
        <f t="shared" si="9"/>
        <v>159</v>
      </c>
      <c r="G159" s="97"/>
      <c r="H159" s="2" t="s">
        <v>8</v>
      </c>
      <c r="I159" s="3">
        <v>0.01</v>
      </c>
      <c r="J159" s="78">
        <v>0.01</v>
      </c>
      <c r="K159" s="78">
        <v>0.9</v>
      </c>
      <c r="Q159" s="95" t="s">
        <v>15</v>
      </c>
      <c r="R159" s="95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7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7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7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4" t="s">
        <v>6</v>
      </c>
      <c r="E163" s="94"/>
      <c r="G163" s="97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4"/>
      <c r="E164" s="94"/>
      <c r="G164" s="97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4"/>
      <c r="E165" s="94"/>
      <c r="G165" s="97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7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7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7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7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7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7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7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7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7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7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7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7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7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7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7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7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7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7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7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7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7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7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7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7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7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zoomScale="85" zoomScaleNormal="85" workbookViewId="0">
      <selection activeCell="E31" sqref="E31:F3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44848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4" t="s">
        <v>46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D5" s="164" t="s">
        <v>47</v>
      </c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</row>
    <row r="6" spans="1:57" ht="16.2" customHeight="1" x14ac:dyDescent="0.4">
      <c r="A6" s="34">
        <f t="shared" si="1"/>
        <v>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2" t="str">
        <f>IF($D$7&gt;=1,"커브번호", "")</f>
        <v>커브번호</v>
      </c>
      <c r="D10" s="162"/>
      <c r="E10" s="163">
        <v>1</v>
      </c>
      <c r="F10" s="163"/>
      <c r="G10" s="71"/>
      <c r="H10" s="36"/>
      <c r="I10" s="165" t="str">
        <f>IF(OR(E11 = 0, E11 = 2, E11 = 4), "RefType = "&amp;E11&amp;" 이므로 Ref Swap 금리정보 사용안함", "사용")</f>
        <v>RefType = 0 이므로 Ref Swap 금리정보 사용안함</v>
      </c>
      <c r="J10" s="166"/>
      <c r="K10" s="166"/>
      <c r="L10" s="194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3">
        <v>2</v>
      </c>
      <c r="AH10" s="163"/>
      <c r="AI10" s="71"/>
      <c r="AJ10" s="36"/>
      <c r="AK10" s="187" t="str">
        <f>IF(OR(AG11 = 0, AG11 = 2, AG11 = 4), "RefType = "&amp;AG11&amp;" 이므로 Ref Swap 금리정보 사용안함", "사용")</f>
        <v>RefType = 0 이므로 Ref Swap 금리정보 사용안함</v>
      </c>
      <c r="AL10" s="187"/>
      <c r="AM10" s="187"/>
      <c r="AN10" s="188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0">
        <v>0</v>
      </c>
      <c r="F11" s="171"/>
      <c r="G11" s="165" t="str">
        <f>IF(OR(E11 = 0, E11 = 2, E11 = 4), "", "Zero/Swap 레퍼런스금리정보")</f>
        <v/>
      </c>
      <c r="H11" s="166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4">
        <v>0</v>
      </c>
      <c r="Y11" s="184"/>
      <c r="AD11" s="189"/>
      <c r="AE11" s="174" t="str">
        <f>IF($AF$7&gt;=1,"Reference Rate Type", "")</f>
        <v>Reference Rate Type</v>
      </c>
      <c r="AF11" s="175"/>
      <c r="AG11" s="170">
        <v>0</v>
      </c>
      <c r="AH11" s="170"/>
      <c r="AI11" s="176" t="str">
        <f>IF(OR(AG11 = 0, AG11 = 2, AG11 = 4), "", "Zero/Swap 레퍼런스금리정보")</f>
        <v/>
      </c>
      <c r="AJ11" s="176"/>
      <c r="AK11" s="176" t="str">
        <f>IF(OR(AG11 = 0, AG11 = 2, AG11 = 4), "", "연 지급횟수")</f>
        <v/>
      </c>
      <c r="AL11" s="177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4">
        <v>0</v>
      </c>
      <c r="BA11" s="184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7"/>
      <c r="H12" s="137"/>
      <c r="I12" s="137" t="str">
        <f>IF(OR(E11 = 0, E11 = 2, E11 = 4,E14=1), "", "만기")</f>
        <v/>
      </c>
      <c r="J12" s="138"/>
      <c r="K12" s="168">
        <v>0.25</v>
      </c>
      <c r="L12" s="169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4">
        <v>0</v>
      </c>
      <c r="Y12" s="184"/>
      <c r="AD12" s="189"/>
      <c r="AE12" s="174" t="str">
        <f>IF($AF$7&gt;=1,"DayCount", "")</f>
        <v>DayCount</v>
      </c>
      <c r="AF12" s="174"/>
      <c r="AG12" s="156">
        <v>0</v>
      </c>
      <c r="AH12" s="156"/>
      <c r="AI12" s="176"/>
      <c r="AJ12" s="176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4">
        <v>0</v>
      </c>
      <c r="BA12" s="184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3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84">
        <v>0</v>
      </c>
      <c r="Y13" s="184"/>
      <c r="AD13" s="189"/>
      <c r="AE13" s="174" t="str">
        <f>IF($AF$7&gt;=1,"금리결정조건Multiple", "")</f>
        <v>금리결정조건Multiple</v>
      </c>
      <c r="AF13" s="175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4">
        <v>0</v>
      </c>
      <c r="BA13" s="184"/>
    </row>
    <row r="14" spans="1:57" ht="16.2" customHeight="1" x14ac:dyDescent="0.4">
      <c r="A14" s="34">
        <f t="shared" si="1"/>
        <v>14</v>
      </c>
      <c r="B14" s="146"/>
      <c r="C14" s="178" t="str">
        <f>IF($D$7&gt;=1,"Power Spread Flag", "")</f>
        <v>Power Spread Flag</v>
      </c>
      <c r="D14" s="178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9"/>
      <c r="AE14" s="172" t="str">
        <f>IF($AF$7&gt;=1,"Power Spread Flag", "")</f>
        <v>Power Spread Flag</v>
      </c>
      <c r="AF14" s="172"/>
      <c r="AG14" s="156">
        <v>0</v>
      </c>
      <c r="AH14" s="156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5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9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8" t="str">
        <f>IF($D$7&gt;=1,"기초금리 Range하한", "")</f>
        <v>기초금리 Range하한</v>
      </c>
      <c r="D16" s="143"/>
      <c r="E16" s="180">
        <v>-1</v>
      </c>
      <c r="F16" s="186"/>
      <c r="G16" s="182"/>
      <c r="H16" s="182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9"/>
      <c r="AE16" s="172" t="str">
        <f>IF($AF$7&gt;=1,"기초금리 Range하한", "")</f>
        <v>기초금리 Range하한</v>
      </c>
      <c r="AF16" s="174"/>
      <c r="AG16" s="180">
        <v>-1</v>
      </c>
      <c r="AH16" s="180"/>
      <c r="AI16" s="193"/>
      <c r="AJ16" s="193"/>
      <c r="AK16" s="190" t="str">
        <f>IF(AG14&gt;0,"Spread1","")</f>
        <v/>
      </c>
      <c r="AL16" s="190"/>
      <c r="AM16" s="191" t="str">
        <f>IF(AG14&gt;0, AK14&amp;"-"&amp;AK15, "")</f>
        <v/>
      </c>
      <c r="AN16" s="192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9" t="str">
        <f>IF($D$7&gt;=1,"Payoff조건Multiple", "")</f>
        <v>Payoff조건Multiple</v>
      </c>
      <c r="D17" s="179"/>
      <c r="E17" s="195">
        <v>1</v>
      </c>
      <c r="F17" s="196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5">
        <v>1</v>
      </c>
      <c r="AH17" s="195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2" t="str">
        <f>IF($D$7&gt;=2,"커브번호", "")</f>
        <v/>
      </c>
      <c r="D19" s="162"/>
      <c r="E19" s="163">
        <v>2</v>
      </c>
      <c r="F19" s="163"/>
      <c r="G19" s="71"/>
      <c r="H19" s="36"/>
      <c r="I19" s="166" t="str">
        <f>IF(OR(E20 = 0, E20 = 2, E20 = 4), "RefType = "&amp;E20&amp;" 이므로 Ref Swap 금리정보 사용안함", "사용")</f>
        <v>RefType = 0 이므로 Ref Swap 금리정보 사용안함</v>
      </c>
      <c r="J19" s="166"/>
      <c r="K19" s="166"/>
      <c r="L19" s="194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3">
        <v>2</v>
      </c>
      <c r="AH19" s="163"/>
      <c r="AI19" s="71"/>
      <c r="AJ19" s="36"/>
      <c r="AK19" s="187" t="str">
        <f>IF(OR(AG20 = 0, AG20 = 2, AG20 = 4), "RefType = "&amp;AG20&amp;" 이므로 Ref Swap 금리정보 사용안함", "사용")</f>
        <v>RefType = 0 이므로 Ref Swap 금리정보 사용안함</v>
      </c>
      <c r="AL19" s="187"/>
      <c r="AM19" s="187"/>
      <c r="AN19" s="188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9"/>
      <c r="AE20" s="174" t="str">
        <f>IF($AF$7&gt;=2,"Reference Rate Type", "")</f>
        <v/>
      </c>
      <c r="AF20" s="175"/>
      <c r="AG20" s="155">
        <v>0</v>
      </c>
      <c r="AH20" s="155"/>
      <c r="AI20" s="176" t="str">
        <f>IF(OR(AG20 = 0, AG20 = 2, AG20 = 4), "", "Zero/Swap 레퍼런스금리정보")</f>
        <v/>
      </c>
      <c r="AJ20" s="176"/>
      <c r="AK20" s="176" t="str">
        <f>IF(OR(AG20 = 0, AG20 = 2, AG20 = 4), "", "연 지급횟수")</f>
        <v/>
      </c>
      <c r="AL20" s="177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9"/>
      <c r="AE21" s="174" t="str">
        <f>IF($AF$7&gt;=2,"DayCount", "")</f>
        <v/>
      </c>
      <c r="AF21" s="174"/>
      <c r="AG21" s="156">
        <v>0</v>
      </c>
      <c r="AH21" s="156"/>
      <c r="AI21" s="176"/>
      <c r="AJ21" s="176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9"/>
      <c r="AE22" s="174" t="str">
        <f>IF($AF$7&gt;=2,"금리결정조건Multiple", "")</f>
        <v/>
      </c>
      <c r="AF22" s="175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8" t="str">
        <f>IF($D$7&gt;=2,"Power Spread Flag", "")</f>
        <v/>
      </c>
      <c r="D23" s="178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9"/>
      <c r="AE23" s="172" t="str">
        <f>IF($AF$7&gt;=2,"Power Spread Flag", "")</f>
        <v/>
      </c>
      <c r="AF23" s="172"/>
      <c r="AG23" s="156">
        <v>0</v>
      </c>
      <c r="AH23" s="156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9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8" t="str">
        <f>IF($D$7&gt;=2,"기초금리 Range하한", "")</f>
        <v/>
      </c>
      <c r="D25" s="143"/>
      <c r="E25" s="180">
        <v>-1</v>
      </c>
      <c r="F25" s="180"/>
      <c r="G25" s="182"/>
      <c r="H25" s="182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9"/>
      <c r="AE25" s="172" t="str">
        <f>IF($AF$7&gt;=2,"기초금리 Range하한", "")</f>
        <v/>
      </c>
      <c r="AF25" s="174"/>
      <c r="AG25" s="180">
        <v>-0.1</v>
      </c>
      <c r="AH25" s="180"/>
      <c r="AI25" s="193"/>
      <c r="AJ25" s="193"/>
      <c r="AK25" s="190" t="str">
        <f>IF(AG23&gt;0,"Spread1","")</f>
        <v/>
      </c>
      <c r="AL25" s="190"/>
      <c r="AM25" s="191" t="str">
        <f>IF(AG23&gt;0, AK23&amp;"-"&amp;AK24, "")</f>
        <v/>
      </c>
      <c r="AN25" s="192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9" t="str">
        <f>IF($D$7&gt;=2,"Payoff조건Multiple", "")</f>
        <v/>
      </c>
      <c r="D26" s="179"/>
      <c r="E26" s="195">
        <v>0</v>
      </c>
      <c r="F26" s="195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5">
        <v>0</v>
      </c>
      <c r="AH26" s="195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2" t="str">
        <f>IF($D$7&gt;=3,"커브번호", "")</f>
        <v/>
      </c>
      <c r="D28" s="162"/>
      <c r="E28" s="163">
        <v>3</v>
      </c>
      <c r="F28" s="163"/>
      <c r="G28" s="71"/>
      <c r="H28" s="36"/>
      <c r="I28" s="166" t="str">
        <f>IF(OR(E29 = 0, E29 = 2, E29 = 4), "RefType = "&amp;E29&amp;" 이므로 Ref Swap 금리정보 사용안함", "사용")</f>
        <v>RefType = 0 이므로 Ref Swap 금리정보 사용안함</v>
      </c>
      <c r="J28" s="166"/>
      <c r="K28" s="166"/>
      <c r="L28" s="194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3">
        <v>3</v>
      </c>
      <c r="AH28" s="163"/>
      <c r="AI28" s="71"/>
      <c r="AJ28" s="36"/>
      <c r="AK28" s="187" t="str">
        <f>IF(OR(AG29 = 0, AG29 = 2, AG29 = 4), "RefType = "&amp;AG29&amp;" 이므로 Ref Swap 금리정보 사용안함", "사용")</f>
        <v>RefType = 0 이므로 Ref Swap 금리정보 사용안함</v>
      </c>
      <c r="AL28" s="187"/>
      <c r="AM28" s="187"/>
      <c r="AN28" s="188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9"/>
      <c r="AE29" s="174" t="str">
        <f>IF($AF$7&gt;=3,"Reference Rate Type", "")</f>
        <v/>
      </c>
      <c r="AF29" s="175"/>
      <c r="AG29" s="155">
        <v>0</v>
      </c>
      <c r="AH29" s="155"/>
      <c r="AI29" s="176" t="str">
        <f>IF(OR(AG29 = 0, AG29 = 2, AG29 = 4), "", "Zero/Swap 레퍼런스금리정보")</f>
        <v/>
      </c>
      <c r="AJ29" s="176"/>
      <c r="AK29" s="176" t="str">
        <f>IF(OR(AG29 = 0, AG29 = 2, AG29 = 4), "", "연 지급횟수")</f>
        <v/>
      </c>
      <c r="AL29" s="177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9"/>
      <c r="AE30" s="174" t="str">
        <f>IF($AF$7&gt;=3,"DayCount", "")</f>
        <v/>
      </c>
      <c r="AF30" s="174"/>
      <c r="AG30" s="156">
        <v>0</v>
      </c>
      <c r="AH30" s="156"/>
      <c r="AI30" s="176"/>
      <c r="AJ30" s="176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9"/>
      <c r="AE31" s="174" t="str">
        <f>IF($AF$7&gt;=3,"금리결정조건Multiple", "")</f>
        <v/>
      </c>
      <c r="AF31" s="175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8" t="str">
        <f>IF($D$7&gt;=3,"Power Spread Flag", "")</f>
        <v/>
      </c>
      <c r="D32" s="178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9"/>
      <c r="AE32" s="172" t="str">
        <f>IF($AF$7&gt;=3,"Power Spread Flag", "")</f>
        <v/>
      </c>
      <c r="AF32" s="172"/>
      <c r="AG32" s="156">
        <v>0</v>
      </c>
      <c r="AH32" s="156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9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8" t="str">
        <f>IF($D$7&gt;=3,"기초금리 Range하한", "")</f>
        <v/>
      </c>
      <c r="D34" s="143"/>
      <c r="E34" s="180">
        <v>-0.1</v>
      </c>
      <c r="F34" s="180"/>
      <c r="G34" s="182"/>
      <c r="H34" s="182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9"/>
      <c r="AE34" s="172" t="str">
        <f>IF($AF$7&gt;=3,"기초금리 Range하한", "")</f>
        <v/>
      </c>
      <c r="AF34" s="174"/>
      <c r="AG34" s="180">
        <v>-0.1</v>
      </c>
      <c r="AH34" s="180"/>
      <c r="AI34" s="193"/>
      <c r="AJ34" s="193"/>
      <c r="AK34" s="190" t="str">
        <f>IF(AG32&gt;0,"Spread1","")</f>
        <v/>
      </c>
      <c r="AL34" s="190"/>
      <c r="AM34" s="191" t="str">
        <f>IF(AG32&gt;0, AK32&amp;"-"&amp;AK33, "")</f>
        <v/>
      </c>
      <c r="AN34" s="192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9" t="str">
        <f>IF($D$7&gt;=3,"Payoff조건Multiple", "")</f>
        <v/>
      </c>
      <c r="D35" s="179"/>
      <c r="E35" s="195">
        <v>0</v>
      </c>
      <c r="F35" s="195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5">
        <v>0</v>
      </c>
      <c r="AH35" s="195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7" t="s">
        <v>89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B29" sqref="B2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1" t="s">
        <v>111</v>
      </c>
      <c r="C3" s="201"/>
      <c r="D3" s="202">
        <v>0</v>
      </c>
      <c r="E3" s="202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1" t="s">
        <v>55</v>
      </c>
      <c r="C4" s="201"/>
      <c r="D4" s="202">
        <v>10000</v>
      </c>
      <c r="E4" s="202"/>
      <c r="F4" s="13"/>
      <c r="G4" s="204" t="s">
        <v>73</v>
      </c>
      <c r="H4" s="205"/>
      <c r="I4" s="206">
        <v>2023.4079901047185</v>
      </c>
      <c r="J4" s="207"/>
      <c r="K4" s="13"/>
      <c r="L4" s="69">
        <v>45028.696250000001</v>
      </c>
      <c r="M4" s="1" t="s">
        <v>5</v>
      </c>
      <c r="N4" s="94" t="s">
        <v>6</v>
      </c>
      <c r="O4" s="9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1" t="s">
        <v>30</v>
      </c>
      <c r="C5" s="201"/>
      <c r="D5" s="202">
        <v>0</v>
      </c>
      <c r="E5" s="202"/>
      <c r="F5" s="13"/>
      <c r="G5" s="204" t="s">
        <v>74</v>
      </c>
      <c r="H5" s="205"/>
      <c r="I5" s="206">
        <v>2293.6384341357511</v>
      </c>
      <c r="J5" s="207"/>
      <c r="K5" s="13"/>
      <c r="L5" s="69">
        <v>45028.696250000001</v>
      </c>
      <c r="M5" s="13"/>
      <c r="N5" s="94"/>
      <c r="O5" s="9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4" t="s">
        <v>106</v>
      </c>
      <c r="H6" s="205"/>
      <c r="I6" s="206">
        <v>323.1404350816955</v>
      </c>
      <c r="J6" s="207"/>
      <c r="K6" s="64"/>
      <c r="L6" s="23"/>
      <c r="M6" s="13"/>
      <c r="N6" s="94"/>
      <c r="O6" s="9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593.37087911272818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3" t="s">
        <v>61</v>
      </c>
      <c r="C10" s="203"/>
      <c r="D10" s="203"/>
      <c r="E10" s="203"/>
      <c r="F10" s="203"/>
      <c r="G10" s="203"/>
      <c r="H10" s="203"/>
      <c r="I10" s="203" t="s">
        <v>64</v>
      </c>
      <c r="J10" s="203"/>
      <c r="K10" s="203"/>
      <c r="L10" s="203"/>
      <c r="M10" s="203"/>
      <c r="N10" s="203"/>
      <c r="O10" s="203"/>
      <c r="P10" s="13"/>
      <c r="Q10" s="203" t="s">
        <v>98</v>
      </c>
      <c r="R10" s="203"/>
      <c r="S10" s="13"/>
      <c r="T10" s="13"/>
      <c r="U10" s="203" t="s">
        <v>99</v>
      </c>
      <c r="V10" s="203"/>
      <c r="W10" s="13"/>
      <c r="Y10" s="203" t="s">
        <v>100</v>
      </c>
      <c r="Z10" s="203"/>
      <c r="AA10" s="13"/>
      <c r="AB10" s="13"/>
      <c r="AC10" s="203" t="s">
        <v>101</v>
      </c>
      <c r="AD10" s="203"/>
      <c r="AE10" s="13"/>
      <c r="AF10" s="13"/>
      <c r="AG10" s="203" t="s">
        <v>102</v>
      </c>
      <c r="AH10" s="203"/>
      <c r="AI10" s="13"/>
      <c r="AJ10" s="13"/>
      <c r="AK10" s="203" t="s">
        <v>103</v>
      </c>
      <c r="AL10" s="203"/>
      <c r="AM10" s="13"/>
      <c r="AN10" s="13"/>
      <c r="AO10" s="203" t="s">
        <v>104</v>
      </c>
      <c r="AP10" s="203"/>
      <c r="AQ10" s="13"/>
      <c r="AR10" s="13"/>
      <c r="AS10" s="203" t="s">
        <v>105</v>
      </c>
      <c r="AT10" s="203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0.99188064150518163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0.99188064150518163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3.4413872029796934E-2</v>
      </c>
      <c r="F13" s="54"/>
      <c r="G13" s="55">
        <v>84.856122813198311</v>
      </c>
      <c r="H13" s="54">
        <v>0.98341021800224826</v>
      </c>
      <c r="I13" s="52">
        <v>45028</v>
      </c>
      <c r="J13" s="53">
        <v>4.8286218197116995E-2</v>
      </c>
      <c r="M13" s="54"/>
      <c r="N13" s="55">
        <v>123.99341473261644</v>
      </c>
      <c r="O13" s="54">
        <v>0.98341021800224826</v>
      </c>
      <c r="P13" s="13"/>
      <c r="Q13" s="203" t="s">
        <v>97</v>
      </c>
      <c r="R13" s="203"/>
      <c r="S13" s="72"/>
      <c r="T13" s="13"/>
      <c r="U13" s="203" t="s">
        <v>97</v>
      </c>
      <c r="V13" s="203"/>
      <c r="W13" s="72"/>
      <c r="Y13" s="203" t="s">
        <v>97</v>
      </c>
      <c r="Z13" s="203"/>
      <c r="AA13" s="72"/>
      <c r="AB13" s="13"/>
      <c r="AC13" s="203" t="s">
        <v>97</v>
      </c>
      <c r="AD13" s="203"/>
      <c r="AE13" s="72"/>
      <c r="AF13" s="13"/>
      <c r="AG13" s="203" t="s">
        <v>97</v>
      </c>
      <c r="AH13" s="203"/>
      <c r="AI13" s="72"/>
      <c r="AJ13" s="13"/>
      <c r="AK13" s="203" t="s">
        <v>97</v>
      </c>
      <c r="AL13" s="203"/>
      <c r="AM13" s="72"/>
      <c r="AN13" s="13"/>
      <c r="AO13" s="203" t="s">
        <v>97</v>
      </c>
      <c r="AP13" s="203"/>
      <c r="AQ13" s="72"/>
      <c r="AR13" s="13"/>
      <c r="AS13" s="203" t="s">
        <v>97</v>
      </c>
      <c r="AT13" s="203"/>
      <c r="AU13" s="72"/>
    </row>
    <row r="14" spans="1:47" x14ac:dyDescent="0.4">
      <c r="B14" s="52">
        <v>45119</v>
      </c>
      <c r="C14" s="53">
        <v>3.5128280620175305E-2</v>
      </c>
      <c r="F14" s="54"/>
      <c r="G14" s="55">
        <v>87.580096888656257</v>
      </c>
      <c r="H14" s="54">
        <v>0.97473791200451354</v>
      </c>
      <c r="I14" s="52">
        <v>45119</v>
      </c>
      <c r="J14" s="53">
        <v>5.0438592875857731E-2</v>
      </c>
      <c r="M14" s="54"/>
      <c r="N14" s="55">
        <v>130.73731374528916</v>
      </c>
      <c r="O14" s="54">
        <v>0.97473791200451354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3.6182960850765798E-2</v>
      </c>
      <c r="F15" s="54"/>
      <c r="G15" s="55">
        <v>91.200887623848118</v>
      </c>
      <c r="H15" s="54">
        <v>0.9657195346780324</v>
      </c>
      <c r="I15" s="52">
        <v>45211</v>
      </c>
      <c r="J15" s="53">
        <v>5.3686436910480466E-2</v>
      </c>
      <c r="M15" s="54"/>
      <c r="N15" s="55">
        <v>140.36033413052559</v>
      </c>
      <c r="O15" s="54">
        <v>0.9657195346780324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4.863852528861165E-2</v>
      </c>
      <c r="F16" s="54"/>
      <c r="G16" s="55">
        <v>122.59573497403497</v>
      </c>
      <c r="H16" s="54">
        <v>0.95382184330873399</v>
      </c>
      <c r="I16" s="52">
        <v>45303</v>
      </c>
      <c r="J16" s="53">
        <v>4.8123574376904087E-2</v>
      </c>
      <c r="M16" s="54"/>
      <c r="N16" s="55">
        <v>126.33887240205893</v>
      </c>
      <c r="O16" s="54">
        <v>0.95382184330873399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5.4035526960111102E-2</v>
      </c>
      <c r="F17" s="54"/>
      <c r="G17" s="55">
        <v>134.71871105123611</v>
      </c>
      <c r="H17" s="54">
        <v>0.94101583038598569</v>
      </c>
      <c r="I17" s="52">
        <v>45394</v>
      </c>
      <c r="J17" s="53">
        <v>4.7884325586682458E-2</v>
      </c>
      <c r="M17" s="54"/>
      <c r="N17" s="55">
        <v>124.36914050378316</v>
      </c>
      <c r="O17" s="54">
        <v>0.94101583038598569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4.8366067434506492E-2</v>
      </c>
      <c r="F18" s="54"/>
      <c r="G18" s="55">
        <v>120.58389415178382</v>
      </c>
      <c r="H18" s="54">
        <v>0.92966201271866911</v>
      </c>
      <c r="I18" s="52">
        <v>45485</v>
      </c>
      <c r="J18" s="53">
        <v>4.7630102730676006E-2</v>
      </c>
      <c r="M18" s="54"/>
      <c r="N18" s="55">
        <v>123.73532461620592</v>
      </c>
      <c r="O18" s="54">
        <v>0.92966201271866911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5.0204016177851155E-2</v>
      </c>
      <c r="F19" s="54"/>
      <c r="G19" s="55">
        <v>126.54162981814531</v>
      </c>
      <c r="H19" s="54">
        <v>0.91797775936231918</v>
      </c>
      <c r="I19" s="52">
        <v>45577</v>
      </c>
      <c r="J19" s="53">
        <v>4.7501455478240508E-2</v>
      </c>
      <c r="M19" s="54"/>
      <c r="N19" s="55">
        <v>124.77079189035949</v>
      </c>
      <c r="O19" s="54">
        <v>0.91797775936231918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4.3332057988747931E-2</v>
      </c>
      <c r="F20" s="54"/>
      <c r="G20" s="56">
        <v>109.2205297250639</v>
      </c>
      <c r="H20" s="54">
        <v>0.90798968166156035</v>
      </c>
      <c r="I20" s="52">
        <v>45669</v>
      </c>
      <c r="J20" s="53">
        <v>4.8792703208928777E-2</v>
      </c>
      <c r="M20" s="54"/>
      <c r="N20" s="56">
        <v>128.02544370469727</v>
      </c>
      <c r="O20" s="54">
        <v>0.90798968166156035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4.3510874753686916E-2</v>
      </c>
      <c r="F21" s="54"/>
      <c r="G21" s="56">
        <v>107.28708843374822</v>
      </c>
      <c r="H21" s="54">
        <v>0.89827572794979926</v>
      </c>
      <c r="I21" s="52">
        <v>45759</v>
      </c>
      <c r="J21" s="53">
        <v>4.8868887244751046E-2</v>
      </c>
      <c r="M21" s="54"/>
      <c r="N21" s="56">
        <v>125.4301329322624</v>
      </c>
      <c r="O21" s="54">
        <v>0.89827572794979926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4.3726160890543674E-2</v>
      </c>
      <c r="F22" s="54"/>
      <c r="G22" s="56">
        <v>109.01590797368421</v>
      </c>
      <c r="H22" s="54">
        <v>0.88852192571218169</v>
      </c>
      <c r="I22" s="52">
        <v>45850</v>
      </c>
      <c r="J22" s="53">
        <v>4.9053734976347962E-2</v>
      </c>
      <c r="M22" s="54"/>
      <c r="N22" s="56">
        <v>127.28465432459458</v>
      </c>
      <c r="O22" s="54">
        <v>0.88852192571218169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4.4144823541339251E-2</v>
      </c>
      <c r="F23" s="54"/>
      <c r="G23" s="56">
        <v>111.26914426858092</v>
      </c>
      <c r="H23" s="54">
        <v>0.87867757646647782</v>
      </c>
      <c r="I23" s="52">
        <v>45942</v>
      </c>
      <c r="J23" s="53">
        <v>4.8904836083482922E-2</v>
      </c>
      <c r="M23" s="54"/>
      <c r="N23" s="56">
        <v>128.30807999124428</v>
      </c>
      <c r="O23" s="54">
        <v>0.87867757646647782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4.640994808270929E-2</v>
      </c>
      <c r="F24" s="54"/>
      <c r="G24" s="56">
        <v>116.97849927696556</v>
      </c>
      <c r="H24" s="54">
        <v>0.86846406954673228</v>
      </c>
      <c r="I24" s="52">
        <v>46034</v>
      </c>
      <c r="J24" s="53">
        <v>4.6120468804163192E-2</v>
      </c>
      <c r="M24" s="54"/>
      <c r="N24" s="56">
        <v>121.28994876665826</v>
      </c>
      <c r="O24" s="54">
        <v>0.86846406954673228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4.6994838139972857E-2</v>
      </c>
      <c r="F25" s="54"/>
      <c r="G25" s="56">
        <v>115.87768308486429</v>
      </c>
      <c r="H25" s="54">
        <v>0.85848281771437573</v>
      </c>
      <c r="I25" s="52">
        <v>46124</v>
      </c>
      <c r="J25" s="53">
        <v>4.5793821080424471E-2</v>
      </c>
      <c r="M25" s="54"/>
      <c r="N25" s="56">
        <v>117.84777800652556</v>
      </c>
      <c r="O25" s="54">
        <v>0.85848281771437573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4.7559490343648231E-2</v>
      </c>
      <c r="F26" s="54"/>
      <c r="G26" s="56">
        <v>118.5729759252599</v>
      </c>
      <c r="H26" s="54">
        <v>0.8484085185218071</v>
      </c>
      <c r="I26" s="52">
        <v>46215</v>
      </c>
      <c r="J26" s="53">
        <v>4.5506907428578242E-2</v>
      </c>
      <c r="M26" s="54"/>
      <c r="N26" s="56">
        <v>118.44187879453798</v>
      </c>
      <c r="O26" s="54">
        <v>0.8484085185218071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4.7083836001045681E-2</v>
      </c>
      <c r="F27" s="54"/>
      <c r="G27" s="56">
        <v>118.67706608482712</v>
      </c>
      <c r="H27" s="54">
        <v>0.83850480757861778</v>
      </c>
      <c r="I27" s="52">
        <v>46307</v>
      </c>
      <c r="J27" s="53">
        <v>4.5163997768740465E-2</v>
      </c>
      <c r="M27" s="54"/>
      <c r="N27" s="56">
        <v>118.87911766367409</v>
      </c>
      <c r="O27" s="54">
        <v>0.83850480757861778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4.2032265761398215E-2</v>
      </c>
      <c r="F28" s="54"/>
      <c r="G28" s="56">
        <v>105.9443410972228</v>
      </c>
      <c r="H28" s="54">
        <v>0.82976155523281936</v>
      </c>
      <c r="I28" s="52">
        <v>46399</v>
      </c>
      <c r="J28" s="53">
        <v>4.477358116588015E-2</v>
      </c>
      <c r="M28" s="54"/>
      <c r="N28" s="56">
        <v>117.89505389756086</v>
      </c>
      <c r="O28" s="54">
        <v>0.82976155523281936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4.1941397247590002E-2</v>
      </c>
      <c r="F29" s="54"/>
      <c r="G29" s="56">
        <v>103.41714389816684</v>
      </c>
      <c r="H29" s="54">
        <v>0.82131844069484528</v>
      </c>
      <c r="I29" s="52">
        <v>46489</v>
      </c>
      <c r="J29" s="53">
        <v>4.453036820082245E-2</v>
      </c>
      <c r="M29" s="54"/>
      <c r="N29" s="56">
        <v>114.73241474175522</v>
      </c>
      <c r="O29" s="54">
        <v>0.82131844069484528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4.1769964669045631E-2</v>
      </c>
      <c r="F30" s="54"/>
      <c r="G30" s="56">
        <v>104.13881602419659</v>
      </c>
      <c r="H30" s="54">
        <v>0.81294226862053787</v>
      </c>
      <c r="I30" s="52">
        <v>46580</v>
      </c>
      <c r="J30" s="53">
        <v>4.4127459293104555E-2</v>
      </c>
      <c r="M30" s="54"/>
      <c r="N30" s="56">
        <v>115.00270673075303</v>
      </c>
      <c r="O30" s="54">
        <v>0.81294226862053787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4.2263411968720258E-2</v>
      </c>
      <c r="F31" s="54"/>
      <c r="G31" s="56">
        <v>106.52695619513013</v>
      </c>
      <c r="H31" s="54">
        <v>0.80446446166436081</v>
      </c>
      <c r="I31" s="52">
        <v>46672</v>
      </c>
      <c r="J31" s="53">
        <v>4.4483162772929942E-2</v>
      </c>
      <c r="M31" s="54"/>
      <c r="N31" s="56">
        <v>117.16304041396056</v>
      </c>
      <c r="O31" s="54">
        <v>0.80446446166436081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4.4371799738288857E-2</v>
      </c>
      <c r="F32" s="54"/>
      <c r="G32" s="56">
        <v>111.84124865541298</v>
      </c>
      <c r="H32" s="54">
        <v>0.79570105700338323</v>
      </c>
      <c r="I32" s="52">
        <v>46764</v>
      </c>
      <c r="J32" s="53">
        <v>4.6641785920457236E-2</v>
      </c>
      <c r="M32" s="54"/>
      <c r="N32" s="56">
        <v>122.6039535529337</v>
      </c>
      <c r="O32" s="54">
        <v>0.79570105700338323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I7:J7"/>
    <mergeCell ref="Q10:R10"/>
    <mergeCell ref="Q13:R13"/>
    <mergeCell ref="U10:V10"/>
    <mergeCell ref="U13:V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2023-04-12T07:42:40Z</dcterms:modified>
</cp:coreProperties>
</file>