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<sst xmlns="http://schemas.openxmlformats.org/spreadsheetml/2006/main" count="205" uniqueCount="88">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</sst>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zoomScale="80" zoomScaleNormal="80" workbookViewId="0">
      <selection activeCell="BX82" sqref="BX82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82" ht="21" customHeight="1" x14ac:dyDescent="0.4">
      <c r="A1" s="129" t="s">
        <v>0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</row>
    <row r="2" spans="1:82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82" s="3" customFormat="1" ht="21" customHeight="1" x14ac:dyDescent="0.4">
      <c r="A3" s="2"/>
      <c r="C3" s="2"/>
      <c r="D3" s="2"/>
      <c r="F3" s="110" t="s">
        <v>1</v>
      </c>
      <c r="G3" s="110"/>
      <c r="H3" s="130">
        <v>100000</v>
      </c>
      <c r="I3" s="131"/>
    </row>
    <row r="4" spans="1:82" s="3" customFormat="1" ht="21" customHeight="1" x14ac:dyDescent="0.4">
      <c r="A4" s="101" t="s">
        <v>2</v>
      </c>
      <c r="B4" s="102"/>
      <c r="C4" s="137">
        <v>10000</v>
      </c>
      <c r="D4" s="138"/>
      <c r="F4" s="110" t="s">
        <v>3</v>
      </c>
      <c r="G4" s="110"/>
      <c r="H4" s="130">
        <v>1</v>
      </c>
      <c r="I4" s="131"/>
      <c r="M4" s="4"/>
      <c r="N4" s="5" t="s">
        <v>4</v>
      </c>
      <c r="O4" s="6" t="s">
        <v>5</v>
      </c>
      <c r="P4" s="5" t="s">
        <v>6</v>
      </c>
      <c r="R4" s="90" t="s">
        <v>79</v>
      </c>
      <c r="S4" s="136">
        <v>1</v>
      </c>
      <c r="T4" s="136"/>
    </row>
    <row r="5" spans="1:82" s="3" customFormat="1" ht="21" customHeight="1" thickBot="1" x14ac:dyDescent="0.45">
      <c r="A5" s="101" t="s">
        <v>7</v>
      </c>
      <c r="B5" s="102"/>
      <c r="C5" s="139">
        <v>1</v>
      </c>
      <c r="D5" s="140"/>
      <c r="M5" s="7" t="s">
        <v>8</v>
      </c>
      <c r="N5" s="8"/>
      <c r="O5" s="8"/>
      <c r="P5" s="8"/>
      <c r="R5" s="90" t="s">
        <v>77</v>
      </c>
      <c r="S5" s="134">
        <v>44959.987488425926</v>
      </c>
      <c r="T5" s="134"/>
    </row>
    <row r="6" spans="1:82" s="3" customFormat="1" ht="21" customHeight="1" thickBot="1" x14ac:dyDescent="0.45">
      <c r="A6" s="119" t="s">
        <v>9</v>
      </c>
      <c r="B6" s="120"/>
      <c r="C6" s="121">
        <v>42919</v>
      </c>
      <c r="D6" s="122"/>
      <c r="E6" s="2"/>
      <c r="F6" s="123" t="s">
        <v>10</v>
      </c>
      <c r="G6" s="123"/>
      <c r="H6" s="124">
        <v>10000</v>
      </c>
      <c r="I6" s="124"/>
      <c r="M6" s="7" t="s">
        <v>11</v>
      </c>
      <c r="N6" s="8"/>
      <c r="O6" s="8"/>
      <c r="P6" s="8"/>
      <c r="R6" s="90" t="s">
        <v>78</v>
      </c>
      <c r="S6" s="134">
        <v>44959.987500000003</v>
      </c>
      <c r="T6" s="134"/>
    </row>
    <row r="7" spans="1:82" s="3" customFormat="1" ht="21" customHeight="1" thickBot="1" x14ac:dyDescent="0.45">
      <c r="A7" s="119" t="s">
        <v>23</v>
      </c>
      <c r="B7" s="120"/>
      <c r="C7" s="132">
        <v>3</v>
      </c>
      <c r="D7" s="133"/>
      <c r="F7" s="125" t="s">
        <v>12</v>
      </c>
      <c r="G7" s="126"/>
      <c r="H7" s="127">
        <v>0</v>
      </c>
      <c r="I7" s="128"/>
      <c r="M7" s="7" t="s">
        <v>13</v>
      </c>
      <c r="N7" s="8"/>
      <c r="O7" s="8"/>
      <c r="P7" s="8"/>
      <c r="R7" s="90"/>
      <c r="S7" s="135"/>
      <c r="T7" s="135"/>
    </row>
    <row r="8" spans="1:82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82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82" s="3" customFormat="1" ht="21" hidden="1" customHeight="1" x14ac:dyDescent="0.4">
      <c r="A10" s="9"/>
      <c r="B10" s="9"/>
      <c r="C10" s="9"/>
    </row>
    <row r="11" spans="1:82" s="3" customFormat="1" ht="21" hidden="1" customHeight="1" x14ac:dyDescent="0.4">
      <c r="A11" s="9"/>
      <c r="B11" s="9"/>
      <c r="C11" s="9"/>
    </row>
    <row r="12" spans="1:82" s="3" customFormat="1" ht="21" hidden="1" customHeight="1" x14ac:dyDescent="0.4">
      <c r="A12" s="9"/>
      <c r="B12" s="9"/>
      <c r="C12" s="9"/>
    </row>
    <row r="13" spans="1:82" s="3" customFormat="1" ht="21" hidden="1" customHeight="1" x14ac:dyDescent="0.4">
      <c r="A13" s="9"/>
      <c r="B13" s="9"/>
      <c r="C13" s="9"/>
    </row>
    <row r="14" spans="1:82" s="3" customFormat="1" ht="21" hidden="1" customHeight="1" x14ac:dyDescent="0.4">
      <c r="A14" s="9"/>
      <c r="B14" s="9"/>
      <c r="C14" s="9"/>
    </row>
    <row r="15" spans="1:82" s="3" customFormat="1" ht="21" hidden="1" customHeight="1" x14ac:dyDescent="0.4">
      <c r="A15" s="9"/>
      <c r="B15" s="9"/>
      <c r="C15" s="9"/>
    </row>
    <row r="16" spans="1:82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0" t="s">
        <v>81</v>
      </c>
      <c r="B17" s="110"/>
      <c r="C17" s="115">
        <v>6</v>
      </c>
      <c r="D17" s="114"/>
      <c r="F17" s="101" t="s">
        <v>51</v>
      </c>
      <c r="G17" s="102"/>
      <c r="H17" s="115">
        <v>0</v>
      </c>
      <c r="I17" s="114"/>
      <c r="K17" s="116" t="s">
        <v>14</v>
      </c>
      <c r="L17" s="116"/>
      <c r="M17" s="117">
        <v>9500.698117433798</v>
      </c>
      <c r="N17" s="117"/>
      <c r="O17" s="108" t="s">
        <v>76</v>
      </c>
      <c r="P17" s="109"/>
      <c r="Q17" s="86">
        <v>5732.824999999676</v>
      </c>
      <c r="R17" s="86">
        <v>1380.7499999999663</v>
      </c>
      <c r="S17" s="86">
        <v>722.40000000000509</v>
      </c>
      <c r="T17" s="86">
        <v>457.60000000000326</v>
      </c>
      <c r="U17" s="86">
        <v>333</v>
      </c>
      <c r="V17" s="86">
        <v>288.65000000000026</v>
      </c>
      <c r="W17" s="86">
        <v>251.85000000000088</v>
      </c>
      <c r="X17" s="86">
        <v>531.85666986148919</v>
      </c>
    </row>
    <row r="18" spans="1:111" s="3" customFormat="1" ht="21" customHeight="1" thickBot="1" x14ac:dyDescent="0.45">
      <c r="F18" s="110" t="s">
        <v>16</v>
      </c>
      <c r="G18" s="110"/>
      <c r="H18" s="111">
        <v>1</v>
      </c>
      <c r="I18" s="112"/>
      <c r="K18" s="116"/>
      <c r="L18" s="116"/>
      <c r="M18" s="117"/>
      <c r="N18" s="117"/>
      <c r="O18" s="108" t="s">
        <v>15</v>
      </c>
      <c r="P18" s="109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10" t="s">
        <v>17</v>
      </c>
      <c r="B19" s="110"/>
      <c r="C19" s="113">
        <v>0.5</v>
      </c>
      <c r="D19" s="114"/>
      <c r="K19" s="118" t="s">
        <v>80</v>
      </c>
      <c r="L19" s="118"/>
      <c r="M19" s="118"/>
      <c r="N19" s="118"/>
      <c r="X19" s="87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1" t="s">
        <v>18</v>
      </c>
      <c r="B27" s="102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1" t="s">
        <v>19</v>
      </c>
      <c r="B28" s="102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1" t="s">
        <v>43</v>
      </c>
      <c r="B29" s="102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1" t="s">
        <v>53</v>
      </c>
      <c r="B30" s="102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1" t="s">
        <v>54</v>
      </c>
      <c r="B31" s="102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4">
      <c r="A32" s="101"/>
      <c r="B32" s="102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4">
      <c r="A33" s="101"/>
      <c r="B33" s="102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4">
      <c r="A34" s="101" t="s">
        <v>20</v>
      </c>
      <c r="B34" s="102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1" t="s">
        <v>55</v>
      </c>
      <c r="B35" s="102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1" t="s">
        <v>56</v>
      </c>
      <c r="B36" s="102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1" t="s">
        <v>21</v>
      </c>
      <c r="B37" s="102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3" t="s">
        <v>57</v>
      </c>
      <c r="B38" s="104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3" t="s">
        <v>58</v>
      </c>
      <c r="B39" s="104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4">
      <c r="A40" s="103" t="s">
        <v>59</v>
      </c>
      <c r="B40" s="104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4">
      <c r="A41" s="103" t="s">
        <v>63</v>
      </c>
      <c r="B41" s="104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4">
      <c r="A42" s="103" t="s">
        <v>62</v>
      </c>
      <c r="B42" s="104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4">
      <c r="A43" s="103" t="s">
        <v>61</v>
      </c>
      <c r="B43" s="104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4">
      <c r="A44" s="103" t="s">
        <v>60</v>
      </c>
      <c r="B44" s="104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4">
      <c r="A45" s="103" t="s">
        <v>72</v>
      </c>
      <c r="B45" s="104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4">
      <c r="A46" s="103" t="s">
        <v>64</v>
      </c>
      <c r="B46" s="104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5"/>
      <c r="B47" s="105"/>
      <c r="C47" s="98" t="str">
        <f t="shared" ref="C47:AH47" si="35">IFERROR(IF(AND(C29="",D29="",B29&lt;&gt;"",C34&lt;&gt;""),"Not Autocalled Not KI Payoff",IF(AND(C29="",B29="",A29&lt;&gt;""),"Not Autocalled KI Payoff","")), "")</f>
        <v/>
      </c>
      <c r="D47" s="98" t="str">
        <f t="shared" si="35"/>
        <v/>
      </c>
      <c r="E47" s="98" t="str">
        <f t="shared" si="35"/>
        <v/>
      </c>
      <c r="F47" s="98" t="str">
        <f t="shared" si="35"/>
        <v/>
      </c>
      <c r="G47" s="98" t="str">
        <f t="shared" si="35"/>
        <v/>
      </c>
      <c r="H47" s="98" t="str">
        <f t="shared" si="35"/>
        <v/>
      </c>
      <c r="I47" s="98" t="str">
        <f t="shared" si="35"/>
        <v>Not Autocalled Not KI Payoff</v>
      </c>
      <c r="J47" s="98" t="str">
        <f t="shared" si="35"/>
        <v>Not Autocalled KI Payoff</v>
      </c>
      <c r="K47" s="98" t="str">
        <f t="shared" si="35"/>
        <v/>
      </c>
      <c r="L47" s="98" t="str">
        <f t="shared" si="35"/>
        <v/>
      </c>
      <c r="M47" s="98" t="str">
        <f t="shared" si="35"/>
        <v/>
      </c>
      <c r="N47" s="98" t="str">
        <f t="shared" si="35"/>
        <v/>
      </c>
      <c r="O47" s="98" t="str">
        <f t="shared" si="35"/>
        <v/>
      </c>
      <c r="P47" s="98" t="str">
        <f t="shared" si="35"/>
        <v/>
      </c>
      <c r="Q47" s="98" t="str">
        <f t="shared" si="35"/>
        <v/>
      </c>
      <c r="R47" s="98" t="str">
        <f t="shared" si="35"/>
        <v/>
      </c>
      <c r="S47" s="98" t="str">
        <f t="shared" si="35"/>
        <v/>
      </c>
      <c r="T47" s="98" t="str">
        <f t="shared" si="35"/>
        <v/>
      </c>
      <c r="U47" s="98" t="str">
        <f t="shared" si="35"/>
        <v/>
      </c>
      <c r="V47" s="98" t="str">
        <f t="shared" si="35"/>
        <v/>
      </c>
      <c r="W47" s="98" t="str">
        <f t="shared" si="35"/>
        <v/>
      </c>
      <c r="X47" s="98" t="str">
        <f t="shared" si="35"/>
        <v/>
      </c>
      <c r="Y47" s="98" t="str">
        <f t="shared" si="35"/>
        <v/>
      </c>
      <c r="Z47" s="98" t="str">
        <f t="shared" si="35"/>
        <v/>
      </c>
      <c r="AA47" s="98" t="str">
        <f t="shared" si="35"/>
        <v/>
      </c>
      <c r="AB47" s="98" t="str">
        <f t="shared" si="35"/>
        <v/>
      </c>
      <c r="AC47" s="98" t="str">
        <f t="shared" si="35"/>
        <v/>
      </c>
      <c r="AD47" s="98" t="str">
        <f t="shared" si="35"/>
        <v/>
      </c>
      <c r="AE47" s="98" t="str">
        <f t="shared" si="35"/>
        <v/>
      </c>
      <c r="AF47" s="98" t="str">
        <f t="shared" si="35"/>
        <v/>
      </c>
      <c r="AG47" s="98" t="str">
        <f t="shared" si="35"/>
        <v/>
      </c>
      <c r="AH47" s="98" t="str">
        <f t="shared" si="35"/>
        <v/>
      </c>
      <c r="AI47" s="98" t="str">
        <f t="shared" ref="AI47:BN47" si="36">IFERROR(IF(AND(AI29="",AJ29="",AH29&lt;&gt;"",AI34&lt;&gt;""),"Not Autocalled Not KI Payoff",IF(AND(AI29="",AH29="",AG29&lt;&gt;""),"Not Autocalled KI Payoff","")), "")</f>
        <v/>
      </c>
      <c r="AJ47" s="98" t="str">
        <f t="shared" si="36"/>
        <v/>
      </c>
      <c r="AK47" s="98" t="str">
        <f t="shared" si="36"/>
        <v/>
      </c>
      <c r="AL47" s="98" t="str">
        <f t="shared" si="36"/>
        <v/>
      </c>
      <c r="AM47" s="98" t="str">
        <f t="shared" si="36"/>
        <v/>
      </c>
      <c r="AN47" s="98" t="str">
        <f t="shared" si="36"/>
        <v/>
      </c>
      <c r="AO47" s="98" t="str">
        <f t="shared" si="36"/>
        <v/>
      </c>
      <c r="AP47" s="98" t="str">
        <f t="shared" si="36"/>
        <v/>
      </c>
      <c r="AQ47" s="98" t="str">
        <f t="shared" si="36"/>
        <v/>
      </c>
      <c r="AR47" s="98" t="str">
        <f t="shared" si="36"/>
        <v/>
      </c>
      <c r="AS47" s="98" t="str">
        <f t="shared" si="36"/>
        <v/>
      </c>
      <c r="AT47" s="98" t="str">
        <f t="shared" si="36"/>
        <v/>
      </c>
      <c r="AU47" s="98" t="str">
        <f t="shared" si="36"/>
        <v/>
      </c>
      <c r="AV47" s="98" t="str">
        <f t="shared" si="36"/>
        <v/>
      </c>
      <c r="AW47" s="98" t="str">
        <f t="shared" si="36"/>
        <v/>
      </c>
      <c r="AX47" s="98" t="str">
        <f t="shared" si="36"/>
        <v/>
      </c>
      <c r="AY47" s="98" t="str">
        <f t="shared" si="36"/>
        <v/>
      </c>
      <c r="AZ47" s="98" t="str">
        <f t="shared" si="36"/>
        <v/>
      </c>
      <c r="BA47" s="98" t="str">
        <f t="shared" si="36"/>
        <v/>
      </c>
      <c r="BB47" s="98" t="str">
        <f t="shared" si="36"/>
        <v/>
      </c>
      <c r="BC47" s="98" t="str">
        <f t="shared" si="36"/>
        <v/>
      </c>
      <c r="BD47" s="98" t="str">
        <f t="shared" si="36"/>
        <v/>
      </c>
      <c r="BE47" s="98" t="str">
        <f t="shared" si="36"/>
        <v/>
      </c>
      <c r="BF47" s="98" t="str">
        <f t="shared" si="36"/>
        <v/>
      </c>
      <c r="BG47" s="98" t="str">
        <f t="shared" si="36"/>
        <v/>
      </c>
      <c r="BH47" s="98" t="str">
        <f t="shared" si="36"/>
        <v/>
      </c>
      <c r="BI47" s="98" t="str">
        <f t="shared" si="36"/>
        <v/>
      </c>
      <c r="BJ47" s="98" t="str">
        <f t="shared" si="36"/>
        <v/>
      </c>
      <c r="BK47" s="98" t="str">
        <f t="shared" si="36"/>
        <v/>
      </c>
      <c r="BL47" s="98" t="str">
        <f t="shared" si="36"/>
        <v/>
      </c>
      <c r="BM47" s="98" t="str">
        <f t="shared" si="36"/>
        <v/>
      </c>
      <c r="BN47" s="98" t="str">
        <f t="shared" si="36"/>
        <v/>
      </c>
      <c r="BO47" s="98" t="str">
        <f t="shared" ref="BO47:CT47" si="37">IFERROR(IF(AND(BO29="",BP29="",BN29&lt;&gt;"",BO34&lt;&gt;""),"Not Autocalled Not KI Payoff",IF(AND(BO29="",BN29="",BM29&lt;&gt;""),"Not Autocalled KI Payoff","")), "")</f>
        <v/>
      </c>
      <c r="BP47" s="98" t="str">
        <f t="shared" si="37"/>
        <v/>
      </c>
      <c r="BQ47" s="98" t="str">
        <f t="shared" si="37"/>
        <v/>
      </c>
      <c r="BR47" s="98" t="str">
        <f t="shared" si="37"/>
        <v/>
      </c>
      <c r="BS47" s="98" t="str">
        <f t="shared" si="37"/>
        <v/>
      </c>
      <c r="BT47" s="98" t="str">
        <f t="shared" si="37"/>
        <v/>
      </c>
      <c r="BU47" s="98" t="str">
        <f t="shared" si="37"/>
        <v/>
      </c>
      <c r="BV47" s="98" t="str">
        <f t="shared" si="37"/>
        <v/>
      </c>
      <c r="BW47" s="98" t="str">
        <f t="shared" si="37"/>
        <v/>
      </c>
      <c r="BX47" s="98" t="str">
        <f t="shared" si="37"/>
        <v/>
      </c>
      <c r="BY47" s="98" t="str">
        <f t="shared" si="37"/>
        <v/>
      </c>
      <c r="BZ47" s="98" t="str">
        <f t="shared" si="37"/>
        <v/>
      </c>
      <c r="CA47" s="98" t="str">
        <f t="shared" si="37"/>
        <v/>
      </c>
      <c r="CB47" s="98" t="str">
        <f t="shared" si="37"/>
        <v/>
      </c>
      <c r="CC47" s="98" t="str">
        <f t="shared" si="37"/>
        <v/>
      </c>
      <c r="CD47" s="98" t="str">
        <f t="shared" si="37"/>
        <v/>
      </c>
      <c r="CE47" s="98" t="str">
        <f t="shared" si="37"/>
        <v/>
      </c>
      <c r="CF47" s="98" t="str">
        <f t="shared" si="37"/>
        <v/>
      </c>
      <c r="CG47" s="98" t="str">
        <f t="shared" si="37"/>
        <v/>
      </c>
      <c r="CH47" s="98" t="str">
        <f t="shared" si="37"/>
        <v/>
      </c>
      <c r="CI47" s="98" t="str">
        <f t="shared" si="37"/>
        <v/>
      </c>
      <c r="CJ47" s="98" t="str">
        <f t="shared" si="37"/>
        <v/>
      </c>
      <c r="CK47" s="98" t="str">
        <f t="shared" si="37"/>
        <v/>
      </c>
      <c r="CL47" s="98" t="str">
        <f t="shared" si="37"/>
        <v/>
      </c>
      <c r="CM47" s="98" t="str">
        <f t="shared" si="37"/>
        <v/>
      </c>
      <c r="CN47" s="98" t="str">
        <f t="shared" si="37"/>
        <v/>
      </c>
      <c r="CO47" s="98" t="str">
        <f t="shared" si="37"/>
        <v/>
      </c>
      <c r="CP47" s="98" t="str">
        <f t="shared" si="37"/>
        <v/>
      </c>
      <c r="CQ47" s="98" t="str">
        <f t="shared" si="37"/>
        <v/>
      </c>
      <c r="CR47" s="98" t="str">
        <f t="shared" si="37"/>
        <v/>
      </c>
      <c r="CS47" s="98" t="str">
        <f t="shared" si="37"/>
        <v/>
      </c>
      <c r="CT47" s="98" t="str">
        <f t="shared" si="37"/>
        <v/>
      </c>
      <c r="CU47" s="98" t="str">
        <f t="shared" ref="CU47:DF47" si="38">IFERROR(IF(AND(CU29="",CV29="",CT29&lt;&gt;"",CU34&lt;&gt;""),"Not Autocalled Not KI Payoff",IF(AND(CU29="",CT29="",CS29&lt;&gt;""),"Not Autocalled KI Payoff","")), "")</f>
        <v/>
      </c>
      <c r="CV47" s="98" t="str">
        <f t="shared" si="38"/>
        <v/>
      </c>
      <c r="CW47" s="98" t="str">
        <f t="shared" si="38"/>
        <v/>
      </c>
      <c r="CX47" s="98" t="str">
        <f t="shared" si="38"/>
        <v/>
      </c>
      <c r="CY47" s="98" t="str">
        <f t="shared" si="38"/>
        <v/>
      </c>
      <c r="CZ47" s="98" t="str">
        <f t="shared" si="38"/>
        <v/>
      </c>
      <c r="DA47" s="98" t="str">
        <f t="shared" si="38"/>
        <v/>
      </c>
      <c r="DB47" s="98" t="str">
        <f t="shared" si="38"/>
        <v/>
      </c>
      <c r="DC47" s="98" t="str">
        <f t="shared" si="38"/>
        <v/>
      </c>
      <c r="DD47" s="98" t="str">
        <f t="shared" si="38"/>
        <v/>
      </c>
      <c r="DE47" s="98" t="str">
        <f t="shared" si="38"/>
        <v/>
      </c>
      <c r="DF47" s="98" t="str">
        <f t="shared" si="38"/>
        <v/>
      </c>
      <c r="DG47" s="98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5"/>
      <c r="B48" s="105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  <c r="BB48" s="98"/>
      <c r="BC48" s="98"/>
      <c r="BD48" s="98"/>
      <c r="BE48" s="98"/>
      <c r="BF48" s="98"/>
      <c r="BG48" s="98"/>
      <c r="BH48" s="98"/>
      <c r="BI48" s="98"/>
      <c r="BJ48" s="98"/>
      <c r="BK48" s="98"/>
      <c r="BL48" s="98"/>
      <c r="BM48" s="98"/>
      <c r="BN48" s="98"/>
      <c r="BO48" s="98"/>
      <c r="BP48" s="98"/>
      <c r="BQ48" s="98"/>
      <c r="BR48" s="98"/>
      <c r="BS48" s="98"/>
      <c r="BT48" s="98"/>
      <c r="BU48" s="98"/>
      <c r="BV48" s="98"/>
      <c r="BW48" s="98"/>
      <c r="BX48" s="98"/>
      <c r="BY48" s="98"/>
      <c r="BZ48" s="98"/>
      <c r="CA48" s="98"/>
      <c r="CB48" s="98"/>
      <c r="CC48" s="98"/>
      <c r="CD48" s="98"/>
      <c r="CE48" s="98"/>
      <c r="CF48" s="98"/>
      <c r="CG48" s="98"/>
      <c r="CH48" s="98"/>
      <c r="CI48" s="98"/>
      <c r="CJ48" s="98"/>
      <c r="CK48" s="98"/>
      <c r="CL48" s="98"/>
      <c r="CM48" s="98"/>
      <c r="CN48" s="98"/>
      <c r="CO48" s="98"/>
      <c r="CP48" s="98"/>
      <c r="CQ48" s="98"/>
      <c r="CR48" s="98"/>
      <c r="CS48" s="98"/>
      <c r="CT48" s="98"/>
      <c r="CU48" s="98"/>
      <c r="CV48" s="98"/>
      <c r="CW48" s="98"/>
      <c r="CX48" s="98"/>
      <c r="CY48" s="98"/>
      <c r="CZ48" s="98"/>
      <c r="DA48" s="98"/>
      <c r="DB48" s="98"/>
      <c r="DC48" s="98"/>
      <c r="DD48" s="98"/>
      <c r="DE48" s="98"/>
      <c r="DF48" s="98"/>
      <c r="DG48" s="98"/>
    </row>
    <row r="49" spans="1:108" s="29" customFormat="1" ht="21" hidden="1" customHeight="1" x14ac:dyDescent="0.4">
      <c r="A49" s="105"/>
      <c r="B49" s="105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5"/>
      <c r="B50" s="105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41" t="s">
        <v>46</v>
      </c>
      <c r="B51" s="141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06" t="s">
        <v>47</v>
      </c>
      <c r="B52" s="107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41" t="s">
        <v>44</v>
      </c>
      <c r="B53" s="141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41" t="s">
        <v>45</v>
      </c>
      <c r="B54" s="141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41" t="s">
        <v>50</v>
      </c>
      <c r="B55" s="141"/>
      <c r="C55" s="36">
        <v>0.05</v>
      </c>
    </row>
    <row r="56" spans="1:108" s="40" customFormat="1" ht="21" customHeight="1" x14ac:dyDescent="0.4">
      <c r="A56" s="141" t="s">
        <v>52</v>
      </c>
      <c r="B56" s="141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5"/>
      <c r="B57" s="105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5"/>
      <c r="B58" s="105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5"/>
      <c r="B59" s="105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5"/>
      <c r="B60" s="105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5"/>
      <c r="B61" s="105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29" t="s">
        <v>22</v>
      </c>
      <c r="B62" s="129"/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J62" s="95" t="s">
        <v>71</v>
      </c>
      <c r="AK62" s="95"/>
      <c r="AL62" s="95"/>
      <c r="AM62" s="95"/>
      <c r="AN62" s="95"/>
      <c r="AO62" s="9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95"/>
      <c r="BD62" s="95" t="s">
        <v>82</v>
      </c>
      <c r="BE62" s="95"/>
      <c r="BF62" s="95"/>
      <c r="BG62" s="95"/>
      <c r="BH62" s="95"/>
      <c r="BI62" s="95"/>
      <c r="BJ62" s="95"/>
      <c r="BK62" s="95"/>
      <c r="BL62" s="95"/>
      <c r="BM62" s="95"/>
      <c r="BN62" s="95"/>
      <c r="BO62" s="95"/>
      <c r="BP62" s="95"/>
      <c r="BQ62" s="95"/>
      <c r="BR62" s="95"/>
      <c r="BS62" s="95"/>
      <c r="BT62" s="95"/>
      <c r="BU62" s="95"/>
      <c r="BV62" s="95"/>
    </row>
    <row r="63" spans="1:108" s="4" customFormat="1" ht="21" customHeight="1" x14ac:dyDescent="0.4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95"/>
      <c r="BD63" s="95"/>
      <c r="BE63" s="95"/>
      <c r="BF63" s="95"/>
      <c r="BG63" s="95"/>
      <c r="BH63" s="95"/>
      <c r="BI63" s="95"/>
      <c r="BJ63" s="95"/>
      <c r="BK63" s="95"/>
      <c r="BL63" s="95"/>
      <c r="BM63" s="95"/>
      <c r="BN63" s="95"/>
      <c r="BO63" s="95"/>
      <c r="BP63" s="95"/>
      <c r="BQ63" s="95"/>
      <c r="BR63" s="95"/>
      <c r="BS63" s="95"/>
      <c r="BT63" s="95"/>
      <c r="BU63" s="95"/>
      <c r="BV63" s="95"/>
    </row>
    <row r="64" spans="1:108" s="4" customFormat="1" ht="21" customHeight="1" x14ac:dyDescent="0.4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95"/>
      <c r="BD64" s="95"/>
      <c r="BE64" s="95"/>
      <c r="BF64" s="95"/>
      <c r="BG64" s="95"/>
      <c r="BH64" s="95"/>
      <c r="BI64" s="95"/>
      <c r="BJ64" s="95"/>
      <c r="BK64" s="95"/>
      <c r="BL64" s="95"/>
      <c r="BM64" s="95"/>
      <c r="BN64" s="95"/>
      <c r="BO64" s="95"/>
      <c r="BP64" s="95"/>
      <c r="BQ64" s="95"/>
      <c r="BR64" s="95"/>
      <c r="BS64" s="95"/>
      <c r="BT64" s="95"/>
      <c r="BU64" s="95"/>
      <c r="BV64" s="95"/>
    </row>
    <row r="65" spans="1:90" s="4" customFormat="1" ht="21" customHeight="1" x14ac:dyDescent="0.4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90" s="4" customFormat="1" ht="21" customHeight="1" x14ac:dyDescent="0.4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  <c r="BX66" s="99" t="s">
        <v>87</v>
      </c>
      <c r="BY66" s="99"/>
      <c r="BZ66" s="99"/>
      <c r="CA66" s="99"/>
    </row>
    <row r="67" spans="1:90" s="4" customFormat="1" ht="21" customHeight="1" x14ac:dyDescent="0.4">
      <c r="A67" s="143" t="s">
        <v>74</v>
      </c>
      <c r="B67" s="143"/>
      <c r="C67" s="143"/>
      <c r="D67" s="143"/>
      <c r="E67" s="143"/>
      <c r="F67" s="143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103" t="s">
        <v>68</v>
      </c>
      <c r="Q67" s="104"/>
      <c r="R67" s="38">
        <v>2</v>
      </c>
      <c r="BX67" s="100"/>
      <c r="BY67" s="100"/>
      <c r="BZ67" s="100"/>
      <c r="CA67" s="100"/>
    </row>
    <row r="68" spans="1:90" s="4" customFormat="1" ht="21" customHeight="1" x14ac:dyDescent="0.4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6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96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D68" s="96" t="s">
        <v>29</v>
      </c>
      <c r="BE68" s="77" t="s">
        <v>66</v>
      </c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X68" s="45" t="s">
        <v>86</v>
      </c>
      <c r="BY68" s="45" t="s">
        <v>83</v>
      </c>
      <c r="BZ68" s="45" t="s">
        <v>84</v>
      </c>
      <c r="CA68" s="45" t="s">
        <v>85</v>
      </c>
    </row>
    <row r="69" spans="1:90" s="4" customFormat="1" ht="21" customHeight="1" x14ac:dyDescent="0.4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7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7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7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91">
        <v>0.7802631307126866</v>
      </c>
      <c r="AL70" s="91">
        <v>0.56888055060149401</v>
      </c>
      <c r="AM70" s="91">
        <v>0.54359905366298811</v>
      </c>
      <c r="AN70" s="91">
        <v>0.35543602541816993</v>
      </c>
      <c r="AO70" s="91">
        <v>0.32943289231713879</v>
      </c>
      <c r="AP70" s="91">
        <v>0.3304618062158689</v>
      </c>
      <c r="AQ70" s="91">
        <v>0.31752003311376281</v>
      </c>
      <c r="AR70" s="91">
        <v>0.26385596054303423</v>
      </c>
      <c r="AS70" s="91">
        <v>0.26690350382372152</v>
      </c>
      <c r="AT70" s="91">
        <v>0.29846996907292112</v>
      </c>
      <c r="AU70" s="92"/>
      <c r="AV70" s="92"/>
      <c r="AW70" s="92"/>
      <c r="AX70" s="92"/>
      <c r="AY70" s="92"/>
      <c r="AZ70" s="92"/>
      <c r="BA70" s="92"/>
      <c r="BB70" s="92"/>
      <c r="BD70" s="45">
        <v>0.5</v>
      </c>
      <c r="BE70" s="91">
        <v>0.41115978278777265</v>
      </c>
      <c r="BF70" s="91">
        <v>0.35452850945053493</v>
      </c>
      <c r="BG70" s="91">
        <v>0.33896788092083679</v>
      </c>
      <c r="BH70" s="91">
        <v>0.30896872581694634</v>
      </c>
      <c r="BI70" s="91">
        <v>0.28793930014221336</v>
      </c>
      <c r="BJ70" s="91">
        <v>0.272949172650507</v>
      </c>
      <c r="BK70" s="91">
        <v>0.26290936417020511</v>
      </c>
      <c r="BL70" s="91">
        <v>0.25358265765845606</v>
      </c>
      <c r="BM70" s="91">
        <v>0.24328756098479037</v>
      </c>
      <c r="BN70" s="91">
        <v>0.23907220628277284</v>
      </c>
      <c r="BO70" s="92"/>
      <c r="BP70" s="92"/>
      <c r="BQ70" s="92"/>
      <c r="BR70" s="92"/>
      <c r="BS70" s="92"/>
      <c r="BT70" s="92"/>
      <c r="BU70" s="92"/>
      <c r="BV70" s="92"/>
      <c r="BX70" s="93">
        <v>0.33333333333333331</v>
      </c>
      <c r="BY70" s="93">
        <v>0.14950912920518705</v>
      </c>
      <c r="BZ70" s="93">
        <v>1.1803420469402635</v>
      </c>
      <c r="CA70" s="93">
        <v>-0.8157896360417406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44" t="s">
        <v>31</v>
      </c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91">
        <v>0.65402970237355273</v>
      </c>
      <c r="AL71" s="91">
        <v>0.48116331244118754</v>
      </c>
      <c r="AM71" s="91">
        <v>0.45647692195707357</v>
      </c>
      <c r="AN71" s="91">
        <v>0.31992687318393054</v>
      </c>
      <c r="AO71" s="91">
        <v>0.29252953319057895</v>
      </c>
      <c r="AP71" s="91">
        <v>0.28952029941870555</v>
      </c>
      <c r="AQ71" s="91">
        <v>0.28313959491531721</v>
      </c>
      <c r="AR71" s="91">
        <v>0.24322506188684317</v>
      </c>
      <c r="AS71" s="91">
        <v>0.24221318702964342</v>
      </c>
      <c r="AT71" s="91">
        <v>0.26512272291434164</v>
      </c>
      <c r="AU71" s="92"/>
      <c r="AV71" s="92"/>
      <c r="AW71" s="92"/>
      <c r="AX71" s="92"/>
      <c r="AY71" s="92"/>
      <c r="AZ71" s="92"/>
      <c r="BA71" s="92"/>
      <c r="BB71" s="92"/>
      <c r="BD71" s="45">
        <v>0.6</v>
      </c>
      <c r="BE71" s="91">
        <v>0.34838129628804898</v>
      </c>
      <c r="BF71" s="91">
        <v>0.30418258006795623</v>
      </c>
      <c r="BG71" s="91">
        <v>0.29176058576539177</v>
      </c>
      <c r="BH71" s="91">
        <v>0.26859757410424978</v>
      </c>
      <c r="BI71" s="91">
        <v>0.25236787978462805</v>
      </c>
      <c r="BJ71" s="91">
        <v>0.24032299158408774</v>
      </c>
      <c r="BK71" s="91">
        <v>0.23288065787583712</v>
      </c>
      <c r="BL71" s="91">
        <v>0.22607691453087139</v>
      </c>
      <c r="BM71" s="91">
        <v>0.21816096216892453</v>
      </c>
      <c r="BN71" s="91">
        <v>0.21536486223900217</v>
      </c>
      <c r="BO71" s="92"/>
      <c r="BP71" s="92"/>
      <c r="BQ71" s="92"/>
      <c r="BR71" s="92"/>
      <c r="BS71" s="92"/>
      <c r="BT71" s="92"/>
      <c r="BU71" s="92"/>
      <c r="BV71" s="92"/>
      <c r="BX71" s="93">
        <v>0.66666666666666663</v>
      </c>
      <c r="BY71" s="93">
        <v>0.14941674204201427</v>
      </c>
      <c r="BZ71" s="93">
        <v>0.90917331220325548</v>
      </c>
      <c r="CA71" s="93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91">
        <v>0.49743837847752581</v>
      </c>
      <c r="AL72" s="91">
        <v>0.37752404966947639</v>
      </c>
      <c r="AM72" s="91">
        <v>0.35849488097706877</v>
      </c>
      <c r="AN72" s="91">
        <v>0.27087467415770072</v>
      </c>
      <c r="AO72" s="91">
        <v>0.24667163855548341</v>
      </c>
      <c r="AP72" s="91">
        <v>0.24200677391846553</v>
      </c>
      <c r="AQ72" s="91">
        <v>0.24130272238243666</v>
      </c>
      <c r="AR72" s="91">
        <v>0.21428375826618817</v>
      </c>
      <c r="AS72" s="91">
        <v>0.21127516574235408</v>
      </c>
      <c r="AT72" s="91">
        <v>0.22744699086051187</v>
      </c>
      <c r="AU72" s="92"/>
      <c r="AV72" s="92"/>
      <c r="AW72" s="92"/>
      <c r="AX72" s="92"/>
      <c r="AY72" s="92"/>
      <c r="AZ72" s="92"/>
      <c r="BA72" s="92"/>
      <c r="BB72" s="92"/>
      <c r="BD72" s="45">
        <v>0.7</v>
      </c>
      <c r="BE72" s="91">
        <v>0.29178084151600103</v>
      </c>
      <c r="BF72" s="91">
        <v>0.25902572346377889</v>
      </c>
      <c r="BG72" s="91">
        <v>0.24961801046759818</v>
      </c>
      <c r="BH72" s="91">
        <v>0.23284535019763256</v>
      </c>
      <c r="BI72" s="91">
        <v>0.22114340855251144</v>
      </c>
      <c r="BJ72" s="91">
        <v>0.21194146739514452</v>
      </c>
      <c r="BK72" s="91">
        <v>0.20703101415846512</v>
      </c>
      <c r="BL72" s="91">
        <v>0.20268171029062715</v>
      </c>
      <c r="BM72" s="91">
        <v>0.19709480043310715</v>
      </c>
      <c r="BN72" s="91">
        <v>0.19567775359166845</v>
      </c>
      <c r="BO72" s="92"/>
      <c r="BP72" s="92"/>
      <c r="BQ72" s="92"/>
      <c r="BR72" s="92"/>
      <c r="BS72" s="92"/>
      <c r="BT72" s="92"/>
      <c r="BU72" s="92"/>
      <c r="BV72" s="92"/>
      <c r="BX72" s="93">
        <v>1</v>
      </c>
      <c r="BY72" s="93">
        <v>0.14929038999888414</v>
      </c>
      <c r="BZ72" s="93">
        <v>0.84903948202740342</v>
      </c>
      <c r="CA72" s="93">
        <v>-0.69357739926870177</v>
      </c>
    </row>
    <row r="73" spans="1:90" s="4" customFormat="1" ht="21" customHeight="1" x14ac:dyDescent="0.35">
      <c r="A73" s="142" t="s">
        <v>32</v>
      </c>
      <c r="B73" s="142"/>
      <c r="C73" s="142" t="s">
        <v>33</v>
      </c>
      <c r="D73" s="142"/>
      <c r="E73" s="142" t="s">
        <v>34</v>
      </c>
      <c r="F73" s="142"/>
      <c r="G73" s="142" t="s">
        <v>35</v>
      </c>
      <c r="H73" s="142"/>
      <c r="I73" s="142" t="s">
        <v>65</v>
      </c>
      <c r="J73" s="142"/>
      <c r="K73" s="142" t="s">
        <v>67</v>
      </c>
      <c r="L73" s="142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91">
        <v>0.36171099858626454</v>
      </c>
      <c r="AL73" s="91">
        <v>0.28751727002549105</v>
      </c>
      <c r="AM73" s="91">
        <v>0.27409585589130492</v>
      </c>
      <c r="AN73" s="91">
        <v>0.22518938135682984</v>
      </c>
      <c r="AO73" s="91">
        <v>0.20641010194747958</v>
      </c>
      <c r="AP73" s="91">
        <v>0.20205620818760262</v>
      </c>
      <c r="AQ73" s="91">
        <v>0.20594199457767481</v>
      </c>
      <c r="AR73" s="91">
        <v>0.18957719834524217</v>
      </c>
      <c r="AS73" s="91">
        <v>0.18638098849236875</v>
      </c>
      <c r="AT73" s="91">
        <v>0.19800635833381419</v>
      </c>
      <c r="AU73" s="92"/>
      <c r="AV73" s="92"/>
      <c r="AW73" s="92"/>
      <c r="AX73" s="92"/>
      <c r="AY73" s="92"/>
      <c r="AZ73" s="92"/>
      <c r="BA73" s="92"/>
      <c r="BB73" s="92"/>
      <c r="BD73" s="45">
        <v>0.8</v>
      </c>
      <c r="BE73" s="91">
        <v>0.23900771506322147</v>
      </c>
      <c r="BF73" s="91">
        <v>0.21734054052316512</v>
      </c>
      <c r="BG73" s="91">
        <v>0.21105692141444971</v>
      </c>
      <c r="BH73" s="91">
        <v>0.20058424733455074</v>
      </c>
      <c r="BI73" s="91">
        <v>0.19337986427385204</v>
      </c>
      <c r="BJ73" s="91">
        <v>0.18709284596281869</v>
      </c>
      <c r="BK73" s="91">
        <v>0.18478246544581536</v>
      </c>
      <c r="BL73" s="91">
        <v>0.18292271360089435</v>
      </c>
      <c r="BM73" s="91">
        <v>0.17970694241960763</v>
      </c>
      <c r="BN73" s="91">
        <v>0.17965605551063954</v>
      </c>
      <c r="BO73" s="92"/>
      <c r="BP73" s="92"/>
      <c r="BQ73" s="92"/>
      <c r="BR73" s="92"/>
      <c r="BS73" s="92"/>
      <c r="BT73" s="92"/>
      <c r="BU73" s="92"/>
      <c r="BV73" s="92"/>
      <c r="BX73" s="93">
        <v>1.3333333333333333</v>
      </c>
      <c r="BY73" s="93">
        <v>0.15029559036833243</v>
      </c>
      <c r="BZ73" s="93">
        <v>0.71014512521962125</v>
      </c>
      <c r="CA73" s="93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91">
        <v>0.24122019694413982</v>
      </c>
      <c r="AL74" s="91">
        <v>0.20826547602734213</v>
      </c>
      <c r="AM74" s="91">
        <v>0.20110855483340942</v>
      </c>
      <c r="AN74" s="91">
        <v>0.1830197593883566</v>
      </c>
      <c r="AO74" s="91">
        <v>0.17194226909685825</v>
      </c>
      <c r="AP74" s="91">
        <v>0.1699412601968163</v>
      </c>
      <c r="AQ74" s="91">
        <v>0.17785810820167633</v>
      </c>
      <c r="AR74" s="91">
        <v>0.17038550555635193</v>
      </c>
      <c r="AS74" s="91">
        <v>0.16847773892721837</v>
      </c>
      <c r="AT74" s="91">
        <v>0.17722008248019036</v>
      </c>
      <c r="AU74" s="92"/>
      <c r="AV74" s="92"/>
      <c r="AW74" s="92"/>
      <c r="AX74" s="92"/>
      <c r="AY74" s="92"/>
      <c r="AZ74" s="92"/>
      <c r="BA74" s="92"/>
      <c r="BB74" s="92"/>
      <c r="BD74" s="45">
        <v>0.9</v>
      </c>
      <c r="BE74" s="91">
        <v>0.18828812488250088</v>
      </c>
      <c r="BF74" s="91">
        <v>0.1780899893823413</v>
      </c>
      <c r="BG74" s="91">
        <v>0.17542207166182217</v>
      </c>
      <c r="BH74" s="91">
        <v>0.17151114314577923</v>
      </c>
      <c r="BI74" s="91">
        <v>0.16897774289524403</v>
      </c>
      <c r="BJ74" s="91">
        <v>0.16584755888641306</v>
      </c>
      <c r="BK74" s="91">
        <v>0.166284968192876</v>
      </c>
      <c r="BL74" s="91">
        <v>0.16696860944471328</v>
      </c>
      <c r="BM74" s="91">
        <v>0.16617137031133206</v>
      </c>
      <c r="BN74" s="91">
        <v>0.16742978936186828</v>
      </c>
      <c r="BO74" s="92"/>
      <c r="BP74" s="92"/>
      <c r="BQ74" s="92"/>
      <c r="BR74" s="92"/>
      <c r="BS74" s="92"/>
      <c r="BT74" s="92"/>
      <c r="BU74" s="92"/>
      <c r="BV74" s="92"/>
      <c r="BX74" s="93">
        <v>1.6666666666666665</v>
      </c>
      <c r="BY74" s="93">
        <v>0.15096839354274985</v>
      </c>
      <c r="BZ74" s="93">
        <v>0.61923683218122694</v>
      </c>
      <c r="CA74" s="93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91">
        <v>0.13860529577374553</v>
      </c>
      <c r="AL75" s="91">
        <v>0.14245067796926472</v>
      </c>
      <c r="AM75" s="91">
        <v>0.14397696628318998</v>
      </c>
      <c r="AN75" s="91">
        <v>0.14844350799381631</v>
      </c>
      <c r="AO75" s="91">
        <v>0.14631590304097986</v>
      </c>
      <c r="AP75" s="91">
        <v>0.14848746748221014</v>
      </c>
      <c r="AQ75" s="91">
        <v>0.15973294276990771</v>
      </c>
      <c r="AR75" s="91">
        <v>0.1591051898151736</v>
      </c>
      <c r="AS75" s="91">
        <v>0.15919493624428313</v>
      </c>
      <c r="AT75" s="91">
        <v>0.16594366577030356</v>
      </c>
      <c r="AU75" s="92"/>
      <c r="AV75" s="92"/>
      <c r="AW75" s="92"/>
      <c r="AX75" s="92"/>
      <c r="AY75" s="92"/>
      <c r="AZ75" s="92"/>
      <c r="BA75" s="92"/>
      <c r="BB75" s="92"/>
      <c r="BD75" s="45">
        <v>1</v>
      </c>
      <c r="BE75" s="91">
        <v>0.13904657604896359</v>
      </c>
      <c r="BF75" s="91">
        <v>0.1415337998325864</v>
      </c>
      <c r="BG75" s="91">
        <v>0.14372088165449551</v>
      </c>
      <c r="BH75" s="91">
        <v>0.14669711285431325</v>
      </c>
      <c r="BI75" s="91">
        <v>0.14893792936177513</v>
      </c>
      <c r="BJ75" s="91">
        <v>0.1492343253919983</v>
      </c>
      <c r="BK75" s="91">
        <v>0.15242516455956284</v>
      </c>
      <c r="BL75" s="91">
        <v>0.15550060183802747</v>
      </c>
      <c r="BM75" s="91">
        <v>0.15698170628129454</v>
      </c>
      <c r="BN75" s="91">
        <v>0.15934123896732924</v>
      </c>
      <c r="BO75" s="92"/>
      <c r="BP75" s="92"/>
      <c r="BQ75" s="92"/>
      <c r="BR75" s="92"/>
      <c r="BS75" s="92"/>
      <c r="BT75" s="92"/>
      <c r="BU75" s="92"/>
      <c r="BV75" s="92"/>
      <c r="BX75" s="93">
        <v>1.9999999999999998</v>
      </c>
      <c r="BY75" s="93">
        <v>0.14946743816731256</v>
      </c>
      <c r="BZ75" s="93">
        <v>0.56973113614509274</v>
      </c>
      <c r="CA75" s="93">
        <v>-0.50024293713234869</v>
      </c>
    </row>
    <row r="76" spans="1:90" s="4" customFormat="1" ht="21" customHeight="1" x14ac:dyDescent="0.35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91">
        <v>9.1536526561263612E-2</v>
      </c>
      <c r="AL76" s="91">
        <v>0.10604177595635521</v>
      </c>
      <c r="AM76" s="91">
        <v>0.11838902393726815</v>
      </c>
      <c r="AN76" s="91">
        <v>0.13025837362698375</v>
      </c>
      <c r="AO76" s="91">
        <v>0.13479678806327844</v>
      </c>
      <c r="AP76" s="91">
        <v>0.14168378195593256</v>
      </c>
      <c r="AQ76" s="91">
        <v>0.15447730329468196</v>
      </c>
      <c r="AR76" s="91">
        <v>0.15786872657254325</v>
      </c>
      <c r="AS76" s="91">
        <v>0.1595181716749331</v>
      </c>
      <c r="AT76" s="91">
        <v>0.16433488740187924</v>
      </c>
      <c r="AU76" s="92"/>
      <c r="AV76" s="92"/>
      <c r="AW76" s="92"/>
      <c r="AX76" s="92"/>
      <c r="AY76" s="92"/>
      <c r="AZ76" s="92"/>
      <c r="BA76" s="92"/>
      <c r="BB76" s="92"/>
      <c r="BD76" s="45">
        <v>1.1000000000000001</v>
      </c>
      <c r="BE76" s="91">
        <v>0.10320061545711559</v>
      </c>
      <c r="BF76" s="91">
        <v>0.1136301151986463</v>
      </c>
      <c r="BG76" s="91">
        <v>0.12186675600490544</v>
      </c>
      <c r="BH76" s="91">
        <v>0.12977793680356006</v>
      </c>
      <c r="BI76" s="91">
        <v>0.1356447738261245</v>
      </c>
      <c r="BJ76" s="91">
        <v>0.13905109752913286</v>
      </c>
      <c r="BK76" s="91">
        <v>0.14438533099122194</v>
      </c>
      <c r="BL76" s="91">
        <v>0.14919100093969506</v>
      </c>
      <c r="BM76" s="91">
        <v>0.1524168987435327</v>
      </c>
      <c r="BN76" s="91">
        <v>0.15547232424346974</v>
      </c>
      <c r="BO76" s="92"/>
      <c r="BP76" s="92"/>
      <c r="BQ76" s="92"/>
      <c r="BR76" s="92"/>
      <c r="BS76" s="92"/>
      <c r="BT76" s="92"/>
      <c r="BU76" s="92"/>
      <c r="BV76" s="92"/>
      <c r="BX76" s="93">
        <v>2.333333333333333</v>
      </c>
      <c r="BY76" s="93">
        <v>0.15140693445757744</v>
      </c>
      <c r="BZ76" s="93">
        <v>0.52626393503171665</v>
      </c>
      <c r="CA76" s="93">
        <v>-0.44004262618232287</v>
      </c>
    </row>
    <row r="77" spans="1:90" s="4" customFormat="1" ht="21" customHeight="1" x14ac:dyDescent="0.35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91">
        <v>0.12172992376002253</v>
      </c>
      <c r="AL77" s="91">
        <v>0.11196695137330144</v>
      </c>
      <c r="AM77" s="91">
        <v>0.13209749878001001</v>
      </c>
      <c r="AN77" s="91">
        <v>0.13379234231474929</v>
      </c>
      <c r="AO77" s="91">
        <v>0.14028070615226312</v>
      </c>
      <c r="AP77" s="91">
        <v>0.15084761542948419</v>
      </c>
      <c r="AQ77" s="91">
        <v>0.1625947140871121</v>
      </c>
      <c r="AR77" s="91">
        <v>0.16689881184300306</v>
      </c>
      <c r="AS77" s="91">
        <v>0.16877576368569633</v>
      </c>
      <c r="AT77" s="91">
        <v>0.171255642804481</v>
      </c>
      <c r="AU77" s="92"/>
      <c r="AV77" s="92"/>
      <c r="AW77" s="92"/>
      <c r="AX77" s="92"/>
      <c r="AY77" s="92"/>
      <c r="AZ77" s="92"/>
      <c r="BA77" s="92"/>
      <c r="BB77" s="92"/>
      <c r="BD77" s="45">
        <v>1.2</v>
      </c>
      <c r="BE77" s="91">
        <v>0.10447342885242052</v>
      </c>
      <c r="BF77" s="91">
        <v>0.10691189965635635</v>
      </c>
      <c r="BG77" s="91">
        <v>0.11747125423056549</v>
      </c>
      <c r="BH77" s="91">
        <v>0.12450077982920632</v>
      </c>
      <c r="BI77" s="91">
        <v>0.13093395831106044</v>
      </c>
      <c r="BJ77" s="91">
        <v>0.13605823850597884</v>
      </c>
      <c r="BK77" s="91">
        <v>0.14229593371480362</v>
      </c>
      <c r="BL77" s="91">
        <v>0.14780014812134865</v>
      </c>
      <c r="BM77" s="91">
        <v>0.15196946892861327</v>
      </c>
      <c r="BN77" s="91">
        <v>0.15525836640366283</v>
      </c>
      <c r="BO77" s="92"/>
      <c r="BP77" s="92"/>
      <c r="BQ77" s="92"/>
      <c r="BR77" s="92"/>
      <c r="BS77" s="92"/>
      <c r="BT77" s="92"/>
      <c r="BU77" s="92"/>
      <c r="BV77" s="92"/>
      <c r="BX77" s="93">
        <v>2.6666666666666665</v>
      </c>
      <c r="BY77" s="93">
        <v>0.15349531662053278</v>
      </c>
      <c r="BZ77" s="93">
        <v>0.48580304881189068</v>
      </c>
      <c r="CA77" s="93">
        <v>-0.38494045346566219</v>
      </c>
    </row>
    <row r="78" spans="1:90" ht="21" customHeight="1" x14ac:dyDescent="0.35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91">
        <v>0.17086619736072892</v>
      </c>
      <c r="AL78" s="91">
        <v>0.1336709239404795</v>
      </c>
      <c r="AM78" s="91">
        <v>0.15110859442919844</v>
      </c>
      <c r="AN78" s="91">
        <v>0.13898175427484336</v>
      </c>
      <c r="AO78" s="91">
        <v>0.14604424547069372</v>
      </c>
      <c r="AP78" s="91">
        <v>0.15871727440970176</v>
      </c>
      <c r="AQ78" s="91">
        <v>0.168179961668249</v>
      </c>
      <c r="AR78" s="91">
        <v>0.17237382787801811</v>
      </c>
      <c r="AS78" s="91">
        <v>0.17418335825054962</v>
      </c>
      <c r="AT78" s="91">
        <v>0.17459863721497243</v>
      </c>
      <c r="AU78" s="92"/>
      <c r="AV78" s="92"/>
      <c r="AW78" s="92"/>
      <c r="AX78" s="92"/>
      <c r="AY78" s="92"/>
      <c r="AZ78" s="92"/>
      <c r="BA78" s="92"/>
      <c r="BB78" s="92"/>
      <c r="BD78" s="45">
        <v>1.3</v>
      </c>
      <c r="BE78" s="91">
        <v>0.11853100866433387</v>
      </c>
      <c r="BF78" s="91">
        <v>0.11408486990362791</v>
      </c>
      <c r="BG78" s="91">
        <v>0.12427204284283885</v>
      </c>
      <c r="BH78" s="91">
        <v>0.12806125600774348</v>
      </c>
      <c r="BI78" s="91">
        <v>0.13303602351685467</v>
      </c>
      <c r="BJ78" s="91">
        <v>0.13849722132290956</v>
      </c>
      <c r="BK78" s="91">
        <v>0.14463719626271881</v>
      </c>
      <c r="BL78" s="91">
        <v>0.15003678942451848</v>
      </c>
      <c r="BM78" s="91">
        <v>0.15447431006878495</v>
      </c>
      <c r="BN78" s="91">
        <v>0.15766377528995601</v>
      </c>
      <c r="BO78" s="92"/>
      <c r="BP78" s="92"/>
      <c r="BQ78" s="92"/>
      <c r="BR78" s="92"/>
      <c r="BS78" s="92"/>
      <c r="BT78" s="92"/>
      <c r="BU78" s="92"/>
      <c r="BV78" s="92"/>
      <c r="BX78" s="93">
        <v>3</v>
      </c>
      <c r="BY78" s="93">
        <v>0.15392008229393006</v>
      </c>
      <c r="BZ78" s="93">
        <v>0.45100639452192359</v>
      </c>
      <c r="CA78" s="93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2"/>
      <c r="AV79" s="92"/>
      <c r="AW79" s="92"/>
      <c r="AX79" s="92"/>
      <c r="AY79" s="92"/>
      <c r="AZ79" s="92"/>
      <c r="BA79" s="92"/>
      <c r="BB79" s="92"/>
      <c r="BD79" s="45"/>
      <c r="BE79" s="92"/>
      <c r="BF79" s="92"/>
      <c r="BG79" s="92"/>
      <c r="BH79" s="92"/>
      <c r="BI79" s="92"/>
      <c r="BJ79" s="92"/>
      <c r="BK79" s="92"/>
      <c r="BL79" s="92"/>
      <c r="BM79" s="92"/>
      <c r="BN79" s="92"/>
      <c r="BO79" s="92"/>
      <c r="BP79" s="92"/>
      <c r="BQ79" s="92"/>
      <c r="BR79" s="92"/>
      <c r="BS79" s="92"/>
      <c r="BT79" s="92"/>
      <c r="BU79" s="92"/>
      <c r="BV79" s="92"/>
      <c r="BX79" s="93">
        <v>3.3333333333333335</v>
      </c>
      <c r="BY79" s="93">
        <v>0.15575562197834353</v>
      </c>
      <c r="BZ79" s="93">
        <v>0.42947354687987854</v>
      </c>
      <c r="CA79" s="93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2"/>
      <c r="AV80" s="92"/>
      <c r="AW80" s="92"/>
      <c r="AX80" s="92"/>
      <c r="AY80" s="92"/>
      <c r="AZ80" s="92"/>
      <c r="BA80" s="92"/>
      <c r="BB80" s="92"/>
      <c r="BD80" s="45"/>
      <c r="BE80" s="92"/>
      <c r="BF80" s="92"/>
      <c r="BG80" s="92"/>
      <c r="BH80" s="92"/>
      <c r="BI80" s="92"/>
      <c r="BJ80" s="92"/>
      <c r="BK80" s="92"/>
      <c r="BL80" s="92"/>
      <c r="BM80" s="92"/>
      <c r="BN80" s="92"/>
      <c r="BO80" s="92"/>
      <c r="BP80" s="92"/>
      <c r="BQ80" s="92"/>
      <c r="BR80" s="92"/>
      <c r="BS80" s="92"/>
      <c r="BT80" s="92"/>
      <c r="BU80" s="92"/>
      <c r="BV80" s="92"/>
      <c r="BX80" s="93"/>
      <c r="BY80" s="93"/>
      <c r="BZ80" s="93"/>
      <c r="CA80" s="93"/>
    </row>
    <row r="81" spans="1:90" ht="21" customHeight="1" x14ac:dyDescent="0.35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2"/>
      <c r="AV81" s="92"/>
      <c r="AW81" s="92"/>
      <c r="AX81" s="92"/>
      <c r="AY81" s="92"/>
      <c r="AZ81" s="92"/>
      <c r="BA81" s="92"/>
      <c r="BB81" s="92"/>
      <c r="BD81" s="45"/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X81" s="93"/>
      <c r="BY81" s="93"/>
      <c r="BZ81" s="93"/>
      <c r="CA81" s="93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2"/>
      <c r="AV82" s="92"/>
      <c r="AW82" s="92"/>
      <c r="AX82" s="92"/>
      <c r="AY82" s="92"/>
      <c r="AZ82" s="92"/>
      <c r="BA82" s="92"/>
      <c r="BB82" s="92"/>
      <c r="BD82" s="45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92"/>
      <c r="BU82" s="92"/>
      <c r="BV82" s="92"/>
      <c r="BX82" s="93"/>
      <c r="BY82" s="93"/>
      <c r="BZ82" s="93"/>
      <c r="CA82" s="93"/>
    </row>
    <row r="83" spans="1:90" s="4" customFormat="1" ht="21" customHeight="1" x14ac:dyDescent="0.35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2"/>
      <c r="AV83" s="92"/>
      <c r="AW83" s="92"/>
      <c r="AX83" s="92"/>
      <c r="AY83" s="92"/>
      <c r="AZ83" s="92"/>
      <c r="BA83" s="92"/>
      <c r="BB83" s="92"/>
      <c r="BD83" s="45"/>
      <c r="BE83" s="92"/>
      <c r="BF83" s="92"/>
      <c r="BG83" s="92"/>
      <c r="BH83" s="92"/>
      <c r="BI83" s="92"/>
      <c r="BJ83" s="92"/>
      <c r="BK83" s="92"/>
      <c r="BL83" s="92"/>
      <c r="BM83" s="92"/>
      <c r="BN83" s="92"/>
      <c r="BO83" s="92"/>
      <c r="BP83" s="92"/>
      <c r="BQ83" s="92"/>
      <c r="BR83" s="92"/>
      <c r="BS83" s="92"/>
      <c r="BT83" s="92"/>
      <c r="BU83" s="92"/>
      <c r="BV83" s="92"/>
      <c r="BX83" s="93"/>
      <c r="BY83" s="93"/>
      <c r="BZ83" s="93"/>
      <c r="CA83" s="93"/>
    </row>
    <row r="84" spans="1:90" s="4" customFormat="1" ht="21" customHeight="1" x14ac:dyDescent="0.35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2"/>
      <c r="AV84" s="92"/>
      <c r="AW84" s="92"/>
      <c r="AX84" s="92"/>
      <c r="AY84" s="92"/>
      <c r="AZ84" s="92"/>
      <c r="BA84" s="92"/>
      <c r="BB84" s="92"/>
      <c r="BD84" s="45"/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X84" s="93"/>
      <c r="BY84" s="93"/>
      <c r="BZ84" s="93"/>
      <c r="CA84" s="93"/>
    </row>
    <row r="85" spans="1:90" s="4" customFormat="1" ht="21" customHeight="1" x14ac:dyDescent="0.35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91"/>
      <c r="AL85" s="91"/>
      <c r="AM85" s="91"/>
      <c r="AN85" s="91"/>
      <c r="AO85" s="91"/>
      <c r="AP85" s="91"/>
      <c r="AQ85" s="91"/>
      <c r="AR85" s="91"/>
      <c r="AS85" s="91"/>
      <c r="AT85" s="91"/>
      <c r="AU85" s="92"/>
      <c r="AV85" s="92"/>
      <c r="AW85" s="92"/>
      <c r="AX85" s="92"/>
      <c r="AY85" s="92"/>
      <c r="AZ85" s="92"/>
      <c r="BA85" s="92"/>
      <c r="BB85" s="92"/>
      <c r="BD85" s="45"/>
      <c r="BE85" s="92"/>
      <c r="BF85" s="92"/>
      <c r="BG85" s="92"/>
      <c r="BH85" s="92"/>
      <c r="BI85" s="92"/>
      <c r="BJ85" s="92"/>
      <c r="BK85" s="92"/>
      <c r="BL85" s="92"/>
      <c r="BM85" s="92"/>
      <c r="BN85" s="92"/>
      <c r="BO85" s="92"/>
      <c r="BP85" s="92"/>
      <c r="BQ85" s="92"/>
      <c r="BR85" s="92"/>
      <c r="BS85" s="92"/>
      <c r="BT85" s="92"/>
      <c r="BU85" s="92"/>
      <c r="BV85" s="92"/>
      <c r="BX85" s="93"/>
      <c r="BY85" s="93"/>
      <c r="BZ85" s="93"/>
      <c r="CA85" s="93"/>
    </row>
    <row r="86" spans="1:90" s="4" customFormat="1" ht="21" customHeight="1" x14ac:dyDescent="0.35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91"/>
      <c r="AL86" s="91"/>
      <c r="AM86" s="91"/>
      <c r="AN86" s="91"/>
      <c r="AO86" s="91"/>
      <c r="AP86" s="91"/>
      <c r="AQ86" s="91"/>
      <c r="AR86" s="91"/>
      <c r="AS86" s="91"/>
      <c r="AT86" s="91"/>
      <c r="AU86" s="92"/>
      <c r="AV86" s="92"/>
      <c r="AW86" s="92"/>
      <c r="AX86" s="92"/>
      <c r="AY86" s="92"/>
      <c r="AZ86" s="92"/>
      <c r="BA86" s="92"/>
      <c r="BB86" s="92"/>
      <c r="BD86" s="45"/>
      <c r="BE86" s="92"/>
      <c r="BF86" s="92"/>
      <c r="BG86" s="92"/>
      <c r="BH86" s="92"/>
      <c r="BI86" s="92"/>
      <c r="BJ86" s="92"/>
      <c r="BK86" s="92"/>
      <c r="BL86" s="92"/>
      <c r="BM86" s="92"/>
      <c r="BN86" s="92"/>
      <c r="BO86" s="92"/>
      <c r="BP86" s="92"/>
      <c r="BQ86" s="92"/>
      <c r="BR86" s="92"/>
      <c r="BS86" s="92"/>
      <c r="BT86" s="92"/>
      <c r="BU86" s="92"/>
      <c r="BV86" s="92"/>
      <c r="BX86" s="93"/>
      <c r="BY86" s="93"/>
      <c r="BZ86" s="93"/>
      <c r="CA86" s="93"/>
    </row>
    <row r="87" spans="1:90" s="4" customFormat="1" ht="21" customHeight="1" x14ac:dyDescent="0.35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91"/>
      <c r="AL87" s="91"/>
      <c r="AM87" s="91"/>
      <c r="AN87" s="91"/>
      <c r="AO87" s="91"/>
      <c r="AP87" s="91"/>
      <c r="AQ87" s="91"/>
      <c r="AR87" s="91"/>
      <c r="AS87" s="91"/>
      <c r="AT87" s="91"/>
      <c r="AU87" s="92"/>
      <c r="AV87" s="92"/>
      <c r="AW87" s="92"/>
      <c r="AX87" s="92"/>
      <c r="AY87" s="92"/>
      <c r="AZ87" s="92"/>
      <c r="BA87" s="92"/>
      <c r="BB87" s="92"/>
      <c r="BD87" s="45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X87" s="93"/>
      <c r="BY87" s="93"/>
      <c r="BZ87" s="93"/>
      <c r="CA87" s="93"/>
    </row>
    <row r="88" spans="1:90" s="4" customFormat="1" ht="21" customHeight="1" x14ac:dyDescent="0.35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D88" s="45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X88" s="93"/>
      <c r="BY88" s="93"/>
      <c r="BZ88" s="93"/>
      <c r="CA88" s="93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BD89" s="45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X89" s="93"/>
      <c r="BY89" s="93"/>
      <c r="BZ89" s="93"/>
      <c r="CA89" s="93"/>
    </row>
    <row r="90" spans="1:90" s="4" customFormat="1" ht="21" customHeight="1" x14ac:dyDescent="0.35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  <c r="BB90" s="92"/>
      <c r="BD90" s="45"/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X90" s="93"/>
      <c r="BY90" s="93"/>
      <c r="BZ90" s="93"/>
      <c r="CA90" s="93"/>
    </row>
    <row r="91" spans="1:90" s="4" customFormat="1" ht="21" customHeight="1" x14ac:dyDescent="0.35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  <c r="BD91" s="45"/>
      <c r="BE91" s="92"/>
      <c r="BF91" s="92"/>
      <c r="BG91" s="92"/>
      <c r="BH91" s="92"/>
      <c r="BI91" s="92"/>
      <c r="BJ91" s="92"/>
      <c r="BK91" s="92"/>
      <c r="BL91" s="92"/>
      <c r="BM91" s="92"/>
      <c r="BN91" s="92"/>
      <c r="BO91" s="92"/>
      <c r="BP91" s="92"/>
      <c r="BQ91" s="92"/>
      <c r="BR91" s="92"/>
      <c r="BS91" s="92"/>
      <c r="BT91" s="92"/>
      <c r="BU91" s="92"/>
      <c r="BV91" s="92"/>
      <c r="BX91" s="93"/>
      <c r="BY91" s="93"/>
      <c r="BZ91" s="93"/>
      <c r="CA91" s="93"/>
    </row>
    <row r="92" spans="1:90" s="4" customFormat="1" ht="21" customHeight="1" x14ac:dyDescent="0.35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W92" s="92"/>
      <c r="AX92" s="92"/>
      <c r="AY92" s="92"/>
      <c r="AZ92" s="92"/>
      <c r="BA92" s="92"/>
      <c r="BB92" s="92"/>
      <c r="BD92" s="45"/>
      <c r="BE92" s="92"/>
      <c r="BF92" s="92"/>
      <c r="BG92" s="92"/>
      <c r="BH92" s="92"/>
      <c r="BI92" s="92"/>
      <c r="BJ92" s="92"/>
      <c r="BK92" s="92"/>
      <c r="BL92" s="92"/>
      <c r="BM92" s="92"/>
      <c r="BN92" s="92"/>
      <c r="BO92" s="92"/>
      <c r="BP92" s="92"/>
      <c r="BQ92" s="92"/>
      <c r="BR92" s="92"/>
      <c r="BS92" s="92"/>
      <c r="BT92" s="92"/>
      <c r="BU92" s="92"/>
      <c r="BV92" s="92"/>
      <c r="BX92" s="93"/>
      <c r="BY92" s="93"/>
      <c r="BZ92" s="93"/>
      <c r="CA92" s="93"/>
    </row>
    <row r="93" spans="1:90" s="4" customFormat="1" ht="21" customHeight="1" x14ac:dyDescent="0.35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BD93" s="45"/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X93" s="93"/>
      <c r="BY93" s="93"/>
      <c r="BZ93" s="93"/>
      <c r="CA93" s="93"/>
    </row>
    <row r="94" spans="1:90" s="4" customFormat="1" ht="21" customHeight="1" x14ac:dyDescent="0.4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4"/>
    </row>
    <row r="95" spans="1:90" s="4" customFormat="1" ht="21" customHeight="1" x14ac:dyDescent="0.4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  <c r="BX95" s="94"/>
    </row>
    <row r="96" spans="1:90" s="4" customFormat="1" ht="21" customHeight="1" x14ac:dyDescent="0.4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  <c r="BX96" s="99" t="s">
        <v>87</v>
      </c>
      <c r="BY96" s="99"/>
      <c r="BZ96" s="99"/>
      <c r="CA96" s="99"/>
    </row>
    <row r="97" spans="1:79" s="4" customFormat="1" ht="21" customHeight="1" x14ac:dyDescent="0.4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103" t="s">
        <v>68</v>
      </c>
      <c r="Q97" s="104"/>
      <c r="R97" s="38">
        <v>1</v>
      </c>
      <c r="BX97" s="100"/>
      <c r="BY97" s="100"/>
      <c r="BZ97" s="100"/>
      <c r="CA97" s="100"/>
    </row>
    <row r="98" spans="1:79" s="4" customFormat="1" ht="21" customHeight="1" x14ac:dyDescent="0.4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96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96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D98" s="96" t="s">
        <v>29</v>
      </c>
      <c r="BE98" s="77" t="s">
        <v>66</v>
      </c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X98" s="45" t="s">
        <v>86</v>
      </c>
      <c r="BY98" s="45" t="s">
        <v>83</v>
      </c>
      <c r="BZ98" s="45" t="s">
        <v>84</v>
      </c>
      <c r="CA98" s="45" t="s">
        <v>85</v>
      </c>
    </row>
    <row r="99" spans="1:79" s="4" customFormat="1" ht="21" customHeight="1" x14ac:dyDescent="0.4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97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7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7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79" s="4" customFormat="1" ht="21" customHeight="1" x14ac:dyDescent="0.35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0.25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92">
        <v>0.25</v>
      </c>
      <c r="AL100" s="92">
        <v>0.24</v>
      </c>
      <c r="AM100" s="92">
        <v>0.245</v>
      </c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  <c r="BD100" s="45">
        <v>0.9</v>
      </c>
      <c r="BE100" s="92">
        <v>0.25</v>
      </c>
      <c r="BF100" s="92">
        <v>0.24</v>
      </c>
      <c r="BG100" s="92">
        <v>0.245</v>
      </c>
      <c r="BH100" s="92"/>
      <c r="BI100" s="92"/>
      <c r="BJ100" s="92"/>
      <c r="BK100" s="92"/>
      <c r="BL100" s="92"/>
      <c r="BM100" s="92"/>
      <c r="BN100" s="92"/>
      <c r="BO100" s="92"/>
      <c r="BP100" s="92"/>
      <c r="BQ100" s="92"/>
      <c r="BR100" s="92"/>
      <c r="BS100" s="92"/>
      <c r="BT100" s="92"/>
      <c r="BU100" s="92"/>
      <c r="BV100" s="92"/>
      <c r="BX100" s="93">
        <v>1</v>
      </c>
      <c r="BY100" s="93">
        <v>0</v>
      </c>
      <c r="BZ100" s="93">
        <v>0</v>
      </c>
      <c r="CA100" s="93">
        <v>0</v>
      </c>
    </row>
    <row r="101" spans="1:79" s="4" customFormat="1" ht="21" customHeight="1" x14ac:dyDescent="0.35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92">
        <v>0.22</v>
      </c>
      <c r="AL101" s="92">
        <v>0.2</v>
      </c>
      <c r="AM101" s="92">
        <v>0.19</v>
      </c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BD101" s="45">
        <v>1</v>
      </c>
      <c r="BE101" s="92">
        <v>0.22</v>
      </c>
      <c r="BF101" s="92">
        <v>0.2</v>
      </c>
      <c r="BG101" s="92">
        <v>0.19</v>
      </c>
      <c r="BH101" s="92"/>
      <c r="BI101" s="92"/>
      <c r="BJ101" s="92"/>
      <c r="BK101" s="92"/>
      <c r="BL101" s="92"/>
      <c r="BM101" s="92"/>
      <c r="BN101" s="92"/>
      <c r="BO101" s="92"/>
      <c r="BP101" s="92"/>
      <c r="BQ101" s="92"/>
      <c r="BR101" s="92"/>
      <c r="BS101" s="92"/>
      <c r="BT101" s="92"/>
      <c r="BU101" s="92"/>
      <c r="BV101" s="92"/>
      <c r="BX101" s="93">
        <v>2</v>
      </c>
      <c r="BY101" s="93">
        <v>0</v>
      </c>
      <c r="BZ101" s="93">
        <v>0</v>
      </c>
      <c r="CA101" s="93">
        <v>0</v>
      </c>
    </row>
    <row r="102" spans="1:79" s="4" customFormat="1" ht="21" customHeight="1" x14ac:dyDescent="0.35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92">
        <v>0.2</v>
      </c>
      <c r="AL102" s="92">
        <v>0.19</v>
      </c>
      <c r="AM102" s="92">
        <v>0.19500000000000001</v>
      </c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BD102" s="45">
        <v>1.1000000000000001</v>
      </c>
      <c r="BE102" s="92">
        <v>0.2</v>
      </c>
      <c r="BF102" s="92">
        <v>0.19</v>
      </c>
      <c r="BG102" s="92">
        <v>0.19500000000000001</v>
      </c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X102" s="93">
        <v>3</v>
      </c>
      <c r="BY102" s="93">
        <v>0</v>
      </c>
      <c r="BZ102" s="93">
        <v>0</v>
      </c>
      <c r="CA102" s="93">
        <v>0</v>
      </c>
    </row>
    <row r="103" spans="1:79" s="4" customFormat="1" ht="21" customHeight="1" x14ac:dyDescent="0.35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P103" s="45">
        <v>1.2</v>
      </c>
      <c r="Q103" s="46">
        <v>0.2</v>
      </c>
      <c r="R103" s="46">
        <v>0.18</v>
      </c>
      <c r="S103" s="46">
        <v>0.19500000000000001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92">
        <v>0.2</v>
      </c>
      <c r="AL103" s="92">
        <v>0.18</v>
      </c>
      <c r="AM103" s="92">
        <v>0.19500000000000001</v>
      </c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  <c r="BD103" s="45">
        <v>1.2</v>
      </c>
      <c r="BE103" s="92">
        <v>0.2</v>
      </c>
      <c r="BF103" s="92">
        <v>0.18</v>
      </c>
      <c r="BG103" s="92">
        <v>0.19500000000000001</v>
      </c>
      <c r="BH103" s="92"/>
      <c r="BI103" s="92"/>
      <c r="BJ103" s="92"/>
      <c r="BK103" s="92"/>
      <c r="BL103" s="92"/>
      <c r="BM103" s="92"/>
      <c r="BN103" s="92"/>
      <c r="BO103" s="92"/>
      <c r="BP103" s="92"/>
      <c r="BQ103" s="92"/>
      <c r="BR103" s="92"/>
      <c r="BS103" s="92"/>
      <c r="BT103" s="92"/>
      <c r="BU103" s="92"/>
      <c r="BV103" s="92"/>
      <c r="BX103" s="93"/>
      <c r="BY103" s="93"/>
      <c r="BZ103" s="93"/>
      <c r="CA103" s="93"/>
    </row>
    <row r="104" spans="1:79" s="4" customFormat="1" ht="21" customHeight="1" x14ac:dyDescent="0.35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  <c r="BD104" s="45"/>
      <c r="BE104" s="92"/>
      <c r="BF104" s="92"/>
      <c r="BG104" s="92"/>
      <c r="BH104" s="92"/>
      <c r="BI104" s="92"/>
      <c r="BJ104" s="92"/>
      <c r="BK104" s="92"/>
      <c r="BL104" s="92"/>
      <c r="BM104" s="92"/>
      <c r="BN104" s="92"/>
      <c r="BO104" s="92"/>
      <c r="BP104" s="92"/>
      <c r="BQ104" s="92"/>
      <c r="BR104" s="92"/>
      <c r="BS104" s="92"/>
      <c r="BT104" s="92"/>
      <c r="BU104" s="92"/>
      <c r="BV104" s="92"/>
      <c r="BX104" s="93"/>
      <c r="BY104" s="93"/>
      <c r="BZ104" s="93"/>
      <c r="CA104" s="93"/>
    </row>
    <row r="105" spans="1:79" s="4" customFormat="1" ht="21" customHeight="1" x14ac:dyDescent="0.35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  <c r="BD105" s="45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X105" s="93"/>
      <c r="BY105" s="93"/>
      <c r="BZ105" s="93"/>
      <c r="CA105" s="93"/>
    </row>
    <row r="106" spans="1:79" s="4" customFormat="1" ht="21" customHeight="1" x14ac:dyDescent="0.35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  <c r="BD106" s="45"/>
      <c r="BE106" s="92"/>
      <c r="BF106" s="92"/>
      <c r="BG106" s="92"/>
      <c r="BH106" s="92"/>
      <c r="BI106" s="92"/>
      <c r="BJ106" s="92"/>
      <c r="BK106" s="92"/>
      <c r="BL106" s="92"/>
      <c r="BM106" s="92"/>
      <c r="BN106" s="92"/>
      <c r="BO106" s="92"/>
      <c r="BP106" s="92"/>
      <c r="BQ106" s="92"/>
      <c r="BR106" s="92"/>
      <c r="BS106" s="92"/>
      <c r="BT106" s="92"/>
      <c r="BU106" s="92"/>
      <c r="BV106" s="92"/>
      <c r="BX106" s="93"/>
      <c r="BY106" s="93"/>
      <c r="BZ106" s="93"/>
      <c r="CA106" s="93"/>
    </row>
    <row r="107" spans="1:79" s="4" customFormat="1" ht="21" customHeight="1" x14ac:dyDescent="0.35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D107" s="45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X107" s="93"/>
      <c r="BY107" s="93"/>
      <c r="BZ107" s="93"/>
      <c r="CA107" s="93"/>
    </row>
    <row r="108" spans="1:79" s="4" customFormat="1" ht="21" customHeight="1" x14ac:dyDescent="0.35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  <c r="BB108" s="92"/>
      <c r="BD108" s="45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X108" s="93"/>
      <c r="BY108" s="93"/>
      <c r="BZ108" s="93"/>
      <c r="CA108" s="93"/>
    </row>
    <row r="109" spans="1:79" s="4" customFormat="1" ht="21" customHeight="1" x14ac:dyDescent="0.35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  <c r="BD109" s="45"/>
      <c r="BE109" s="92"/>
      <c r="BF109" s="92"/>
      <c r="BG109" s="92"/>
      <c r="BH109" s="92"/>
      <c r="BI109" s="92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V109" s="92"/>
      <c r="BX109" s="93"/>
      <c r="BY109" s="93"/>
      <c r="BZ109" s="93"/>
      <c r="CA109" s="93"/>
    </row>
    <row r="110" spans="1:79" s="4" customFormat="1" ht="21" customHeight="1" x14ac:dyDescent="0.35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  <c r="BD110" s="45"/>
      <c r="BE110" s="92"/>
      <c r="BF110" s="92"/>
      <c r="BG110" s="92"/>
      <c r="BH110" s="92"/>
      <c r="BI110" s="92"/>
      <c r="BJ110" s="92"/>
      <c r="BK110" s="92"/>
      <c r="BL110" s="92"/>
      <c r="BM110" s="92"/>
      <c r="BN110" s="92"/>
      <c r="BO110" s="92"/>
      <c r="BP110" s="92"/>
      <c r="BQ110" s="92"/>
      <c r="BR110" s="92"/>
      <c r="BS110" s="92"/>
      <c r="BT110" s="92"/>
      <c r="BU110" s="92"/>
      <c r="BV110" s="92"/>
      <c r="BX110" s="93"/>
      <c r="BY110" s="93"/>
      <c r="BZ110" s="93"/>
      <c r="CA110" s="93"/>
    </row>
    <row r="111" spans="1:79" s="4" customFormat="1" ht="21" customHeight="1" x14ac:dyDescent="0.35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BD111" s="45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X111" s="93"/>
      <c r="BY111" s="93"/>
      <c r="BZ111" s="93"/>
      <c r="CA111" s="93"/>
    </row>
    <row r="112" spans="1:79" s="4" customFormat="1" ht="21" customHeight="1" x14ac:dyDescent="0.35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W112" s="92"/>
      <c r="AX112" s="92"/>
      <c r="AY112" s="92"/>
      <c r="AZ112" s="92"/>
      <c r="BA112" s="92"/>
      <c r="BB112" s="92"/>
      <c r="BD112" s="45"/>
      <c r="BE112" s="92"/>
      <c r="BF112" s="92"/>
      <c r="BG112" s="92"/>
      <c r="BH112" s="92"/>
      <c r="BI112" s="92"/>
      <c r="BJ112" s="92"/>
      <c r="BK112" s="92"/>
      <c r="BL112" s="92"/>
      <c r="BM112" s="92"/>
      <c r="BN112" s="92"/>
      <c r="BO112" s="92"/>
      <c r="BP112" s="92"/>
      <c r="BQ112" s="92"/>
      <c r="BR112" s="92"/>
      <c r="BS112" s="92"/>
      <c r="BT112" s="92"/>
      <c r="BU112" s="92"/>
      <c r="BV112" s="92"/>
      <c r="BX112" s="93"/>
      <c r="BY112" s="93"/>
      <c r="BZ112" s="93"/>
      <c r="CA112" s="93"/>
    </row>
    <row r="113" spans="1:79" s="4" customFormat="1" ht="21" customHeight="1" x14ac:dyDescent="0.35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W113" s="92"/>
      <c r="AX113" s="92"/>
      <c r="AY113" s="92"/>
      <c r="AZ113" s="92"/>
      <c r="BA113" s="92"/>
      <c r="BB113" s="92"/>
      <c r="BD113" s="45"/>
      <c r="BE113" s="92"/>
      <c r="BF113" s="92"/>
      <c r="BG113" s="92"/>
      <c r="BH113" s="92"/>
      <c r="BI113" s="92"/>
      <c r="BJ113" s="92"/>
      <c r="BK113" s="92"/>
      <c r="BL113" s="92"/>
      <c r="BM113" s="92"/>
      <c r="BN113" s="92"/>
      <c r="BO113" s="92"/>
      <c r="BP113" s="92"/>
      <c r="BQ113" s="92"/>
      <c r="BR113" s="92"/>
      <c r="BS113" s="92"/>
      <c r="BT113" s="92"/>
      <c r="BU113" s="92"/>
      <c r="BV113" s="92"/>
      <c r="BX113" s="93"/>
      <c r="BY113" s="93"/>
      <c r="BZ113" s="93"/>
      <c r="CA113" s="93"/>
    </row>
    <row r="114" spans="1:79" s="4" customFormat="1" ht="21" customHeight="1" x14ac:dyDescent="0.35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  <c r="BB114" s="92"/>
      <c r="BD114" s="45"/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X114" s="93"/>
      <c r="BY114" s="93"/>
      <c r="BZ114" s="93"/>
      <c r="CA114" s="93"/>
    </row>
    <row r="115" spans="1:79" s="4" customFormat="1" ht="21" customHeight="1" x14ac:dyDescent="0.35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W115" s="92"/>
      <c r="AX115" s="92"/>
      <c r="AY115" s="92"/>
      <c r="AZ115" s="92"/>
      <c r="BA115" s="92"/>
      <c r="BB115" s="92"/>
      <c r="BD115" s="45"/>
      <c r="BE115" s="92"/>
      <c r="BF115" s="92"/>
      <c r="BG115" s="92"/>
      <c r="BH115" s="92"/>
      <c r="BI115" s="92"/>
      <c r="BJ115" s="92"/>
      <c r="BK115" s="92"/>
      <c r="BL115" s="92"/>
      <c r="BM115" s="92"/>
      <c r="BN115" s="92"/>
      <c r="BO115" s="92"/>
      <c r="BP115" s="92"/>
      <c r="BQ115" s="92"/>
      <c r="BR115" s="92"/>
      <c r="BS115" s="92"/>
      <c r="BT115" s="92"/>
      <c r="BU115" s="92"/>
      <c r="BV115" s="92"/>
      <c r="BX115" s="93"/>
      <c r="BY115" s="93"/>
      <c r="BZ115" s="93"/>
      <c r="CA115" s="93"/>
    </row>
    <row r="116" spans="1:79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W116" s="92"/>
      <c r="AX116" s="92"/>
      <c r="AY116" s="92"/>
      <c r="AZ116" s="92"/>
      <c r="BA116" s="92"/>
      <c r="BB116" s="92"/>
      <c r="BD116" s="45"/>
      <c r="BE116" s="92"/>
      <c r="BF116" s="92"/>
      <c r="BG116" s="92"/>
      <c r="BH116" s="92"/>
      <c r="BI116" s="92"/>
      <c r="BJ116" s="92"/>
      <c r="BK116" s="92"/>
      <c r="BL116" s="92"/>
      <c r="BM116" s="92"/>
      <c r="BN116" s="92"/>
      <c r="BO116" s="92"/>
      <c r="BP116" s="92"/>
      <c r="BQ116" s="92"/>
      <c r="BR116" s="92"/>
      <c r="BS116" s="92"/>
      <c r="BT116" s="92"/>
      <c r="BU116" s="92"/>
      <c r="BV116" s="92"/>
      <c r="BX116" s="93"/>
      <c r="BY116" s="93"/>
      <c r="BZ116" s="93"/>
      <c r="CA116" s="93"/>
    </row>
    <row r="117" spans="1:79" ht="21" customHeight="1" x14ac:dyDescent="0.35">
      <c r="A117" s="144" t="s">
        <v>38</v>
      </c>
      <c r="B117" s="144"/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BD117" s="45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X117" s="93"/>
      <c r="BY117" s="93"/>
      <c r="BZ117" s="93"/>
      <c r="CA117" s="93"/>
    </row>
    <row r="118" spans="1:79" ht="21" customHeight="1" x14ac:dyDescent="0.35">
      <c r="A118" s="144"/>
      <c r="B118" s="144"/>
      <c r="C118" s="144"/>
      <c r="D118" s="144"/>
      <c r="E118" s="144"/>
      <c r="F118" s="144"/>
      <c r="G118" s="144"/>
      <c r="H118" s="144"/>
      <c r="I118" s="144"/>
      <c r="J118" s="144"/>
      <c r="K118" s="144"/>
      <c r="L118" s="144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D118" s="45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X118" s="93"/>
      <c r="BY118" s="93"/>
      <c r="BZ118" s="93"/>
      <c r="CA118" s="93"/>
    </row>
    <row r="119" spans="1:79" ht="21" customHeight="1" x14ac:dyDescent="0.35">
      <c r="A119" s="142" t="s">
        <v>8</v>
      </c>
      <c r="B119" s="142"/>
      <c r="C119" s="142" t="s">
        <v>26</v>
      </c>
      <c r="D119" s="142"/>
      <c r="E119" s="142" t="s">
        <v>27</v>
      </c>
      <c r="F119" s="142"/>
      <c r="G119" s="142" t="s">
        <v>48</v>
      </c>
      <c r="H119" s="142"/>
      <c r="I119" s="142" t="s">
        <v>49</v>
      </c>
      <c r="J119" s="142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D119" s="45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X119" s="93"/>
      <c r="BY119" s="93"/>
      <c r="BZ119" s="93"/>
      <c r="CA119" s="93"/>
    </row>
    <row r="120" spans="1:79" ht="21" customHeight="1" x14ac:dyDescent="0.35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92"/>
      <c r="AX120" s="92"/>
      <c r="AY120" s="92"/>
      <c r="AZ120" s="92"/>
      <c r="BA120" s="92"/>
      <c r="BB120" s="92"/>
      <c r="BD120" s="45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X120" s="93"/>
      <c r="BY120" s="93"/>
      <c r="BZ120" s="93"/>
      <c r="CA120" s="93"/>
    </row>
    <row r="121" spans="1:79" ht="21" customHeight="1" x14ac:dyDescent="0.35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W121" s="92"/>
      <c r="AX121" s="92"/>
      <c r="AY121" s="92"/>
      <c r="AZ121" s="92"/>
      <c r="BA121" s="92"/>
      <c r="BB121" s="92"/>
      <c r="BD121" s="45"/>
      <c r="BE121" s="92"/>
      <c r="BF121" s="92"/>
      <c r="BG121" s="92"/>
      <c r="BH121" s="92"/>
      <c r="BI121" s="92"/>
      <c r="BJ121" s="92"/>
      <c r="BK121" s="92"/>
      <c r="BL121" s="92"/>
      <c r="BM121" s="92"/>
      <c r="BN121" s="92"/>
      <c r="BO121" s="92"/>
      <c r="BP121" s="92"/>
      <c r="BQ121" s="92"/>
      <c r="BR121" s="92"/>
      <c r="BS121" s="92"/>
      <c r="BT121" s="92"/>
      <c r="BU121" s="92"/>
      <c r="BV121" s="92"/>
      <c r="BX121" s="93"/>
      <c r="BY121" s="93"/>
      <c r="BZ121" s="93"/>
      <c r="CA121" s="93"/>
    </row>
    <row r="122" spans="1:79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W122" s="92"/>
      <c r="AX122" s="92"/>
      <c r="AY122" s="92"/>
      <c r="AZ122" s="92"/>
      <c r="BA122" s="92"/>
      <c r="BB122" s="92"/>
      <c r="BD122" s="45"/>
      <c r="BE122" s="92"/>
      <c r="BF122" s="92"/>
      <c r="BG122" s="92"/>
      <c r="BH122" s="92"/>
      <c r="BI122" s="92"/>
      <c r="BJ122" s="92"/>
      <c r="BK122" s="92"/>
      <c r="BL122" s="92"/>
      <c r="BM122" s="92"/>
      <c r="BN122" s="92"/>
      <c r="BO122" s="92"/>
      <c r="BP122" s="92"/>
      <c r="BQ122" s="92"/>
      <c r="BR122" s="92"/>
      <c r="BS122" s="92"/>
      <c r="BT122" s="92"/>
      <c r="BU122" s="92"/>
      <c r="BV122" s="92"/>
      <c r="BX122" s="93"/>
      <c r="BY122" s="93"/>
      <c r="BZ122" s="93"/>
      <c r="CA122" s="93"/>
    </row>
    <row r="123" spans="1:79" ht="21" customHeight="1" x14ac:dyDescent="0.35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W123" s="92"/>
      <c r="AX123" s="92"/>
      <c r="AY123" s="92"/>
      <c r="AZ123" s="92"/>
      <c r="BA123" s="92"/>
      <c r="BB123" s="92"/>
      <c r="BD123" s="45"/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X123" s="93"/>
      <c r="BY123" s="93"/>
      <c r="BZ123" s="93"/>
      <c r="CA123" s="93"/>
    </row>
    <row r="124" spans="1:79" ht="21" customHeight="1" x14ac:dyDescent="0.35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4"/>
    </row>
    <row r="125" spans="1:79" ht="21" customHeight="1" x14ac:dyDescent="0.35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4"/>
    </row>
    <row r="126" spans="1:79" ht="21" customHeight="1" x14ac:dyDescent="0.35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99" t="s">
        <v>87</v>
      </c>
      <c r="BY126" s="99"/>
      <c r="BZ126" s="99"/>
      <c r="CA126" s="99"/>
    </row>
    <row r="127" spans="1:79" ht="21" customHeight="1" x14ac:dyDescent="0.35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103" t="s">
        <v>68</v>
      </c>
      <c r="Q127" s="104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00"/>
      <c r="BY127" s="100"/>
      <c r="BZ127" s="100"/>
      <c r="CA127" s="100"/>
    </row>
    <row r="128" spans="1:79" ht="21" customHeight="1" x14ac:dyDescent="0.35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96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96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D128" s="96" t="s">
        <v>29</v>
      </c>
      <c r="BE128" s="77" t="s">
        <v>66</v>
      </c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/>
      <c r="BU128" s="78"/>
      <c r="BV128" s="78"/>
      <c r="BX128" s="45" t="s">
        <v>86</v>
      </c>
      <c r="BY128" s="45" t="s">
        <v>83</v>
      </c>
      <c r="BZ128" s="45" t="s">
        <v>84</v>
      </c>
      <c r="CA128" s="45" t="s">
        <v>85</v>
      </c>
    </row>
    <row r="129" spans="1:79" ht="21" customHeight="1" x14ac:dyDescent="0.35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97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7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7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79" ht="21" customHeight="1" x14ac:dyDescent="0.35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92">
        <v>0.2</v>
      </c>
      <c r="AL130" s="92">
        <v>0.2</v>
      </c>
      <c r="AM130" s="92">
        <v>0.2</v>
      </c>
      <c r="AN130" s="92"/>
      <c r="AO130" s="92"/>
      <c r="AP130" s="92"/>
      <c r="AQ130" s="92"/>
      <c r="AR130" s="92"/>
      <c r="AS130" s="92"/>
      <c r="AT130" s="92"/>
      <c r="AU130" s="92"/>
      <c r="AV130" s="92"/>
      <c r="AW130" s="92"/>
      <c r="AX130" s="92"/>
      <c r="AY130" s="92"/>
      <c r="AZ130" s="92"/>
      <c r="BA130" s="92"/>
      <c r="BB130" s="92"/>
      <c r="BD130" s="45">
        <v>0.9</v>
      </c>
      <c r="BE130" s="92">
        <v>0.2</v>
      </c>
      <c r="BF130" s="92">
        <v>0.2</v>
      </c>
      <c r="BG130" s="92">
        <v>0.2</v>
      </c>
      <c r="BH130" s="92"/>
      <c r="BI130" s="92"/>
      <c r="BJ130" s="92"/>
      <c r="BK130" s="92"/>
      <c r="BL130" s="92"/>
      <c r="BM130" s="92"/>
      <c r="BN130" s="92"/>
      <c r="BO130" s="92"/>
      <c r="BP130" s="92"/>
      <c r="BQ130" s="92"/>
      <c r="BR130" s="92"/>
      <c r="BS130" s="92"/>
      <c r="BT130" s="92"/>
      <c r="BU130" s="92"/>
      <c r="BV130" s="92"/>
      <c r="BX130" s="93">
        <v>0.5</v>
      </c>
      <c r="BY130" s="93">
        <v>0</v>
      </c>
      <c r="BZ130" s="93">
        <v>0</v>
      </c>
      <c r="CA130" s="93">
        <v>0</v>
      </c>
    </row>
    <row r="131" spans="1:79" ht="21" customHeight="1" x14ac:dyDescent="0.35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92">
        <v>0.2</v>
      </c>
      <c r="AL131" s="92">
        <v>0.2</v>
      </c>
      <c r="AM131" s="92">
        <v>0.2</v>
      </c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D131" s="45">
        <v>1</v>
      </c>
      <c r="BE131" s="92">
        <v>0.2</v>
      </c>
      <c r="BF131" s="92">
        <v>0.2</v>
      </c>
      <c r="BG131" s="92">
        <v>0.2</v>
      </c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X131" s="93">
        <v>1</v>
      </c>
      <c r="BY131" s="93">
        <v>0</v>
      </c>
      <c r="BZ131" s="93">
        <v>0</v>
      </c>
      <c r="CA131" s="93">
        <v>0</v>
      </c>
    </row>
    <row r="132" spans="1:79" ht="21" customHeight="1" x14ac:dyDescent="0.35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92">
        <v>0.2</v>
      </c>
      <c r="AL132" s="92">
        <v>0.2</v>
      </c>
      <c r="AM132" s="92">
        <v>0.2</v>
      </c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D132" s="45">
        <v>1.1000000000000001</v>
      </c>
      <c r="BE132" s="92">
        <v>0.2</v>
      </c>
      <c r="BF132" s="92">
        <v>0.2</v>
      </c>
      <c r="BG132" s="92">
        <v>0.2</v>
      </c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X132" s="93">
        <v>1.5</v>
      </c>
      <c r="BY132" s="93">
        <v>0</v>
      </c>
      <c r="BZ132" s="93">
        <v>0</v>
      </c>
      <c r="CA132" s="93">
        <v>0</v>
      </c>
    </row>
    <row r="133" spans="1:79" ht="21" customHeight="1" x14ac:dyDescent="0.35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  <c r="BB133" s="92"/>
      <c r="BD133" s="45"/>
      <c r="BE133" s="92"/>
      <c r="BF133" s="92"/>
      <c r="BG133" s="92"/>
      <c r="BH133" s="92"/>
      <c r="BI133" s="92"/>
      <c r="BJ133" s="92"/>
      <c r="BK133" s="92"/>
      <c r="BL133" s="92"/>
      <c r="BM133" s="92"/>
      <c r="BN133" s="92"/>
      <c r="BO133" s="92"/>
      <c r="BP133" s="92"/>
      <c r="BQ133" s="92"/>
      <c r="BR133" s="92"/>
      <c r="BS133" s="92"/>
      <c r="BT133" s="92"/>
      <c r="BU133" s="92"/>
      <c r="BV133" s="92"/>
      <c r="BX133" s="93"/>
      <c r="BY133" s="93"/>
      <c r="BZ133" s="93"/>
      <c r="CA133" s="93"/>
    </row>
    <row r="134" spans="1:79" ht="21" customHeight="1" x14ac:dyDescent="0.35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W134" s="92"/>
      <c r="AX134" s="92"/>
      <c r="AY134" s="92"/>
      <c r="AZ134" s="92"/>
      <c r="BA134" s="92"/>
      <c r="BB134" s="92"/>
      <c r="BD134" s="45"/>
      <c r="BE134" s="92"/>
      <c r="BF134" s="92"/>
      <c r="BG134" s="92"/>
      <c r="BH134" s="92"/>
      <c r="BI134" s="92"/>
      <c r="BJ134" s="92"/>
      <c r="BK134" s="92"/>
      <c r="BL134" s="92"/>
      <c r="BM134" s="92"/>
      <c r="BN134" s="92"/>
      <c r="BO134" s="92"/>
      <c r="BP134" s="92"/>
      <c r="BQ134" s="92"/>
      <c r="BR134" s="92"/>
      <c r="BS134" s="92"/>
      <c r="BT134" s="92"/>
      <c r="BU134" s="92"/>
      <c r="BV134" s="92"/>
      <c r="BX134" s="93"/>
      <c r="BY134" s="93"/>
      <c r="BZ134" s="93"/>
      <c r="CA134" s="93"/>
    </row>
    <row r="135" spans="1:79" ht="21" customHeight="1" x14ac:dyDescent="0.35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W135" s="92"/>
      <c r="AX135" s="92"/>
      <c r="AY135" s="92"/>
      <c r="AZ135" s="92"/>
      <c r="BA135" s="92"/>
      <c r="BB135" s="92"/>
      <c r="BD135" s="45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X135" s="93"/>
      <c r="BY135" s="93"/>
      <c r="BZ135" s="93"/>
      <c r="CA135" s="93"/>
    </row>
    <row r="136" spans="1:79" ht="21" customHeight="1" x14ac:dyDescent="0.35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W136" s="92"/>
      <c r="AX136" s="92"/>
      <c r="AY136" s="92"/>
      <c r="AZ136" s="92"/>
      <c r="BA136" s="92"/>
      <c r="BB136" s="92"/>
      <c r="BD136" s="45"/>
      <c r="BE136" s="92"/>
      <c r="BF136" s="92"/>
      <c r="BG136" s="92"/>
      <c r="BH136" s="92"/>
      <c r="BI136" s="92"/>
      <c r="BJ136" s="92"/>
      <c r="BK136" s="92"/>
      <c r="BL136" s="92"/>
      <c r="BM136" s="92"/>
      <c r="BN136" s="92"/>
      <c r="BO136" s="92"/>
      <c r="BP136" s="92"/>
      <c r="BQ136" s="92"/>
      <c r="BR136" s="92"/>
      <c r="BS136" s="92"/>
      <c r="BT136" s="92"/>
      <c r="BU136" s="92"/>
      <c r="BV136" s="92"/>
      <c r="BX136" s="93"/>
      <c r="BY136" s="93"/>
      <c r="BZ136" s="93"/>
      <c r="CA136" s="93"/>
    </row>
    <row r="137" spans="1:79" ht="21" customHeight="1" x14ac:dyDescent="0.35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W137" s="92"/>
      <c r="AX137" s="92"/>
      <c r="AY137" s="92"/>
      <c r="AZ137" s="92"/>
      <c r="BA137" s="92"/>
      <c r="BB137" s="92"/>
      <c r="BD137" s="45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X137" s="93"/>
      <c r="BY137" s="93"/>
      <c r="BZ137" s="93"/>
      <c r="CA137" s="93"/>
    </row>
    <row r="138" spans="1:79" ht="21" customHeight="1" x14ac:dyDescent="0.35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BD138" s="45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X138" s="93"/>
      <c r="BY138" s="93"/>
      <c r="BZ138" s="93"/>
      <c r="CA138" s="93"/>
    </row>
    <row r="139" spans="1:79" ht="21" customHeight="1" x14ac:dyDescent="0.35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W139" s="92"/>
      <c r="AX139" s="92"/>
      <c r="AY139" s="92"/>
      <c r="AZ139" s="92"/>
      <c r="BA139" s="92"/>
      <c r="BB139" s="92"/>
      <c r="BD139" s="45"/>
      <c r="BE139" s="92"/>
      <c r="BF139" s="92"/>
      <c r="BG139" s="92"/>
      <c r="BH139" s="92"/>
      <c r="BI139" s="92"/>
      <c r="BJ139" s="92"/>
      <c r="BK139" s="92"/>
      <c r="BL139" s="92"/>
      <c r="BM139" s="92"/>
      <c r="BN139" s="92"/>
      <c r="BO139" s="92"/>
      <c r="BP139" s="92"/>
      <c r="BQ139" s="92"/>
      <c r="BR139" s="92"/>
      <c r="BS139" s="92"/>
      <c r="BT139" s="92"/>
      <c r="BU139" s="92"/>
      <c r="BV139" s="92"/>
      <c r="BX139" s="93"/>
      <c r="BY139" s="93"/>
      <c r="BZ139" s="93"/>
      <c r="CA139" s="93"/>
    </row>
    <row r="140" spans="1:79" ht="21" customHeight="1" x14ac:dyDescent="0.35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2"/>
      <c r="BA140" s="92"/>
      <c r="BB140" s="92"/>
      <c r="BD140" s="45"/>
      <c r="BE140" s="92"/>
      <c r="BF140" s="92"/>
      <c r="BG140" s="92"/>
      <c r="BH140" s="92"/>
      <c r="BI140" s="92"/>
      <c r="BJ140" s="92"/>
      <c r="BK140" s="92"/>
      <c r="BL140" s="92"/>
      <c r="BM140" s="92"/>
      <c r="BN140" s="92"/>
      <c r="BO140" s="92"/>
      <c r="BP140" s="92"/>
      <c r="BQ140" s="92"/>
      <c r="BR140" s="92"/>
      <c r="BS140" s="92"/>
      <c r="BT140" s="92"/>
      <c r="BU140" s="92"/>
      <c r="BV140" s="92"/>
      <c r="BX140" s="93"/>
      <c r="BY140" s="93"/>
      <c r="BZ140" s="93"/>
      <c r="CA140" s="93"/>
    </row>
    <row r="141" spans="1:79" ht="21" customHeight="1" x14ac:dyDescent="0.35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BD141" s="45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X141" s="93"/>
      <c r="BY141" s="93"/>
      <c r="BZ141" s="93"/>
      <c r="CA141" s="93"/>
    </row>
    <row r="142" spans="1:79" ht="21" customHeight="1" x14ac:dyDescent="0.35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W142" s="92"/>
      <c r="AX142" s="92"/>
      <c r="AY142" s="92"/>
      <c r="AZ142" s="92"/>
      <c r="BA142" s="92"/>
      <c r="BB142" s="92"/>
      <c r="BD142" s="45"/>
      <c r="BE142" s="92"/>
      <c r="BF142" s="92"/>
      <c r="BG142" s="92"/>
      <c r="BH142" s="92"/>
      <c r="BI142" s="92"/>
      <c r="BJ142" s="92"/>
      <c r="BK142" s="92"/>
      <c r="BL142" s="92"/>
      <c r="BM142" s="92"/>
      <c r="BN142" s="92"/>
      <c r="BO142" s="92"/>
      <c r="BP142" s="92"/>
      <c r="BQ142" s="92"/>
      <c r="BR142" s="92"/>
      <c r="BS142" s="92"/>
      <c r="BT142" s="92"/>
      <c r="BU142" s="92"/>
      <c r="BV142" s="92"/>
      <c r="BX142" s="93"/>
      <c r="BY142" s="93"/>
      <c r="BZ142" s="93"/>
      <c r="CA142" s="93"/>
    </row>
    <row r="143" spans="1:79" ht="21" customHeight="1" x14ac:dyDescent="0.35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W143" s="92"/>
      <c r="AX143" s="92"/>
      <c r="AY143" s="92"/>
      <c r="AZ143" s="92"/>
      <c r="BA143" s="92"/>
      <c r="BB143" s="92"/>
      <c r="BD143" s="45"/>
      <c r="BE143" s="92"/>
      <c r="BF143" s="92"/>
      <c r="BG143" s="92"/>
      <c r="BH143" s="92"/>
      <c r="BI143" s="92"/>
      <c r="BJ143" s="92"/>
      <c r="BK143" s="92"/>
      <c r="BL143" s="92"/>
      <c r="BM143" s="92"/>
      <c r="BN143" s="92"/>
      <c r="BO143" s="92"/>
      <c r="BP143" s="92"/>
      <c r="BQ143" s="92"/>
      <c r="BR143" s="92"/>
      <c r="BS143" s="92"/>
      <c r="BT143" s="92"/>
      <c r="BU143" s="92"/>
      <c r="BV143" s="92"/>
      <c r="BX143" s="93"/>
      <c r="BY143" s="93"/>
      <c r="BZ143" s="93"/>
      <c r="CA143" s="93"/>
    </row>
    <row r="144" spans="1:79" ht="21" customHeight="1" x14ac:dyDescent="0.35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W144" s="92"/>
      <c r="AX144" s="92"/>
      <c r="AY144" s="92"/>
      <c r="AZ144" s="92"/>
      <c r="BA144" s="92"/>
      <c r="BB144" s="92"/>
      <c r="BD144" s="45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X144" s="93"/>
      <c r="BY144" s="93"/>
      <c r="BZ144" s="93"/>
      <c r="CA144" s="93"/>
    </row>
    <row r="145" spans="1:79" ht="21" customHeight="1" x14ac:dyDescent="0.35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W145" s="92"/>
      <c r="AX145" s="92"/>
      <c r="AY145" s="92"/>
      <c r="AZ145" s="92"/>
      <c r="BA145" s="92"/>
      <c r="BB145" s="92"/>
      <c r="BD145" s="45"/>
      <c r="BE145" s="92"/>
      <c r="BF145" s="92"/>
      <c r="BG145" s="92"/>
      <c r="BH145" s="92"/>
      <c r="BI145" s="92"/>
      <c r="BJ145" s="92"/>
      <c r="BK145" s="92"/>
      <c r="BL145" s="92"/>
      <c r="BM145" s="92"/>
      <c r="BN145" s="92"/>
      <c r="BO145" s="92"/>
      <c r="BP145" s="92"/>
      <c r="BQ145" s="92"/>
      <c r="BR145" s="92"/>
      <c r="BS145" s="92"/>
      <c r="BT145" s="92"/>
      <c r="BU145" s="92"/>
      <c r="BV145" s="92"/>
      <c r="BX145" s="93"/>
      <c r="BY145" s="93"/>
      <c r="BZ145" s="93"/>
      <c r="CA145" s="93"/>
    </row>
    <row r="146" spans="1:79" ht="21" customHeight="1" x14ac:dyDescent="0.35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W146" s="92"/>
      <c r="AX146" s="92"/>
      <c r="AY146" s="92"/>
      <c r="AZ146" s="92"/>
      <c r="BA146" s="92"/>
      <c r="BB146" s="92"/>
      <c r="BD146" s="45"/>
      <c r="BE146" s="92"/>
      <c r="BF146" s="92"/>
      <c r="BG146" s="92"/>
      <c r="BH146" s="92"/>
      <c r="BI146" s="92"/>
      <c r="BJ146" s="92"/>
      <c r="BK146" s="92"/>
      <c r="BL146" s="92"/>
      <c r="BM146" s="92"/>
      <c r="BN146" s="92"/>
      <c r="BO146" s="92"/>
      <c r="BP146" s="92"/>
      <c r="BQ146" s="92"/>
      <c r="BR146" s="92"/>
      <c r="BS146" s="92"/>
      <c r="BT146" s="92"/>
      <c r="BU146" s="92"/>
      <c r="BV146" s="92"/>
      <c r="BX146" s="93"/>
      <c r="BY146" s="93"/>
      <c r="BZ146" s="93"/>
      <c r="CA146" s="93"/>
    </row>
    <row r="147" spans="1:79" ht="21" customHeight="1" x14ac:dyDescent="0.35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BD147" s="45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X147" s="93"/>
      <c r="BY147" s="93"/>
      <c r="BZ147" s="93"/>
      <c r="CA147" s="93"/>
    </row>
    <row r="148" spans="1:79" ht="21" customHeight="1" x14ac:dyDescent="0.35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W148" s="92"/>
      <c r="AX148" s="92"/>
      <c r="AY148" s="92"/>
      <c r="AZ148" s="92"/>
      <c r="BA148" s="92"/>
      <c r="BB148" s="92"/>
      <c r="BD148" s="45"/>
      <c r="BE148" s="92"/>
      <c r="BF148" s="92"/>
      <c r="BG148" s="92"/>
      <c r="BH148" s="92"/>
      <c r="BI148" s="92"/>
      <c r="BJ148" s="92"/>
      <c r="BK148" s="92"/>
      <c r="BL148" s="92"/>
      <c r="BM148" s="92"/>
      <c r="BN148" s="92"/>
      <c r="BO148" s="92"/>
      <c r="BP148" s="92"/>
      <c r="BQ148" s="92"/>
      <c r="BR148" s="92"/>
      <c r="BS148" s="92"/>
      <c r="BT148" s="92"/>
      <c r="BU148" s="92"/>
      <c r="BV148" s="92"/>
      <c r="BX148" s="93"/>
      <c r="BY148" s="93"/>
      <c r="BZ148" s="93"/>
      <c r="CA148" s="93"/>
    </row>
    <row r="149" spans="1:79" ht="21" customHeight="1" x14ac:dyDescent="0.35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W149" s="92"/>
      <c r="AX149" s="92"/>
      <c r="AY149" s="92"/>
      <c r="AZ149" s="92"/>
      <c r="BA149" s="92"/>
      <c r="BB149" s="92"/>
      <c r="BD149" s="45"/>
      <c r="BE149" s="92"/>
      <c r="BF149" s="92"/>
      <c r="BG149" s="92"/>
      <c r="BH149" s="92"/>
      <c r="BI149" s="92"/>
      <c r="BJ149" s="92"/>
      <c r="BK149" s="92"/>
      <c r="BL149" s="92"/>
      <c r="BM149" s="92"/>
      <c r="BN149" s="92"/>
      <c r="BO149" s="92"/>
      <c r="BP149" s="92"/>
      <c r="BQ149" s="92"/>
      <c r="BR149" s="92"/>
      <c r="BS149" s="92"/>
      <c r="BT149" s="92"/>
      <c r="BU149" s="92"/>
      <c r="BV149" s="92"/>
      <c r="BX149" s="93"/>
      <c r="BY149" s="93"/>
      <c r="BZ149" s="93"/>
      <c r="CA149" s="93"/>
    </row>
    <row r="150" spans="1:79" ht="21" customHeight="1" x14ac:dyDescent="0.35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D150" s="45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X150" s="93"/>
      <c r="BY150" s="93"/>
      <c r="BZ150" s="93"/>
      <c r="CA150" s="93"/>
    </row>
    <row r="151" spans="1:79" ht="21" customHeight="1" x14ac:dyDescent="0.35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W151" s="92"/>
      <c r="AX151" s="92"/>
      <c r="AY151" s="92"/>
      <c r="AZ151" s="92"/>
      <c r="BA151" s="92"/>
      <c r="BB151" s="92"/>
      <c r="BD151" s="45"/>
      <c r="BE151" s="92"/>
      <c r="BF151" s="92"/>
      <c r="BG151" s="92"/>
      <c r="BH151" s="92"/>
      <c r="BI151" s="92"/>
      <c r="BJ151" s="92"/>
      <c r="BK151" s="92"/>
      <c r="BL151" s="92"/>
      <c r="BM151" s="92"/>
      <c r="BN151" s="92"/>
      <c r="BO151" s="92"/>
      <c r="BP151" s="92"/>
      <c r="BQ151" s="92"/>
      <c r="BR151" s="92"/>
      <c r="BS151" s="92"/>
      <c r="BT151" s="92"/>
      <c r="BU151" s="92"/>
      <c r="BV151" s="92"/>
      <c r="BX151" s="93"/>
      <c r="BY151" s="93"/>
      <c r="BZ151" s="93"/>
      <c r="CA151" s="93"/>
    </row>
    <row r="152" spans="1:79" ht="21" customHeight="1" x14ac:dyDescent="0.35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W152" s="92"/>
      <c r="AX152" s="92"/>
      <c r="AY152" s="92"/>
      <c r="AZ152" s="92"/>
      <c r="BA152" s="92"/>
      <c r="BB152" s="92"/>
      <c r="BD152" s="45"/>
      <c r="BE152" s="92"/>
      <c r="BF152" s="92"/>
      <c r="BG152" s="92"/>
      <c r="BH152" s="92"/>
      <c r="BI152" s="92"/>
      <c r="BJ152" s="92"/>
      <c r="BK152" s="92"/>
      <c r="BL152" s="92"/>
      <c r="BM152" s="92"/>
      <c r="BN152" s="92"/>
      <c r="BO152" s="92"/>
      <c r="BP152" s="92"/>
      <c r="BQ152" s="92"/>
      <c r="BR152" s="92"/>
      <c r="BS152" s="92"/>
      <c r="BT152" s="92"/>
      <c r="BU152" s="92"/>
      <c r="BV152" s="92"/>
      <c r="BX152" s="93"/>
      <c r="BY152" s="93"/>
      <c r="BZ152" s="93"/>
      <c r="CA152" s="93"/>
    </row>
    <row r="153" spans="1:79" ht="21" customHeight="1" x14ac:dyDescent="0.35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W153" s="92"/>
      <c r="AX153" s="92"/>
      <c r="AY153" s="92"/>
      <c r="AZ153" s="92"/>
      <c r="BA153" s="92"/>
      <c r="BB153" s="92"/>
      <c r="BD153" s="45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X153" s="93"/>
      <c r="BY153" s="93"/>
      <c r="BZ153" s="93"/>
      <c r="CA153" s="93"/>
    </row>
    <row r="154" spans="1:79" ht="21" customHeight="1" x14ac:dyDescent="0.4">
      <c r="A154" s="51"/>
      <c r="B154" s="52"/>
      <c r="C154" s="51"/>
      <c r="D154" s="52"/>
      <c r="E154" s="51"/>
      <c r="F154" s="52"/>
      <c r="G154" s="51"/>
      <c r="H154" s="52"/>
      <c r="I154" s="51"/>
      <c r="J154" s="52"/>
      <c r="BX154" s="94"/>
    </row>
    <row r="155" spans="1:79" ht="21" customHeight="1" x14ac:dyDescent="0.4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4"/>
    </row>
    <row r="156" spans="1:79" ht="21" customHeight="1" x14ac:dyDescent="0.4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99" t="s">
        <v>87</v>
      </c>
      <c r="BY156" s="99"/>
      <c r="BZ156" s="99"/>
      <c r="CA156" s="99"/>
    </row>
    <row r="157" spans="1:79" ht="21" customHeight="1" x14ac:dyDescent="0.4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103" t="s">
        <v>68</v>
      </c>
      <c r="Q157" s="104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00"/>
      <c r="BY157" s="100"/>
      <c r="BZ157" s="100"/>
      <c r="CA157" s="100"/>
    </row>
    <row r="158" spans="1:79" ht="21" customHeight="1" x14ac:dyDescent="0.4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96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96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D158" s="96" t="s">
        <v>29</v>
      </c>
      <c r="BE158" s="77" t="s">
        <v>66</v>
      </c>
      <c r="BF158" s="78"/>
      <c r="BG158" s="78"/>
      <c r="BH158" s="78"/>
      <c r="BI158" s="78"/>
      <c r="BJ158" s="78"/>
      <c r="BK158" s="78"/>
      <c r="BL158" s="78"/>
      <c r="BM158" s="78"/>
      <c r="BN158" s="78"/>
      <c r="BO158" s="78"/>
      <c r="BP158" s="78"/>
      <c r="BQ158" s="78"/>
      <c r="BR158" s="78"/>
      <c r="BS158" s="78"/>
      <c r="BT158" s="78"/>
      <c r="BU158" s="78"/>
      <c r="BV158" s="78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97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7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7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W160" s="92"/>
      <c r="AX160" s="92"/>
      <c r="AY160" s="92"/>
      <c r="AZ160" s="92"/>
      <c r="BA160" s="92"/>
      <c r="BB160" s="92"/>
      <c r="BD160" s="45"/>
      <c r="BE160" s="92"/>
      <c r="BF160" s="92"/>
      <c r="BG160" s="92"/>
      <c r="BH160" s="92"/>
      <c r="BI160" s="92"/>
      <c r="BJ160" s="92"/>
      <c r="BK160" s="92"/>
      <c r="BL160" s="92"/>
      <c r="BM160" s="92"/>
      <c r="BN160" s="92"/>
      <c r="BO160" s="92"/>
      <c r="BP160" s="92"/>
      <c r="BQ160" s="92"/>
      <c r="BR160" s="92"/>
      <c r="BS160" s="92"/>
      <c r="BT160" s="92"/>
      <c r="BU160" s="92"/>
      <c r="BV160" s="92"/>
      <c r="BX160" s="93"/>
      <c r="BY160" s="93"/>
      <c r="BZ160" s="93"/>
      <c r="CA160" s="93"/>
    </row>
    <row r="161" spans="1:79" ht="21" customHeight="1" x14ac:dyDescent="0.35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D161" s="45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X161" s="93"/>
      <c r="BY161" s="93"/>
      <c r="BZ161" s="93"/>
      <c r="CA161" s="93"/>
    </row>
    <row r="162" spans="1:79" ht="21" customHeight="1" x14ac:dyDescent="0.35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D162" s="45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X162" s="93"/>
      <c r="BY162" s="93"/>
      <c r="BZ162" s="93"/>
      <c r="CA162" s="93"/>
    </row>
    <row r="163" spans="1:79" ht="21" customHeight="1" x14ac:dyDescent="0.35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W163" s="92"/>
      <c r="AX163" s="92"/>
      <c r="AY163" s="92"/>
      <c r="AZ163" s="92"/>
      <c r="BA163" s="92"/>
      <c r="BB163" s="92"/>
      <c r="BD163" s="45"/>
      <c r="BE163" s="92"/>
      <c r="BF163" s="92"/>
      <c r="BG163" s="92"/>
      <c r="BH163" s="92"/>
      <c r="BI163" s="92"/>
      <c r="BJ163" s="92"/>
      <c r="BK163" s="92"/>
      <c r="BL163" s="92"/>
      <c r="BM163" s="92"/>
      <c r="BN163" s="92"/>
      <c r="BO163" s="92"/>
      <c r="BP163" s="92"/>
      <c r="BQ163" s="92"/>
      <c r="BR163" s="92"/>
      <c r="BS163" s="92"/>
      <c r="BT163" s="92"/>
      <c r="BU163" s="92"/>
      <c r="BV163" s="92"/>
      <c r="BX163" s="93"/>
      <c r="BY163" s="93"/>
      <c r="BZ163" s="93"/>
      <c r="CA163" s="93"/>
    </row>
    <row r="164" spans="1:79" ht="21" customHeight="1" x14ac:dyDescent="0.35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W164" s="92"/>
      <c r="AX164" s="92"/>
      <c r="AY164" s="92"/>
      <c r="AZ164" s="92"/>
      <c r="BA164" s="92"/>
      <c r="BB164" s="92"/>
      <c r="BD164" s="45"/>
      <c r="BE164" s="92"/>
      <c r="BF164" s="92"/>
      <c r="BG164" s="92"/>
      <c r="BH164" s="92"/>
      <c r="BI164" s="92"/>
      <c r="BJ164" s="92"/>
      <c r="BK164" s="92"/>
      <c r="BL164" s="92"/>
      <c r="BM164" s="92"/>
      <c r="BN164" s="92"/>
      <c r="BO164" s="92"/>
      <c r="BP164" s="92"/>
      <c r="BQ164" s="92"/>
      <c r="BR164" s="92"/>
      <c r="BS164" s="92"/>
      <c r="BT164" s="92"/>
      <c r="BU164" s="92"/>
      <c r="BV164" s="92"/>
      <c r="BX164" s="93"/>
      <c r="BY164" s="93"/>
      <c r="BZ164" s="93"/>
      <c r="CA164" s="93"/>
    </row>
    <row r="165" spans="1:79" ht="21" customHeight="1" x14ac:dyDescent="0.35">
      <c r="A165" s="144" t="s">
        <v>40</v>
      </c>
      <c r="B165" s="144"/>
      <c r="C165" s="144"/>
      <c r="D165" s="144"/>
      <c r="E165" s="144"/>
      <c r="F165" s="144"/>
      <c r="G165" s="144"/>
      <c r="H165" s="144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W165" s="92"/>
      <c r="AX165" s="92"/>
      <c r="AY165" s="92"/>
      <c r="AZ165" s="92"/>
      <c r="BA165" s="92"/>
      <c r="BB165" s="92"/>
      <c r="BD165" s="45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X165" s="93"/>
      <c r="BY165" s="93"/>
      <c r="BZ165" s="93"/>
      <c r="CA165" s="93"/>
    </row>
    <row r="166" spans="1:79" ht="21" customHeight="1" x14ac:dyDescent="0.35">
      <c r="A166" s="144"/>
      <c r="B166" s="144"/>
      <c r="C166" s="144"/>
      <c r="D166" s="144"/>
      <c r="E166" s="144"/>
      <c r="F166" s="144"/>
      <c r="G166" s="144"/>
      <c r="H166" s="144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W166" s="92"/>
      <c r="AX166" s="92"/>
      <c r="AY166" s="92"/>
      <c r="AZ166" s="92"/>
      <c r="BA166" s="92"/>
      <c r="BB166" s="92"/>
      <c r="BD166" s="45"/>
      <c r="BE166" s="92"/>
      <c r="BF166" s="92"/>
      <c r="BG166" s="92"/>
      <c r="BH166" s="92"/>
      <c r="BI166" s="92"/>
      <c r="BJ166" s="92"/>
      <c r="BK166" s="92"/>
      <c r="BL166" s="92"/>
      <c r="BM166" s="92"/>
      <c r="BN166" s="92"/>
      <c r="BO166" s="92"/>
      <c r="BP166" s="92"/>
      <c r="BQ166" s="92"/>
      <c r="BR166" s="92"/>
      <c r="BS166" s="92"/>
      <c r="BT166" s="92"/>
      <c r="BU166" s="92"/>
      <c r="BV166" s="92"/>
      <c r="BX166" s="93"/>
      <c r="BY166" s="93"/>
      <c r="BZ166" s="93"/>
      <c r="CA166" s="93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W167" s="92"/>
      <c r="AX167" s="92"/>
      <c r="AY167" s="92"/>
      <c r="AZ167" s="92"/>
      <c r="BA167" s="92"/>
      <c r="BB167" s="92"/>
      <c r="BD167" s="45"/>
      <c r="BE167" s="92"/>
      <c r="BF167" s="92"/>
      <c r="BG167" s="92"/>
      <c r="BH167" s="92"/>
      <c r="BI167" s="92"/>
      <c r="BJ167" s="92"/>
      <c r="BK167" s="92"/>
      <c r="BL167" s="92"/>
      <c r="BM167" s="92"/>
      <c r="BN167" s="92"/>
      <c r="BO167" s="92"/>
      <c r="BP167" s="92"/>
      <c r="BQ167" s="92"/>
      <c r="BR167" s="92"/>
      <c r="BS167" s="92"/>
      <c r="BT167" s="92"/>
      <c r="BU167" s="92"/>
      <c r="BV167" s="92"/>
      <c r="BX167" s="93"/>
      <c r="BY167" s="93"/>
      <c r="BZ167" s="93"/>
      <c r="CA167" s="93"/>
    </row>
    <row r="168" spans="1:79" ht="21" customHeight="1" x14ac:dyDescent="0.35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W168" s="92"/>
      <c r="AX168" s="92"/>
      <c r="AY168" s="92"/>
      <c r="AZ168" s="92"/>
      <c r="BA168" s="92"/>
      <c r="BB168" s="92"/>
      <c r="BD168" s="45"/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X168" s="93"/>
      <c r="BY168" s="93"/>
      <c r="BZ168" s="93"/>
      <c r="CA168" s="93"/>
    </row>
    <row r="169" spans="1:79" ht="21" customHeight="1" x14ac:dyDescent="0.35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W169" s="92"/>
      <c r="AX169" s="92"/>
      <c r="AY169" s="92"/>
      <c r="AZ169" s="92"/>
      <c r="BA169" s="92"/>
      <c r="BB169" s="92"/>
      <c r="BD169" s="45"/>
      <c r="BE169" s="92"/>
      <c r="BF169" s="92"/>
      <c r="BG169" s="92"/>
      <c r="BH169" s="92"/>
      <c r="BI169" s="92"/>
      <c r="BJ169" s="92"/>
      <c r="BK169" s="92"/>
      <c r="BL169" s="92"/>
      <c r="BM169" s="92"/>
      <c r="BN169" s="92"/>
      <c r="BO169" s="92"/>
      <c r="BP169" s="92"/>
      <c r="BQ169" s="92"/>
      <c r="BR169" s="92"/>
      <c r="BS169" s="92"/>
      <c r="BT169" s="92"/>
      <c r="BU169" s="92"/>
      <c r="BV169" s="92"/>
      <c r="BX169" s="93"/>
      <c r="BY169" s="93"/>
      <c r="BZ169" s="93"/>
      <c r="CA169" s="93"/>
    </row>
    <row r="170" spans="1:79" ht="21" customHeight="1" x14ac:dyDescent="0.35">
      <c r="A170" s="145"/>
      <c r="B170" s="145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W170" s="92"/>
      <c r="AX170" s="92"/>
      <c r="AY170" s="92"/>
      <c r="AZ170" s="92"/>
      <c r="BA170" s="92"/>
      <c r="BB170" s="92"/>
      <c r="BD170" s="45"/>
      <c r="BE170" s="92"/>
      <c r="BF170" s="92"/>
      <c r="BG170" s="92"/>
      <c r="BH170" s="92"/>
      <c r="BI170" s="92"/>
      <c r="BJ170" s="92"/>
      <c r="BK170" s="92"/>
      <c r="BL170" s="92"/>
      <c r="BM170" s="92"/>
      <c r="BN170" s="92"/>
      <c r="BO170" s="92"/>
      <c r="BP170" s="92"/>
      <c r="BQ170" s="92"/>
      <c r="BR170" s="92"/>
      <c r="BS170" s="92"/>
      <c r="BT170" s="92"/>
      <c r="BU170" s="92"/>
      <c r="BV170" s="92"/>
      <c r="BX170" s="93"/>
      <c r="BY170" s="93"/>
      <c r="BZ170" s="93"/>
      <c r="CA170" s="93"/>
    </row>
    <row r="171" spans="1:79" ht="21" customHeight="1" x14ac:dyDescent="0.35">
      <c r="A171" s="142" t="s">
        <v>8</v>
      </c>
      <c r="B171" s="142"/>
      <c r="C171" s="142" t="s">
        <v>26</v>
      </c>
      <c r="D171" s="142"/>
      <c r="E171" s="142" t="s">
        <v>27</v>
      </c>
      <c r="F171" s="142"/>
      <c r="G171" s="142" t="s">
        <v>48</v>
      </c>
      <c r="H171" s="142"/>
      <c r="I171" s="142" t="s">
        <v>49</v>
      </c>
      <c r="J171" s="142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W171" s="92"/>
      <c r="AX171" s="92"/>
      <c r="AY171" s="92"/>
      <c r="AZ171" s="92"/>
      <c r="BA171" s="92"/>
      <c r="BB171" s="92"/>
      <c r="BD171" s="45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X171" s="93"/>
      <c r="BY171" s="93"/>
      <c r="BZ171" s="93"/>
      <c r="CA171" s="93"/>
    </row>
    <row r="172" spans="1:79" ht="21" customHeight="1" x14ac:dyDescent="0.35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W172" s="92"/>
      <c r="AX172" s="92"/>
      <c r="AY172" s="92"/>
      <c r="AZ172" s="92"/>
      <c r="BA172" s="92"/>
      <c r="BB172" s="92"/>
      <c r="BD172" s="45"/>
      <c r="BE172" s="92"/>
      <c r="BF172" s="92"/>
      <c r="BG172" s="92"/>
      <c r="BH172" s="92"/>
      <c r="BI172" s="92"/>
      <c r="BJ172" s="92"/>
      <c r="BK172" s="92"/>
      <c r="BL172" s="92"/>
      <c r="BM172" s="92"/>
      <c r="BN172" s="92"/>
      <c r="BO172" s="92"/>
      <c r="BP172" s="92"/>
      <c r="BQ172" s="92"/>
      <c r="BR172" s="92"/>
      <c r="BS172" s="92"/>
      <c r="BT172" s="92"/>
      <c r="BU172" s="92"/>
      <c r="BV172" s="92"/>
      <c r="BX172" s="93"/>
      <c r="BY172" s="93"/>
      <c r="BZ172" s="93"/>
      <c r="CA172" s="93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W173" s="92"/>
      <c r="AX173" s="92"/>
      <c r="AY173" s="92"/>
      <c r="AZ173" s="92"/>
      <c r="BA173" s="92"/>
      <c r="BB173" s="92"/>
      <c r="BD173" s="45"/>
      <c r="BE173" s="92"/>
      <c r="BF173" s="92"/>
      <c r="BG173" s="92"/>
      <c r="BH173" s="92"/>
      <c r="BI173" s="92"/>
      <c r="BJ173" s="92"/>
      <c r="BK173" s="92"/>
      <c r="BL173" s="92"/>
      <c r="BM173" s="92"/>
      <c r="BN173" s="92"/>
      <c r="BO173" s="92"/>
      <c r="BP173" s="92"/>
      <c r="BQ173" s="92"/>
      <c r="BR173" s="92"/>
      <c r="BS173" s="92"/>
      <c r="BT173" s="92"/>
      <c r="BU173" s="92"/>
      <c r="BV173" s="92"/>
      <c r="BX173" s="93"/>
      <c r="BY173" s="93"/>
      <c r="BZ173" s="93"/>
      <c r="CA173" s="93"/>
    </row>
    <row r="174" spans="1:79" ht="21" customHeight="1" x14ac:dyDescent="0.35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D174" s="45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X174" s="93"/>
      <c r="BY174" s="93"/>
      <c r="BZ174" s="93"/>
      <c r="CA174" s="93"/>
    </row>
    <row r="175" spans="1:79" ht="21" customHeight="1" x14ac:dyDescent="0.35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  <c r="BB175" s="92"/>
      <c r="BD175" s="45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X175" s="93"/>
      <c r="BY175" s="93"/>
      <c r="BZ175" s="93"/>
      <c r="CA175" s="93"/>
    </row>
    <row r="176" spans="1:79" ht="21" customHeight="1" x14ac:dyDescent="0.35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W176" s="92"/>
      <c r="AX176" s="92"/>
      <c r="AY176" s="92"/>
      <c r="AZ176" s="92"/>
      <c r="BA176" s="92"/>
      <c r="BB176" s="92"/>
      <c r="BD176" s="45"/>
      <c r="BE176" s="92"/>
      <c r="BF176" s="92"/>
      <c r="BG176" s="92"/>
      <c r="BH176" s="92"/>
      <c r="BI176" s="92"/>
      <c r="BJ176" s="92"/>
      <c r="BK176" s="92"/>
      <c r="BL176" s="92"/>
      <c r="BM176" s="92"/>
      <c r="BN176" s="92"/>
      <c r="BO176" s="92"/>
      <c r="BP176" s="92"/>
      <c r="BQ176" s="92"/>
      <c r="BR176" s="92"/>
      <c r="BS176" s="92"/>
      <c r="BT176" s="92"/>
      <c r="BU176" s="92"/>
      <c r="BV176" s="92"/>
      <c r="BX176" s="93"/>
      <c r="BY176" s="93"/>
      <c r="BZ176" s="93"/>
      <c r="CA176" s="93"/>
    </row>
    <row r="177" spans="1:79" ht="21" customHeight="1" x14ac:dyDescent="0.35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W177" s="92"/>
      <c r="AX177" s="92"/>
      <c r="AY177" s="92"/>
      <c r="AZ177" s="92"/>
      <c r="BA177" s="92"/>
      <c r="BB177" s="92"/>
      <c r="BD177" s="45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X177" s="93"/>
      <c r="BY177" s="93"/>
      <c r="BZ177" s="93"/>
      <c r="CA177" s="93"/>
    </row>
    <row r="178" spans="1:79" ht="21" customHeight="1" x14ac:dyDescent="0.35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W178" s="92"/>
      <c r="AX178" s="92"/>
      <c r="AY178" s="92"/>
      <c r="AZ178" s="92"/>
      <c r="BA178" s="92"/>
      <c r="BB178" s="92"/>
      <c r="BD178" s="45"/>
      <c r="BE178" s="92"/>
      <c r="BF178" s="92"/>
      <c r="BG178" s="92"/>
      <c r="BH178" s="92"/>
      <c r="BI178" s="92"/>
      <c r="BJ178" s="92"/>
      <c r="BK178" s="92"/>
      <c r="BL178" s="92"/>
      <c r="BM178" s="92"/>
      <c r="BN178" s="92"/>
      <c r="BO178" s="92"/>
      <c r="BP178" s="92"/>
      <c r="BQ178" s="92"/>
      <c r="BR178" s="92"/>
      <c r="BS178" s="92"/>
      <c r="BT178" s="92"/>
      <c r="BU178" s="92"/>
      <c r="BV178" s="92"/>
      <c r="BX178" s="93"/>
      <c r="BY178" s="93"/>
      <c r="BZ178" s="93"/>
      <c r="CA178" s="93"/>
    </row>
    <row r="179" spans="1:79" ht="21" customHeight="1" x14ac:dyDescent="0.35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W179" s="92"/>
      <c r="AX179" s="92"/>
      <c r="AY179" s="92"/>
      <c r="AZ179" s="92"/>
      <c r="BA179" s="92"/>
      <c r="BB179" s="92"/>
      <c r="BD179" s="45"/>
      <c r="BE179" s="92"/>
      <c r="BF179" s="92"/>
      <c r="BG179" s="92"/>
      <c r="BH179" s="92"/>
      <c r="BI179" s="92"/>
      <c r="BJ179" s="92"/>
      <c r="BK179" s="92"/>
      <c r="BL179" s="92"/>
      <c r="BM179" s="92"/>
      <c r="BN179" s="92"/>
      <c r="BO179" s="92"/>
      <c r="BP179" s="92"/>
      <c r="BQ179" s="92"/>
      <c r="BR179" s="92"/>
      <c r="BS179" s="92"/>
      <c r="BT179" s="92"/>
      <c r="BU179" s="92"/>
      <c r="BV179" s="92"/>
      <c r="BX179" s="93"/>
      <c r="BY179" s="93"/>
      <c r="BZ179" s="93"/>
      <c r="CA179" s="93"/>
    </row>
    <row r="180" spans="1:79" ht="21" customHeight="1" x14ac:dyDescent="0.35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W180" s="92"/>
      <c r="AX180" s="92"/>
      <c r="AY180" s="92"/>
      <c r="AZ180" s="92"/>
      <c r="BA180" s="92"/>
      <c r="BB180" s="92"/>
      <c r="BD180" s="45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X180" s="93"/>
      <c r="BY180" s="93"/>
      <c r="BZ180" s="93"/>
      <c r="CA180" s="93"/>
    </row>
    <row r="181" spans="1:79" ht="21" customHeight="1" x14ac:dyDescent="0.35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W181" s="92"/>
      <c r="AX181" s="92"/>
      <c r="AY181" s="92"/>
      <c r="AZ181" s="92"/>
      <c r="BA181" s="92"/>
      <c r="BB181" s="92"/>
      <c r="BD181" s="45"/>
      <c r="BE181" s="92"/>
      <c r="BF181" s="92"/>
      <c r="BG181" s="92"/>
      <c r="BH181" s="92"/>
      <c r="BI181" s="92"/>
      <c r="BJ181" s="92"/>
      <c r="BK181" s="92"/>
      <c r="BL181" s="92"/>
      <c r="BM181" s="92"/>
      <c r="BN181" s="92"/>
      <c r="BO181" s="92"/>
      <c r="BP181" s="92"/>
      <c r="BQ181" s="92"/>
      <c r="BR181" s="92"/>
      <c r="BS181" s="92"/>
      <c r="BT181" s="92"/>
      <c r="BU181" s="92"/>
      <c r="BV181" s="92"/>
      <c r="BX181" s="93"/>
      <c r="BY181" s="93"/>
      <c r="BZ181" s="93"/>
      <c r="CA181" s="93"/>
    </row>
    <row r="182" spans="1:79" ht="21" customHeight="1" x14ac:dyDescent="0.35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W182" s="92"/>
      <c r="AX182" s="92"/>
      <c r="AY182" s="92"/>
      <c r="AZ182" s="92"/>
      <c r="BA182" s="92"/>
      <c r="BB182" s="92"/>
      <c r="BD182" s="45"/>
      <c r="BE182" s="92"/>
      <c r="BF182" s="92"/>
      <c r="BG182" s="92"/>
      <c r="BH182" s="92"/>
      <c r="BI182" s="92"/>
      <c r="BJ182" s="92"/>
      <c r="BK182" s="92"/>
      <c r="BL182" s="92"/>
      <c r="BM182" s="92"/>
      <c r="BN182" s="92"/>
      <c r="BO182" s="92"/>
      <c r="BP182" s="92"/>
      <c r="BQ182" s="92"/>
      <c r="BR182" s="92"/>
      <c r="BS182" s="92"/>
      <c r="BT182" s="92"/>
      <c r="BU182" s="92"/>
      <c r="BV182" s="92"/>
      <c r="BX182" s="93"/>
      <c r="BY182" s="93"/>
      <c r="BZ182" s="93"/>
      <c r="CA182" s="93"/>
    </row>
    <row r="183" spans="1:79" ht="21" customHeight="1" x14ac:dyDescent="0.35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W183" s="92"/>
      <c r="AX183" s="92"/>
      <c r="AY183" s="92"/>
      <c r="AZ183" s="92"/>
      <c r="BA183" s="92"/>
      <c r="BB183" s="92"/>
      <c r="BD183" s="45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X183" s="93"/>
      <c r="BY183" s="93"/>
      <c r="BZ183" s="93"/>
      <c r="CA183" s="93"/>
    </row>
    <row r="184" spans="1:79" ht="21" customHeight="1" x14ac:dyDescent="0.35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79" ht="21" customHeight="1" x14ac:dyDescent="0.4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99" t="s">
        <v>87</v>
      </c>
      <c r="BY186" s="99"/>
      <c r="BZ186" s="99"/>
      <c r="CA186" s="99"/>
    </row>
    <row r="187" spans="1:79" ht="21" customHeight="1" x14ac:dyDescent="0.4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103" t="s">
        <v>68</v>
      </c>
      <c r="Q187" s="104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00"/>
      <c r="BY187" s="100"/>
      <c r="BZ187" s="100"/>
      <c r="CA187" s="100"/>
    </row>
    <row r="188" spans="1:79" ht="21" customHeight="1" x14ac:dyDescent="0.4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96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96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D188" s="96" t="s">
        <v>29</v>
      </c>
      <c r="BE188" s="77" t="s">
        <v>66</v>
      </c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97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7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7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W190" s="92"/>
      <c r="AX190" s="92"/>
      <c r="AY190" s="92"/>
      <c r="AZ190" s="92"/>
      <c r="BA190" s="92"/>
      <c r="BB190" s="92"/>
      <c r="BD190" s="45"/>
      <c r="BE190" s="92"/>
      <c r="BF190" s="92"/>
      <c r="BG190" s="92"/>
      <c r="BH190" s="92"/>
      <c r="BI190" s="92"/>
      <c r="BJ190" s="92"/>
      <c r="BK190" s="92"/>
      <c r="BL190" s="92"/>
      <c r="BM190" s="92"/>
      <c r="BN190" s="92"/>
      <c r="BO190" s="92"/>
      <c r="BP190" s="92"/>
      <c r="BQ190" s="92"/>
      <c r="BR190" s="92"/>
      <c r="BS190" s="92"/>
      <c r="BT190" s="92"/>
      <c r="BU190" s="92"/>
      <c r="BV190" s="92"/>
      <c r="BX190" s="93"/>
      <c r="BY190" s="93"/>
      <c r="BZ190" s="93"/>
      <c r="CA190" s="93"/>
    </row>
    <row r="191" spans="1:79" ht="21" customHeight="1" x14ac:dyDescent="0.35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W191" s="92"/>
      <c r="AX191" s="92"/>
      <c r="AY191" s="92"/>
      <c r="AZ191" s="92"/>
      <c r="BA191" s="92"/>
      <c r="BB191" s="92"/>
      <c r="BD191" s="45"/>
      <c r="BE191" s="92"/>
      <c r="BF191" s="92"/>
      <c r="BG191" s="92"/>
      <c r="BH191" s="92"/>
      <c r="BI191" s="92"/>
      <c r="BJ191" s="92"/>
      <c r="BK191" s="92"/>
      <c r="BL191" s="92"/>
      <c r="BM191" s="92"/>
      <c r="BN191" s="92"/>
      <c r="BO191" s="92"/>
      <c r="BP191" s="92"/>
      <c r="BQ191" s="92"/>
      <c r="BR191" s="92"/>
      <c r="BS191" s="92"/>
      <c r="BT191" s="92"/>
      <c r="BU191" s="92"/>
      <c r="BV191" s="92"/>
      <c r="BX191" s="93"/>
      <c r="BY191" s="93"/>
      <c r="BZ191" s="93"/>
      <c r="CA191" s="93"/>
    </row>
    <row r="192" spans="1:79" ht="21" customHeight="1" x14ac:dyDescent="0.35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W192" s="92"/>
      <c r="AX192" s="92"/>
      <c r="AY192" s="92"/>
      <c r="AZ192" s="92"/>
      <c r="BA192" s="92"/>
      <c r="BB192" s="92"/>
      <c r="BD192" s="45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X192" s="93"/>
      <c r="BY192" s="93"/>
      <c r="BZ192" s="93"/>
      <c r="CA192" s="93"/>
    </row>
    <row r="193" spans="1:79" ht="21" customHeight="1" x14ac:dyDescent="0.35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/>
      <c r="BA193" s="92"/>
      <c r="BB193" s="92"/>
      <c r="BD193" s="45"/>
      <c r="BE193" s="92"/>
      <c r="BF193" s="92"/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/>
      <c r="BU193" s="92"/>
      <c r="BV193" s="92"/>
      <c r="BX193" s="93"/>
      <c r="BY193" s="93"/>
      <c r="BZ193" s="93"/>
      <c r="CA193" s="93"/>
    </row>
    <row r="194" spans="1:79" ht="21" customHeight="1" x14ac:dyDescent="0.35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W194" s="92"/>
      <c r="AX194" s="92"/>
      <c r="AY194" s="92"/>
      <c r="AZ194" s="92"/>
      <c r="BA194" s="92"/>
      <c r="BB194" s="92"/>
      <c r="BD194" s="45"/>
      <c r="BE194" s="92"/>
      <c r="BF194" s="92"/>
      <c r="BG194" s="92"/>
      <c r="BH194" s="92"/>
      <c r="BI194" s="92"/>
      <c r="BJ194" s="92"/>
      <c r="BK194" s="92"/>
      <c r="BL194" s="92"/>
      <c r="BM194" s="92"/>
      <c r="BN194" s="92"/>
      <c r="BO194" s="92"/>
      <c r="BP194" s="92"/>
      <c r="BQ194" s="92"/>
      <c r="BR194" s="92"/>
      <c r="BS194" s="92"/>
      <c r="BT194" s="92"/>
      <c r="BU194" s="92"/>
      <c r="BV194" s="92"/>
      <c r="BX194" s="93"/>
      <c r="BY194" s="93"/>
      <c r="BZ194" s="93"/>
      <c r="CA194" s="93"/>
    </row>
    <row r="195" spans="1:79" ht="21" customHeight="1" x14ac:dyDescent="0.35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W195" s="92"/>
      <c r="AX195" s="92"/>
      <c r="AY195" s="92"/>
      <c r="AZ195" s="92"/>
      <c r="BA195" s="92"/>
      <c r="BB195" s="92"/>
      <c r="BD195" s="45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X195" s="93"/>
      <c r="BY195" s="93"/>
      <c r="BZ195" s="93"/>
      <c r="CA195" s="93"/>
    </row>
    <row r="196" spans="1:79" ht="21" customHeight="1" x14ac:dyDescent="0.35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W196" s="92"/>
      <c r="AX196" s="92"/>
      <c r="AY196" s="92"/>
      <c r="AZ196" s="92"/>
      <c r="BA196" s="92"/>
      <c r="BB196" s="92"/>
      <c r="BD196" s="45"/>
      <c r="BE196" s="92"/>
      <c r="BF196" s="92"/>
      <c r="BG196" s="92"/>
      <c r="BH196" s="92"/>
      <c r="BI196" s="92"/>
      <c r="BJ196" s="92"/>
      <c r="BK196" s="92"/>
      <c r="BL196" s="92"/>
      <c r="BM196" s="92"/>
      <c r="BN196" s="92"/>
      <c r="BO196" s="92"/>
      <c r="BP196" s="92"/>
      <c r="BQ196" s="92"/>
      <c r="BR196" s="92"/>
      <c r="BS196" s="92"/>
      <c r="BT196" s="92"/>
      <c r="BU196" s="92"/>
      <c r="BV196" s="92"/>
      <c r="BX196" s="93"/>
      <c r="BY196" s="93"/>
      <c r="BZ196" s="93"/>
      <c r="CA196" s="93"/>
    </row>
    <row r="197" spans="1:79" ht="21" customHeight="1" x14ac:dyDescent="0.35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W197" s="92"/>
      <c r="AX197" s="92"/>
      <c r="AY197" s="92"/>
      <c r="AZ197" s="92"/>
      <c r="BA197" s="92"/>
      <c r="BB197" s="92"/>
      <c r="BD197" s="45"/>
      <c r="BE197" s="92"/>
      <c r="BF197" s="92"/>
      <c r="BG197" s="92"/>
      <c r="BH197" s="92"/>
      <c r="BI197" s="92"/>
      <c r="BJ197" s="92"/>
      <c r="BK197" s="92"/>
      <c r="BL197" s="92"/>
      <c r="BM197" s="92"/>
      <c r="BN197" s="92"/>
      <c r="BO197" s="92"/>
      <c r="BP197" s="92"/>
      <c r="BQ197" s="92"/>
      <c r="BR197" s="92"/>
      <c r="BS197" s="92"/>
      <c r="BT197" s="92"/>
      <c r="BU197" s="92"/>
      <c r="BV197" s="92"/>
      <c r="BX197" s="93"/>
      <c r="BY197" s="93"/>
      <c r="BZ197" s="93"/>
      <c r="CA197" s="93"/>
    </row>
    <row r="198" spans="1:79" ht="21" customHeight="1" x14ac:dyDescent="0.35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W198" s="92"/>
      <c r="AX198" s="92"/>
      <c r="AY198" s="92"/>
      <c r="AZ198" s="92"/>
      <c r="BA198" s="92"/>
      <c r="BB198" s="92"/>
      <c r="BD198" s="45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X198" s="93"/>
      <c r="BY198" s="93"/>
      <c r="BZ198" s="93"/>
      <c r="CA198" s="93"/>
    </row>
    <row r="199" spans="1:79" ht="21" customHeight="1" x14ac:dyDescent="0.35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W199" s="92"/>
      <c r="AX199" s="92"/>
      <c r="AY199" s="92"/>
      <c r="AZ199" s="92"/>
      <c r="BA199" s="92"/>
      <c r="BB199" s="92"/>
      <c r="BD199" s="45"/>
      <c r="BE199" s="92"/>
      <c r="BF199" s="92"/>
      <c r="BG199" s="92"/>
      <c r="BH199" s="92"/>
      <c r="BI199" s="92"/>
      <c r="BJ199" s="92"/>
      <c r="BK199" s="92"/>
      <c r="BL199" s="92"/>
      <c r="BM199" s="92"/>
      <c r="BN199" s="92"/>
      <c r="BO199" s="92"/>
      <c r="BP199" s="92"/>
      <c r="BQ199" s="92"/>
      <c r="BR199" s="92"/>
      <c r="BS199" s="92"/>
      <c r="BT199" s="92"/>
      <c r="BU199" s="92"/>
      <c r="BV199" s="92"/>
      <c r="BX199" s="93"/>
      <c r="BY199" s="93"/>
      <c r="BZ199" s="93"/>
      <c r="CA199" s="93"/>
    </row>
    <row r="200" spans="1:79" ht="21" customHeight="1" x14ac:dyDescent="0.35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W200" s="92"/>
      <c r="AX200" s="92"/>
      <c r="AY200" s="92"/>
      <c r="AZ200" s="92"/>
      <c r="BA200" s="92"/>
      <c r="BB200" s="92"/>
      <c r="BD200" s="45"/>
      <c r="BE200" s="92"/>
      <c r="BF200" s="92"/>
      <c r="BG200" s="92"/>
      <c r="BH200" s="92"/>
      <c r="BI200" s="92"/>
      <c r="BJ200" s="92"/>
      <c r="BK200" s="92"/>
      <c r="BL200" s="92"/>
      <c r="BM200" s="92"/>
      <c r="BN200" s="92"/>
      <c r="BO200" s="92"/>
      <c r="BP200" s="92"/>
      <c r="BQ200" s="92"/>
      <c r="BR200" s="92"/>
      <c r="BS200" s="92"/>
      <c r="BT200" s="92"/>
      <c r="BU200" s="92"/>
      <c r="BV200" s="92"/>
      <c r="BX200" s="93"/>
      <c r="BY200" s="93"/>
      <c r="BZ200" s="93"/>
      <c r="CA200" s="93"/>
    </row>
    <row r="201" spans="1:79" ht="21" customHeight="1" x14ac:dyDescent="0.35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W201" s="92"/>
      <c r="AX201" s="92"/>
      <c r="AY201" s="92"/>
      <c r="AZ201" s="92"/>
      <c r="BA201" s="92"/>
      <c r="BB201" s="92"/>
      <c r="BD201" s="45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X201" s="93"/>
      <c r="BY201" s="93"/>
      <c r="BZ201" s="93"/>
      <c r="CA201" s="93"/>
    </row>
    <row r="202" spans="1:79" ht="21" customHeight="1" x14ac:dyDescent="0.35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W202" s="92"/>
      <c r="AX202" s="92"/>
      <c r="AY202" s="92"/>
      <c r="AZ202" s="92"/>
      <c r="BA202" s="92"/>
      <c r="BB202" s="92"/>
      <c r="BD202" s="45"/>
      <c r="BE202" s="92"/>
      <c r="BF202" s="92"/>
      <c r="BG202" s="92"/>
      <c r="BH202" s="92"/>
      <c r="BI202" s="92"/>
      <c r="BJ202" s="92"/>
      <c r="BK202" s="92"/>
      <c r="BL202" s="92"/>
      <c r="BM202" s="92"/>
      <c r="BN202" s="92"/>
      <c r="BO202" s="92"/>
      <c r="BP202" s="92"/>
      <c r="BQ202" s="92"/>
      <c r="BR202" s="92"/>
      <c r="BS202" s="92"/>
      <c r="BT202" s="92"/>
      <c r="BU202" s="92"/>
      <c r="BV202" s="92"/>
      <c r="BX202" s="93"/>
      <c r="BY202" s="93"/>
      <c r="BZ202" s="93"/>
      <c r="CA202" s="93"/>
    </row>
    <row r="203" spans="1:79" ht="21" customHeight="1" x14ac:dyDescent="0.35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W203" s="92"/>
      <c r="AX203" s="92"/>
      <c r="AY203" s="92"/>
      <c r="AZ203" s="92"/>
      <c r="BA203" s="92"/>
      <c r="BB203" s="92"/>
      <c r="BD203" s="45"/>
      <c r="BE203" s="92"/>
      <c r="BF203" s="92"/>
      <c r="BG203" s="92"/>
      <c r="BH203" s="92"/>
      <c r="BI203" s="92"/>
      <c r="BJ203" s="92"/>
      <c r="BK203" s="92"/>
      <c r="BL203" s="92"/>
      <c r="BM203" s="92"/>
      <c r="BN203" s="92"/>
      <c r="BO203" s="92"/>
      <c r="BP203" s="92"/>
      <c r="BQ203" s="92"/>
      <c r="BR203" s="92"/>
      <c r="BS203" s="92"/>
      <c r="BT203" s="92"/>
      <c r="BU203" s="92"/>
      <c r="BV203" s="92"/>
      <c r="BX203" s="93"/>
      <c r="BY203" s="93"/>
      <c r="BZ203" s="93"/>
      <c r="CA203" s="93"/>
    </row>
    <row r="204" spans="1:79" ht="21" customHeight="1" x14ac:dyDescent="0.35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/>
      <c r="BA204" s="92"/>
      <c r="BB204" s="92"/>
      <c r="BD204" s="45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X204" s="93"/>
      <c r="BY204" s="93"/>
      <c r="BZ204" s="93"/>
      <c r="CA204" s="93"/>
    </row>
    <row r="205" spans="1:79" ht="21" customHeight="1" x14ac:dyDescent="0.35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W205" s="92"/>
      <c r="AX205" s="92"/>
      <c r="AY205" s="92"/>
      <c r="AZ205" s="92"/>
      <c r="BA205" s="92"/>
      <c r="BB205" s="92"/>
      <c r="BD205" s="45"/>
      <c r="BE205" s="92"/>
      <c r="BF205" s="92"/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/>
      <c r="BU205" s="92"/>
      <c r="BV205" s="92"/>
      <c r="BX205" s="93"/>
      <c r="BY205" s="93"/>
      <c r="BZ205" s="93"/>
      <c r="CA205" s="93"/>
    </row>
    <row r="206" spans="1:79" ht="21" customHeight="1" x14ac:dyDescent="0.35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W206" s="92"/>
      <c r="AX206" s="92"/>
      <c r="AY206" s="92"/>
      <c r="AZ206" s="92"/>
      <c r="BA206" s="92"/>
      <c r="BB206" s="92"/>
      <c r="BD206" s="45"/>
      <c r="BE206" s="92"/>
      <c r="BF206" s="92"/>
      <c r="BG206" s="92"/>
      <c r="BH206" s="92"/>
      <c r="BI206" s="92"/>
      <c r="BJ206" s="92"/>
      <c r="BK206" s="92"/>
      <c r="BL206" s="92"/>
      <c r="BM206" s="92"/>
      <c r="BN206" s="92"/>
      <c r="BO206" s="92"/>
      <c r="BP206" s="92"/>
      <c r="BQ206" s="92"/>
      <c r="BR206" s="92"/>
      <c r="BS206" s="92"/>
      <c r="BT206" s="92"/>
      <c r="BU206" s="92"/>
      <c r="BV206" s="92"/>
      <c r="BX206" s="93"/>
      <c r="BY206" s="93"/>
      <c r="BZ206" s="93"/>
      <c r="CA206" s="93"/>
    </row>
    <row r="207" spans="1:79" ht="21" customHeight="1" x14ac:dyDescent="0.35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W207" s="92"/>
      <c r="AX207" s="92"/>
      <c r="AY207" s="92"/>
      <c r="AZ207" s="92"/>
      <c r="BA207" s="92"/>
      <c r="BB207" s="92"/>
      <c r="BD207" s="45"/>
      <c r="BE207" s="92"/>
      <c r="BF207" s="92"/>
      <c r="BG207" s="92"/>
      <c r="BH207" s="92"/>
      <c r="BI207" s="92"/>
      <c r="BJ207" s="92"/>
      <c r="BK207" s="92"/>
      <c r="BL207" s="92"/>
      <c r="BM207" s="92"/>
      <c r="BN207" s="92"/>
      <c r="BO207" s="92"/>
      <c r="BP207" s="92"/>
      <c r="BQ207" s="92"/>
      <c r="BR207" s="92"/>
      <c r="BS207" s="92"/>
      <c r="BT207" s="92"/>
      <c r="BU207" s="92"/>
      <c r="BV207" s="92"/>
      <c r="BX207" s="93"/>
      <c r="BY207" s="93"/>
      <c r="BZ207" s="93"/>
      <c r="CA207" s="93"/>
    </row>
    <row r="208" spans="1:79" ht="21" customHeight="1" x14ac:dyDescent="0.35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W208" s="92"/>
      <c r="AX208" s="92"/>
      <c r="AY208" s="92"/>
      <c r="AZ208" s="92"/>
      <c r="BA208" s="92"/>
      <c r="BB208" s="92"/>
      <c r="BD208" s="45"/>
      <c r="BE208" s="92"/>
      <c r="BF208" s="92"/>
      <c r="BG208" s="92"/>
      <c r="BH208" s="92"/>
      <c r="BI208" s="92"/>
      <c r="BJ208" s="92"/>
      <c r="BK208" s="92"/>
      <c r="BL208" s="92"/>
      <c r="BM208" s="92"/>
      <c r="BN208" s="92"/>
      <c r="BO208" s="92"/>
      <c r="BP208" s="92"/>
      <c r="BQ208" s="92"/>
      <c r="BR208" s="92"/>
      <c r="BS208" s="92"/>
      <c r="BT208" s="92"/>
      <c r="BU208" s="92"/>
      <c r="BV208" s="92"/>
      <c r="BX208" s="93"/>
      <c r="BY208" s="93"/>
      <c r="BZ208" s="93"/>
      <c r="CA208" s="93"/>
    </row>
    <row r="209" spans="1:79" ht="21" customHeight="1" x14ac:dyDescent="0.35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W209" s="92"/>
      <c r="AX209" s="92"/>
      <c r="AY209" s="92"/>
      <c r="AZ209" s="92"/>
      <c r="BA209" s="92"/>
      <c r="BB209" s="92"/>
      <c r="BD209" s="45"/>
      <c r="BE209" s="92"/>
      <c r="BF209" s="92"/>
      <c r="BG209" s="92"/>
      <c r="BH209" s="92"/>
      <c r="BI209" s="92"/>
      <c r="BJ209" s="92"/>
      <c r="BK209" s="92"/>
      <c r="BL209" s="92"/>
      <c r="BM209" s="92"/>
      <c r="BN209" s="92"/>
      <c r="BO209" s="92"/>
      <c r="BP209" s="92"/>
      <c r="BQ209" s="92"/>
      <c r="BR209" s="92"/>
      <c r="BS209" s="92"/>
      <c r="BT209" s="92"/>
      <c r="BU209" s="92"/>
      <c r="BV209" s="92"/>
      <c r="BX209" s="93"/>
      <c r="BY209" s="93"/>
      <c r="BZ209" s="93"/>
      <c r="CA209" s="93"/>
    </row>
    <row r="210" spans="1:79" ht="21" customHeight="1" x14ac:dyDescent="0.35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W210" s="92"/>
      <c r="AX210" s="92"/>
      <c r="AY210" s="92"/>
      <c r="AZ210" s="92"/>
      <c r="BA210" s="92"/>
      <c r="BB210" s="92"/>
      <c r="BD210" s="45"/>
      <c r="BE210" s="92"/>
      <c r="BF210" s="92"/>
      <c r="BG210" s="92"/>
      <c r="BH210" s="92"/>
      <c r="BI210" s="92"/>
      <c r="BJ210" s="92"/>
      <c r="BK210" s="92"/>
      <c r="BL210" s="92"/>
      <c r="BM210" s="92"/>
      <c r="BN210" s="92"/>
      <c r="BO210" s="92"/>
      <c r="BP210" s="92"/>
      <c r="BQ210" s="92"/>
      <c r="BR210" s="92"/>
      <c r="BS210" s="92"/>
      <c r="BT210" s="92"/>
      <c r="BU210" s="92"/>
      <c r="BV210" s="92"/>
      <c r="BX210" s="93"/>
      <c r="BY210" s="93"/>
      <c r="BZ210" s="93"/>
      <c r="CA210" s="93"/>
    </row>
    <row r="211" spans="1:79" ht="21" customHeight="1" x14ac:dyDescent="0.35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W211" s="92"/>
      <c r="AX211" s="92"/>
      <c r="AY211" s="92"/>
      <c r="AZ211" s="92"/>
      <c r="BA211" s="92"/>
      <c r="BB211" s="92"/>
      <c r="BD211" s="45"/>
      <c r="BE211" s="92"/>
      <c r="BF211" s="92"/>
      <c r="BG211" s="92"/>
      <c r="BH211" s="92"/>
      <c r="BI211" s="92"/>
      <c r="BJ211" s="92"/>
      <c r="BK211" s="92"/>
      <c r="BL211" s="92"/>
      <c r="BM211" s="92"/>
      <c r="BN211" s="92"/>
      <c r="BO211" s="92"/>
      <c r="BP211" s="92"/>
      <c r="BQ211" s="92"/>
      <c r="BR211" s="92"/>
      <c r="BS211" s="92"/>
      <c r="BT211" s="92"/>
      <c r="BU211" s="92"/>
      <c r="BV211" s="92"/>
      <c r="BX211" s="93"/>
      <c r="BY211" s="93"/>
      <c r="BZ211" s="93"/>
      <c r="CA211" s="93"/>
    </row>
    <row r="212" spans="1:79" ht="21" customHeight="1" x14ac:dyDescent="0.35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W212" s="92"/>
      <c r="AX212" s="92"/>
      <c r="AY212" s="92"/>
      <c r="AZ212" s="92"/>
      <c r="BA212" s="92"/>
      <c r="BB212" s="92"/>
      <c r="BD212" s="45"/>
      <c r="BE212" s="92"/>
      <c r="BF212" s="92"/>
      <c r="BG212" s="92"/>
      <c r="BH212" s="92"/>
      <c r="BI212" s="92"/>
      <c r="BJ212" s="92"/>
      <c r="BK212" s="92"/>
      <c r="BL212" s="92"/>
      <c r="BM212" s="92"/>
      <c r="BN212" s="92"/>
      <c r="BO212" s="92"/>
      <c r="BP212" s="92"/>
      <c r="BQ212" s="92"/>
      <c r="BR212" s="92"/>
      <c r="BS212" s="92"/>
      <c r="BT212" s="92"/>
      <c r="BU212" s="92"/>
      <c r="BV212" s="92"/>
      <c r="BX212" s="93"/>
      <c r="BY212" s="93"/>
      <c r="BZ212" s="93"/>
      <c r="CA212" s="93"/>
    </row>
    <row r="213" spans="1:79" ht="21" customHeight="1" x14ac:dyDescent="0.35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W213" s="92"/>
      <c r="AX213" s="92"/>
      <c r="AY213" s="92"/>
      <c r="AZ213" s="92"/>
      <c r="BA213" s="92"/>
      <c r="BB213" s="92"/>
      <c r="BD213" s="45"/>
      <c r="BE213" s="92"/>
      <c r="BF213" s="92"/>
      <c r="BG213" s="92"/>
      <c r="BH213" s="92"/>
      <c r="BI213" s="92"/>
      <c r="BJ213" s="92"/>
      <c r="BK213" s="92"/>
      <c r="BL213" s="92"/>
      <c r="BM213" s="92"/>
      <c r="BN213" s="92"/>
      <c r="BO213" s="92"/>
      <c r="BP213" s="92"/>
      <c r="BQ213" s="92"/>
      <c r="BR213" s="92"/>
      <c r="BS213" s="92"/>
      <c r="BT213" s="92"/>
      <c r="BU213" s="92"/>
      <c r="BV213" s="92"/>
      <c r="BX213" s="93"/>
      <c r="BY213" s="93"/>
      <c r="BZ213" s="93"/>
      <c r="CA213" s="93"/>
    </row>
    <row r="214" spans="1:79" ht="21" customHeight="1" x14ac:dyDescent="0.4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28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CK47:CK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2023-02-02T14:42:04Z</dcterms:modified>
</cp:coreProperties>
</file>