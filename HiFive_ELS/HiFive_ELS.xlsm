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<sst xmlns="http://schemas.openxmlformats.org/spreadsheetml/2006/main" count="208" uniqueCount="89">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</sst>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topLeftCell="A26" zoomScale="80" zoomScaleNormal="80" workbookViewId="0">
      <selection activeCell="R63" sqref="R63:R64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28" t="s">
        <v>0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09" t="s">
        <v>1</v>
      </c>
      <c r="G3" s="109"/>
      <c r="H3" s="129">
        <v>100000</v>
      </c>
      <c r="I3" s="130"/>
    </row>
    <row r="4" spans="1:130" s="3" customFormat="1" ht="21" customHeight="1" x14ac:dyDescent="0.4">
      <c r="A4" s="100" t="s">
        <v>2</v>
      </c>
      <c r="B4" s="101"/>
      <c r="C4" s="136">
        <v>10000</v>
      </c>
      <c r="D4" s="137"/>
      <c r="F4" s="109" t="s">
        <v>3</v>
      </c>
      <c r="G4" s="109"/>
      <c r="H4" s="129">
        <v>1</v>
      </c>
      <c r="I4" s="130"/>
      <c r="M4" s="4"/>
      <c r="N4" s="5" t="s">
        <v>4</v>
      </c>
      <c r="O4" s="6" t="s">
        <v>5</v>
      </c>
      <c r="P4" s="5" t="s">
        <v>6</v>
      </c>
      <c r="R4" s="89" t="s">
        <v>79</v>
      </c>
      <c r="S4" s="135">
        <v>1</v>
      </c>
      <c r="T4" s="135"/>
    </row>
    <row r="5" spans="1:130" s="3" customFormat="1" ht="21" customHeight="1" thickBot="1" x14ac:dyDescent="0.45">
      <c r="A5" s="100" t="s">
        <v>7</v>
      </c>
      <c r="B5" s="101"/>
      <c r="C5" s="138">
        <v>1</v>
      </c>
      <c r="D5" s="139"/>
      <c r="M5" s="7" t="s">
        <v>8</v>
      </c>
      <c r="N5" s="8"/>
      <c r="O5" s="8"/>
      <c r="P5" s="8"/>
      <c r="R5" s="89" t="s">
        <v>77</v>
      </c>
      <c r="S5" s="133">
        <v>44988.687071759261</v>
      </c>
      <c r="T5" s="133"/>
    </row>
    <row r="6" spans="1:130" s="3" customFormat="1" ht="21" customHeight="1" thickBot="1" x14ac:dyDescent="0.45">
      <c r="A6" s="118" t="s">
        <v>9</v>
      </c>
      <c r="B6" s="119"/>
      <c r="C6" s="120">
        <v>42919</v>
      </c>
      <c r="D6" s="121"/>
      <c r="E6" s="2"/>
      <c r="F6" s="122" t="s">
        <v>10</v>
      </c>
      <c r="G6" s="122"/>
      <c r="H6" s="123">
        <v>10000</v>
      </c>
      <c r="I6" s="123"/>
      <c r="M6" s="7" t="s">
        <v>11</v>
      </c>
      <c r="N6" s="8"/>
      <c r="O6" s="8"/>
      <c r="P6" s="8"/>
      <c r="R6" s="89" t="s">
        <v>78</v>
      </c>
      <c r="S6" s="133">
        <v>44988.687106481484</v>
      </c>
      <c r="T6" s="133"/>
    </row>
    <row r="7" spans="1:130" s="3" customFormat="1" ht="21" customHeight="1" thickBot="1" x14ac:dyDescent="0.45">
      <c r="A7" s="118" t="s">
        <v>23</v>
      </c>
      <c r="B7" s="119"/>
      <c r="C7" s="131">
        <v>3</v>
      </c>
      <c r="D7" s="132"/>
      <c r="F7" s="124" t="s">
        <v>12</v>
      </c>
      <c r="G7" s="125"/>
      <c r="H7" s="126">
        <v>0</v>
      </c>
      <c r="I7" s="127"/>
      <c r="M7" s="7" t="s">
        <v>13</v>
      </c>
      <c r="N7" s="8"/>
      <c r="O7" s="8"/>
      <c r="P7" s="8"/>
      <c r="R7" s="89"/>
      <c r="S7" s="134"/>
      <c r="T7" s="134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09" t="s">
        <v>81</v>
      </c>
      <c r="B17" s="109"/>
      <c r="C17" s="114">
        <v>6</v>
      </c>
      <c r="D17" s="113"/>
      <c r="F17" s="100" t="s">
        <v>51</v>
      </c>
      <c r="G17" s="101"/>
      <c r="H17" s="114">
        <v>0</v>
      </c>
      <c r="I17" s="113"/>
      <c r="K17" s="115" t="s">
        <v>14</v>
      </c>
      <c r="L17" s="115"/>
      <c r="M17" s="116">
        <v>9500.698117433798</v>
      </c>
      <c r="N17" s="116"/>
      <c r="O17" s="107" t="s">
        <v>76</v>
      </c>
      <c r="P17" s="108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09" t="s">
        <v>16</v>
      </c>
      <c r="G18" s="109"/>
      <c r="H18" s="110">
        <v>1</v>
      </c>
      <c r="I18" s="111"/>
      <c r="K18" s="115"/>
      <c r="L18" s="115"/>
      <c r="M18" s="116"/>
      <c r="N18" s="116"/>
      <c r="O18" s="107" t="s">
        <v>15</v>
      </c>
      <c r="P18" s="108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09" t="s">
        <v>17</v>
      </c>
      <c r="B19" s="109"/>
      <c r="C19" s="112">
        <v>0.5</v>
      </c>
      <c r="D19" s="113"/>
      <c r="K19" s="117" t="s">
        <v>80</v>
      </c>
      <c r="L19" s="117"/>
      <c r="M19" s="117"/>
      <c r="N19" s="117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0" t="s">
        <v>18</v>
      </c>
      <c r="B27" s="101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0" t="s">
        <v>19</v>
      </c>
      <c r="B28" s="101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0" t="s">
        <v>43</v>
      </c>
      <c r="B29" s="101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0" t="s">
        <v>53</v>
      </c>
      <c r="B30" s="101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0" t="s">
        <v>54</v>
      </c>
      <c r="B31" s="101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0"/>
      <c r="B32" s="101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0"/>
      <c r="B33" s="101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0" t="s">
        <v>20</v>
      </c>
      <c r="B34" s="101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0" t="s">
        <v>55</v>
      </c>
      <c r="B35" s="101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0" t="s">
        <v>56</v>
      </c>
      <c r="B36" s="101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0" t="s">
        <v>21</v>
      </c>
      <c r="B37" s="101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2" t="s">
        <v>57</v>
      </c>
      <c r="B38" s="103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2" t="s">
        <v>58</v>
      </c>
      <c r="B39" s="103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2" t="s">
        <v>59</v>
      </c>
      <c r="B40" s="103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2" t="s">
        <v>63</v>
      </c>
      <c r="B41" s="103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2" t="s">
        <v>62</v>
      </c>
      <c r="B42" s="103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2" t="s">
        <v>61</v>
      </c>
      <c r="B43" s="103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2" t="s">
        <v>60</v>
      </c>
      <c r="B44" s="103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2" t="s">
        <v>72</v>
      </c>
      <c r="B45" s="103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2" t="s">
        <v>64</v>
      </c>
      <c r="B46" s="103"/>
      <c r="C46" s="75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4"/>
      <c r="B47" s="104"/>
      <c r="C47" s="97" t="str">
        <f t="shared" ref="C47:AH47" si="35">IFERROR(IF(AND(C29="",D29="",B29&lt;&gt;"",C34&lt;&gt;""),"Not Autocalled Not KI Payoff",IF(AND(C29="",B29="",A29&lt;&gt;""),"Not Autocalled KI Payoff","")), "")</f>
        <v/>
      </c>
      <c r="D47" s="97" t="str">
        <f t="shared" si="35"/>
        <v/>
      </c>
      <c r="E47" s="97" t="str">
        <f t="shared" si="35"/>
        <v/>
      </c>
      <c r="F47" s="97" t="str">
        <f t="shared" si="35"/>
        <v/>
      </c>
      <c r="G47" s="97" t="str">
        <f t="shared" si="35"/>
        <v/>
      </c>
      <c r="H47" s="97" t="str">
        <f t="shared" si="35"/>
        <v/>
      </c>
      <c r="I47" s="97" t="str">
        <f t="shared" si="35"/>
        <v>Not Autocalled Not KI Payoff</v>
      </c>
      <c r="J47" s="97" t="str">
        <f t="shared" si="35"/>
        <v>Not Autocalled KI Payoff</v>
      </c>
      <c r="K47" s="97" t="str">
        <f t="shared" si="35"/>
        <v/>
      </c>
      <c r="L47" s="97" t="str">
        <f t="shared" si="35"/>
        <v/>
      </c>
      <c r="M47" s="97" t="str">
        <f t="shared" si="35"/>
        <v/>
      </c>
      <c r="N47" s="97" t="str">
        <f t="shared" si="35"/>
        <v/>
      </c>
      <c r="O47" s="97" t="str">
        <f t="shared" si="35"/>
        <v/>
      </c>
      <c r="P47" s="97" t="str">
        <f t="shared" si="35"/>
        <v/>
      </c>
      <c r="Q47" s="97" t="str">
        <f t="shared" si="35"/>
        <v/>
      </c>
      <c r="R47" s="97" t="str">
        <f t="shared" si="35"/>
        <v/>
      </c>
      <c r="S47" s="97" t="str">
        <f t="shared" si="35"/>
        <v/>
      </c>
      <c r="T47" s="97" t="str">
        <f t="shared" si="35"/>
        <v/>
      </c>
      <c r="U47" s="97" t="str">
        <f t="shared" si="35"/>
        <v/>
      </c>
      <c r="V47" s="97" t="str">
        <f t="shared" si="35"/>
        <v/>
      </c>
      <c r="W47" s="97" t="str">
        <f t="shared" si="35"/>
        <v/>
      </c>
      <c r="X47" s="97" t="str">
        <f t="shared" si="35"/>
        <v/>
      </c>
      <c r="Y47" s="97" t="str">
        <f t="shared" si="35"/>
        <v/>
      </c>
      <c r="Z47" s="97" t="str">
        <f t="shared" si="35"/>
        <v/>
      </c>
      <c r="AA47" s="97" t="str">
        <f t="shared" si="35"/>
        <v/>
      </c>
      <c r="AB47" s="97" t="str">
        <f t="shared" si="35"/>
        <v/>
      </c>
      <c r="AC47" s="97" t="str">
        <f t="shared" si="35"/>
        <v/>
      </c>
      <c r="AD47" s="97" t="str">
        <f t="shared" si="35"/>
        <v/>
      </c>
      <c r="AE47" s="97" t="str">
        <f t="shared" si="35"/>
        <v/>
      </c>
      <c r="AF47" s="97" t="str">
        <f t="shared" si="35"/>
        <v/>
      </c>
      <c r="AG47" s="97" t="str">
        <f t="shared" si="35"/>
        <v/>
      </c>
      <c r="AH47" s="97" t="str">
        <f t="shared" si="35"/>
        <v/>
      </c>
      <c r="AI47" s="97" t="str">
        <f t="shared" ref="AI47:BN47" si="36">IFERROR(IF(AND(AI29="",AJ29="",AH29&lt;&gt;"",AI34&lt;&gt;""),"Not Autocalled Not KI Payoff",IF(AND(AI29="",AH29="",AG29&lt;&gt;""),"Not Autocalled KI Payoff","")), "")</f>
        <v/>
      </c>
      <c r="AJ47" s="97" t="str">
        <f t="shared" si="36"/>
        <v/>
      </c>
      <c r="AK47" s="97" t="str">
        <f t="shared" si="36"/>
        <v/>
      </c>
      <c r="AL47" s="97" t="str">
        <f t="shared" si="36"/>
        <v/>
      </c>
      <c r="AM47" s="97" t="str">
        <f t="shared" si="36"/>
        <v/>
      </c>
      <c r="AN47" s="97" t="str">
        <f t="shared" si="36"/>
        <v/>
      </c>
      <c r="AO47" s="97" t="str">
        <f t="shared" si="36"/>
        <v/>
      </c>
      <c r="AP47" s="97" t="str">
        <f t="shared" si="36"/>
        <v/>
      </c>
      <c r="AQ47" s="97" t="str">
        <f t="shared" si="36"/>
        <v/>
      </c>
      <c r="AR47" s="97" t="str">
        <f t="shared" si="36"/>
        <v/>
      </c>
      <c r="AS47" s="97" t="str">
        <f t="shared" si="36"/>
        <v/>
      </c>
      <c r="AT47" s="97" t="str">
        <f t="shared" si="36"/>
        <v/>
      </c>
      <c r="AU47" s="97" t="str">
        <f t="shared" si="36"/>
        <v/>
      </c>
      <c r="AV47" s="97" t="str">
        <f t="shared" si="36"/>
        <v/>
      </c>
      <c r="AW47" s="97" t="str">
        <f t="shared" si="36"/>
        <v/>
      </c>
      <c r="AX47" s="97" t="str">
        <f t="shared" si="36"/>
        <v/>
      </c>
      <c r="AY47" s="97" t="str">
        <f t="shared" si="36"/>
        <v/>
      </c>
      <c r="AZ47" s="97" t="str">
        <f t="shared" si="36"/>
        <v/>
      </c>
      <c r="BA47" s="97" t="str">
        <f t="shared" si="36"/>
        <v/>
      </c>
      <c r="BB47" s="97" t="str">
        <f t="shared" si="36"/>
        <v/>
      </c>
      <c r="BC47" s="97" t="str">
        <f t="shared" si="36"/>
        <v/>
      </c>
      <c r="BD47" s="97" t="str">
        <f t="shared" si="36"/>
        <v/>
      </c>
      <c r="BE47" s="97" t="str">
        <f t="shared" si="36"/>
        <v/>
      </c>
      <c r="BF47" s="97" t="str">
        <f t="shared" si="36"/>
        <v/>
      </c>
      <c r="BG47" s="97" t="str">
        <f t="shared" si="36"/>
        <v/>
      </c>
      <c r="BH47" s="97" t="str">
        <f t="shared" si="36"/>
        <v/>
      </c>
      <c r="BI47" s="97" t="str">
        <f t="shared" si="36"/>
        <v/>
      </c>
      <c r="BJ47" s="97" t="str">
        <f t="shared" si="36"/>
        <v/>
      </c>
      <c r="BK47" s="97" t="str">
        <f t="shared" si="36"/>
        <v/>
      </c>
      <c r="BL47" s="97" t="str">
        <f t="shared" si="36"/>
        <v/>
      </c>
      <c r="BM47" s="97" t="str">
        <f t="shared" si="36"/>
        <v/>
      </c>
      <c r="BN47" s="97" t="str">
        <f t="shared" si="36"/>
        <v/>
      </c>
      <c r="BO47" s="97" t="str">
        <f t="shared" ref="BO47:CT47" si="37">IFERROR(IF(AND(BO29="",BP29="",BN29&lt;&gt;"",BO34&lt;&gt;""),"Not Autocalled Not KI Payoff",IF(AND(BO29="",BN29="",BM29&lt;&gt;""),"Not Autocalled KI Payoff","")), "")</f>
        <v/>
      </c>
      <c r="BP47" s="97" t="str">
        <f t="shared" si="37"/>
        <v/>
      </c>
      <c r="BQ47" s="97" t="str">
        <f t="shared" si="37"/>
        <v/>
      </c>
      <c r="BR47" s="97" t="str">
        <f t="shared" si="37"/>
        <v/>
      </c>
      <c r="BS47" s="97" t="str">
        <f t="shared" si="37"/>
        <v/>
      </c>
      <c r="BT47" s="97" t="str">
        <f t="shared" si="37"/>
        <v/>
      </c>
      <c r="BU47" s="97" t="str">
        <f t="shared" si="37"/>
        <v/>
      </c>
      <c r="BV47" s="97" t="str">
        <f t="shared" si="37"/>
        <v/>
      </c>
      <c r="BW47" s="97" t="str">
        <f t="shared" si="37"/>
        <v/>
      </c>
      <c r="BX47" s="97" t="str">
        <f t="shared" si="37"/>
        <v/>
      </c>
      <c r="BY47" s="97" t="str">
        <f t="shared" si="37"/>
        <v/>
      </c>
      <c r="BZ47" s="97" t="str">
        <f t="shared" si="37"/>
        <v/>
      </c>
      <c r="CA47" s="97" t="str">
        <f t="shared" si="37"/>
        <v/>
      </c>
      <c r="CB47" s="97" t="str">
        <f t="shared" si="37"/>
        <v/>
      </c>
      <c r="CC47" s="97" t="str">
        <f t="shared" si="37"/>
        <v/>
      </c>
      <c r="CD47" s="97" t="str">
        <f t="shared" si="37"/>
        <v/>
      </c>
      <c r="CE47" s="97" t="str">
        <f t="shared" si="37"/>
        <v/>
      </c>
      <c r="CF47" s="97" t="str">
        <f t="shared" si="37"/>
        <v/>
      </c>
      <c r="CG47" s="97" t="str">
        <f t="shared" si="37"/>
        <v/>
      </c>
      <c r="CH47" s="97" t="str">
        <f t="shared" si="37"/>
        <v/>
      </c>
      <c r="CI47" s="97" t="str">
        <f t="shared" si="37"/>
        <v/>
      </c>
      <c r="CJ47" s="97" t="str">
        <f t="shared" si="37"/>
        <v/>
      </c>
      <c r="CK47" s="97" t="str">
        <f t="shared" si="37"/>
        <v/>
      </c>
      <c r="CL47" s="97" t="str">
        <f t="shared" si="37"/>
        <v/>
      </c>
      <c r="CM47" s="97" t="str">
        <f t="shared" si="37"/>
        <v/>
      </c>
      <c r="CN47" s="97" t="str">
        <f t="shared" si="37"/>
        <v/>
      </c>
      <c r="CO47" s="97" t="str">
        <f t="shared" si="37"/>
        <v/>
      </c>
      <c r="CP47" s="97" t="str">
        <f t="shared" si="37"/>
        <v/>
      </c>
      <c r="CQ47" s="97" t="str">
        <f t="shared" si="37"/>
        <v/>
      </c>
      <c r="CR47" s="97" t="str">
        <f t="shared" si="37"/>
        <v/>
      </c>
      <c r="CS47" s="97" t="str">
        <f t="shared" si="37"/>
        <v/>
      </c>
      <c r="CT47" s="97" t="str">
        <f t="shared" si="37"/>
        <v/>
      </c>
      <c r="CU47" s="97" t="str">
        <f t="shared" ref="CU47:DF47" si="38">IFERROR(IF(AND(CU29="",CV29="",CT29&lt;&gt;"",CU34&lt;&gt;""),"Not Autocalled Not KI Payoff",IF(AND(CU29="",CT29="",CS29&lt;&gt;""),"Not Autocalled KI Payoff","")), "")</f>
        <v/>
      </c>
      <c r="CV47" s="97" t="str">
        <f t="shared" si="38"/>
        <v/>
      </c>
      <c r="CW47" s="97" t="str">
        <f t="shared" si="38"/>
        <v/>
      </c>
      <c r="CX47" s="97" t="str">
        <f t="shared" si="38"/>
        <v/>
      </c>
      <c r="CY47" s="97" t="str">
        <f t="shared" si="38"/>
        <v/>
      </c>
      <c r="CZ47" s="97" t="str">
        <f t="shared" si="38"/>
        <v/>
      </c>
      <c r="DA47" s="97" t="str">
        <f t="shared" si="38"/>
        <v/>
      </c>
      <c r="DB47" s="97" t="str">
        <f t="shared" si="38"/>
        <v/>
      </c>
      <c r="DC47" s="97" t="str">
        <f t="shared" si="38"/>
        <v/>
      </c>
      <c r="DD47" s="97" t="str">
        <f t="shared" si="38"/>
        <v/>
      </c>
      <c r="DE47" s="97" t="str">
        <f t="shared" si="38"/>
        <v/>
      </c>
      <c r="DF47" s="97" t="str">
        <f t="shared" si="38"/>
        <v/>
      </c>
      <c r="DG47" s="97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4"/>
      <c r="B48" s="104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7"/>
    </row>
    <row r="49" spans="1:108" s="29" customFormat="1" ht="21" hidden="1" customHeight="1" x14ac:dyDescent="0.4">
      <c r="A49" s="104"/>
      <c r="B49" s="104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4"/>
      <c r="B50" s="104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0" t="s">
        <v>46</v>
      </c>
      <c r="B51" s="140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5" t="s">
        <v>47</v>
      </c>
      <c r="B52" s="106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0" t="s">
        <v>44</v>
      </c>
      <c r="B53" s="140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0" t="s">
        <v>45</v>
      </c>
      <c r="B54" s="140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0" t="s">
        <v>50</v>
      </c>
      <c r="B55" s="140"/>
      <c r="C55" s="36">
        <v>0.05</v>
      </c>
    </row>
    <row r="56" spans="1:108" s="40" customFormat="1" ht="21" customHeight="1" x14ac:dyDescent="0.4">
      <c r="A56" s="140" t="s">
        <v>52</v>
      </c>
      <c r="B56" s="140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4"/>
      <c r="B57" s="104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4"/>
      <c r="B58" s="104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4"/>
      <c r="B59" s="104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4"/>
      <c r="B60" s="104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4"/>
      <c r="B61" s="104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28" t="s">
        <v>22</v>
      </c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J62" s="94" t="s">
        <v>71</v>
      </c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D62" s="94" t="s">
        <v>82</v>
      </c>
      <c r="BE62" s="94"/>
      <c r="BF62" s="94"/>
      <c r="BG62" s="94"/>
      <c r="BH62" s="94"/>
      <c r="BI62" s="94"/>
      <c r="BJ62" s="94"/>
      <c r="BK62" s="94"/>
      <c r="BL62" s="94"/>
      <c r="BM62" s="94"/>
      <c r="BN62" s="94"/>
      <c r="BO62" s="94"/>
      <c r="BP62" s="94"/>
      <c r="BQ62" s="94"/>
      <c r="BR62" s="94"/>
      <c r="BS62" s="94"/>
      <c r="BT62" s="94"/>
      <c r="BU62" s="94"/>
      <c r="BV62" s="94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D63" s="94"/>
      <c r="BE63" s="94"/>
      <c r="BF63" s="94"/>
      <c r="BG63" s="94"/>
      <c r="BH63" s="94"/>
      <c r="BI63" s="94"/>
      <c r="BJ63" s="94"/>
      <c r="BK63" s="94"/>
      <c r="BL63" s="94"/>
      <c r="BM63" s="94"/>
      <c r="BN63" s="94"/>
      <c r="BO63" s="94"/>
      <c r="BP63" s="94"/>
      <c r="BQ63" s="94"/>
      <c r="BR63" s="94"/>
      <c r="BS63" s="94"/>
      <c r="BT63" s="94"/>
      <c r="BU63" s="94"/>
      <c r="BV63" s="94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98" t="s">
        <v>87</v>
      </c>
      <c r="BY66" s="98"/>
      <c r="BZ66" s="98"/>
      <c r="CA66" s="98"/>
    </row>
    <row r="67" spans="1:90" s="4" customFormat="1" ht="21" customHeight="1" x14ac:dyDescent="0.4">
      <c r="A67" s="142" t="s">
        <v>74</v>
      </c>
      <c r="B67" s="142"/>
      <c r="C67" s="142"/>
      <c r="D67" s="142"/>
      <c r="E67" s="142"/>
      <c r="F67" s="142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2" t="s">
        <v>68</v>
      </c>
      <c r="Q67" s="103"/>
      <c r="R67" s="38">
        <v>2</v>
      </c>
      <c r="BX67" s="99"/>
      <c r="BY67" s="99"/>
      <c r="BZ67" s="99"/>
      <c r="CA67" s="99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5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5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5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6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6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6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146">
        <v>0.39953</v>
      </c>
      <c r="R70" s="146">
        <v>0.35431000000000001</v>
      </c>
      <c r="S70" s="146">
        <v>0.34103</v>
      </c>
      <c r="T70" s="146">
        <v>0.31208000000000002</v>
      </c>
      <c r="U70" s="146">
        <v>0.29199999999999998</v>
      </c>
      <c r="V70" s="146">
        <v>0.27834999999999999</v>
      </c>
      <c r="W70" s="146">
        <v>0.26856000000000002</v>
      </c>
      <c r="X70" s="146">
        <v>0.25846999999999998</v>
      </c>
      <c r="Y70" s="146">
        <v>0.2477</v>
      </c>
      <c r="Z70" s="146">
        <v>0.24334</v>
      </c>
      <c r="AA70" s="146"/>
      <c r="AB70" s="146"/>
      <c r="AC70" s="146"/>
      <c r="AD70" s="146"/>
      <c r="AE70" s="146"/>
      <c r="AF70" s="146"/>
      <c r="AG70" s="146"/>
      <c r="AH70" s="146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145">
        <v>4.8500743907755342E-2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3" t="s">
        <v>31</v>
      </c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P71" s="45">
        <v>0.6</v>
      </c>
      <c r="Q71" s="146">
        <v>0.35871999999999998</v>
      </c>
      <c r="R71" s="146">
        <v>0.30496000000000001</v>
      </c>
      <c r="S71" s="146">
        <v>0.29508000000000001</v>
      </c>
      <c r="T71" s="146">
        <v>0.26927000000000001</v>
      </c>
      <c r="U71" s="146">
        <v>0.25139</v>
      </c>
      <c r="V71" s="146">
        <v>0.23854</v>
      </c>
      <c r="W71" s="146">
        <v>0.23055</v>
      </c>
      <c r="X71" s="146">
        <v>0.22373000000000001</v>
      </c>
      <c r="Y71" s="146">
        <v>0.21529999999999999</v>
      </c>
      <c r="Z71" s="146">
        <v>0.21249999999999999</v>
      </c>
      <c r="AA71" s="146"/>
      <c r="AB71" s="146"/>
      <c r="AC71" s="146"/>
      <c r="AD71" s="146"/>
      <c r="AE71" s="146"/>
      <c r="AF71" s="146"/>
      <c r="AG71" s="146"/>
      <c r="AH71" s="146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"/>
      <c r="N72" s="1"/>
      <c r="O72" s="1"/>
      <c r="P72" s="45">
        <v>0.7</v>
      </c>
      <c r="Q72" s="146">
        <v>0.29748999999999998</v>
      </c>
      <c r="R72" s="146">
        <v>0.25945000000000001</v>
      </c>
      <c r="S72" s="146">
        <v>0.24746000000000001</v>
      </c>
      <c r="T72" s="146">
        <v>0.23002</v>
      </c>
      <c r="U72" s="146">
        <v>0.21759000000000001</v>
      </c>
      <c r="V72" s="146">
        <v>0.20727000000000001</v>
      </c>
      <c r="W72" s="146">
        <v>0.20204</v>
      </c>
      <c r="X72" s="146">
        <v>0.19833000000000001</v>
      </c>
      <c r="Y72" s="146">
        <v>0.19361999999999999</v>
      </c>
      <c r="Z72" s="146">
        <v>0.19223999999999999</v>
      </c>
      <c r="AA72" s="146"/>
      <c r="AB72" s="146"/>
      <c r="AC72" s="146"/>
      <c r="AD72" s="146"/>
      <c r="AE72" s="146"/>
      <c r="AF72" s="146"/>
      <c r="AG72" s="146"/>
      <c r="AH72" s="146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1" t="s">
        <v>32</v>
      </c>
      <c r="B73" s="141"/>
      <c r="C73" s="141" t="s">
        <v>33</v>
      </c>
      <c r="D73" s="141"/>
      <c r="E73" s="141" t="s">
        <v>34</v>
      </c>
      <c r="F73" s="141"/>
      <c r="G73" s="141" t="s">
        <v>35</v>
      </c>
      <c r="H73" s="141"/>
      <c r="I73" s="141" t="s">
        <v>65</v>
      </c>
      <c r="J73" s="141"/>
      <c r="K73" s="141" t="s">
        <v>67</v>
      </c>
      <c r="L73" s="141"/>
      <c r="M73" s="1"/>
      <c r="N73" s="1"/>
      <c r="O73" s="1"/>
      <c r="P73" s="45">
        <v>0.8</v>
      </c>
      <c r="Q73" s="146">
        <v>0.24129999999999999</v>
      </c>
      <c r="R73" s="146">
        <v>0.21798999999999999</v>
      </c>
      <c r="S73" s="146">
        <v>0.20821999999999999</v>
      </c>
      <c r="T73" s="146">
        <v>0.19789999999999999</v>
      </c>
      <c r="U73" s="146">
        <v>0.19069</v>
      </c>
      <c r="V73" s="146">
        <v>0.18398</v>
      </c>
      <c r="W73" s="146">
        <v>0.18196000000000001</v>
      </c>
      <c r="X73" s="146">
        <v>0.18073</v>
      </c>
      <c r="Y73" s="146">
        <v>0.17827999999999999</v>
      </c>
      <c r="Z73" s="146">
        <v>0.17832000000000001</v>
      </c>
      <c r="AA73" s="146"/>
      <c r="AB73" s="146"/>
      <c r="AC73" s="146"/>
      <c r="AD73" s="146"/>
      <c r="AE73" s="146"/>
      <c r="AF73" s="146"/>
      <c r="AG73" s="146"/>
      <c r="AH73" s="146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0.18957719834524159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146">
        <v>0.18583</v>
      </c>
      <c r="R74" s="146">
        <v>0.17757999999999999</v>
      </c>
      <c r="S74" s="146">
        <v>0.17082</v>
      </c>
      <c r="T74" s="146">
        <v>0.16969000000000001</v>
      </c>
      <c r="U74" s="146">
        <v>0.16891</v>
      </c>
      <c r="V74" s="146">
        <v>0.16619</v>
      </c>
      <c r="W74" s="146">
        <v>0.16711999999999999</v>
      </c>
      <c r="X74" s="146">
        <v>0.16803000000000001</v>
      </c>
      <c r="Y74" s="146">
        <v>0.16741</v>
      </c>
      <c r="Z74" s="146">
        <v>0.16885</v>
      </c>
      <c r="AA74" s="146"/>
      <c r="AB74" s="146"/>
      <c r="AC74" s="146"/>
      <c r="AD74" s="146"/>
      <c r="AE74" s="146"/>
      <c r="AF74" s="146"/>
      <c r="AG74" s="146"/>
      <c r="AH74" s="146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0.17785810820167669</v>
      </c>
      <c r="AR74" s="90">
        <v>0.17038550555635271</v>
      </c>
      <c r="AS74" s="90">
        <v>0.1684777389272179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0.1669686094447134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146">
        <v>0.13402</v>
      </c>
      <c r="R75" s="146">
        <v>0.14104</v>
      </c>
      <c r="S75" s="146">
        <v>0.14266999999999999</v>
      </c>
      <c r="T75" s="146">
        <v>0.14749000000000001</v>
      </c>
      <c r="U75" s="146">
        <v>0.15106</v>
      </c>
      <c r="V75" s="146">
        <v>0.15182000000000001</v>
      </c>
      <c r="W75" s="146">
        <v>0.15537000000000001</v>
      </c>
      <c r="X75" s="146">
        <v>0.15823000000000001</v>
      </c>
      <c r="Y75" s="146">
        <v>0.15916</v>
      </c>
      <c r="Z75" s="146">
        <v>0.16161</v>
      </c>
      <c r="AA75" s="146"/>
      <c r="AB75" s="146"/>
      <c r="AC75" s="146"/>
      <c r="AD75" s="146"/>
      <c r="AE75" s="146"/>
      <c r="AF75" s="146"/>
      <c r="AG75" s="146"/>
      <c r="AH75" s="146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0.14844350799381634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0.15910518981517335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146">
        <v>0.10327</v>
      </c>
      <c r="R76" s="146">
        <v>0.11413</v>
      </c>
      <c r="S76" s="146">
        <v>0.12809999999999999</v>
      </c>
      <c r="T76" s="146">
        <v>0.13346</v>
      </c>
      <c r="U76" s="146">
        <v>0.13786000000000001</v>
      </c>
      <c r="V76" s="146">
        <v>0.14172999999999999</v>
      </c>
      <c r="W76" s="146">
        <v>0.14682000000000001</v>
      </c>
      <c r="X76" s="146">
        <v>0.15109</v>
      </c>
      <c r="Y76" s="146">
        <v>0.15386</v>
      </c>
      <c r="Z76" s="146">
        <v>0.15673000000000001</v>
      </c>
      <c r="AA76" s="146"/>
      <c r="AB76" s="146"/>
      <c r="AC76" s="146"/>
      <c r="AD76" s="146"/>
      <c r="AE76" s="146"/>
      <c r="AF76" s="146"/>
      <c r="AG76" s="146"/>
      <c r="AH76" s="146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146">
        <v>0.10983999999999999</v>
      </c>
      <c r="R77" s="146">
        <v>0.10829999999999999</v>
      </c>
      <c r="S77" s="146">
        <v>0.12136</v>
      </c>
      <c r="T77" s="146">
        <v>0.12608</v>
      </c>
      <c r="U77" s="146">
        <v>0.13128000000000001</v>
      </c>
      <c r="V77" s="146">
        <v>0.13700000000000001</v>
      </c>
      <c r="W77" s="146">
        <v>0.14288000000000001</v>
      </c>
      <c r="X77" s="146">
        <v>0.14802000000000001</v>
      </c>
      <c r="Y77" s="146">
        <v>0.15206</v>
      </c>
      <c r="Z77" s="146">
        <v>0.15514</v>
      </c>
      <c r="AA77" s="146"/>
      <c r="AB77" s="146"/>
      <c r="AC77" s="146"/>
      <c r="AD77" s="146"/>
      <c r="AE77" s="146"/>
      <c r="AF77" s="146"/>
      <c r="AG77" s="146"/>
      <c r="AH77" s="146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146">
        <v>0.11482000000000001</v>
      </c>
      <c r="R78" s="146">
        <v>0.1139</v>
      </c>
      <c r="S78" s="146">
        <v>0.11792999999999999</v>
      </c>
      <c r="T78" s="146">
        <v>0.12475</v>
      </c>
      <c r="U78" s="146">
        <v>0.13103000000000001</v>
      </c>
      <c r="V78" s="146">
        <v>0.13549</v>
      </c>
      <c r="W78" s="146">
        <v>0.14180000000000001</v>
      </c>
      <c r="X78" s="146">
        <v>0.14774999999999999</v>
      </c>
      <c r="Y78" s="146">
        <v>0.15260000000000001</v>
      </c>
      <c r="Z78" s="146">
        <v>0.15597</v>
      </c>
      <c r="AA78" s="146"/>
      <c r="AB78" s="146"/>
      <c r="AC78" s="146"/>
      <c r="AD78" s="146"/>
      <c r="AE78" s="146"/>
      <c r="AF78" s="146"/>
      <c r="AG78" s="146"/>
      <c r="AH78" s="146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  <c r="AH88" s="146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98" t="s">
        <v>87</v>
      </c>
      <c r="BY96" s="98"/>
      <c r="BZ96" s="98"/>
      <c r="CA96" s="98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2" t="s">
        <v>68</v>
      </c>
      <c r="Q97" s="103"/>
      <c r="R97" s="38">
        <v>1</v>
      </c>
      <c r="BX97" s="99"/>
      <c r="BY97" s="99"/>
      <c r="BZ97" s="99"/>
      <c r="CA97" s="99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5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5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5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6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6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6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146">
        <v>0.25</v>
      </c>
      <c r="R100" s="146">
        <v>0.24</v>
      </c>
      <c r="S100" s="146">
        <v>0.245</v>
      </c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146">
        <v>0.22</v>
      </c>
      <c r="R101" s="146">
        <v>0.2</v>
      </c>
      <c r="S101" s="146">
        <v>0.19</v>
      </c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146">
        <v>0.2</v>
      </c>
      <c r="R102" s="146">
        <v>0.19</v>
      </c>
      <c r="S102" s="146">
        <v>0.19500000000000001</v>
      </c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146">
        <v>0.2</v>
      </c>
      <c r="R103" s="146">
        <v>0.18</v>
      </c>
      <c r="S103" s="146">
        <v>0.19500000000000001</v>
      </c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3" t="s">
        <v>38</v>
      </c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P117" s="45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3"/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P118" s="45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1" t="s">
        <v>8</v>
      </c>
      <c r="B119" s="141"/>
      <c r="C119" s="141" t="s">
        <v>26</v>
      </c>
      <c r="D119" s="141"/>
      <c r="E119" s="141" t="s">
        <v>27</v>
      </c>
      <c r="F119" s="141"/>
      <c r="G119" s="141" t="s">
        <v>48</v>
      </c>
      <c r="H119" s="141"/>
      <c r="I119" s="141" t="s">
        <v>49</v>
      </c>
      <c r="J119" s="141"/>
      <c r="P119" s="45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8" t="s">
        <v>87</v>
      </c>
      <c r="BY126" s="98"/>
      <c r="BZ126" s="98"/>
      <c r="CA126" s="98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2" t="s">
        <v>68</v>
      </c>
      <c r="Q127" s="103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99"/>
      <c r="BY127" s="99"/>
      <c r="BZ127" s="99"/>
      <c r="CA127" s="99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5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5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5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6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6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6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146">
        <v>0.2</v>
      </c>
      <c r="R130" s="146">
        <v>0.2</v>
      </c>
      <c r="S130" s="146">
        <v>0.2</v>
      </c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146">
        <v>0.2</v>
      </c>
      <c r="R131" s="146">
        <v>0.2</v>
      </c>
      <c r="S131" s="146">
        <v>0.2</v>
      </c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146">
        <v>0.2</v>
      </c>
      <c r="R132" s="146">
        <v>0.2</v>
      </c>
      <c r="S132" s="146">
        <v>0.2</v>
      </c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8" t="s">
        <v>87</v>
      </c>
      <c r="BY156" s="98"/>
      <c r="BZ156" s="98"/>
      <c r="CA156" s="98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2" t="s">
        <v>68</v>
      </c>
      <c r="Q157" s="103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99"/>
      <c r="BY157" s="99"/>
      <c r="BZ157" s="99"/>
      <c r="CA157" s="99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5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5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5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6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6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6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3" t="s">
        <v>40</v>
      </c>
      <c r="B165" s="143"/>
      <c r="C165" s="143"/>
      <c r="D165" s="143"/>
      <c r="E165" s="143"/>
      <c r="F165" s="143"/>
      <c r="G165" s="143"/>
      <c r="H165" s="143"/>
      <c r="P165" s="45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3"/>
      <c r="B166" s="143"/>
      <c r="C166" s="143"/>
      <c r="D166" s="143"/>
      <c r="E166" s="143"/>
      <c r="F166" s="143"/>
      <c r="G166" s="143"/>
      <c r="H166" s="143"/>
      <c r="P166" s="45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4"/>
      <c r="B170" s="144"/>
      <c r="P170" s="45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  <c r="AH170" s="146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1" t="s">
        <v>8</v>
      </c>
      <c r="B171" s="141"/>
      <c r="C171" s="141" t="s">
        <v>26</v>
      </c>
      <c r="D171" s="141"/>
      <c r="E171" s="141" t="s">
        <v>27</v>
      </c>
      <c r="F171" s="141"/>
      <c r="G171" s="141" t="s">
        <v>48</v>
      </c>
      <c r="H171" s="141"/>
      <c r="I171" s="141" t="s">
        <v>49</v>
      </c>
      <c r="J171" s="141"/>
      <c r="P171" s="45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  <c r="AH172" s="146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  <c r="AH173" s="146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  <c r="AH174" s="146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  <c r="AH175" s="146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  <c r="AH176" s="146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  <c r="AH177" s="146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  <c r="AH178" s="146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  <c r="AH179" s="146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  <c r="AH180" s="146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  <c r="AH181" s="146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  <c r="AH182" s="146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  <c r="AH183" s="146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8" t="s">
        <v>87</v>
      </c>
      <c r="BY186" s="98"/>
      <c r="BZ186" s="98"/>
      <c r="CA186" s="98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2" t="s">
        <v>68</v>
      </c>
      <c r="Q187" s="103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99"/>
      <c r="BY187" s="99"/>
      <c r="BZ187" s="99"/>
      <c r="CA187" s="99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5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5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5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6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6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6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  <c r="AH190" s="146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  <c r="AH193" s="146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  <c r="AH194" s="146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  <c r="AH196" s="146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  <c r="AH197" s="146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  <c r="AH198" s="146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  <c r="AH199" s="146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  <c r="AH200" s="146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  <c r="AH201" s="146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  <c r="AH202" s="146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  <c r="AH203" s="146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  <c r="AH204" s="146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  <c r="AH205" s="146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  <c r="AH208" s="146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  <c r="AH210" s="146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  <c r="AH211" s="146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  <c r="AH212" s="146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  <c r="AH213" s="146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2023-03-03T07:30:06Z</dcterms:modified>
</cp:coreProperties>
</file>