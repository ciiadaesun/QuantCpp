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C11" i="1"/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<sst xmlns="http://schemas.openxmlformats.org/spreadsheetml/2006/main" count="39" uniqueCount="37">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</sst>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topLeftCell="A4" workbookViewId="0">
      <selection activeCell="M18" sqref="M18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38" t="s">
        <v>28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55" s="1" customFormat="1" x14ac:dyDescent="0.4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39" t="s">
        <v>0</v>
      </c>
      <c r="B5" s="39"/>
      <c r="C5" s="41">
        <v>0</v>
      </c>
      <c r="D5" s="41"/>
      <c r="E5" s="11" t="str">
        <f>IF(C5=0,"매수","매도")</f>
        <v>매수</v>
      </c>
      <c r="F5" s="39" t="s">
        <v>6</v>
      </c>
      <c r="G5" s="39"/>
      <c r="H5" s="42">
        <v>1316</v>
      </c>
      <c r="I5" s="42"/>
      <c r="J5" s="1"/>
      <c r="K5" s="39" t="s">
        <v>18</v>
      </c>
      <c r="L5" s="39"/>
      <c r="M5" s="41">
        <v>0</v>
      </c>
      <c r="N5" s="41"/>
      <c r="O5" s="1"/>
      <c r="P5" s="1"/>
      <c r="Q5" s="54" t="s">
        <v>29</v>
      </c>
      <c r="R5" s="54"/>
      <c r="S5" s="53"/>
      <c r="T5" s="53"/>
      <c r="U5" s="53"/>
      <c r="V5" s="53"/>
    </row>
    <row r="6" spans="1:55" x14ac:dyDescent="0.4">
      <c r="A6" s="39" t="s">
        <v>2</v>
      </c>
      <c r="B6" s="39"/>
      <c r="C6" s="41">
        <v>1</v>
      </c>
      <c r="D6" s="41"/>
      <c r="E6" s="11" t="str">
        <f>IF(C6=0,"콜","풋")</f>
        <v>풋</v>
      </c>
      <c r="F6" s="39" t="s">
        <v>7</v>
      </c>
      <c r="G6" s="39"/>
      <c r="H6" s="42">
        <v>1310</v>
      </c>
      <c r="I6" s="42"/>
      <c r="J6" s="1"/>
      <c r="K6" s="39" t="s">
        <v>36</v>
      </c>
      <c r="L6" s="39"/>
      <c r="M6" s="41">
        <v>0</v>
      </c>
      <c r="N6" s="41"/>
      <c r="O6" s="1"/>
      <c r="P6" s="1"/>
      <c r="Q6" s="1"/>
      <c r="R6" s="1"/>
      <c r="S6" s="53"/>
      <c r="T6" s="53"/>
      <c r="U6" s="53"/>
      <c r="V6" s="53"/>
    </row>
    <row r="7" spans="1:55" x14ac:dyDescent="0.4">
      <c r="A7" s="39" t="s">
        <v>1</v>
      </c>
      <c r="B7" s="39"/>
      <c r="C7" s="41">
        <v>3</v>
      </c>
      <c r="D7" s="41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아메리칸</v>
      </c>
      <c r="F7" s="39" t="str">
        <f>IF(C7=2,"평균가격",IF(C7 &gt;= 5, "배리어수준",""))</f>
        <v/>
      </c>
      <c r="G7" s="39"/>
      <c r="H7" s="42">
        <v>1314</v>
      </c>
      <c r="I7" s="42"/>
      <c r="J7" s="11" t="str">
        <f>IF(F7="","입력필요X","")</f>
        <v>입력필요X</v>
      </c>
      <c r="K7" s="1"/>
      <c r="L7" s="1"/>
      <c r="M7" s="49" t="s">
        <v>20</v>
      </c>
      <c r="N7" s="49"/>
      <c r="O7" s="50">
        <v>18.303239584552959</v>
      </c>
      <c r="P7" s="50"/>
      <c r="Q7" s="1"/>
      <c r="R7" s="1"/>
      <c r="S7" s="1"/>
    </row>
    <row r="8" spans="1:55" x14ac:dyDescent="0.4">
      <c r="A8" s="39" t="s">
        <v>5</v>
      </c>
      <c r="B8" s="39"/>
      <c r="C8" s="40">
        <v>45168</v>
      </c>
      <c r="D8" s="41"/>
      <c r="E8" s="4">
        <f>(C10-C8)/365</f>
        <v>0.16712328767123288</v>
      </c>
      <c r="F8" s="1">
        <v>0.167123287671233</v>
      </c>
      <c r="G8" s="1"/>
      <c r="H8" s="1"/>
      <c r="I8" s="1"/>
      <c r="K8" s="1"/>
      <c r="L8" s="1"/>
      <c r="M8" s="51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39" t="str">
        <f>IF(C7=2,"평균시작일",IF(OR(C7 = 3, C7 = 4), "행사시작일", ""))</f>
        <v>행사시작일</v>
      </c>
      <c r="B9" s="39"/>
      <c r="C9" s="40">
        <v>45066</v>
      </c>
      <c r="D9" s="41"/>
      <c r="E9" s="11" t="str">
        <f>IF(A9="","입력필요X","")</f>
        <v/>
      </c>
      <c r="F9" s="43" t="s">
        <v>14</v>
      </c>
      <c r="G9" s="43"/>
      <c r="H9" s="43"/>
      <c r="I9" s="43"/>
      <c r="K9" s="1"/>
      <c r="L9" s="1"/>
      <c r="M9" s="52"/>
      <c r="N9" s="14">
        <v>-0.47118921955409132</v>
      </c>
      <c r="O9" s="15">
        <v>8.1098319082496505E-3</v>
      </c>
      <c r="P9" s="15">
        <v>0</v>
      </c>
      <c r="Q9" s="15">
        <v>0</v>
      </c>
      <c r="R9" s="15">
        <v>0</v>
      </c>
      <c r="S9" s="1"/>
    </row>
    <row r="10" spans="1:55" x14ac:dyDescent="0.4">
      <c r="A10" s="39" t="s">
        <v>4</v>
      </c>
      <c r="B10" s="39"/>
      <c r="C10" s="40">
        <v>45229</v>
      </c>
      <c r="D10" s="41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39" t="s">
        <v>3</v>
      </c>
      <c r="B11" s="39"/>
      <c r="C11" s="40">
        <f>C10</f>
        <v>45229</v>
      </c>
      <c r="D11" s="41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55" t="str">
        <f>IF(G10=2,"배당액입력(금액입력)","Dividend(%입력)")</f>
        <v>Dividend(%입력)</v>
      </c>
      <c r="G12" s="55"/>
      <c r="H12" s="56" t="s">
        <v>17</v>
      </c>
      <c r="I12" s="56"/>
      <c r="J12" s="24"/>
      <c r="K12" s="43" t="s">
        <v>11</v>
      </c>
      <c r="L12" s="43"/>
      <c r="M12" s="43"/>
      <c r="N12" s="43"/>
      <c r="AY12" s="36" t="s">
        <v>30</v>
      </c>
      <c r="AZ12" s="36"/>
      <c r="BA12" s="36"/>
      <c r="BB12" s="36"/>
      <c r="BC12" s="31"/>
    </row>
    <row r="13" spans="1:55" s="1" customFormat="1" ht="15.6" customHeight="1" x14ac:dyDescent="0.4">
      <c r="A13" s="43" t="s">
        <v>10</v>
      </c>
      <c r="B13" s="43"/>
      <c r="C13" s="43"/>
      <c r="D13" s="43"/>
      <c r="E13" s="24"/>
      <c r="F13" s="55"/>
      <c r="G13" s="55"/>
      <c r="H13" s="56"/>
      <c r="I13" s="56"/>
      <c r="J13" s="24"/>
      <c r="K13" s="46" t="s">
        <v>27</v>
      </c>
      <c r="L13" s="47"/>
      <c r="M13" s="47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8" t="s">
        <v>19</v>
      </c>
      <c r="AF13" s="48"/>
      <c r="AG13" s="48"/>
      <c r="AH13" s="4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37"/>
      <c r="AZ13" s="37"/>
      <c r="BA13" s="37"/>
      <c r="BB13" s="37"/>
      <c r="BC13" s="31"/>
    </row>
    <row r="14" spans="1:55" ht="17.399999999999999" customHeight="1" x14ac:dyDescent="0.35">
      <c r="A14" s="55" t="s">
        <v>8</v>
      </c>
      <c r="B14" s="55"/>
      <c r="C14" s="56" t="s">
        <v>9</v>
      </c>
      <c r="D14" s="56"/>
      <c r="F14" s="16">
        <v>2.7777777000000002E-3</v>
      </c>
      <c r="G14" s="17">
        <v>5.2999999999999999E-2</v>
      </c>
      <c r="H14" s="16">
        <v>0.5</v>
      </c>
      <c r="I14" s="17"/>
      <c r="K14" s="4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55"/>
      <c r="B15" s="55"/>
      <c r="C15" s="56"/>
      <c r="D15" s="56"/>
      <c r="F15" s="16"/>
      <c r="G15" s="17"/>
      <c r="H15" s="16"/>
      <c r="I15" s="17"/>
      <c r="K15" s="4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3.5000000000000003E-2</v>
      </c>
      <c r="C16" s="16">
        <v>2.7777777000000002E-3</v>
      </c>
      <c r="D16" s="17">
        <v>3.5000000000000003E-2</v>
      </c>
      <c r="F16" s="16"/>
      <c r="G16" s="17"/>
      <c r="H16" s="16"/>
      <c r="I16" s="17"/>
      <c r="K16" s="21">
        <v>0.5</v>
      </c>
      <c r="L16" s="22">
        <v>9.0999999999999998E-2</v>
      </c>
      <c r="M16" s="22">
        <v>9.0999999999999998E-2</v>
      </c>
      <c r="N16" s="22">
        <v>9.0999999999999998E-2</v>
      </c>
      <c r="O16" s="22">
        <v>9.0999999999999998E-2</v>
      </c>
      <c r="P16" s="22">
        <v>9.0999999999999998E-2</v>
      </c>
      <c r="Q16" s="22">
        <v>9.0999999999999998E-2</v>
      </c>
      <c r="R16" s="22">
        <v>9.0999999999999998E-2</v>
      </c>
      <c r="S16" s="22">
        <v>9.0999999999999998E-2</v>
      </c>
      <c r="T16" s="22">
        <v>9.0999999999999998E-2</v>
      </c>
      <c r="U16" s="22">
        <v>9.0999999999999998E-2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9.0999999999999998E-2</v>
      </c>
      <c r="AG16" s="22">
        <v>9.0999999999999998E-2</v>
      </c>
      <c r="AH16" s="22">
        <v>9.0999999999999998E-2</v>
      </c>
      <c r="AI16" s="22">
        <v>9.0999999999999998E-2</v>
      </c>
      <c r="AJ16" s="22">
        <v>9.0999999999999998E-2</v>
      </c>
      <c r="AK16" s="22">
        <v>9.0999999999999998E-2</v>
      </c>
      <c r="AL16" s="22">
        <v>9.0999999999999998E-2</v>
      </c>
      <c r="AM16" s="22">
        <v>9.0999999999999998E-2</v>
      </c>
      <c r="AN16" s="22">
        <v>9.0999999999999998E-2</v>
      </c>
      <c r="AO16" s="22">
        <v>9.0999999999999998E-2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/>
      <c r="B17" s="17"/>
      <c r="C17" s="16"/>
      <c r="D17" s="17"/>
      <c r="F17" s="16"/>
      <c r="G17" s="19"/>
      <c r="H17" s="16"/>
      <c r="I17" s="17"/>
      <c r="K17" s="21">
        <v>0.6</v>
      </c>
      <c r="L17" s="22">
        <v>9.0999999999999998E-2</v>
      </c>
      <c r="M17" s="22">
        <v>9.0999999999999998E-2</v>
      </c>
      <c r="N17" s="22">
        <v>9.0999999999999998E-2</v>
      </c>
      <c r="O17" s="22">
        <v>9.0999999999999998E-2</v>
      </c>
      <c r="P17" s="22">
        <v>9.0999999999999998E-2</v>
      </c>
      <c r="Q17" s="22">
        <v>9.0999999999999998E-2</v>
      </c>
      <c r="R17" s="22">
        <v>9.0999999999999998E-2</v>
      </c>
      <c r="S17" s="22">
        <v>9.0999999999999998E-2</v>
      </c>
      <c r="T17" s="22">
        <v>9.0999999999999998E-2</v>
      </c>
      <c r="U17" s="22">
        <v>9.0999999999999998E-2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9.0999999999999998E-2</v>
      </c>
      <c r="AG17" s="22">
        <v>9.0999999999999998E-2</v>
      </c>
      <c r="AH17" s="22">
        <v>9.0999999999999998E-2</v>
      </c>
      <c r="AI17" s="22">
        <v>9.0999999999999998E-2</v>
      </c>
      <c r="AJ17" s="22">
        <v>9.0999999999999998E-2</v>
      </c>
      <c r="AK17" s="22">
        <v>9.0999999999999998E-2</v>
      </c>
      <c r="AL17" s="22">
        <v>9.0999999999999998E-2</v>
      </c>
      <c r="AM17" s="22">
        <v>9.0999999999999998E-2</v>
      </c>
      <c r="AN17" s="22">
        <v>9.0999999999999998E-2</v>
      </c>
      <c r="AO17" s="22">
        <v>9.0999999999999998E-2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/>
      <c r="B18" s="17"/>
      <c r="C18" s="16"/>
      <c r="D18" s="17"/>
      <c r="F18" s="16"/>
      <c r="G18" s="19"/>
      <c r="H18" s="16"/>
      <c r="I18" s="17"/>
      <c r="K18" s="21">
        <v>0.7</v>
      </c>
      <c r="L18" s="22">
        <v>9.0999999999999998E-2</v>
      </c>
      <c r="M18" s="22">
        <v>9.0999999999999998E-2</v>
      </c>
      <c r="N18" s="22">
        <v>9.0999999999999998E-2</v>
      </c>
      <c r="O18" s="22">
        <v>9.0999999999999998E-2</v>
      </c>
      <c r="P18" s="22">
        <v>9.0999999999999998E-2</v>
      </c>
      <c r="Q18" s="22">
        <v>9.0999999999999998E-2</v>
      </c>
      <c r="R18" s="22">
        <v>9.0999999999999998E-2</v>
      </c>
      <c r="S18" s="22">
        <v>9.0999999999999998E-2</v>
      </c>
      <c r="T18" s="22">
        <v>9.0999999999999998E-2</v>
      </c>
      <c r="U18" s="22">
        <v>9.0999999999999998E-2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9.0999999999999998E-2</v>
      </c>
      <c r="AG18" s="22">
        <v>9.0999999999999998E-2</v>
      </c>
      <c r="AH18" s="22">
        <v>9.0999999999999998E-2</v>
      </c>
      <c r="AI18" s="22">
        <v>9.0999999999999998E-2</v>
      </c>
      <c r="AJ18" s="22">
        <v>9.0999999999999998E-2</v>
      </c>
      <c r="AK18" s="22">
        <v>9.0999999999999998E-2</v>
      </c>
      <c r="AL18" s="22">
        <v>9.0999999999999998E-2</v>
      </c>
      <c r="AM18" s="22">
        <v>9.0999999999999998E-2</v>
      </c>
      <c r="AN18" s="22">
        <v>9.0999999999999998E-2</v>
      </c>
      <c r="AO18" s="22">
        <v>9.0999999999999998E-2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/>
      <c r="B19" s="17"/>
      <c r="C19" s="16"/>
      <c r="D19" s="17"/>
      <c r="F19" s="16"/>
      <c r="G19" s="19"/>
      <c r="H19" s="16"/>
      <c r="I19" s="17"/>
      <c r="K19" s="21">
        <v>0.8</v>
      </c>
      <c r="L19" s="22">
        <v>9.0999999999999998E-2</v>
      </c>
      <c r="M19" s="22">
        <v>9.0999999999999998E-2</v>
      </c>
      <c r="N19" s="22">
        <v>9.0999999999999998E-2</v>
      </c>
      <c r="O19" s="22">
        <v>9.0999999999999998E-2</v>
      </c>
      <c r="P19" s="22">
        <v>9.0999999999999998E-2</v>
      </c>
      <c r="Q19" s="22">
        <v>9.0999999999999998E-2</v>
      </c>
      <c r="R19" s="22">
        <v>9.0999999999999998E-2</v>
      </c>
      <c r="S19" s="22">
        <v>9.0999999999999998E-2</v>
      </c>
      <c r="T19" s="22">
        <v>9.0999999999999998E-2</v>
      </c>
      <c r="U19" s="22">
        <v>9.0999999999999998E-2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9.0999999999999998E-2</v>
      </c>
      <c r="AG19" s="22">
        <v>9.0999999999999998E-2</v>
      </c>
      <c r="AH19" s="22">
        <v>9.0999999999999998E-2</v>
      </c>
      <c r="AI19" s="22">
        <v>9.0999999999999998E-2</v>
      </c>
      <c r="AJ19" s="22">
        <v>9.0999999999999998E-2</v>
      </c>
      <c r="AK19" s="22">
        <v>9.0999999999999998E-2</v>
      </c>
      <c r="AL19" s="22">
        <v>9.0999999999999998E-2</v>
      </c>
      <c r="AM19" s="22">
        <v>9.0999999999999998E-2</v>
      </c>
      <c r="AN19" s="22">
        <v>9.0999999999999998E-2</v>
      </c>
      <c r="AO19" s="22">
        <v>9.0999999999999998E-2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/>
      <c r="B20" s="17"/>
      <c r="C20" s="16"/>
      <c r="D20" s="17"/>
      <c r="F20" s="16"/>
      <c r="G20" s="19"/>
      <c r="H20" s="16"/>
      <c r="I20" s="17"/>
      <c r="K20" s="21">
        <v>0.9</v>
      </c>
      <c r="L20" s="22">
        <v>9.0999999999999998E-2</v>
      </c>
      <c r="M20" s="22">
        <v>9.0999999999999998E-2</v>
      </c>
      <c r="N20" s="22">
        <v>9.0999999999999998E-2</v>
      </c>
      <c r="O20" s="22">
        <v>9.0999999999999998E-2</v>
      </c>
      <c r="P20" s="22">
        <v>9.0999999999999998E-2</v>
      </c>
      <c r="Q20" s="22">
        <v>9.0999999999999998E-2</v>
      </c>
      <c r="R20" s="22">
        <v>9.0999999999999998E-2</v>
      </c>
      <c r="S20" s="22">
        <v>9.0999999999999998E-2</v>
      </c>
      <c r="T20" s="22">
        <v>9.0999999999999998E-2</v>
      </c>
      <c r="U20" s="22">
        <v>9.0999999999999998E-2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9.0999999999999998E-2</v>
      </c>
      <c r="AG20" s="22">
        <v>9.0999999999999998E-2</v>
      </c>
      <c r="AH20" s="22">
        <v>9.0999999999999998E-2</v>
      </c>
      <c r="AI20" s="22">
        <v>9.0999999999999998E-2</v>
      </c>
      <c r="AJ20" s="22">
        <v>9.0999999999999998E-2</v>
      </c>
      <c r="AK20" s="22">
        <v>9.0999999999999998E-2</v>
      </c>
      <c r="AL20" s="22">
        <v>9.0999999999999998E-2</v>
      </c>
      <c r="AM20" s="22">
        <v>9.0999999999999998E-2</v>
      </c>
      <c r="AN20" s="22">
        <v>9.0999999999999998E-2</v>
      </c>
      <c r="AO20" s="22">
        <v>9.0999999999999998E-2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/>
      <c r="B21" s="17"/>
      <c r="C21" s="16"/>
      <c r="D21" s="17"/>
      <c r="F21" s="16"/>
      <c r="G21" s="19"/>
      <c r="H21" s="16"/>
      <c r="I21" s="17"/>
      <c r="K21" s="21">
        <v>1</v>
      </c>
      <c r="L21" s="22">
        <v>9.0999999999999998E-2</v>
      </c>
      <c r="M21" s="22">
        <v>9.0999999999999998E-2</v>
      </c>
      <c r="N21" s="22">
        <v>9.0999999999999998E-2</v>
      </c>
      <c r="O21" s="22">
        <v>9.0999999999999998E-2</v>
      </c>
      <c r="P21" s="22">
        <v>9.0999999999999998E-2</v>
      </c>
      <c r="Q21" s="22">
        <v>9.0999999999999998E-2</v>
      </c>
      <c r="R21" s="22">
        <v>9.0999999999999998E-2</v>
      </c>
      <c r="S21" s="22">
        <v>9.0999999999999998E-2</v>
      </c>
      <c r="T21" s="22">
        <v>9.0999999999999998E-2</v>
      </c>
      <c r="U21" s="22">
        <v>9.0999999999999998E-2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9.0999999999999998E-2</v>
      </c>
      <c r="AG21" s="22">
        <v>9.0999999999999998E-2</v>
      </c>
      <c r="AH21" s="22">
        <v>9.0999999999999998E-2</v>
      </c>
      <c r="AI21" s="22">
        <v>9.0999999999999998E-2</v>
      </c>
      <c r="AJ21" s="22">
        <v>9.0999999999999998E-2</v>
      </c>
      <c r="AK21" s="22">
        <v>9.0999999999999998E-2</v>
      </c>
      <c r="AL21" s="22">
        <v>9.0999999999999998E-2</v>
      </c>
      <c r="AM21" s="22">
        <v>9.0999999999999998E-2</v>
      </c>
      <c r="AN21" s="22">
        <v>9.0999999999999998E-2</v>
      </c>
      <c r="AO21" s="22">
        <v>9.0999999999999998E-2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/>
      <c r="B22" s="17"/>
      <c r="C22" s="16"/>
      <c r="D22" s="17"/>
      <c r="F22" s="16"/>
      <c r="G22" s="19"/>
      <c r="H22" s="16"/>
      <c r="I22" s="17"/>
      <c r="K22" s="21">
        <v>1.1000000000000001</v>
      </c>
      <c r="L22" s="22">
        <v>9.0999999999999998E-2</v>
      </c>
      <c r="M22" s="22">
        <v>9.0999999999999998E-2</v>
      </c>
      <c r="N22" s="22">
        <v>9.0999999999999998E-2</v>
      </c>
      <c r="O22" s="22">
        <v>9.0999999999999998E-2</v>
      </c>
      <c r="P22" s="22">
        <v>9.0999999999999998E-2</v>
      </c>
      <c r="Q22" s="22">
        <v>9.0999999999999998E-2</v>
      </c>
      <c r="R22" s="22">
        <v>9.0999999999999998E-2</v>
      </c>
      <c r="S22" s="22">
        <v>9.0999999999999998E-2</v>
      </c>
      <c r="T22" s="22">
        <v>9.0999999999999998E-2</v>
      </c>
      <c r="U22" s="22">
        <v>9.0999999999999998E-2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9.0999999999999998E-2</v>
      </c>
      <c r="AG22" s="22">
        <v>9.0999999999999998E-2</v>
      </c>
      <c r="AH22" s="22">
        <v>9.0999999999999998E-2</v>
      </c>
      <c r="AI22" s="22">
        <v>9.0999999999999998E-2</v>
      </c>
      <c r="AJ22" s="22">
        <v>9.0999999999999998E-2</v>
      </c>
      <c r="AK22" s="22">
        <v>9.0999999999999998E-2</v>
      </c>
      <c r="AL22" s="22">
        <v>9.0999999999999998E-2</v>
      </c>
      <c r="AM22" s="22">
        <v>9.0999999999999998E-2</v>
      </c>
      <c r="AN22" s="22">
        <v>9.0999999999999998E-2</v>
      </c>
      <c r="AO22" s="22">
        <v>9.0999999999999998E-2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/>
      <c r="B23" s="17"/>
      <c r="C23" s="16"/>
      <c r="D23" s="17"/>
      <c r="K23" s="21">
        <v>1.2</v>
      </c>
      <c r="L23" s="22">
        <v>9.0999999999999998E-2</v>
      </c>
      <c r="M23" s="22">
        <v>9.0999999999999998E-2</v>
      </c>
      <c r="N23" s="22">
        <v>9.0999999999999998E-2</v>
      </c>
      <c r="O23" s="22">
        <v>9.0999999999999998E-2</v>
      </c>
      <c r="P23" s="22">
        <v>9.0999999999999998E-2</v>
      </c>
      <c r="Q23" s="22">
        <v>9.0999999999999998E-2</v>
      </c>
      <c r="R23" s="22">
        <v>9.0999999999999998E-2</v>
      </c>
      <c r="S23" s="22">
        <v>9.0999999999999998E-2</v>
      </c>
      <c r="T23" s="22">
        <v>9.0999999999999998E-2</v>
      </c>
      <c r="U23" s="22">
        <v>9.0999999999999998E-2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9.0999999999999998E-2</v>
      </c>
      <c r="AG23" s="22">
        <v>9.0999999999999998E-2</v>
      </c>
      <c r="AH23" s="22">
        <v>9.0999999999999998E-2</v>
      </c>
      <c r="AI23" s="22">
        <v>9.0999999999999998E-2</v>
      </c>
      <c r="AJ23" s="22">
        <v>9.0999999999999998E-2</v>
      </c>
      <c r="AK23" s="22">
        <v>9.0999999999999998E-2</v>
      </c>
      <c r="AL23" s="22">
        <v>9.0999999999999998E-2</v>
      </c>
      <c r="AM23" s="22">
        <v>9.0999999999999998E-2</v>
      </c>
      <c r="AN23" s="22">
        <v>9.0999999999999998E-2</v>
      </c>
      <c r="AO23" s="22">
        <v>9.0999999999999998E-2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/>
      <c r="B24" s="17"/>
      <c r="C24" s="16"/>
      <c r="D24" s="17"/>
      <c r="K24" s="21">
        <v>1.3</v>
      </c>
      <c r="L24" s="22">
        <v>9.0999999999999998E-2</v>
      </c>
      <c r="M24" s="22">
        <v>9.0999999999999998E-2</v>
      </c>
      <c r="N24" s="22">
        <v>9.0999999999999998E-2</v>
      </c>
      <c r="O24" s="22">
        <v>9.0999999999999998E-2</v>
      </c>
      <c r="P24" s="22">
        <v>9.0999999999999998E-2</v>
      </c>
      <c r="Q24" s="22">
        <v>9.0999999999999998E-2</v>
      </c>
      <c r="R24" s="22">
        <v>9.0999999999999998E-2</v>
      </c>
      <c r="S24" s="22">
        <v>9.0999999999999998E-2</v>
      </c>
      <c r="T24" s="22">
        <v>9.0999999999999998E-2</v>
      </c>
      <c r="U24" s="22">
        <v>9.0999999999999998E-2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9.0999999999999998E-2</v>
      </c>
      <c r="AG24" s="22">
        <v>9.0999999999999998E-2</v>
      </c>
      <c r="AH24" s="22">
        <v>9.0999999999999998E-2</v>
      </c>
      <c r="AI24" s="22">
        <v>9.0999999999999998E-2</v>
      </c>
      <c r="AJ24" s="22">
        <v>9.0999999999999998E-2</v>
      </c>
      <c r="AK24" s="22">
        <v>9.0999999999999998E-2</v>
      </c>
      <c r="AL24" s="22">
        <v>9.0999999999999998E-2</v>
      </c>
      <c r="AM24" s="22">
        <v>9.0999999999999998E-2</v>
      </c>
      <c r="AN24" s="22">
        <v>9.0999999999999998E-2</v>
      </c>
      <c r="AO24" s="22">
        <v>9.0999999999999998E-2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/>
      <c r="B25" s="17"/>
      <c r="C25" s="16"/>
      <c r="D25" s="17"/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/>
      <c r="B26" s="17"/>
      <c r="C26" s="16"/>
      <c r="D26" s="17"/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2023-12-16T15:50:48Z</dcterms:modified>
</cp:coreProperties>
</file>