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<sst xmlns="http://schemas.openxmlformats.org/spreadsheetml/2006/main" count="39" uniqueCount="37">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</sst>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workbookViewId="0">
      <selection activeCell="E17" sqref="E17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38" t="s">
        <v>28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55" s="1" customFormat="1" x14ac:dyDescent="0.4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39" t="s">
        <v>0</v>
      </c>
      <c r="B5" s="39"/>
      <c r="C5" s="41">
        <v>0</v>
      </c>
      <c r="D5" s="41"/>
      <c r="E5" s="11" t="str">
        <f>IF(C5=0,"매수","매도")</f>
        <v>매수</v>
      </c>
      <c r="F5" s="39" t="s">
        <v>6</v>
      </c>
      <c r="G5" s="39"/>
      <c r="H5" s="42">
        <v>100</v>
      </c>
      <c r="I5" s="42"/>
      <c r="J5" s="1"/>
      <c r="K5" s="39" t="s">
        <v>18</v>
      </c>
      <c r="L5" s="39"/>
      <c r="M5" s="41">
        <v>0</v>
      </c>
      <c r="N5" s="41"/>
      <c r="O5" s="1"/>
      <c r="P5" s="1"/>
      <c r="Q5" s="54" t="s">
        <v>29</v>
      </c>
      <c r="R5" s="54"/>
      <c r="S5" s="53"/>
      <c r="T5" s="53"/>
      <c r="U5" s="53"/>
      <c r="V5" s="53"/>
    </row>
    <row r="6" spans="1:55" x14ac:dyDescent="0.4">
      <c r="A6" s="39" t="s">
        <v>2</v>
      </c>
      <c r="B6" s="39"/>
      <c r="C6" s="41">
        <v>0</v>
      </c>
      <c r="D6" s="41"/>
      <c r="E6" s="11" t="str">
        <f>IF(C6=0,"콜","풋")</f>
        <v>콜</v>
      </c>
      <c r="F6" s="39" t="s">
        <v>7</v>
      </c>
      <c r="G6" s="39"/>
      <c r="H6" s="42">
        <v>100</v>
      </c>
      <c r="I6" s="42"/>
      <c r="J6" s="1"/>
      <c r="K6" s="39" t="s">
        <v>36</v>
      </c>
      <c r="L6" s="39"/>
      <c r="M6" s="41">
        <v>0</v>
      </c>
      <c r="N6" s="41"/>
      <c r="O6" s="1"/>
      <c r="P6" s="1"/>
      <c r="Q6" s="1"/>
      <c r="R6" s="1"/>
      <c r="S6" s="53"/>
      <c r="T6" s="53"/>
      <c r="U6" s="53"/>
      <c r="V6" s="53"/>
    </row>
    <row r="7" spans="1:55" x14ac:dyDescent="0.4">
      <c r="A7" s="39" t="s">
        <v>1</v>
      </c>
      <c r="B7" s="39"/>
      <c r="C7" s="41">
        <v>0</v>
      </c>
      <c r="D7" s="41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39" t="str">
        <f>IF(C7=2,"평균가격",IF(C7 &gt;= 5, "배리어수준",""))</f>
        <v/>
      </c>
      <c r="G7" s="39"/>
      <c r="H7" s="42">
        <v>100</v>
      </c>
      <c r="I7" s="42"/>
      <c r="J7" s="11" t="str">
        <f>IF(F7="","입력필요X","")</f>
        <v>입력필요X</v>
      </c>
      <c r="K7" s="1"/>
      <c r="L7" s="1"/>
      <c r="M7" s="49" t="s">
        <v>20</v>
      </c>
      <c r="N7" s="49"/>
      <c r="O7" s="50">
        <v>5.8326015992176821</v>
      </c>
      <c r="P7" s="50"/>
      <c r="Q7" s="1"/>
      <c r="R7" s="1"/>
      <c r="S7" s="1"/>
    </row>
    <row r="8" spans="1:55" x14ac:dyDescent="0.4">
      <c r="A8" s="39" t="s">
        <v>5</v>
      </c>
      <c r="B8" s="39"/>
      <c r="C8" s="40">
        <v>44652</v>
      </c>
      <c r="D8" s="41"/>
      <c r="E8" s="4"/>
      <c r="F8" s="1"/>
      <c r="G8" s="1"/>
      <c r="H8" s="1"/>
      <c r="I8" s="1"/>
      <c r="K8" s="1"/>
      <c r="L8" s="1"/>
      <c r="M8" s="51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39" t="str">
        <f>IF(C7=2,"평균시작일",IF(OR(C7 = 3, C7 = 4), "행사시작일", ""))</f>
        <v/>
      </c>
      <c r="B9" s="39"/>
      <c r="C9" s="40">
        <v>45017</v>
      </c>
      <c r="D9" s="41"/>
      <c r="E9" s="11" t="str">
        <f>IF(A9="","입력필요X","")</f>
        <v>입력필요X</v>
      </c>
      <c r="F9" s="43" t="s">
        <v>14</v>
      </c>
      <c r="G9" s="43"/>
      <c r="H9" s="43"/>
      <c r="I9" s="43"/>
      <c r="K9" s="1"/>
      <c r="L9" s="1"/>
      <c r="M9" s="52"/>
      <c r="N9" s="14">
        <v>0.53438107485710684</v>
      </c>
      <c r="O9" s="15">
        <v>2.7448477205368076E-2</v>
      </c>
      <c r="P9" s="15">
        <v>0.39160742428898637</v>
      </c>
      <c r="Q9" s="15">
        <v>-8.0529515269522692E-3</v>
      </c>
      <c r="R9" s="15">
        <v>0.47605505886493016</v>
      </c>
      <c r="S9" s="1"/>
    </row>
    <row r="10" spans="1:55" x14ac:dyDescent="0.4">
      <c r="A10" s="39" t="s">
        <v>4</v>
      </c>
      <c r="B10" s="39"/>
      <c r="C10" s="40">
        <v>45017</v>
      </c>
      <c r="D10" s="41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39" t="s">
        <v>3</v>
      </c>
      <c r="B11" s="39"/>
      <c r="C11" s="40">
        <v>45017</v>
      </c>
      <c r="D11" s="41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55" t="str">
        <f>IF(G10=2,"배당액입력(금액입력)","Dividend(%입력)")</f>
        <v>Dividend(%입력)</v>
      </c>
      <c r="G12" s="55"/>
      <c r="H12" s="56" t="s">
        <v>17</v>
      </c>
      <c r="I12" s="56"/>
      <c r="J12" s="24"/>
      <c r="K12" s="43" t="s">
        <v>11</v>
      </c>
      <c r="L12" s="43"/>
      <c r="M12" s="43"/>
      <c r="N12" s="43"/>
      <c r="AY12" s="36" t="s">
        <v>30</v>
      </c>
      <c r="AZ12" s="36"/>
      <c r="BA12" s="36"/>
      <c r="BB12" s="36"/>
      <c r="BC12" s="31"/>
    </row>
    <row r="13" spans="1:55" s="1" customFormat="1" ht="15.6" customHeight="1" x14ac:dyDescent="0.4">
      <c r="A13" s="43" t="s">
        <v>10</v>
      </c>
      <c r="B13" s="43"/>
      <c r="C13" s="43"/>
      <c r="D13" s="43"/>
      <c r="E13" s="24"/>
      <c r="F13" s="55"/>
      <c r="G13" s="55"/>
      <c r="H13" s="56"/>
      <c r="I13" s="56"/>
      <c r="J13" s="24"/>
      <c r="K13" s="46" t="s">
        <v>27</v>
      </c>
      <c r="L13" s="47"/>
      <c r="M13" s="47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8" t="s">
        <v>19</v>
      </c>
      <c r="AF13" s="48"/>
      <c r="AG13" s="48"/>
      <c r="AH13" s="48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37"/>
      <c r="AZ13" s="37"/>
      <c r="BA13" s="37"/>
      <c r="BB13" s="37"/>
      <c r="BC13" s="31"/>
    </row>
    <row r="14" spans="1:55" ht="17.399999999999999" customHeight="1" x14ac:dyDescent="0.35">
      <c r="A14" s="55" t="s">
        <v>8</v>
      </c>
      <c r="B14" s="55"/>
      <c r="C14" s="56" t="s">
        <v>9</v>
      </c>
      <c r="D14" s="56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44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44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55"/>
      <c r="B15" s="55"/>
      <c r="C15" s="56"/>
      <c r="D15" s="56"/>
      <c r="F15" s="16">
        <v>0.25</v>
      </c>
      <c r="G15" s="17">
        <v>1.49E-2</v>
      </c>
      <c r="H15" s="16">
        <v>0.75</v>
      </c>
      <c r="I15" s="17">
        <v>0.05</v>
      </c>
      <c r="K15" s="45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5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0.39953</v>
      </c>
      <c r="AG16" s="22">
        <v>0.35431000000000001</v>
      </c>
      <c r="AH16" s="22">
        <v>0.34103</v>
      </c>
      <c r="AI16" s="22">
        <v>0.31208000000000002</v>
      </c>
      <c r="AJ16" s="22">
        <v>0.29199999999999998</v>
      </c>
      <c r="AK16" s="22">
        <v>0.27834999999999999</v>
      </c>
      <c r="AL16" s="22">
        <v>0.26856000000000002</v>
      </c>
      <c r="AM16" s="22">
        <v>0.25846999999999998</v>
      </c>
      <c r="AN16" s="22">
        <v>0.2477</v>
      </c>
      <c r="AO16" s="22">
        <v>0.24334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0.35871999999999998</v>
      </c>
      <c r="AG17" s="22">
        <v>0.30496000000000001</v>
      </c>
      <c r="AH17" s="22">
        <v>0.29508000000000001</v>
      </c>
      <c r="AI17" s="22">
        <v>0.26927000000000001</v>
      </c>
      <c r="AJ17" s="22">
        <v>0.25139</v>
      </c>
      <c r="AK17" s="22">
        <v>0.23854</v>
      </c>
      <c r="AL17" s="22">
        <v>0.23055</v>
      </c>
      <c r="AM17" s="22">
        <v>0.22373000000000001</v>
      </c>
      <c r="AN17" s="22">
        <v>0.21529999999999999</v>
      </c>
      <c r="AO17" s="22">
        <v>0.21249999999999999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0.29748999999999998</v>
      </c>
      <c r="AG18" s="22">
        <v>0.25945000000000001</v>
      </c>
      <c r="AH18" s="22">
        <v>0.24746000000000001</v>
      </c>
      <c r="AI18" s="22">
        <v>0.23002</v>
      </c>
      <c r="AJ18" s="22">
        <v>0.21759000000000001</v>
      </c>
      <c r="AK18" s="22">
        <v>0.20727000000000001</v>
      </c>
      <c r="AL18" s="22">
        <v>0.20204</v>
      </c>
      <c r="AM18" s="22">
        <v>0.19833000000000001</v>
      </c>
      <c r="AN18" s="22">
        <v>0.19361999999999999</v>
      </c>
      <c r="AO18" s="22">
        <v>0.19223999999999999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0.24129999999999999</v>
      </c>
      <c r="AG19" s="22">
        <v>0.21798999999999999</v>
      </c>
      <c r="AH19" s="22">
        <v>0.20821999999999999</v>
      </c>
      <c r="AI19" s="22">
        <v>0.19789999999999999</v>
      </c>
      <c r="AJ19" s="22">
        <v>0.19069</v>
      </c>
      <c r="AK19" s="22">
        <v>0.18398</v>
      </c>
      <c r="AL19" s="22">
        <v>0.18196000000000001</v>
      </c>
      <c r="AM19" s="22">
        <v>0.18073</v>
      </c>
      <c r="AN19" s="22">
        <v>0.17827999999999999</v>
      </c>
      <c r="AO19" s="22">
        <v>0.17832000000000001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0.18583</v>
      </c>
      <c r="AG20" s="22">
        <v>0.17757999999999999</v>
      </c>
      <c r="AH20" s="22">
        <v>0.17082</v>
      </c>
      <c r="AI20" s="22">
        <v>0.16969000000000001</v>
      </c>
      <c r="AJ20" s="22">
        <v>0.16891</v>
      </c>
      <c r="AK20" s="22">
        <v>0.16619</v>
      </c>
      <c r="AL20" s="22">
        <v>0.16711999999999999</v>
      </c>
      <c r="AM20" s="22">
        <v>0.16803000000000001</v>
      </c>
      <c r="AN20" s="22">
        <v>0.16741</v>
      </c>
      <c r="AO20" s="22">
        <v>0.16885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0.13402</v>
      </c>
      <c r="AG21" s="22">
        <v>0.14104</v>
      </c>
      <c r="AH21" s="22">
        <v>0.14266999999999999</v>
      </c>
      <c r="AI21" s="22">
        <v>0.14749000000000001</v>
      </c>
      <c r="AJ21" s="22">
        <v>0.15106</v>
      </c>
      <c r="AK21" s="22">
        <v>0.15182000000000001</v>
      </c>
      <c r="AL21" s="22">
        <v>0.15537000000000001</v>
      </c>
      <c r="AM21" s="22">
        <v>0.15823000000000001</v>
      </c>
      <c r="AN21" s="22">
        <v>0.15916</v>
      </c>
      <c r="AO21" s="22">
        <v>0.16161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0.10327</v>
      </c>
      <c r="AG22" s="22">
        <v>0.11413</v>
      </c>
      <c r="AH22" s="22">
        <v>0.12809999999999999</v>
      </c>
      <c r="AI22" s="22">
        <v>0.13346</v>
      </c>
      <c r="AJ22" s="22">
        <v>0.13786000000000001</v>
      </c>
      <c r="AK22" s="22">
        <v>0.14172999999999999</v>
      </c>
      <c r="AL22" s="22">
        <v>0.14682000000000001</v>
      </c>
      <c r="AM22" s="22">
        <v>0.15109</v>
      </c>
      <c r="AN22" s="22">
        <v>0.15386</v>
      </c>
      <c r="AO22" s="22">
        <v>0.15673000000000001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0.10983999999999999</v>
      </c>
      <c r="AG23" s="22">
        <v>0.10829999999999999</v>
      </c>
      <c r="AH23" s="22">
        <v>0.12136</v>
      </c>
      <c r="AI23" s="22">
        <v>0.12608</v>
      </c>
      <c r="AJ23" s="22">
        <v>0.13128000000000001</v>
      </c>
      <c r="AK23" s="22">
        <v>0.13700000000000001</v>
      </c>
      <c r="AL23" s="22">
        <v>0.14288000000000001</v>
      </c>
      <c r="AM23" s="22">
        <v>0.14802000000000001</v>
      </c>
      <c r="AN23" s="22">
        <v>0.15206</v>
      </c>
      <c r="AO23" s="22">
        <v>0.15514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0.11482000000000001</v>
      </c>
      <c r="AG24" s="22">
        <v>0.1139</v>
      </c>
      <c r="AH24" s="22">
        <v>0.11792999999999999</v>
      </c>
      <c r="AI24" s="22">
        <v>0.12475</v>
      </c>
      <c r="AJ24" s="22">
        <v>0.13103000000000001</v>
      </c>
      <c r="AK24" s="22">
        <v>0.13549</v>
      </c>
      <c r="AL24" s="22">
        <v>0.14180000000000001</v>
      </c>
      <c r="AM24" s="22">
        <v>0.14774999999999999</v>
      </c>
      <c r="AN24" s="22">
        <v>0.15260000000000001</v>
      </c>
      <c r="AO24" s="22">
        <v>0.15597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2023-06-19T14:02:48Z</dcterms:modified>
</cp:coreProperties>
</file>