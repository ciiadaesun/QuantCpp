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OptionPricer\"/>
    </mc:Choice>
  </mc:AlternateContent>
  <xr:revisionPtr revIDLastSave="0" documentId="13_ncr:1_{6AE68DE9-E43D-4668-8C79-9E66C80EA43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O6" i="1"/>
  <c r="A9" i="1" l="1"/>
  <c r="F7" i="1"/>
  <c r="E7" i="1" l="1"/>
  <c r="F12" i="1" l="1"/>
  <c r="J7" i="1" l="1"/>
  <c r="E9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E6" i="1"/>
  <c r="E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A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 xml:space="preserve">(FDM)
5: Down And In Barrier
6: Down And Out Barrier
7: Up And In Barrier
8: Up And Out Barrier
9: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(Analytic</t>
        </r>
        <r>
          <rPr>
            <b/>
            <sz val="9"/>
            <color indexed="81"/>
            <rFont val="돋움"/>
            <family val="3"/>
            <charset val="129"/>
          </rPr>
          <t>근사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금액입력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K13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<sst xmlns="http://schemas.openxmlformats.org/spreadsheetml/2006/main" count="40" uniqueCount="38">
  <si>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</si>
  <si>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</si>
  <si>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</si>
  <si>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</si>
  <si>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</si>
  <si>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</si>
  <si>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</si>
  <si>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</si>
  <si>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</si>
  <si>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</si>
  <si>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</si>
  <si>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</si>
  <si>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</si>
  <si>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</si>
  <si>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</si>
  <si>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</si>
  <si>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</si>
  <si>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</si>
  <si>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</si>
  <si>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</si>
  <si>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</si>
  <si>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</si>
  <si>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</si>
  <si>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</si>
  <si>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</si>
  <si>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</si>
  <si>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</si>
  <si>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</si>
  <si>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</si>
  <si>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</si>
  <si>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</si>
  <si>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</si>
  <si>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</si>
  <si>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</si>
  <si>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</si>
  <si>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</si>
  <si>
    <t>TextFlag</t>
    <phoneticPr fontId="1" type="noConversion"/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</si>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</sst>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sz val="10"/>
      <color theme="0" tint="-0.249977111117893"/>
      <name val="맑은 고딕"/>
      <family val="2"/>
      <charset val="129"/>
      <scheme val="minor"/>
    </font>
    <font>
      <sz val="10"/>
      <color theme="0" tint="-0.249977111117893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0" fontId="6" fillId="7" borderId="0" xfId="0" applyNumberFormat="1" applyFont="1" applyFill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Protection="1">
      <alignment vertical="center"/>
      <protection locked="0"/>
    </xf>
    <xf numFmtId="0" fontId="4" fillId="4" borderId="3" xfId="0" applyFont="1" applyFill="1" applyBorder="1" applyProtection="1">
      <alignment vertical="center"/>
      <protection locked="0"/>
    </xf>
    <xf numFmtId="177" fontId="9" fillId="11" borderId="0" xfId="0" applyNumberFormat="1" applyFont="1" applyFill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>
      <alignment vertical="center"/>
    </xf>
    <xf numFmtId="176" fontId="5" fillId="10" borderId="5" xfId="0" applyNumberFormat="1" applyFont="1" applyFill="1" applyBorder="1">
      <alignment vertical="center"/>
    </xf>
    <xf numFmtId="183" fontId="6" fillId="9" borderId="5" xfId="0" applyNumberFormat="1" applyFont="1" applyFill="1" applyBorder="1" applyAlignment="1"/>
    <xf numFmtId="184" fontId="6" fillId="9" borderId="5" xfId="1" applyNumberFormat="1" applyFont="1" applyFill="1" applyBorder="1" applyAlignment="1" applyProtection="1"/>
    <xf numFmtId="0" fontId="0" fillId="2" borderId="0" xfId="0" applyFill="1">
      <alignment vertical="center"/>
    </xf>
    <xf numFmtId="177" fontId="7" fillId="11" borderId="0" xfId="0" applyNumberFormat="1" applyFont="1" applyFill="1" applyProtection="1">
      <alignment vertical="center"/>
      <protection locked="0"/>
    </xf>
    <xf numFmtId="14" fontId="7" fillId="5" borderId="0" xfId="0" applyNumberFormat="1" applyFont="1" applyFill="1" applyProtection="1">
      <alignment vertical="center"/>
      <protection locked="0"/>
    </xf>
    <xf numFmtId="10" fontId="8" fillId="7" borderId="0" xfId="1" applyNumberFormat="1" applyFont="1" applyFill="1" applyProtection="1">
      <alignment vertical="center"/>
      <protection locked="0"/>
    </xf>
    <xf numFmtId="14" fontId="5" fillId="7" borderId="0" xfId="0" applyNumberFormat="1" applyFont="1" applyFill="1" applyProtection="1">
      <alignment vertical="center"/>
      <protection locked="0"/>
    </xf>
    <xf numFmtId="14" fontId="8" fillId="7" borderId="0" xfId="0" applyNumberFormat="1" applyFont="1" applyFill="1" applyProtection="1">
      <alignment vertical="center"/>
      <protection locked="0"/>
    </xf>
    <xf numFmtId="14" fontId="9" fillId="7" borderId="0" xfId="0" applyNumberFormat="1" applyFont="1" applyFill="1" applyProtection="1">
      <alignment vertical="center"/>
      <protection locked="0"/>
    </xf>
    <xf numFmtId="0" fontId="16" fillId="5" borderId="0" xfId="0" applyFont="1" applyFill="1">
      <alignment vertical="center"/>
    </xf>
    <xf numFmtId="0" fontId="17" fillId="5" borderId="0" xfId="0" applyFont="1" applyFill="1">
      <alignment vertical="center"/>
    </xf>
    <xf numFmtId="0" fontId="15" fillId="18" borderId="0" xfId="0" applyFont="1" applyFill="1" applyAlignment="1">
      <alignment horizontal="center" vertical="center"/>
    </xf>
    <xf numFmtId="0" fontId="15" fillId="18" borderId="3" xfId="0" applyFont="1" applyFill="1" applyBorder="1" applyAlignment="1">
      <alignment horizontal="center" vertical="center"/>
    </xf>
    <xf numFmtId="0" fontId="13" fillId="17" borderId="0" xfId="0" applyFont="1" applyFill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8" fillId="11" borderId="0" xfId="0" applyFont="1" applyFill="1" applyAlignment="1" applyProtection="1">
      <alignment horizontal="center" vertical="center"/>
      <protection locked="0"/>
    </xf>
    <xf numFmtId="176" fontId="8" fillId="11" borderId="0" xfId="0" applyNumberFormat="1" applyFont="1" applyFill="1" applyAlignment="1" applyProtection="1">
      <alignment horizontal="center" vertical="center"/>
      <protection locked="0"/>
    </xf>
    <xf numFmtId="0" fontId="4" fillId="8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46"/>
  <sheetViews>
    <sheetView tabSelected="1" workbookViewId="0">
      <selection activeCell="C14" sqref="C14:D15"/>
    </sheetView>
  </sheetViews>
  <sheetFormatPr defaultColWidth="10.59765625" defaultRowHeight="15.6" x14ac:dyDescent="0.4"/>
  <cols>
    <col min="1" max="1" width="10.8984375" style="38" bestFit="1" customWidth="1"/>
    <col min="2" max="2" width="10.59765625" style="16"/>
    <col min="3" max="3" width="10.8984375" style="39" bestFit="1" customWidth="1"/>
    <col min="4" max="4" width="10.59765625" style="36"/>
    <col min="5" max="5" width="12.5" style="22" bestFit="1" customWidth="1"/>
    <col min="6" max="6" width="10.8984375" style="38" bestFit="1" customWidth="1"/>
    <col min="7" max="7" width="10.59765625" style="18"/>
    <col min="8" max="8" width="10.8984375" style="38" bestFit="1" customWidth="1"/>
    <col min="9" max="9" width="10.59765625" style="16"/>
    <col min="10" max="16384" width="10.59765625" style="22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44" t="s">
        <v>28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1:55" s="1" customFormat="1" x14ac:dyDescent="0.4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</row>
    <row r="4" spans="1:55" x14ac:dyDescent="0.4">
      <c r="A4" s="40" t="s">
        <v>37</v>
      </c>
      <c r="B4" s="41">
        <v>0</v>
      </c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45" t="s">
        <v>0</v>
      </c>
      <c r="B5" s="45"/>
      <c r="C5" s="47">
        <v>0</v>
      </c>
      <c r="D5" s="47"/>
      <c r="E5" s="10" t="str">
        <f>IF(C5=0,"매수","매도")</f>
        <v>매수</v>
      </c>
      <c r="F5" s="45" t="s">
        <v>6</v>
      </c>
      <c r="G5" s="45"/>
      <c r="H5" s="48">
        <v>70.08</v>
      </c>
      <c r="I5" s="48"/>
      <c r="J5" s="1"/>
      <c r="K5" s="45" t="s">
        <v>18</v>
      </c>
      <c r="L5" s="45"/>
      <c r="M5" s="47">
        <v>0</v>
      </c>
      <c r="N5" s="47"/>
      <c r="O5" s="1"/>
      <c r="P5" s="1"/>
      <c r="Q5" s="60" t="s">
        <v>29</v>
      </c>
      <c r="R5" s="60"/>
      <c r="S5" s="59"/>
      <c r="T5" s="59"/>
      <c r="U5" s="59"/>
      <c r="V5" s="59"/>
    </row>
    <row r="6" spans="1:55" x14ac:dyDescent="0.4">
      <c r="A6" s="45" t="s">
        <v>2</v>
      </c>
      <c r="B6" s="45"/>
      <c r="C6" s="47">
        <v>0</v>
      </c>
      <c r="D6" s="47"/>
      <c r="E6" s="10" t="str">
        <f>IF(C6=0,"콜","풋")</f>
        <v>콜</v>
      </c>
      <c r="F6" s="45" t="s">
        <v>7</v>
      </c>
      <c r="G6" s="45"/>
      <c r="H6" s="48">
        <v>70</v>
      </c>
      <c r="I6" s="48"/>
      <c r="J6" s="1"/>
      <c r="K6" s="45" t="s">
        <v>36</v>
      </c>
      <c r="L6" s="45"/>
      <c r="M6" s="47">
        <v>0</v>
      </c>
      <c r="N6" s="47"/>
      <c r="O6" s="2" t="str">
        <f>IF(C7=9,"HolidayFlag","")</f>
        <v>HolidayFlag</v>
      </c>
      <c r="P6" s="34">
        <v>1</v>
      </c>
      <c r="Q6" s="1"/>
      <c r="R6" s="1"/>
      <c r="S6" s="59"/>
      <c r="T6" s="59"/>
      <c r="U6" s="59"/>
      <c r="V6" s="59"/>
    </row>
    <row r="7" spans="1:55" x14ac:dyDescent="0.4">
      <c r="A7" s="45" t="s">
        <v>1</v>
      </c>
      <c r="B7" s="45"/>
      <c r="C7" s="47">
        <v>9</v>
      </c>
      <c r="D7" s="47"/>
      <c r="E7" s="10" t="str">
        <f>IF(C7=0,"바닐라",IF(C7 = 1, "디지털", IF(C7 = 2, "아시안", IF(C7 = 3, "아메리칸", IF(C7 = 4, "아메리칸디지털", IF(C7 = 5, "DownAndIn", IF(C7=6,"DownAndOut",IF(C7=7,"UpAndIn",IF(C7=8,"UpAndOut","다시입력")))))))))</f>
        <v>다시입력</v>
      </c>
      <c r="F7" s="45" t="str">
        <f>IF(OR(C7=2,C7=9),"평균가격",IF(C7 &gt;= 5, "배리어수준",""))</f>
        <v>평균가격</v>
      </c>
      <c r="G7" s="45"/>
      <c r="H7" s="48">
        <v>70.08</v>
      </c>
      <c r="I7" s="48"/>
      <c r="J7" s="10" t="str">
        <f>IF(F7="","입력필요X","")</f>
        <v/>
      </c>
      <c r="K7" s="1"/>
      <c r="L7" s="1"/>
      <c r="M7" s="55" t="s">
        <v>20</v>
      </c>
      <c r="N7" s="55"/>
      <c r="O7" s="56">
        <v>2.3907713012028355</v>
      </c>
      <c r="P7" s="56"/>
      <c r="Q7" s="1"/>
      <c r="R7" s="1"/>
      <c r="S7" s="1"/>
    </row>
    <row r="8" spans="1:55" x14ac:dyDescent="0.4">
      <c r="A8" s="45" t="s">
        <v>5</v>
      </c>
      <c r="B8" s="45"/>
      <c r="C8" s="46">
        <v>45411</v>
      </c>
      <c r="D8" s="47"/>
      <c r="E8" s="4"/>
      <c r="F8" s="1"/>
      <c r="G8" s="1"/>
      <c r="H8" s="1"/>
      <c r="I8" s="1"/>
      <c r="K8" s="1"/>
      <c r="L8" s="1"/>
      <c r="M8" s="57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7" t="s">
        <v>26</v>
      </c>
      <c r="S8" s="1"/>
    </row>
    <row r="9" spans="1:55" x14ac:dyDescent="0.4">
      <c r="A9" s="45" t="str">
        <f>IF(OR(C7=2,C7=9),"평균시작일",IF(OR(C7 = 3, C7 = 4), "행사시작일", ""))</f>
        <v>평균시작일</v>
      </c>
      <c r="B9" s="45"/>
      <c r="C9" s="46">
        <v>45413</v>
      </c>
      <c r="D9" s="47"/>
      <c r="E9" s="10" t="str">
        <f>IF(A9="","입력필요X","")</f>
        <v/>
      </c>
      <c r="F9" s="49" t="s">
        <v>14</v>
      </c>
      <c r="G9" s="49"/>
      <c r="H9" s="49"/>
      <c r="I9" s="49"/>
      <c r="K9" s="1"/>
      <c r="L9" s="1"/>
      <c r="M9" s="58"/>
      <c r="N9" s="13">
        <v>0.52635093464358407</v>
      </c>
      <c r="O9" s="14">
        <v>0</v>
      </c>
      <c r="P9" s="14">
        <v>8.0944235166576797E-2</v>
      </c>
      <c r="Q9" s="14">
        <v>0</v>
      </c>
      <c r="R9" s="14">
        <v>0</v>
      </c>
      <c r="S9" s="1"/>
    </row>
    <row r="10" spans="1:55" x14ac:dyDescent="0.4">
      <c r="A10" s="45" t="s">
        <v>4</v>
      </c>
      <c r="B10" s="45"/>
      <c r="C10" s="46">
        <v>45503</v>
      </c>
      <c r="D10" s="47"/>
      <c r="E10" s="28"/>
      <c r="F10" s="2" t="s">
        <v>15</v>
      </c>
      <c r="G10" s="11">
        <v>0</v>
      </c>
      <c r="H10" s="2" t="s">
        <v>16</v>
      </c>
      <c r="I10" s="12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45" t="s">
        <v>3</v>
      </c>
      <c r="B11" s="45"/>
      <c r="C11" s="46">
        <f>C10</f>
        <v>45503</v>
      </c>
      <c r="D11" s="47"/>
      <c r="E11" s="28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35">
        <v>45412</v>
      </c>
      <c r="F12" s="49" t="str">
        <f>IF(G10=2,"배당액입력(금액입력)","Dividend(%입력)")</f>
        <v>Dividend(%입력)</v>
      </c>
      <c r="G12" s="49"/>
      <c r="H12" s="61" t="s">
        <v>17</v>
      </c>
      <c r="I12" s="61"/>
      <c r="J12" s="22"/>
      <c r="K12" s="49" t="s">
        <v>11</v>
      </c>
      <c r="L12" s="49"/>
      <c r="M12" s="49"/>
      <c r="N12" s="49"/>
      <c r="AY12" s="42" t="s">
        <v>30</v>
      </c>
      <c r="AZ12" s="42"/>
      <c r="BA12" s="42"/>
      <c r="BB12" s="42"/>
      <c r="BC12" s="29"/>
    </row>
    <row r="13" spans="1:55" s="1" customFormat="1" ht="15.6" customHeight="1" x14ac:dyDescent="0.4">
      <c r="A13" s="49" t="s">
        <v>10</v>
      </c>
      <c r="B13" s="49"/>
      <c r="C13" s="49"/>
      <c r="D13" s="49"/>
      <c r="E13" s="35">
        <v>45593</v>
      </c>
      <c r="F13" s="49"/>
      <c r="G13" s="49"/>
      <c r="H13" s="61"/>
      <c r="I13" s="61"/>
      <c r="J13" s="22"/>
      <c r="K13" s="52" t="s">
        <v>27</v>
      </c>
      <c r="L13" s="53"/>
      <c r="M13" s="53"/>
      <c r="N13" s="27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54" t="s">
        <v>19</v>
      </c>
      <c r="AF13" s="54"/>
      <c r="AG13" s="54"/>
      <c r="AH13" s="54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43"/>
      <c r="AZ13" s="43"/>
      <c r="BA13" s="43"/>
      <c r="BB13" s="43"/>
      <c r="BC13" s="29"/>
    </row>
    <row r="14" spans="1:55" ht="17.399999999999999" customHeight="1" x14ac:dyDescent="0.35">
      <c r="A14" s="49" t="s">
        <v>8</v>
      </c>
      <c r="B14" s="49"/>
      <c r="C14" s="61" t="s">
        <v>9</v>
      </c>
      <c r="D14" s="61"/>
      <c r="F14" s="37">
        <v>45412</v>
      </c>
      <c r="G14" s="15">
        <v>3.5000000000000003E-2</v>
      </c>
      <c r="H14" s="37">
        <v>45593</v>
      </c>
      <c r="I14" s="15">
        <v>0</v>
      </c>
      <c r="K14" s="50" t="s">
        <v>13</v>
      </c>
      <c r="L14" s="25" t="s">
        <v>12</v>
      </c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1"/>
      <c r="AE14" s="50" t="s">
        <v>13</v>
      </c>
      <c r="AF14" s="25" t="s">
        <v>12</v>
      </c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Y14" s="30" t="s">
        <v>31</v>
      </c>
      <c r="AZ14" s="30" t="s">
        <v>32</v>
      </c>
      <c r="BA14" s="30" t="s">
        <v>33</v>
      </c>
      <c r="BB14" s="30" t="s">
        <v>34</v>
      </c>
      <c r="BC14" s="30" t="s">
        <v>35</v>
      </c>
    </row>
    <row r="15" spans="1:55" x14ac:dyDescent="0.35">
      <c r="A15" s="49"/>
      <c r="B15" s="49"/>
      <c r="C15" s="61"/>
      <c r="D15" s="61"/>
      <c r="F15" s="37"/>
      <c r="G15" s="15"/>
      <c r="H15" s="37"/>
      <c r="I15" s="15"/>
      <c r="K15" s="51"/>
      <c r="L15" s="19">
        <v>0.33333333333333331</v>
      </c>
      <c r="M15" s="19">
        <v>0.66666666666666663</v>
      </c>
      <c r="N15" s="19">
        <v>1</v>
      </c>
      <c r="O15" s="19">
        <v>1.3333333333333333</v>
      </c>
      <c r="P15" s="19">
        <v>1.6666666666666665</v>
      </c>
      <c r="Q15" s="19">
        <v>1.9999999999999998</v>
      </c>
      <c r="R15" s="19">
        <v>2.333333333333333</v>
      </c>
      <c r="S15" s="19">
        <v>2.6666666666666665</v>
      </c>
      <c r="T15" s="19">
        <v>3</v>
      </c>
      <c r="U15" s="19">
        <v>3.3333333333333335</v>
      </c>
      <c r="V15" s="19"/>
      <c r="W15" s="19"/>
      <c r="X15" s="19"/>
      <c r="Y15" s="19"/>
      <c r="Z15" s="19"/>
      <c r="AA15" s="19"/>
      <c r="AB15" s="19"/>
      <c r="AC15" s="19"/>
      <c r="AD15" s="21"/>
      <c r="AE15" s="51"/>
      <c r="AF15" s="19">
        <v>0.33333333333333331</v>
      </c>
      <c r="AG15" s="19">
        <v>0.66666666666666663</v>
      </c>
      <c r="AH15" s="19">
        <v>1</v>
      </c>
      <c r="AI15" s="19">
        <v>1.3333333333333333</v>
      </c>
      <c r="AJ15" s="19">
        <v>1.6666666666666665</v>
      </c>
      <c r="AK15" s="19">
        <v>1.9999999999999998</v>
      </c>
      <c r="AL15" s="19">
        <v>2.333333333333333</v>
      </c>
      <c r="AM15" s="19">
        <v>2.6666666666666665</v>
      </c>
      <c r="AN15" s="19">
        <v>3</v>
      </c>
      <c r="AO15" s="19">
        <v>3.3333333333333335</v>
      </c>
      <c r="AP15" s="19"/>
      <c r="AQ15" s="19"/>
      <c r="AR15" s="19"/>
      <c r="AS15" s="19"/>
      <c r="AT15" s="19"/>
      <c r="AU15" s="19"/>
      <c r="AV15" s="19"/>
      <c r="AW15" s="19"/>
      <c r="AY15" s="29"/>
      <c r="AZ15" s="29"/>
      <c r="BA15" s="29"/>
      <c r="BB15" s="29"/>
      <c r="BC15" s="29"/>
    </row>
    <row r="16" spans="1:55" x14ac:dyDescent="0.35">
      <c r="A16" s="37">
        <v>45412</v>
      </c>
      <c r="B16" s="15">
        <v>5.3738340047141099E-2</v>
      </c>
      <c r="C16" s="37">
        <v>45412</v>
      </c>
      <c r="D16" s="15">
        <v>5.3738340047141099E-2</v>
      </c>
      <c r="F16" s="37"/>
      <c r="G16" s="15"/>
      <c r="H16" s="37"/>
      <c r="I16" s="15"/>
      <c r="J16" s="35">
        <v>45413</v>
      </c>
      <c r="K16" s="19">
        <v>0.5</v>
      </c>
      <c r="L16" s="20">
        <v>0.28000000000000003</v>
      </c>
      <c r="M16" s="20">
        <v>0.28000000000000003</v>
      </c>
      <c r="N16" s="20">
        <v>0.28000000000000003</v>
      </c>
      <c r="O16" s="20">
        <v>0.28000000000000003</v>
      </c>
      <c r="P16" s="20">
        <v>0.28000000000000003</v>
      </c>
      <c r="Q16" s="20">
        <v>0.28000000000000003</v>
      </c>
      <c r="R16" s="20">
        <v>0.28000000000000003</v>
      </c>
      <c r="S16" s="20">
        <v>0.28000000000000003</v>
      </c>
      <c r="T16" s="20">
        <v>0.28000000000000003</v>
      </c>
      <c r="U16" s="20">
        <v>0.28000000000000003</v>
      </c>
      <c r="V16" s="20"/>
      <c r="W16" s="20"/>
      <c r="X16" s="20"/>
      <c r="Y16" s="20"/>
      <c r="Z16" s="20"/>
      <c r="AA16" s="20"/>
      <c r="AB16" s="20"/>
      <c r="AC16" s="20"/>
      <c r="AD16" s="21"/>
      <c r="AE16" s="19">
        <v>0.5</v>
      </c>
      <c r="AF16" s="20">
        <v>0.28000000000000003</v>
      </c>
      <c r="AG16" s="20">
        <v>0.28000000000000003</v>
      </c>
      <c r="AH16" s="20">
        <v>0.28000000000000003</v>
      </c>
      <c r="AI16" s="20">
        <v>0.28000000000000003</v>
      </c>
      <c r="AJ16" s="20">
        <v>0.28000000000000003</v>
      </c>
      <c r="AK16" s="20">
        <v>0.28000000000000003</v>
      </c>
      <c r="AL16" s="20">
        <v>0.28000000000000003</v>
      </c>
      <c r="AM16" s="20">
        <v>0.28000000000000003</v>
      </c>
      <c r="AN16" s="20">
        <v>0.28000000000000003</v>
      </c>
      <c r="AO16" s="20">
        <v>0.28000000000000003</v>
      </c>
      <c r="AP16" s="20"/>
      <c r="AQ16" s="20"/>
      <c r="AR16" s="20"/>
      <c r="AS16" s="20"/>
      <c r="AT16" s="20"/>
      <c r="AU16" s="20"/>
      <c r="AV16" s="20"/>
      <c r="AW16" s="20"/>
      <c r="AY16" s="31">
        <v>0.33333333333333331</v>
      </c>
      <c r="AZ16" s="31">
        <v>0</v>
      </c>
      <c r="BA16" s="31">
        <v>0</v>
      </c>
      <c r="BB16" s="31">
        <v>0</v>
      </c>
      <c r="BC16" s="32">
        <v>0</v>
      </c>
    </row>
    <row r="17" spans="1:55" ht="17.399999999999999" x14ac:dyDescent="0.35">
      <c r="A17" s="37"/>
      <c r="B17" s="15"/>
      <c r="C17" s="37"/>
      <c r="D17" s="15"/>
      <c r="F17" s="37"/>
      <c r="G17" s="17"/>
      <c r="H17" s="37"/>
      <c r="I17" s="15"/>
      <c r="J17" s="35">
        <v>45414</v>
      </c>
      <c r="K17" s="19">
        <v>0.6</v>
      </c>
      <c r="L17" s="20">
        <v>0.28000000000000003</v>
      </c>
      <c r="M17" s="20">
        <v>0.28000000000000003</v>
      </c>
      <c r="N17" s="20">
        <v>0.28000000000000003</v>
      </c>
      <c r="O17" s="20">
        <v>0.28000000000000003</v>
      </c>
      <c r="P17" s="20">
        <v>0.28000000000000003</v>
      </c>
      <c r="Q17" s="20">
        <v>0.28000000000000003</v>
      </c>
      <c r="R17" s="20">
        <v>0.28000000000000003</v>
      </c>
      <c r="S17" s="20">
        <v>0.28000000000000003</v>
      </c>
      <c r="T17" s="20">
        <v>0.28000000000000003</v>
      </c>
      <c r="U17" s="20">
        <v>0.28000000000000003</v>
      </c>
      <c r="V17" s="20"/>
      <c r="W17" s="20"/>
      <c r="X17" s="20"/>
      <c r="Y17" s="20"/>
      <c r="Z17" s="20"/>
      <c r="AA17" s="20"/>
      <c r="AB17" s="20"/>
      <c r="AC17" s="20"/>
      <c r="AD17" s="21"/>
      <c r="AE17" s="19">
        <v>0.6</v>
      </c>
      <c r="AF17" s="20">
        <v>0.28000000000000003</v>
      </c>
      <c r="AG17" s="20">
        <v>0.28000000000000003</v>
      </c>
      <c r="AH17" s="20">
        <v>0.28000000000000003</v>
      </c>
      <c r="AI17" s="20">
        <v>0.28000000000000003</v>
      </c>
      <c r="AJ17" s="20">
        <v>0.28000000000000003</v>
      </c>
      <c r="AK17" s="20">
        <v>0.28000000000000003</v>
      </c>
      <c r="AL17" s="20">
        <v>0.28000000000000003</v>
      </c>
      <c r="AM17" s="20">
        <v>0.28000000000000003</v>
      </c>
      <c r="AN17" s="20">
        <v>0.28000000000000003</v>
      </c>
      <c r="AO17" s="20">
        <v>0.28000000000000003</v>
      </c>
      <c r="AP17" s="20"/>
      <c r="AQ17" s="20"/>
      <c r="AR17" s="20"/>
      <c r="AS17" s="20"/>
      <c r="AT17" s="20"/>
      <c r="AU17" s="20"/>
      <c r="AV17" s="20"/>
      <c r="AW17" s="20"/>
      <c r="AY17" s="31">
        <v>0.66666666666666663</v>
      </c>
      <c r="AZ17" s="31">
        <v>0</v>
      </c>
      <c r="BA17" s="31">
        <v>0</v>
      </c>
      <c r="BB17" s="31">
        <v>0</v>
      </c>
      <c r="BC17" s="33"/>
    </row>
    <row r="18" spans="1:55" x14ac:dyDescent="0.35">
      <c r="A18" s="37"/>
      <c r="B18" s="15"/>
      <c r="C18" s="37"/>
      <c r="D18" s="15"/>
      <c r="F18" s="37"/>
      <c r="G18" s="17"/>
      <c r="H18" s="37"/>
      <c r="I18" s="15"/>
      <c r="J18" s="35">
        <v>45415</v>
      </c>
      <c r="K18" s="19">
        <v>0.7</v>
      </c>
      <c r="L18" s="20">
        <v>0.28000000000000003</v>
      </c>
      <c r="M18" s="20">
        <v>0.28000000000000003</v>
      </c>
      <c r="N18" s="20">
        <v>0.28000000000000003</v>
      </c>
      <c r="O18" s="20">
        <v>0.28000000000000003</v>
      </c>
      <c r="P18" s="20">
        <v>0.28000000000000003</v>
      </c>
      <c r="Q18" s="20">
        <v>0.28000000000000003</v>
      </c>
      <c r="R18" s="20">
        <v>0.28000000000000003</v>
      </c>
      <c r="S18" s="20">
        <v>0.28000000000000003</v>
      </c>
      <c r="T18" s="20">
        <v>0.28000000000000003</v>
      </c>
      <c r="U18" s="20">
        <v>0.28000000000000003</v>
      </c>
      <c r="V18" s="20"/>
      <c r="W18" s="20"/>
      <c r="X18" s="20"/>
      <c r="Y18" s="20"/>
      <c r="Z18" s="20"/>
      <c r="AA18" s="20"/>
      <c r="AB18" s="20"/>
      <c r="AC18" s="20"/>
      <c r="AD18" s="21"/>
      <c r="AE18" s="19">
        <v>0.7</v>
      </c>
      <c r="AF18" s="20">
        <v>0.28000000000000003</v>
      </c>
      <c r="AG18" s="20">
        <v>0.28000000000000003</v>
      </c>
      <c r="AH18" s="20">
        <v>0.28000000000000003</v>
      </c>
      <c r="AI18" s="20">
        <v>0.28000000000000003</v>
      </c>
      <c r="AJ18" s="20">
        <v>0.28000000000000003</v>
      </c>
      <c r="AK18" s="20">
        <v>0.28000000000000003</v>
      </c>
      <c r="AL18" s="20">
        <v>0.28000000000000003</v>
      </c>
      <c r="AM18" s="20">
        <v>0.28000000000000003</v>
      </c>
      <c r="AN18" s="20">
        <v>0.28000000000000003</v>
      </c>
      <c r="AO18" s="20">
        <v>0.28000000000000003</v>
      </c>
      <c r="AP18" s="20"/>
      <c r="AQ18" s="20"/>
      <c r="AR18" s="20"/>
      <c r="AS18" s="20"/>
      <c r="AT18" s="20"/>
      <c r="AU18" s="20"/>
      <c r="AV18" s="20"/>
      <c r="AW18" s="20"/>
      <c r="AY18" s="31">
        <v>1</v>
      </c>
      <c r="AZ18" s="31">
        <v>0</v>
      </c>
      <c r="BA18" s="31">
        <v>0</v>
      </c>
      <c r="BB18" s="31">
        <v>0</v>
      </c>
      <c r="BC18" s="29"/>
    </row>
    <row r="19" spans="1:55" x14ac:dyDescent="0.35">
      <c r="A19" s="37"/>
      <c r="B19" s="15"/>
      <c r="C19" s="37"/>
      <c r="D19" s="15"/>
      <c r="F19" s="37"/>
      <c r="G19" s="17"/>
      <c r="H19" s="37"/>
      <c r="I19" s="15"/>
      <c r="J19" s="35">
        <v>45418</v>
      </c>
      <c r="K19" s="19">
        <v>0.8</v>
      </c>
      <c r="L19" s="20">
        <v>0.28000000000000003</v>
      </c>
      <c r="M19" s="20">
        <v>0.28000000000000003</v>
      </c>
      <c r="N19" s="20">
        <v>0.28000000000000003</v>
      </c>
      <c r="O19" s="20">
        <v>0.28000000000000003</v>
      </c>
      <c r="P19" s="20">
        <v>0.28000000000000003</v>
      </c>
      <c r="Q19" s="20">
        <v>0.28000000000000003</v>
      </c>
      <c r="R19" s="20">
        <v>0.28000000000000003</v>
      </c>
      <c r="S19" s="20">
        <v>0.28000000000000003</v>
      </c>
      <c r="T19" s="20">
        <v>0.28000000000000003</v>
      </c>
      <c r="U19" s="20">
        <v>0.28000000000000003</v>
      </c>
      <c r="V19" s="20"/>
      <c r="W19" s="20"/>
      <c r="X19" s="20"/>
      <c r="Y19" s="20"/>
      <c r="Z19" s="20"/>
      <c r="AA19" s="20"/>
      <c r="AB19" s="20"/>
      <c r="AC19" s="20"/>
      <c r="AD19" s="23"/>
      <c r="AE19" s="19">
        <v>0.8</v>
      </c>
      <c r="AF19" s="20">
        <v>0.28000000000000003</v>
      </c>
      <c r="AG19" s="20">
        <v>0.28000000000000003</v>
      </c>
      <c r="AH19" s="20">
        <v>0.28000000000000003</v>
      </c>
      <c r="AI19" s="20">
        <v>0.28000000000000003</v>
      </c>
      <c r="AJ19" s="20">
        <v>0.28000000000000003</v>
      </c>
      <c r="AK19" s="20">
        <v>0.28000000000000003</v>
      </c>
      <c r="AL19" s="20">
        <v>0.28000000000000003</v>
      </c>
      <c r="AM19" s="20">
        <v>0.28000000000000003</v>
      </c>
      <c r="AN19" s="20">
        <v>0.28000000000000003</v>
      </c>
      <c r="AO19" s="20">
        <v>0.28000000000000003</v>
      </c>
      <c r="AP19" s="20"/>
      <c r="AQ19" s="20"/>
      <c r="AR19" s="20"/>
      <c r="AS19" s="20"/>
      <c r="AT19" s="20"/>
      <c r="AU19" s="20"/>
      <c r="AV19" s="20"/>
      <c r="AW19" s="20"/>
      <c r="AY19" s="31">
        <v>1.3333333333333333</v>
      </c>
      <c r="AZ19" s="31">
        <v>0</v>
      </c>
      <c r="BA19" s="31">
        <v>0</v>
      </c>
      <c r="BB19" s="31">
        <v>0</v>
      </c>
      <c r="BC19" s="29"/>
    </row>
    <row r="20" spans="1:55" x14ac:dyDescent="0.35">
      <c r="A20" s="37"/>
      <c r="B20" s="15"/>
      <c r="C20" s="37"/>
      <c r="D20" s="15"/>
      <c r="F20" s="37"/>
      <c r="G20" s="17"/>
      <c r="H20" s="37"/>
      <c r="I20" s="15"/>
      <c r="J20" s="35">
        <v>45419</v>
      </c>
      <c r="K20" s="19">
        <v>0.9</v>
      </c>
      <c r="L20" s="20">
        <v>0.28000000000000003</v>
      </c>
      <c r="M20" s="20">
        <v>0.28000000000000003</v>
      </c>
      <c r="N20" s="20">
        <v>0.28000000000000003</v>
      </c>
      <c r="O20" s="20">
        <v>0.28000000000000003</v>
      </c>
      <c r="P20" s="20">
        <v>0.28000000000000003</v>
      </c>
      <c r="Q20" s="20">
        <v>0.28000000000000003</v>
      </c>
      <c r="R20" s="20">
        <v>0.28000000000000003</v>
      </c>
      <c r="S20" s="20">
        <v>0.28000000000000003</v>
      </c>
      <c r="T20" s="20">
        <v>0.28000000000000003</v>
      </c>
      <c r="U20" s="20">
        <v>0.28000000000000003</v>
      </c>
      <c r="V20" s="20"/>
      <c r="W20" s="20"/>
      <c r="X20" s="20"/>
      <c r="Y20" s="20"/>
      <c r="Z20" s="20"/>
      <c r="AA20" s="20"/>
      <c r="AB20" s="20"/>
      <c r="AC20" s="20"/>
      <c r="AD20" s="24"/>
      <c r="AE20" s="19">
        <v>0.9</v>
      </c>
      <c r="AF20" s="20">
        <v>0.28000000000000003</v>
      </c>
      <c r="AG20" s="20">
        <v>0.28000000000000003</v>
      </c>
      <c r="AH20" s="20">
        <v>0.28000000000000003</v>
      </c>
      <c r="AI20" s="20">
        <v>0.28000000000000003</v>
      </c>
      <c r="AJ20" s="20">
        <v>0.28000000000000003</v>
      </c>
      <c r="AK20" s="20">
        <v>0.28000000000000003</v>
      </c>
      <c r="AL20" s="20">
        <v>0.28000000000000003</v>
      </c>
      <c r="AM20" s="20">
        <v>0.28000000000000003</v>
      </c>
      <c r="AN20" s="20">
        <v>0.28000000000000003</v>
      </c>
      <c r="AO20" s="20">
        <v>0.28000000000000003</v>
      </c>
      <c r="AP20" s="20"/>
      <c r="AQ20" s="20"/>
      <c r="AR20" s="20"/>
      <c r="AS20" s="20"/>
      <c r="AT20" s="20"/>
      <c r="AU20" s="20"/>
      <c r="AV20" s="20"/>
      <c r="AW20" s="20"/>
      <c r="AY20" s="31">
        <v>1.6666666666666665</v>
      </c>
      <c r="AZ20" s="31">
        <v>0</v>
      </c>
      <c r="BA20" s="31">
        <v>0</v>
      </c>
      <c r="BB20" s="31">
        <v>0</v>
      </c>
      <c r="BC20" s="29"/>
    </row>
    <row r="21" spans="1:55" x14ac:dyDescent="0.35">
      <c r="A21" s="37"/>
      <c r="B21" s="15"/>
      <c r="C21" s="37"/>
      <c r="D21" s="15"/>
      <c r="F21" s="37"/>
      <c r="G21" s="17"/>
      <c r="H21" s="37"/>
      <c r="I21" s="15"/>
      <c r="J21" s="35">
        <v>45420</v>
      </c>
      <c r="K21" s="19">
        <v>1</v>
      </c>
      <c r="L21" s="20">
        <v>0.28000000000000003</v>
      </c>
      <c r="M21" s="20">
        <v>0.28000000000000003</v>
      </c>
      <c r="N21" s="20">
        <v>0.28000000000000003</v>
      </c>
      <c r="O21" s="20">
        <v>0.28000000000000003</v>
      </c>
      <c r="P21" s="20">
        <v>0.28000000000000003</v>
      </c>
      <c r="Q21" s="20">
        <v>0.28000000000000003</v>
      </c>
      <c r="R21" s="20">
        <v>0.28000000000000003</v>
      </c>
      <c r="S21" s="20">
        <v>0.28000000000000003</v>
      </c>
      <c r="T21" s="20">
        <v>0.28000000000000003</v>
      </c>
      <c r="U21" s="20">
        <v>0.28000000000000003</v>
      </c>
      <c r="V21" s="20"/>
      <c r="W21" s="20"/>
      <c r="X21" s="20"/>
      <c r="Y21" s="20"/>
      <c r="Z21" s="20"/>
      <c r="AA21" s="20"/>
      <c r="AB21" s="20"/>
      <c r="AC21" s="20"/>
      <c r="AD21" s="24"/>
      <c r="AE21" s="19">
        <v>1</v>
      </c>
      <c r="AF21" s="20">
        <v>0.28000000000000003</v>
      </c>
      <c r="AG21" s="20">
        <v>0.28000000000000003</v>
      </c>
      <c r="AH21" s="20">
        <v>0.28000000000000003</v>
      </c>
      <c r="AI21" s="20">
        <v>0.28000000000000003</v>
      </c>
      <c r="AJ21" s="20">
        <v>0.28000000000000003</v>
      </c>
      <c r="AK21" s="20">
        <v>0.28000000000000003</v>
      </c>
      <c r="AL21" s="20">
        <v>0.28000000000000003</v>
      </c>
      <c r="AM21" s="20">
        <v>0.28000000000000003</v>
      </c>
      <c r="AN21" s="20">
        <v>0.28000000000000003</v>
      </c>
      <c r="AO21" s="20">
        <v>0.28000000000000003</v>
      </c>
      <c r="AP21" s="20"/>
      <c r="AQ21" s="20"/>
      <c r="AR21" s="20"/>
      <c r="AS21" s="20"/>
      <c r="AT21" s="20"/>
      <c r="AU21" s="20"/>
      <c r="AV21" s="20"/>
      <c r="AW21" s="20"/>
      <c r="AY21" s="31">
        <v>1.9999999999999998</v>
      </c>
      <c r="AZ21" s="31">
        <v>0</v>
      </c>
      <c r="BA21" s="31">
        <v>0</v>
      </c>
      <c r="BB21" s="31">
        <v>0</v>
      </c>
      <c r="BC21" s="29"/>
    </row>
    <row r="22" spans="1:55" x14ac:dyDescent="0.35">
      <c r="A22" s="37"/>
      <c r="B22" s="15"/>
      <c r="C22" s="37"/>
      <c r="D22" s="15"/>
      <c r="F22" s="37"/>
      <c r="G22" s="17"/>
      <c r="H22" s="37"/>
      <c r="I22" s="15"/>
      <c r="J22" s="35">
        <v>45421</v>
      </c>
      <c r="K22" s="19">
        <v>1.1000000000000001</v>
      </c>
      <c r="L22" s="20">
        <v>0.28000000000000003</v>
      </c>
      <c r="M22" s="20">
        <v>0.28000000000000003</v>
      </c>
      <c r="N22" s="20">
        <v>0.28000000000000003</v>
      </c>
      <c r="O22" s="20">
        <v>0.28000000000000003</v>
      </c>
      <c r="P22" s="20">
        <v>0.28000000000000003</v>
      </c>
      <c r="Q22" s="20">
        <v>0.28000000000000003</v>
      </c>
      <c r="R22" s="20">
        <v>0.28000000000000003</v>
      </c>
      <c r="S22" s="20">
        <v>0.28000000000000003</v>
      </c>
      <c r="T22" s="20">
        <v>0.28000000000000003</v>
      </c>
      <c r="U22" s="20">
        <v>0.28000000000000003</v>
      </c>
      <c r="V22" s="20"/>
      <c r="W22" s="20"/>
      <c r="X22" s="20"/>
      <c r="Y22" s="20"/>
      <c r="Z22" s="20"/>
      <c r="AA22" s="20"/>
      <c r="AB22" s="20"/>
      <c r="AC22" s="20"/>
      <c r="AD22" s="24"/>
      <c r="AE22" s="19">
        <v>1.1000000000000001</v>
      </c>
      <c r="AF22" s="20">
        <v>0.28000000000000003</v>
      </c>
      <c r="AG22" s="20">
        <v>0.28000000000000003</v>
      </c>
      <c r="AH22" s="20">
        <v>0.28000000000000003</v>
      </c>
      <c r="AI22" s="20">
        <v>0.28000000000000003</v>
      </c>
      <c r="AJ22" s="20">
        <v>0.28000000000000003</v>
      </c>
      <c r="AK22" s="20">
        <v>0.28000000000000003</v>
      </c>
      <c r="AL22" s="20">
        <v>0.28000000000000003</v>
      </c>
      <c r="AM22" s="20">
        <v>0.28000000000000003</v>
      </c>
      <c r="AN22" s="20">
        <v>0.28000000000000003</v>
      </c>
      <c r="AO22" s="20">
        <v>0.28000000000000003</v>
      </c>
      <c r="AP22" s="20"/>
      <c r="AQ22" s="20"/>
      <c r="AR22" s="20"/>
      <c r="AS22" s="20"/>
      <c r="AT22" s="20"/>
      <c r="AU22" s="20"/>
      <c r="AV22" s="20"/>
      <c r="AW22" s="20"/>
      <c r="AY22" s="31">
        <v>2.333333333333333</v>
      </c>
      <c r="AZ22" s="31">
        <v>0</v>
      </c>
      <c r="BA22" s="31">
        <v>0</v>
      </c>
      <c r="BB22" s="31">
        <v>0</v>
      </c>
      <c r="BC22" s="29"/>
    </row>
    <row r="23" spans="1:55" x14ac:dyDescent="0.35">
      <c r="A23" s="37"/>
      <c r="B23" s="15"/>
      <c r="C23" s="37"/>
      <c r="D23" s="15"/>
      <c r="J23" s="35">
        <v>45422</v>
      </c>
      <c r="K23" s="19">
        <v>1.2</v>
      </c>
      <c r="L23" s="20">
        <v>0.28000000000000003</v>
      </c>
      <c r="M23" s="20">
        <v>0.28000000000000003</v>
      </c>
      <c r="N23" s="20">
        <v>0.28000000000000003</v>
      </c>
      <c r="O23" s="20">
        <v>0.28000000000000003</v>
      </c>
      <c r="P23" s="20">
        <v>0.28000000000000003</v>
      </c>
      <c r="Q23" s="20">
        <v>0.28000000000000003</v>
      </c>
      <c r="R23" s="20">
        <v>0.28000000000000003</v>
      </c>
      <c r="S23" s="20">
        <v>0.28000000000000003</v>
      </c>
      <c r="T23" s="20">
        <v>0.28000000000000003</v>
      </c>
      <c r="U23" s="20">
        <v>0.28000000000000003</v>
      </c>
      <c r="V23" s="20"/>
      <c r="W23" s="20"/>
      <c r="X23" s="20"/>
      <c r="Y23" s="20"/>
      <c r="Z23" s="20"/>
      <c r="AA23" s="20"/>
      <c r="AB23" s="20"/>
      <c r="AC23" s="20"/>
      <c r="AD23" s="24"/>
      <c r="AE23" s="19">
        <v>1.2</v>
      </c>
      <c r="AF23" s="20">
        <v>0.28000000000000003</v>
      </c>
      <c r="AG23" s="20">
        <v>0.28000000000000003</v>
      </c>
      <c r="AH23" s="20">
        <v>0.28000000000000003</v>
      </c>
      <c r="AI23" s="20">
        <v>0.28000000000000003</v>
      </c>
      <c r="AJ23" s="20">
        <v>0.28000000000000003</v>
      </c>
      <c r="AK23" s="20">
        <v>0.28000000000000003</v>
      </c>
      <c r="AL23" s="20">
        <v>0.28000000000000003</v>
      </c>
      <c r="AM23" s="20">
        <v>0.28000000000000003</v>
      </c>
      <c r="AN23" s="20">
        <v>0.28000000000000003</v>
      </c>
      <c r="AO23" s="20">
        <v>0.28000000000000003</v>
      </c>
      <c r="AP23" s="20"/>
      <c r="AQ23" s="20"/>
      <c r="AR23" s="20"/>
      <c r="AS23" s="20"/>
      <c r="AT23" s="20"/>
      <c r="AU23" s="20"/>
      <c r="AV23" s="20"/>
      <c r="AW23" s="20"/>
      <c r="AY23" s="31">
        <v>2.6666666666666665</v>
      </c>
      <c r="AZ23" s="31">
        <v>0</v>
      </c>
      <c r="BA23" s="31">
        <v>0</v>
      </c>
      <c r="BB23" s="31">
        <v>0</v>
      </c>
      <c r="BC23" s="29"/>
    </row>
    <row r="24" spans="1:55" ht="17.399999999999999" x14ac:dyDescent="0.35">
      <c r="A24" s="37"/>
      <c r="B24" s="15"/>
      <c r="C24" s="37"/>
      <c r="D24" s="15"/>
      <c r="J24" s="35">
        <v>45425</v>
      </c>
      <c r="K24" s="19">
        <v>1.3</v>
      </c>
      <c r="L24" s="20">
        <v>0.28000000000000003</v>
      </c>
      <c r="M24" s="20">
        <v>0.28000000000000003</v>
      </c>
      <c r="N24" s="20">
        <v>0.28000000000000003</v>
      </c>
      <c r="O24" s="20">
        <v>0.28000000000000003</v>
      </c>
      <c r="P24" s="20">
        <v>0.28000000000000003</v>
      </c>
      <c r="Q24" s="20">
        <v>0.28000000000000003</v>
      </c>
      <c r="R24" s="20">
        <v>0.28000000000000003</v>
      </c>
      <c r="S24" s="20">
        <v>0.28000000000000003</v>
      </c>
      <c r="T24" s="20">
        <v>0.28000000000000003</v>
      </c>
      <c r="U24" s="20">
        <v>0.28000000000000003</v>
      </c>
      <c r="V24" s="20"/>
      <c r="W24" s="20"/>
      <c r="X24" s="20"/>
      <c r="Y24" s="20"/>
      <c r="Z24" s="20"/>
      <c r="AA24" s="20"/>
      <c r="AB24" s="20"/>
      <c r="AC24" s="20"/>
      <c r="AD24" s="24"/>
      <c r="AE24" s="19">
        <v>1.3</v>
      </c>
      <c r="AF24" s="20">
        <v>0.28000000000000003</v>
      </c>
      <c r="AG24" s="20">
        <v>0.28000000000000003</v>
      </c>
      <c r="AH24" s="20">
        <v>0.28000000000000003</v>
      </c>
      <c r="AI24" s="20">
        <v>0.28000000000000003</v>
      </c>
      <c r="AJ24" s="20">
        <v>0.28000000000000003</v>
      </c>
      <c r="AK24" s="20">
        <v>0.28000000000000003</v>
      </c>
      <c r="AL24" s="20">
        <v>0.28000000000000003</v>
      </c>
      <c r="AM24" s="20">
        <v>0.28000000000000003</v>
      </c>
      <c r="AN24" s="20">
        <v>0.28000000000000003</v>
      </c>
      <c r="AO24" s="20">
        <v>0.28000000000000003</v>
      </c>
      <c r="AP24" s="20"/>
      <c r="AQ24" s="20"/>
      <c r="AR24" s="20"/>
      <c r="AS24" s="20"/>
      <c r="AT24" s="20"/>
      <c r="AU24" s="20"/>
      <c r="AV24" s="20"/>
      <c r="AW24" s="20"/>
      <c r="AY24" s="31">
        <v>3</v>
      </c>
      <c r="AZ24" s="31">
        <v>0</v>
      </c>
      <c r="BA24" s="31">
        <v>0</v>
      </c>
      <c r="BB24" s="31">
        <v>0</v>
      </c>
      <c r="BC24" s="33"/>
    </row>
    <row r="25" spans="1:55" ht="17.399999999999999" x14ac:dyDescent="0.35">
      <c r="A25" s="37"/>
      <c r="B25" s="15"/>
      <c r="C25" s="37"/>
      <c r="D25" s="15"/>
      <c r="J25" s="35">
        <v>45426</v>
      </c>
      <c r="K25" s="19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1"/>
      <c r="AE25" s="19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Y25" s="31">
        <v>3.3333333333333335</v>
      </c>
      <c r="AZ25" s="31">
        <v>0</v>
      </c>
      <c r="BA25" s="31">
        <v>0</v>
      </c>
      <c r="BB25" s="31">
        <v>0</v>
      </c>
      <c r="BC25" s="33"/>
    </row>
    <row r="26" spans="1:55" x14ac:dyDescent="0.35">
      <c r="A26" s="37"/>
      <c r="B26" s="15"/>
      <c r="C26" s="37"/>
      <c r="D26" s="15"/>
      <c r="J26" s="35">
        <v>45427</v>
      </c>
      <c r="K26" s="19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1"/>
      <c r="AE26" s="19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Y26" s="31"/>
      <c r="AZ26" s="31"/>
      <c r="BA26" s="31"/>
      <c r="BB26" s="31"/>
      <c r="BC26" s="29"/>
    </row>
    <row r="27" spans="1:55" ht="17.399999999999999" x14ac:dyDescent="0.35">
      <c r="C27" s="37"/>
      <c r="J27" s="35">
        <v>45428</v>
      </c>
      <c r="K27" s="19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1"/>
      <c r="AE27" s="19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Y27" s="31"/>
      <c r="AZ27" s="31"/>
      <c r="BA27" s="31"/>
      <c r="BB27" s="31"/>
      <c r="BC27" s="33"/>
    </row>
    <row r="28" spans="1:55" x14ac:dyDescent="0.35">
      <c r="C28" s="37"/>
      <c r="J28" s="35">
        <v>45429</v>
      </c>
      <c r="K28" s="19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1"/>
      <c r="AE28" s="19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Y28" s="31"/>
      <c r="AZ28" s="31"/>
      <c r="BA28" s="31"/>
      <c r="BB28" s="31"/>
      <c r="BC28" s="29"/>
    </row>
    <row r="29" spans="1:55" x14ac:dyDescent="0.35">
      <c r="C29" s="37"/>
      <c r="J29" s="35">
        <v>45432</v>
      </c>
      <c r="K29" s="19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1"/>
      <c r="AE29" s="19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Y29" s="31"/>
      <c r="AZ29" s="31"/>
      <c r="BA29" s="31"/>
      <c r="BB29" s="31"/>
      <c r="BC29" s="29"/>
    </row>
    <row r="30" spans="1:55" x14ac:dyDescent="0.35">
      <c r="C30" s="37"/>
      <c r="J30" s="35">
        <v>45433</v>
      </c>
      <c r="K30" s="19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1"/>
      <c r="AE30" s="19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Y30" s="31"/>
      <c r="AZ30" s="31"/>
      <c r="BA30" s="31"/>
      <c r="BB30" s="31"/>
      <c r="BC30" s="29"/>
    </row>
    <row r="31" spans="1:55" x14ac:dyDescent="0.35">
      <c r="C31" s="37"/>
      <c r="J31" s="35">
        <v>45434</v>
      </c>
      <c r="K31" s="19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1"/>
      <c r="AE31" s="19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Y31" s="31"/>
      <c r="AZ31" s="31"/>
      <c r="BA31" s="31"/>
      <c r="BB31" s="31"/>
      <c r="BC31" s="29"/>
    </row>
    <row r="32" spans="1:55" x14ac:dyDescent="0.35">
      <c r="C32" s="37"/>
      <c r="J32" s="35">
        <v>45435</v>
      </c>
      <c r="K32" s="19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1"/>
      <c r="AE32" s="19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Y32" s="31"/>
      <c r="AZ32" s="31"/>
      <c r="BA32" s="31"/>
      <c r="BB32" s="31"/>
      <c r="BC32" s="29"/>
    </row>
    <row r="33" spans="3:55" x14ac:dyDescent="0.35">
      <c r="C33" s="37"/>
      <c r="J33" s="35">
        <v>45436</v>
      </c>
      <c r="K33" s="19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1"/>
      <c r="AE33" s="19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Y33" s="31"/>
      <c r="AZ33" s="31"/>
      <c r="BA33" s="31"/>
      <c r="BB33" s="31"/>
      <c r="BC33" s="29"/>
    </row>
    <row r="34" spans="3:55" x14ac:dyDescent="0.35">
      <c r="C34" s="37"/>
      <c r="J34" s="35">
        <v>45440</v>
      </c>
      <c r="K34" s="19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3"/>
      <c r="AE34" s="19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Y34" s="31"/>
      <c r="AZ34" s="31"/>
      <c r="BA34" s="31"/>
      <c r="BB34" s="31"/>
      <c r="BC34" s="29"/>
    </row>
    <row r="35" spans="3:55" x14ac:dyDescent="0.35">
      <c r="C35" s="37"/>
      <c r="J35" s="35">
        <v>45441</v>
      </c>
      <c r="K35" s="19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4"/>
      <c r="AE35" s="19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Y35" s="31"/>
      <c r="AZ35" s="31"/>
      <c r="BA35" s="31"/>
      <c r="BB35" s="31"/>
      <c r="BC35" s="29"/>
    </row>
    <row r="36" spans="3:55" x14ac:dyDescent="0.35">
      <c r="C36" s="37"/>
      <c r="J36" s="35">
        <v>45442</v>
      </c>
      <c r="K36" s="19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4"/>
      <c r="AE36" s="19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Y36" s="31"/>
      <c r="AZ36" s="31"/>
      <c r="BA36" s="31"/>
      <c r="BB36" s="31"/>
      <c r="BC36" s="29"/>
    </row>
    <row r="37" spans="3:55" x14ac:dyDescent="0.35">
      <c r="C37" s="37"/>
      <c r="J37" s="35">
        <v>45443</v>
      </c>
      <c r="K37" s="19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4"/>
      <c r="AE37" s="19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Y37" s="31"/>
      <c r="AZ37" s="31"/>
      <c r="BA37" s="31"/>
      <c r="BB37" s="31"/>
      <c r="BC37" s="29"/>
    </row>
    <row r="38" spans="3:55" x14ac:dyDescent="0.35">
      <c r="J38" s="35"/>
      <c r="K38" s="19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4"/>
      <c r="AE38" s="19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Y38" s="31"/>
      <c r="AZ38" s="31"/>
      <c r="BA38" s="31"/>
      <c r="BB38" s="31"/>
      <c r="BC38" s="29"/>
    </row>
    <row r="39" spans="3:55" x14ac:dyDescent="0.35">
      <c r="J39" s="35"/>
      <c r="K39" s="19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4"/>
      <c r="AE39" s="19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Y39" s="31"/>
      <c r="AZ39" s="31"/>
      <c r="BA39" s="31"/>
      <c r="BB39" s="31"/>
      <c r="BC39" s="29"/>
    </row>
    <row r="40" spans="3:55" x14ac:dyDescent="0.4">
      <c r="J40" s="35"/>
    </row>
    <row r="41" spans="3:55" x14ac:dyDescent="0.4">
      <c r="J41" s="35"/>
    </row>
    <row r="42" spans="3:55" x14ac:dyDescent="0.4">
      <c r="J42" s="35"/>
    </row>
    <row r="43" spans="3:55" x14ac:dyDescent="0.4">
      <c r="J43" s="35"/>
    </row>
    <row r="44" spans="3:55" x14ac:dyDescent="0.4">
      <c r="J44" s="35"/>
    </row>
    <row r="45" spans="3:55" x14ac:dyDescent="0.4">
      <c r="J45" s="35"/>
    </row>
    <row r="46" spans="3:55" x14ac:dyDescent="0.4">
      <c r="J46" s="35"/>
    </row>
  </sheetData>
  <mergeCells count="42">
    <mergeCell ref="A13:D13"/>
    <mergeCell ref="A14:B15"/>
    <mergeCell ref="C14:D15"/>
    <mergeCell ref="F12:G13"/>
    <mergeCell ref="H12:I13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K6:L6"/>
    <mergeCell ref="M6:N6"/>
    <mergeCell ref="C7:D7"/>
    <mergeCell ref="A8:B8"/>
    <mergeCell ref="C8:D8"/>
    <mergeCell ref="A9:B9"/>
    <mergeCell ref="C9:D9"/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2022-04-01T01:32:47Z</dcterms:created>
  <dcterms:modified xsi:type="dcterms:W3CDTF">2025-11-24T13:14:31Z</dcterms:modified>
</cp:coreProperties>
</file>