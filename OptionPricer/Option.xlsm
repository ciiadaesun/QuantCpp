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</text>
    </comment>
  </commentList>
</comments>
</file>

<file path=xl/sharedStrings.xml><?xml version="1.0" encoding="utf-8"?>
<sst xmlns="http://schemas.openxmlformats.org/spreadsheetml/2006/main" count="32" uniqueCount="30">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</sst>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9"/>
  <sheetViews>
    <sheetView tabSelected="1" workbookViewId="0">
      <selection activeCell="L16" sqref="L16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49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</row>
    <row r="2" spans="1:49" s="1" customFormat="1" x14ac:dyDescent="0.4">
      <c r="A2" s="31" t="s">
        <v>28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49" s="1" customFormat="1" x14ac:dyDescent="0.4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49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49" x14ac:dyDescent="0.4">
      <c r="A5" s="32" t="s">
        <v>0</v>
      </c>
      <c r="B5" s="32"/>
      <c r="C5" s="34">
        <v>0</v>
      </c>
      <c r="D5" s="34"/>
      <c r="E5" s="11" t="str">
        <f>IF(C5=0,"매수","매도")</f>
        <v>매수</v>
      </c>
      <c r="F5" s="32" t="s">
        <v>6</v>
      </c>
      <c r="G5" s="32"/>
      <c r="H5" s="35">
        <v>100</v>
      </c>
      <c r="I5" s="35"/>
      <c r="J5" s="1"/>
      <c r="K5" s="32" t="s">
        <v>18</v>
      </c>
      <c r="L5" s="32"/>
      <c r="M5" s="34">
        <v>1</v>
      </c>
      <c r="N5" s="34"/>
      <c r="O5" s="1"/>
      <c r="P5" s="1"/>
      <c r="Q5" s="47" t="s">
        <v>29</v>
      </c>
      <c r="R5" s="47"/>
      <c r="S5" s="46"/>
      <c r="T5" s="46"/>
      <c r="U5" s="46"/>
      <c r="V5" s="46"/>
    </row>
    <row r="6" spans="1:49" x14ac:dyDescent="0.4">
      <c r="A6" s="32" t="s">
        <v>2</v>
      </c>
      <c r="B6" s="32"/>
      <c r="C6" s="34">
        <v>0</v>
      </c>
      <c r="D6" s="34"/>
      <c r="E6" s="11" t="str">
        <f>IF(C6=0,"콜","풋")</f>
        <v>콜</v>
      </c>
      <c r="F6" s="32" t="s">
        <v>7</v>
      </c>
      <c r="G6" s="32"/>
      <c r="H6" s="35">
        <v>100</v>
      </c>
      <c r="I6" s="35"/>
      <c r="J6" s="1"/>
      <c r="K6" s="1"/>
      <c r="L6" s="1"/>
      <c r="M6" s="1"/>
      <c r="N6" s="1"/>
      <c r="O6" s="1"/>
      <c r="P6" s="1"/>
      <c r="Q6" s="1"/>
      <c r="R6" s="1"/>
      <c r="S6" s="46"/>
      <c r="T6" s="46"/>
      <c r="U6" s="46"/>
      <c r="V6" s="46"/>
    </row>
    <row r="7" spans="1:49" x14ac:dyDescent="0.4">
      <c r="A7" s="32" t="s">
        <v>1</v>
      </c>
      <c r="B7" s="32"/>
      <c r="C7" s="34">
        <v>3</v>
      </c>
      <c r="D7" s="34"/>
      <c r="E7" s="11" t="str">
        <f>IF(C7=0,"바닐라",IF(C7 = 1, "디지털", IF(C7 = 2, "아시안", IF(C7 = 3, "아메리칸", IF(C7 = 4, "아메리칸디지털", "다시입력")))))</f>
        <v>아메리칸</v>
      </c>
      <c r="F7" s="32" t="str">
        <f>IF(C7=2,"평균가격","")</f>
        <v/>
      </c>
      <c r="G7" s="32"/>
      <c r="H7" s="35">
        <v>100</v>
      </c>
      <c r="I7" s="35"/>
      <c r="J7" s="11" t="str">
        <f>IF(F7="","입력필요X","")</f>
        <v>입력필요X</v>
      </c>
      <c r="K7" s="1"/>
      <c r="L7" s="1"/>
      <c r="M7" s="42" t="s">
        <v>20</v>
      </c>
      <c r="N7" s="42"/>
      <c r="O7" s="43">
        <v>5.9277626199864653</v>
      </c>
      <c r="P7" s="43"/>
      <c r="Q7" s="1"/>
      <c r="R7" s="1"/>
      <c r="S7" s="1"/>
    </row>
    <row r="8" spans="1:49" x14ac:dyDescent="0.4">
      <c r="A8" s="32" t="s">
        <v>5</v>
      </c>
      <c r="B8" s="32"/>
      <c r="C8" s="33">
        <v>44652</v>
      </c>
      <c r="D8" s="34"/>
      <c r="E8" s="4"/>
      <c r="F8" s="1"/>
      <c r="G8" s="1"/>
      <c r="H8" s="1"/>
      <c r="I8" s="1"/>
      <c r="K8" s="1"/>
      <c r="L8" s="1"/>
      <c r="M8" s="44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49" x14ac:dyDescent="0.4">
      <c r="A9" s="32" t="str">
        <f>IF(C7=2,"평균시작일",IF(OR(C7 = 3, C7 = 4), "행사시작일", ""))</f>
        <v>행사시작일</v>
      </c>
      <c r="B9" s="32"/>
      <c r="C9" s="33">
        <v>45017</v>
      </c>
      <c r="D9" s="34"/>
      <c r="E9" s="11" t="str">
        <f>IF(A9="","입력필요X","")</f>
        <v/>
      </c>
      <c r="F9" s="36" t="s">
        <v>14</v>
      </c>
      <c r="G9" s="36"/>
      <c r="H9" s="36"/>
      <c r="I9" s="36"/>
      <c r="K9" s="1"/>
      <c r="L9" s="1"/>
      <c r="M9" s="45"/>
      <c r="N9" s="14">
        <v>0.41170247863509468</v>
      </c>
      <c r="O9" s="15">
        <v>3.4986871397475028E-2</v>
      </c>
      <c r="P9" s="15">
        <v>0.38815036385978852</v>
      </c>
      <c r="Q9" s="15">
        <v>-9.0856131786827277E-3</v>
      </c>
      <c r="R9" s="15">
        <v>0.47741447547471338</v>
      </c>
      <c r="S9" s="1"/>
    </row>
    <row r="10" spans="1:49" x14ac:dyDescent="0.4">
      <c r="A10" s="32" t="s">
        <v>4</v>
      </c>
      <c r="B10" s="32"/>
      <c r="C10" s="33">
        <v>45017</v>
      </c>
      <c r="D10" s="34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49" x14ac:dyDescent="0.4">
      <c r="A11" s="32" t="s">
        <v>3</v>
      </c>
      <c r="B11" s="32"/>
      <c r="C11" s="33">
        <f>C10</f>
        <v>45017</v>
      </c>
      <c r="D11" s="34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49" s="1" customFormat="1" x14ac:dyDescent="0.4">
      <c r="E12" s="24"/>
      <c r="F12" s="48" t="str">
        <f>IF(G10=2,"배당액입력(금액입력)","Dividend(%입력)")</f>
        <v>Dividend(%입력)</v>
      </c>
      <c r="G12" s="48"/>
      <c r="H12" s="49" t="s">
        <v>17</v>
      </c>
      <c r="I12" s="49"/>
      <c r="J12" s="24"/>
      <c r="K12" s="36" t="s">
        <v>11</v>
      </c>
      <c r="L12" s="36"/>
      <c r="M12" s="36"/>
      <c r="N12" s="36"/>
    </row>
    <row r="13" spans="1:49" s="1" customFormat="1" x14ac:dyDescent="0.4">
      <c r="A13" s="36" t="s">
        <v>10</v>
      </c>
      <c r="B13" s="36"/>
      <c r="C13" s="36"/>
      <c r="D13" s="36"/>
      <c r="E13" s="24"/>
      <c r="F13" s="48"/>
      <c r="G13" s="48"/>
      <c r="H13" s="49"/>
      <c r="I13" s="49"/>
      <c r="J13" s="24"/>
      <c r="K13" s="39" t="s">
        <v>27</v>
      </c>
      <c r="L13" s="40"/>
      <c r="M13" s="40"/>
      <c r="N13" s="29"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1" t="s">
        <v>19</v>
      </c>
      <c r="AF13" s="41"/>
      <c r="AG13" s="41"/>
      <c r="AH13" s="41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ht="17.399999999999999" customHeight="1" x14ac:dyDescent="0.35">
      <c r="A14" s="48" t="s">
        <v>8</v>
      </c>
      <c r="B14" s="48"/>
      <c r="C14" s="49" t="s">
        <v>9</v>
      </c>
      <c r="D14" s="49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7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7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x14ac:dyDescent="0.35">
      <c r="A15" s="48"/>
      <c r="B15" s="48"/>
      <c r="C15" s="49"/>
      <c r="D15" s="49"/>
      <c r="F15" s="16">
        <v>0.25</v>
      </c>
      <c r="G15" s="17">
        <v>1.49E-2</v>
      </c>
      <c r="H15" s="16">
        <v>0.75</v>
      </c>
      <c r="I15" s="17">
        <v>0.05</v>
      </c>
      <c r="K15" s="38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38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</row>
    <row r="16" spans="1:49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0.61932149281680948</v>
      </c>
      <c r="AG16" s="22">
        <v>0.6033122976472145</v>
      </c>
      <c r="AH16" s="22">
        <v>0.62145147233948261</v>
      </c>
      <c r="AI16" s="22">
        <v>0.40410157770753302</v>
      </c>
      <c r="AJ16" s="22">
        <v>0.37904652033722236</v>
      </c>
      <c r="AK16" s="22">
        <v>0.38420070547934543</v>
      </c>
      <c r="AL16" s="22">
        <v>0.3477070828746901</v>
      </c>
      <c r="AM16" s="22">
        <v>0.26721419408832775</v>
      </c>
      <c r="AN16" s="22">
        <v>0.26911589184768442</v>
      </c>
      <c r="AO16" s="22">
        <v>0.30745555375080846</v>
      </c>
      <c r="AP16" s="22"/>
      <c r="AQ16" s="22"/>
      <c r="AR16" s="22"/>
      <c r="AS16" s="22"/>
      <c r="AT16" s="22"/>
      <c r="AU16" s="22"/>
      <c r="AV16" s="22"/>
      <c r="AW16" s="22"/>
    </row>
    <row r="17" spans="1:4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0.6826871209804547</v>
      </c>
      <c r="AG17" s="22">
        <v>0.47204544246567587</v>
      </c>
      <c r="AH17" s="22">
        <v>0.58737244085750218</v>
      </c>
      <c r="AI17" s="22">
        <v>0.32496229801651161</v>
      </c>
      <c r="AJ17" s="22">
        <v>0.28212198051038451</v>
      </c>
      <c r="AK17" s="22">
        <v>0.28181548927054001</v>
      </c>
      <c r="AL17" s="22">
        <v>0.27444817198137827</v>
      </c>
      <c r="AM17" s="22">
        <v>0.22591236939842715</v>
      </c>
      <c r="AN17" s="22">
        <v>0.21520192722373047</v>
      </c>
      <c r="AO17" s="22">
        <v>0.24342836163611181</v>
      </c>
      <c r="AP17" s="22"/>
      <c r="AQ17" s="22"/>
      <c r="AR17" s="22"/>
      <c r="AS17" s="22"/>
      <c r="AT17" s="22"/>
      <c r="AU17" s="22"/>
      <c r="AV17" s="22"/>
      <c r="AW17" s="22"/>
    </row>
    <row r="18" spans="1:49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0.5231771860238108</v>
      </c>
      <c r="AG18" s="22">
        <v>0.35999381046593881</v>
      </c>
      <c r="AH18" s="22">
        <v>0.34015071575600031</v>
      </c>
      <c r="AI18" s="22">
        <v>0.25004460477903906</v>
      </c>
      <c r="AJ18" s="22">
        <v>0.21841559109490163</v>
      </c>
      <c r="AK18" s="22">
        <v>0.20951762275717895</v>
      </c>
      <c r="AL18" s="22">
        <v>0.21551327284364372</v>
      </c>
      <c r="AM18" s="22">
        <v>0.19846961470585525</v>
      </c>
      <c r="AN18" s="22">
        <v>0.19757869359943625</v>
      </c>
      <c r="AO18" s="22">
        <v>0.20845706529062188</v>
      </c>
      <c r="AP18" s="22"/>
      <c r="AQ18" s="22"/>
      <c r="AR18" s="22"/>
      <c r="AS18" s="22"/>
      <c r="AT18" s="22"/>
      <c r="AU18" s="22"/>
      <c r="AV18" s="22"/>
      <c r="AW18" s="22"/>
    </row>
    <row r="19" spans="1:49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0.38803368878449124</v>
      </c>
      <c r="AG19" s="22">
        <v>0.28643164633066298</v>
      </c>
      <c r="AH19" s="22">
        <v>0.27414457624694033</v>
      </c>
      <c r="AI19" s="22">
        <v>0.21797253140386502</v>
      </c>
      <c r="AJ19" s="22">
        <v>0.18979856169220727</v>
      </c>
      <c r="AK19" s="22">
        <v>0.18427504589845892</v>
      </c>
      <c r="AL19" s="22">
        <v>0.19395769684277819</v>
      </c>
      <c r="AM19" s="22">
        <v>0.18285666307436324</v>
      </c>
      <c r="AN19" s="22">
        <v>0.18087786132821612</v>
      </c>
      <c r="AO19" s="22">
        <v>0.18915554209873525</v>
      </c>
      <c r="AP19" s="22"/>
      <c r="AQ19" s="22"/>
      <c r="AR19" s="22"/>
      <c r="AS19" s="22"/>
      <c r="AT19" s="22"/>
      <c r="AU19" s="22"/>
      <c r="AV19" s="22"/>
      <c r="AW19" s="22"/>
    </row>
    <row r="20" spans="1:49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0.24700924096733873</v>
      </c>
      <c r="AG20" s="22">
        <v>0.20444235961938187</v>
      </c>
      <c r="AH20" s="22">
        <v>0.18348733671328801</v>
      </c>
      <c r="AI20" s="22">
        <v>0.18586022159042417</v>
      </c>
      <c r="AJ20" s="22">
        <v>0.17561244632924258</v>
      </c>
      <c r="AK20" s="22">
        <v>0.17244286544367443</v>
      </c>
      <c r="AL20" s="22">
        <v>0.18244597193431611</v>
      </c>
      <c r="AM20" s="22">
        <v>0.1748491777185763</v>
      </c>
      <c r="AN20" s="22">
        <v>0.17485457982263641</v>
      </c>
      <c r="AO20" s="22">
        <v>0.18597336229469574</v>
      </c>
      <c r="AP20" s="22"/>
      <c r="AQ20" s="22"/>
      <c r="AR20" s="22"/>
      <c r="AS20" s="22"/>
      <c r="AT20" s="22"/>
      <c r="AU20" s="22"/>
      <c r="AV20" s="22"/>
      <c r="AW20" s="22"/>
    </row>
    <row r="21" spans="1:49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0.13582733888094592</v>
      </c>
      <c r="AG21" s="22">
        <v>0.14512304166028986</v>
      </c>
      <c r="AH21" s="22">
        <v>0.14096763667957354</v>
      </c>
      <c r="AI21" s="22">
        <v>0.15414444879477135</v>
      </c>
      <c r="AJ21" s="22">
        <v>0.1556554506203166</v>
      </c>
      <c r="AK21" s="22">
        <v>0.15721306700189422</v>
      </c>
      <c r="AL21" s="22">
        <v>0.17002818680126819</v>
      </c>
      <c r="AM21" s="22">
        <v>0.16662241659797408</v>
      </c>
      <c r="AN21" s="22">
        <v>0.16508271674534469</v>
      </c>
      <c r="AO21" s="22">
        <v>0.17657000300279799</v>
      </c>
      <c r="AP21" s="22"/>
      <c r="AQ21" s="22"/>
      <c r="AR21" s="22"/>
      <c r="AS21" s="22"/>
      <c r="AT21" s="22"/>
      <c r="AU21" s="22"/>
      <c r="AV21" s="22"/>
      <c r="AW21" s="22"/>
    </row>
    <row r="22" spans="1:49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9.5630984278262332E-2</v>
      </c>
      <c r="AG22" s="22">
        <v>0.1115030030479859</v>
      </c>
      <c r="AH22" s="22">
        <v>0.13607248327983879</v>
      </c>
      <c r="AI22" s="22">
        <v>0.13324121486102489</v>
      </c>
      <c r="AJ22" s="22">
        <v>0.13710541630293388</v>
      </c>
      <c r="AK22" s="22">
        <v>0.14760624965992875</v>
      </c>
      <c r="AL22" s="22">
        <v>0.15751636028647642</v>
      </c>
      <c r="AM22" s="22">
        <v>0.15856898954702672</v>
      </c>
      <c r="AN22" s="22">
        <v>0.16028751162514929</v>
      </c>
      <c r="AO22" s="22">
        <v>0.16505278935970225</v>
      </c>
      <c r="AP22" s="22"/>
      <c r="AQ22" s="22"/>
      <c r="AR22" s="22"/>
      <c r="AS22" s="22"/>
      <c r="AT22" s="22"/>
      <c r="AU22" s="22"/>
      <c r="AV22" s="22"/>
      <c r="AW22" s="22"/>
    </row>
    <row r="23" spans="1:49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0.12282401384578016</v>
      </c>
      <c r="AG23" s="22">
        <v>0.11252476121011851</v>
      </c>
      <c r="AH23" s="22">
        <v>0.130673378148667</v>
      </c>
      <c r="AI23" s="22">
        <v>0.12707678981045603</v>
      </c>
      <c r="AJ23" s="22">
        <v>0.13664357525540902</v>
      </c>
      <c r="AK23" s="22">
        <v>0.15247080950271627</v>
      </c>
      <c r="AL23" s="22">
        <v>0.16157313092693684</v>
      </c>
      <c r="AM23" s="22">
        <v>0.16526063908002997</v>
      </c>
      <c r="AN23" s="22">
        <v>0.16773734014589339</v>
      </c>
      <c r="AO23" s="22">
        <v>0.1682088520616434</v>
      </c>
      <c r="AP23" s="22"/>
      <c r="AQ23" s="22"/>
      <c r="AR23" s="22"/>
      <c r="AS23" s="22"/>
      <c r="AT23" s="22"/>
      <c r="AU23" s="22"/>
      <c r="AV23" s="22"/>
      <c r="AW23" s="22"/>
    </row>
    <row r="24" spans="1:4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0.13439493661091106</v>
      </c>
      <c r="AG24" s="22">
        <v>0.12724857671440326</v>
      </c>
      <c r="AH24" s="22">
        <v>0.1182663901962368</v>
      </c>
      <c r="AI24" s="22">
        <v>0.13344365107519932</v>
      </c>
      <c r="AJ24" s="22">
        <v>0.13938249910035788</v>
      </c>
      <c r="AK24" s="22">
        <v>0.14913948749320094</v>
      </c>
      <c r="AL24" s="22">
        <v>0.1635135249744808</v>
      </c>
      <c r="AM24" s="22">
        <v>0.16997914172448167</v>
      </c>
      <c r="AN24" s="22">
        <v>0.17260139553608597</v>
      </c>
      <c r="AO24" s="22">
        <v>0.1716298692521985</v>
      </c>
      <c r="AP24" s="22"/>
      <c r="AQ24" s="22"/>
      <c r="AR24" s="22"/>
      <c r="AS24" s="22"/>
      <c r="AT24" s="22"/>
      <c r="AU24" s="22"/>
      <c r="AV24" s="22"/>
      <c r="AW24" s="22"/>
    </row>
    <row r="25" spans="1:4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</row>
    <row r="26" spans="1:49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</row>
    <row r="27" spans="1:4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</row>
    <row r="28" spans="1:49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</row>
    <row r="29" spans="1:49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</row>
    <row r="30" spans="1:49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</row>
    <row r="31" spans="1:49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</row>
    <row r="32" spans="1:49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</row>
    <row r="33" spans="11:49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</row>
    <row r="34" spans="11:49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</row>
    <row r="35" spans="11:49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</row>
    <row r="36" spans="11:49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</row>
    <row r="37" spans="11:49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</row>
    <row r="38" spans="11:49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</row>
    <row r="39" spans="11:49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</row>
  </sheetData>
  <mergeCells count="39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2023-05-26T04:27:20Z</dcterms:modified>
</cp:coreProperties>
</file>