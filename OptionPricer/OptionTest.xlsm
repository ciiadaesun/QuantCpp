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OptionPric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6" i="1" l="1"/>
  <c r="E8" i="1" l="1"/>
  <c r="C11" i="1"/>
  <c r="E7" i="1" l="1"/>
  <c r="F7" i="1" l="1"/>
  <c r="AX1" i="1" l="1"/>
  <c r="AY1" i="1" s="1"/>
  <c r="AZ1" i="1" s="1"/>
  <c r="BA1" i="1" s="1"/>
  <c r="BB1" i="1" s="1"/>
  <c r="BC1" i="1" s="1"/>
  <c r="F12" i="1" l="1"/>
  <c r="J7" i="1" l="1"/>
  <c r="A9" i="1"/>
  <c r="E9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B1" i="1"/>
  <c r="E6" i="1"/>
  <c r="E5" i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A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바닐라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디지털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아메리칸</t>
        </r>
        <r>
          <rPr>
            <b/>
            <sz val="9"/>
            <color indexed="81"/>
            <rFont val="Tahoma"/>
            <family val="2"/>
          </rPr>
          <t>(FDM)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</t>
        </r>
        <r>
          <rPr>
            <b/>
            <sz val="9"/>
            <color indexed="81"/>
            <rFont val="돋움"/>
            <family val="3"/>
            <charset val="129"/>
          </rPr>
          <t>아메리칸디지털</t>
        </r>
        <r>
          <rPr>
            <b/>
            <sz val="9"/>
            <color indexed="81"/>
            <rFont val="Tahoma"/>
            <family val="2"/>
          </rPr>
          <t>(FDM)
5: Down And In Barrier
6: Down And Out Barrier
7: Up And In Barrier
8: Up And Out Barrier</t>
        </r>
      </text>
    </comment>
    <comment ref="F7" authorId="0" shapeId="0">
      <text>
        <r>
          <rPr>
            <b/>
            <sz val="9"/>
            <color indexed="81"/>
            <rFont val="돋움"/>
            <family val="3"/>
            <charset val="129"/>
          </rPr>
          <t>평균시작일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날짜에</t>
        </r>
        <r>
          <rPr>
            <b/>
            <sz val="9"/>
            <color indexed="81"/>
            <rFont val="Tahoma"/>
            <family val="2"/>
          </rPr>
          <t xml:space="preserve"> Asian</t>
        </r>
        <r>
          <rPr>
            <b/>
            <sz val="9"/>
            <color indexed="81"/>
            <rFont val="돋움"/>
            <family val="3"/>
            <charset val="129"/>
          </rPr>
          <t>옵션을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0: Flat
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금액입력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K13" authorId="1" shapeId="0">
      <text>
        <r>
          <rPr>
            <b/>
            <sz val="9"/>
            <color indexed="81"/>
            <rFont val="Tahoma"/>
            <family val="2"/>
          </rPr>
          <t>0: Implied Vol</t>
        </r>
        <r>
          <rPr>
            <b/>
            <sz val="9"/>
            <color indexed="81"/>
            <rFont val="돋움"/>
            <family val="3"/>
            <charset val="129"/>
          </rPr>
          <t>인풋</t>
        </r>
        <r>
          <rPr>
            <b/>
            <sz val="9"/>
            <color indexed="81"/>
            <rFont val="Tahoma"/>
            <family val="2"/>
          </rPr>
          <t xml:space="preserve"> LocalVol </t>
        </r>
        <r>
          <rPr>
            <b/>
            <sz val="9"/>
            <color indexed="81"/>
            <rFont val="돋움"/>
            <family val="3"/>
            <charset val="129"/>
          </rPr>
          <t>내부계산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시뮬레이션</t>
        </r>
        <r>
          <rPr>
            <b/>
            <sz val="9"/>
            <color indexed="81"/>
            <rFont val="Tahoma"/>
            <family val="2"/>
          </rPr>
          <t>,FDM</t>
        </r>
        <r>
          <rPr>
            <b/>
            <sz val="9"/>
            <color indexed="81"/>
            <rFont val="돋움"/>
            <family val="3"/>
            <charset val="129"/>
          </rPr>
          <t>의경우에만</t>
        </r>
        <r>
          <rPr>
            <b/>
            <sz val="9"/>
            <color indexed="81"/>
            <rFont val="Tahoma"/>
            <family val="2"/>
          </rPr>
          <t>)
1: Local Vol</t>
        </r>
        <r>
          <rPr>
            <b/>
            <sz val="9"/>
            <color indexed="81"/>
            <rFont val="돋움"/>
            <family val="3"/>
            <charset val="129"/>
          </rPr>
          <t xml:space="preserve">인풋
</t>
        </r>
        <r>
          <rPr>
            <b/>
            <sz val="9"/>
            <color indexed="81"/>
            <rFont val="Tahoma"/>
            <family val="2"/>
          </rPr>
          <t xml:space="preserve">2: Simple Vol </t>
        </r>
        <r>
          <rPr>
            <b/>
            <sz val="9"/>
            <color indexed="81"/>
            <rFont val="돋움"/>
            <family val="3"/>
            <charset val="129"/>
          </rPr>
          <t>찾아서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 xml:space="preserve">3: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 xml:space="preserve">(Beta = 1.0)
4: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<sst xmlns="http://schemas.openxmlformats.org/spreadsheetml/2006/main" count="39" uniqueCount="37">
  <si>
    <t>매수/매도</t>
    <phoneticPr fontId="1" type="noConversion"/>
  </si>
  <si>
    <t>옵션타입</t>
    <phoneticPr fontId="1" type="noConversion"/>
  </si>
  <si>
    <t>콜/풋</t>
    <phoneticPr fontId="1" type="noConversion"/>
  </si>
  <si>
    <t>지급일</t>
    <phoneticPr fontId="1" type="noConversion"/>
  </si>
  <si>
    <t>만기일</t>
    <phoneticPr fontId="1" type="noConversion"/>
  </si>
  <si>
    <t>가격계산일</t>
    <phoneticPr fontId="1" type="noConversion"/>
  </si>
  <si>
    <t>기초자산가격</t>
    <phoneticPr fontId="1" type="noConversion"/>
  </si>
  <si>
    <t>행사가격</t>
    <phoneticPr fontId="1" type="noConversion"/>
  </si>
  <si>
    <t>Discount</t>
    <phoneticPr fontId="1" type="noConversion"/>
  </si>
  <si>
    <t>Reference</t>
    <phoneticPr fontId="1" type="noConversion"/>
  </si>
  <si>
    <t>이자율</t>
    <phoneticPr fontId="1" type="noConversion"/>
  </si>
  <si>
    <t>변동성</t>
    <phoneticPr fontId="1" type="noConversion"/>
  </si>
  <si>
    <t>기간구조</t>
    <phoneticPr fontId="1" type="noConversion"/>
  </si>
  <si>
    <t>Moneyness</t>
    <phoneticPr fontId="1" type="noConversion"/>
  </si>
  <si>
    <t>배당 및 콴토</t>
    <phoneticPr fontId="1" type="noConversion"/>
  </si>
  <si>
    <t>배당타입</t>
    <phoneticPr fontId="1" type="noConversion"/>
  </si>
  <si>
    <t>QuantoCorr</t>
    <phoneticPr fontId="1" type="noConversion"/>
  </si>
  <si>
    <t>FX Volatility</t>
    <phoneticPr fontId="1" type="noConversion"/>
  </si>
  <si>
    <t>GreekFlag</t>
    <phoneticPr fontId="1" type="noConversion"/>
  </si>
  <si>
    <t>Dupire 로컬 변동성</t>
    <phoneticPr fontId="1" type="noConversion"/>
  </si>
  <si>
    <t>가격</t>
    <phoneticPr fontId="1" type="noConversion"/>
  </si>
  <si>
    <t>Greeks</t>
    <phoneticPr fontId="1" type="noConversion"/>
  </si>
  <si>
    <t>Delta</t>
    <phoneticPr fontId="1" type="noConversion"/>
  </si>
  <si>
    <t>Gamma</t>
    <phoneticPr fontId="1" type="noConversion"/>
  </si>
  <si>
    <t>Vega</t>
    <phoneticPr fontId="1" type="noConversion"/>
  </si>
  <si>
    <t>Theta</t>
    <phoneticPr fontId="1" type="noConversion"/>
  </si>
  <si>
    <t>Rho</t>
    <phoneticPr fontId="1" type="noConversion"/>
  </si>
  <si>
    <t>Implied Vol/ Local Vol Flag</t>
    <phoneticPr fontId="1" type="noConversion"/>
  </si>
  <si>
    <t>Option Pricer</t>
    <phoneticPr fontId="1" type="noConversion"/>
  </si>
  <si>
    <t>Error메시지</t>
    <phoneticPr fontId="1" type="noConversion"/>
  </si>
  <si>
    <t>SABR Parameter</t>
    <phoneticPr fontId="1" type="noConversion"/>
  </si>
  <si>
    <t>Term</t>
    <phoneticPr fontId="1" type="noConversion"/>
  </si>
  <si>
    <t>Alpha</t>
    <phoneticPr fontId="1" type="noConversion"/>
  </si>
  <si>
    <t>Vega</t>
    <phoneticPr fontId="1" type="noConversion"/>
  </si>
  <si>
    <t>Rho</t>
    <phoneticPr fontId="1" type="noConversion"/>
  </si>
  <si>
    <t>RMSPE</t>
    <phoneticPr fontId="1" type="noConversion"/>
  </si>
  <si>
    <t>TextFlag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</si>
</sst>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.00_);[Red]\(0.00\)"/>
    <numFmt numFmtId="177" formatCode="0_);[Red]\(0\)"/>
    <numFmt numFmtId="178" formatCode="0.0_);[Red]\(0.0\)"/>
    <numFmt numFmtId="179" formatCode="0.0000_ ;[Red]\-0.0000\ "/>
    <numFmt numFmtId="180" formatCode="0.0000_);[Red]\(0.0000\)"/>
    <numFmt numFmtId="181" formatCode="0.0000_ "/>
    <numFmt numFmtId="182" formatCode="0.00000_);[Red]\(0.00000\)"/>
    <numFmt numFmtId="183" formatCode="0.0000%"/>
    <numFmt numFmtId="184" formatCode="0.00000%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rgb="FFE6E6E6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4" fillId="0" borderId="0" applyFont="0" applyFill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0" fontId="7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8" fillId="13" borderId="0" xfId="0" applyFont="1" applyFill="1" applyProtection="1">
      <alignment vertical="center"/>
    </xf>
    <xf numFmtId="0" fontId="10" fillId="5" borderId="0" xfId="0" applyFont="1" applyFill="1">
      <alignment vertical="center"/>
    </xf>
    <xf numFmtId="0" fontId="4" fillId="15" borderId="9" xfId="0" applyFont="1" applyFill="1" applyBorder="1" applyAlignment="1">
      <alignment horizontal="center" vertical="center"/>
    </xf>
    <xf numFmtId="180" fontId="4" fillId="15" borderId="8" xfId="0" applyNumberFormat="1" applyFont="1" applyFill="1" applyBorder="1" applyAlignment="1">
      <alignment horizontal="center" vertical="center"/>
    </xf>
    <xf numFmtId="0" fontId="4" fillId="15" borderId="8" xfId="0" applyFont="1" applyFill="1" applyBorder="1" applyAlignment="1">
      <alignment horizontal="center" vertical="center"/>
    </xf>
    <xf numFmtId="176" fontId="7" fillId="5" borderId="0" xfId="0" applyNumberFormat="1" applyFont="1" applyFill="1">
      <alignment vertical="center"/>
    </xf>
    <xf numFmtId="10" fontId="7" fillId="5" borderId="0" xfId="0" applyNumberFormat="1" applyFont="1" applyFill="1">
      <alignment vertical="center"/>
    </xf>
    <xf numFmtId="0" fontId="4" fillId="15" borderId="8" xfId="0" applyFont="1" applyFill="1" applyBorder="1" applyAlignment="1">
      <alignment horizontal="center" vertical="center"/>
    </xf>
    <xf numFmtId="0" fontId="12" fillId="16" borderId="0" xfId="0" applyFont="1" applyFill="1">
      <alignment vertical="center"/>
    </xf>
    <xf numFmtId="0" fontId="7" fillId="11" borderId="0" xfId="0" applyFont="1" applyFill="1" applyProtection="1">
      <alignment vertical="center"/>
      <protection locked="0"/>
    </xf>
    <xf numFmtId="178" fontId="7" fillId="11" borderId="0" xfId="0" applyNumberFormat="1" applyFont="1" applyFill="1" applyProtection="1">
      <alignment vertical="center"/>
      <protection locked="0"/>
    </xf>
    <xf numFmtId="181" fontId="7" fillId="9" borderId="11" xfId="0" applyNumberFormat="1" applyFont="1" applyFill="1" applyBorder="1" applyProtection="1">
      <alignment vertical="center"/>
      <protection locked="0"/>
    </xf>
    <xf numFmtId="181" fontId="7" fillId="9" borderId="7" xfId="0" applyNumberFormat="1" applyFont="1" applyFill="1" applyBorder="1" applyProtection="1">
      <alignment vertical="center"/>
      <protection locked="0"/>
    </xf>
    <xf numFmtId="10" fontId="6" fillId="7" borderId="0" xfId="0" applyNumberFormat="1" applyFont="1" applyFill="1" applyBorder="1" applyAlignment="1" applyProtection="1">
      <protection locked="0"/>
    </xf>
    <xf numFmtId="0" fontId="8" fillId="7" borderId="0" xfId="0" applyFont="1" applyFill="1" applyProtection="1">
      <alignment vertical="center"/>
      <protection locked="0"/>
    </xf>
    <xf numFmtId="176" fontId="5" fillId="10" borderId="5" xfId="0" applyNumberFormat="1" applyFont="1" applyFill="1" applyBorder="1" applyAlignment="1" applyProtection="1">
      <alignment vertical="center"/>
      <protection locked="0"/>
    </xf>
    <xf numFmtId="10" fontId="6" fillId="3" borderId="5" xfId="0" applyNumberFormat="1" applyFont="1" applyFill="1" applyBorder="1" applyAlignment="1" applyProtection="1">
      <protection locked="0"/>
    </xf>
    <xf numFmtId="0" fontId="8" fillId="14" borderId="0" xfId="0" applyFont="1" applyFill="1" applyBorder="1" applyProtection="1">
      <alignment vertical="center"/>
      <protection locked="0"/>
    </xf>
    <xf numFmtId="0" fontId="7" fillId="5" borderId="0" xfId="0" applyFont="1" applyFill="1" applyProtection="1">
      <alignment vertical="center"/>
      <protection locked="0"/>
    </xf>
    <xf numFmtId="0" fontId="8" fillId="2" borderId="0" xfId="0" applyFont="1" applyFill="1" applyProtection="1">
      <alignment vertical="center"/>
      <protection locked="0"/>
    </xf>
    <xf numFmtId="0" fontId="8" fillId="13" borderId="0" xfId="0" applyFont="1" applyFill="1" applyProtection="1">
      <alignment vertical="center"/>
      <protection locked="0"/>
    </xf>
    <xf numFmtId="0" fontId="4" fillId="4" borderId="2" xfId="0" applyFont="1" applyFill="1" applyBorder="1" applyAlignment="1" applyProtection="1">
      <alignment vertical="center"/>
      <protection locked="0"/>
    </xf>
    <xf numFmtId="0" fontId="4" fillId="4" borderId="3" xfId="0" applyFont="1" applyFill="1" applyBorder="1" applyAlignment="1" applyProtection="1">
      <alignment vertical="center"/>
      <protection locked="0"/>
    </xf>
    <xf numFmtId="177" fontId="9" fillId="11" borderId="0" xfId="0" applyNumberFormat="1" applyFont="1" applyFill="1" applyBorder="1" applyAlignment="1" applyProtection="1">
      <alignment vertical="center"/>
      <protection locked="0"/>
    </xf>
    <xf numFmtId="0" fontId="10" fillId="5" borderId="0" xfId="0" applyFont="1" applyFill="1" applyProtection="1">
      <alignment vertical="center"/>
      <protection locked="0"/>
    </xf>
    <xf numFmtId="0" fontId="7" fillId="13" borderId="0" xfId="0" applyFont="1" applyFill="1" applyProtection="1">
      <alignment vertical="center"/>
    </xf>
    <xf numFmtId="176" fontId="5" fillId="10" borderId="5" xfId="0" applyNumberFormat="1" applyFont="1" applyFill="1" applyBorder="1" applyAlignment="1" applyProtection="1">
      <alignment vertical="center"/>
    </xf>
    <xf numFmtId="182" fontId="6" fillId="9" borderId="5" xfId="0" applyNumberFormat="1" applyFont="1" applyFill="1" applyBorder="1" applyAlignment="1" applyProtection="1"/>
    <xf numFmtId="183" fontId="6" fillId="9" borderId="5" xfId="1" applyNumberFormat="1" applyFont="1" applyFill="1" applyBorder="1" applyAlignment="1" applyProtection="1"/>
    <xf numFmtId="0" fontId="0" fillId="2" borderId="0" xfId="0" applyFill="1" applyProtection="1">
      <alignment vertical="center"/>
    </xf>
    <xf numFmtId="10" fontId="6" fillId="3" borderId="5" xfId="1" applyNumberFormat="1" applyFont="1" applyFill="1" applyBorder="1" applyAlignment="1" applyProtection="1">
      <protection locked="0"/>
    </xf>
    <xf numFmtId="14" fontId="7" fillId="5" borderId="0" xfId="0" applyNumberFormat="1" applyFont="1" applyFill="1" applyProtection="1">
      <alignment vertical="center"/>
      <protection locked="0"/>
    </xf>
    <xf numFmtId="14" fontId="5" fillId="7" borderId="0" xfId="0" applyNumberFormat="1" applyFont="1" applyFill="1" applyBorder="1" applyAlignment="1" applyProtection="1">
      <alignment vertical="center"/>
      <protection locked="0"/>
    </xf>
    <xf numFmtId="14" fontId="9" fillId="7" borderId="0" xfId="0" applyNumberFormat="1" applyFont="1" applyFill="1" applyProtection="1">
      <alignment vertical="center"/>
      <protection locked="0"/>
    </xf>
    <xf numFmtId="183" fontId="6" fillId="7" borderId="0" xfId="1" applyNumberFormat="1" applyFont="1" applyFill="1" applyBorder="1" applyAlignment="1" applyProtection="1">
      <protection locked="0"/>
    </xf>
    <xf numFmtId="183" fontId="8" fillId="7" borderId="0" xfId="1" applyNumberFormat="1" applyFont="1" applyFill="1" applyProtection="1">
      <alignment vertical="center"/>
      <protection locked="0"/>
    </xf>
    <xf numFmtId="184" fontId="6" fillId="7" borderId="0" xfId="1" applyNumberFormat="1" applyFont="1" applyFill="1" applyBorder="1" applyAlignment="1" applyProtection="1">
      <protection locked="0"/>
    </xf>
    <xf numFmtId="184" fontId="8" fillId="7" borderId="0" xfId="1" applyNumberFormat="1" applyFont="1" applyFill="1" applyProtection="1">
      <alignment vertical="center"/>
      <protection locked="0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 applyBorder="1" applyAlignment="1">
      <alignment horizontal="center" vertical="center"/>
    </xf>
    <xf numFmtId="0" fontId="4" fillId="12" borderId="0" xfId="0" applyFont="1" applyFill="1" applyBorder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 wrapText="1"/>
    </xf>
    <xf numFmtId="0" fontId="4" fillId="4" borderId="4" xfId="0" applyFont="1" applyFill="1" applyBorder="1" applyAlignment="1" applyProtection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0" fontId="4" fillId="4" borderId="6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8" fillId="11" borderId="0" xfId="0" applyFont="1" applyFill="1" applyAlignment="1" applyProtection="1">
      <alignment horizontal="center" vertical="center"/>
      <protection locked="0"/>
    </xf>
    <xf numFmtId="0" fontId="4" fillId="15" borderId="7" xfId="0" applyFont="1" applyFill="1" applyBorder="1" applyAlignment="1">
      <alignment horizontal="center" vertical="center"/>
    </xf>
    <xf numFmtId="179" fontId="7" fillId="9" borderId="7" xfId="0" applyNumberFormat="1" applyFont="1" applyFill="1" applyBorder="1" applyAlignment="1" applyProtection="1">
      <alignment horizontal="right" vertical="center"/>
      <protection locked="0"/>
    </xf>
    <xf numFmtId="0" fontId="4" fillId="15" borderId="8" xfId="0" applyFont="1" applyFill="1" applyBorder="1" applyAlignment="1">
      <alignment horizontal="center" vertical="center"/>
    </xf>
    <xf numFmtId="0" fontId="4" fillId="15" borderId="10" xfId="0" applyFont="1" applyFill="1" applyBorder="1" applyAlignment="1">
      <alignment horizontal="center" vertical="center"/>
    </xf>
    <xf numFmtId="0" fontId="7" fillId="9" borderId="0" xfId="0" applyFont="1" applyFill="1" applyAlignment="1" applyProtection="1">
      <alignment horizontal="center" vertical="center"/>
      <protection locked="0"/>
    </xf>
    <xf numFmtId="0" fontId="7" fillId="9" borderId="0" xfId="0" applyFont="1" applyFill="1" applyAlignment="1">
      <alignment horizontal="center" vertical="center"/>
    </xf>
    <xf numFmtId="14" fontId="8" fillId="11" borderId="0" xfId="0" applyNumberFormat="1" applyFont="1" applyFill="1" applyAlignment="1" applyProtection="1">
      <alignment horizontal="center" vertical="center"/>
      <protection locked="0"/>
    </xf>
    <xf numFmtId="0" fontId="15" fillId="18" borderId="0" xfId="0" applyFont="1" applyFill="1" applyAlignment="1" applyProtection="1">
      <alignment horizontal="center" vertical="center"/>
    </xf>
    <xf numFmtId="0" fontId="15" fillId="18" borderId="3" xfId="0" applyFont="1" applyFill="1" applyBorder="1" applyAlignment="1" applyProtection="1">
      <alignment horizontal="center" vertical="center"/>
    </xf>
    <xf numFmtId="0" fontId="13" fillId="17" borderId="0" xfId="0" applyFont="1" applyFill="1" applyAlignment="1">
      <alignment horizontal="left" vertical="center"/>
    </xf>
    <xf numFmtId="176" fontId="8" fillId="11" borderId="0" xfId="0" applyNumberFormat="1" applyFont="1" applyFill="1" applyAlignment="1" applyProtection="1">
      <alignment horizontal="center" vertical="center"/>
      <protection locked="0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6</xdr:row>
          <xdr:rowOff>30480</xdr:rowOff>
        </xdr:from>
        <xdr:to>
          <xdr:col>11</xdr:col>
          <xdr:colOff>480060</xdr:colOff>
          <xdr:row>8</xdr:row>
          <xdr:rowOff>175260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C39"/>
  <sheetViews>
    <sheetView tabSelected="1" zoomScaleNormal="100" workbookViewId="0">
      <selection activeCell="I15" sqref="I15"/>
    </sheetView>
  </sheetViews>
  <sheetFormatPr defaultColWidth="10.59765625" defaultRowHeight="15.6" x14ac:dyDescent="0.4"/>
  <cols>
    <col min="1" max="1" width="10.8984375" style="36" bestFit="1" customWidth="1"/>
    <col min="2" max="2" width="10.59765625" style="40"/>
    <col min="3" max="3" width="10.8984375" style="36" bestFit="1" customWidth="1"/>
    <col min="4" max="4" width="10.59765625" style="40"/>
    <col min="5" max="5" width="10.59765625" style="21"/>
    <col min="6" max="6" width="10.8984375" style="36" bestFit="1" customWidth="1"/>
    <col min="7" max="7" width="10.59765625" style="38"/>
    <col min="8" max="8" width="10.8984375" style="36" bestFit="1" customWidth="1"/>
    <col min="9" max="9" width="10.59765625" style="17"/>
    <col min="10" max="16384" width="10.59765625" style="21"/>
  </cols>
  <sheetData>
    <row r="1" spans="1:55" s="1" customFormat="1" x14ac:dyDescent="0.4">
      <c r="A1" s="1">
        <v>1</v>
      </c>
      <c r="B1" s="1">
        <f>A1+1</f>
        <v>2</v>
      </c>
      <c r="C1" s="1">
        <f t="shared" ref="C1:AW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  <c r="AX1" s="1">
        <f t="shared" ref="AX1" si="1">AW1+1</f>
        <v>50</v>
      </c>
      <c r="AY1" s="1">
        <f t="shared" ref="AY1" si="2">AX1+1</f>
        <v>51</v>
      </c>
      <c r="AZ1" s="1">
        <f t="shared" ref="AZ1" si="3">AY1+1</f>
        <v>52</v>
      </c>
      <c r="BA1" s="1">
        <f t="shared" ref="BA1" si="4">AZ1+1</f>
        <v>53</v>
      </c>
      <c r="BB1" s="1">
        <f t="shared" ref="BB1" si="5">BA1+1</f>
        <v>54</v>
      </c>
      <c r="BC1" s="1">
        <f t="shared" ref="BC1" si="6">BB1+1</f>
        <v>55</v>
      </c>
    </row>
    <row r="2" spans="1:55" s="1" customFormat="1" x14ac:dyDescent="0.4">
      <c r="A2" s="60" t="s">
        <v>28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</row>
    <row r="3" spans="1:55" s="1" customFormat="1" x14ac:dyDescent="0.4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</row>
    <row r="4" spans="1:55" x14ac:dyDescent="0.4">
      <c r="A4" s="1"/>
      <c r="B4" s="1"/>
      <c r="C4" s="1"/>
      <c r="D4" s="1"/>
      <c r="E4" s="1"/>
      <c r="F4" s="1"/>
      <c r="G4" s="1"/>
      <c r="H4" s="1"/>
      <c r="I4" s="8"/>
      <c r="J4" s="8"/>
      <c r="K4" s="1"/>
      <c r="L4" s="9"/>
      <c r="M4" s="9"/>
      <c r="N4" s="9"/>
      <c r="O4" s="1"/>
      <c r="P4" s="1"/>
      <c r="Q4" s="1"/>
      <c r="R4" s="1"/>
      <c r="S4" s="1"/>
    </row>
    <row r="5" spans="1:55" x14ac:dyDescent="0.4">
      <c r="A5" s="46" t="s">
        <v>0</v>
      </c>
      <c r="B5" s="46"/>
      <c r="C5" s="50">
        <v>0</v>
      </c>
      <c r="D5" s="50"/>
      <c r="E5" s="11" t="str">
        <f>IF(C5=0,"매수","매도")</f>
        <v>매수</v>
      </c>
      <c r="F5" s="46" t="s">
        <v>6</v>
      </c>
      <c r="G5" s="46"/>
      <c r="H5" s="61">
        <v>1316</v>
      </c>
      <c r="I5" s="61"/>
      <c r="J5" s="1"/>
      <c r="K5" s="46" t="s">
        <v>18</v>
      </c>
      <c r="L5" s="46"/>
      <c r="M5" s="50">
        <v>0</v>
      </c>
      <c r="N5" s="50"/>
      <c r="O5" s="1">
        <v>26.830745311630494</v>
      </c>
      <c r="P5" s="1"/>
      <c r="Q5" s="56" t="s">
        <v>29</v>
      </c>
      <c r="R5" s="56"/>
      <c r="S5" s="55"/>
      <c r="T5" s="55"/>
      <c r="U5" s="55"/>
      <c r="V5" s="55"/>
    </row>
    <row r="6" spans="1:55" x14ac:dyDescent="0.4">
      <c r="A6" s="46" t="s">
        <v>2</v>
      </c>
      <c r="B6" s="46"/>
      <c r="C6" s="50">
        <v>1</v>
      </c>
      <c r="D6" s="50"/>
      <c r="E6" s="11" t="str">
        <f>IF(C6=0,"콜","풋")</f>
        <v>풋</v>
      </c>
      <c r="F6" s="46" t="s">
        <v>7</v>
      </c>
      <c r="G6" s="46"/>
      <c r="H6" s="61">
        <v>1447.6</v>
      </c>
      <c r="I6" s="61"/>
      <c r="J6" s="1"/>
      <c r="K6" s="46" t="s">
        <v>36</v>
      </c>
      <c r="L6" s="46"/>
      <c r="M6" s="50">
        <v>0</v>
      </c>
      <c r="N6" s="50"/>
      <c r="O6" s="1">
        <v>20.463546283968185</v>
      </c>
      <c r="P6" s="1">
        <f>(O5+O6)/2</f>
        <v>23.64714579779934</v>
      </c>
      <c r="Q6" s="1"/>
      <c r="R6" s="1"/>
      <c r="S6" s="55"/>
      <c r="T6" s="55"/>
      <c r="U6" s="55"/>
      <c r="V6" s="55"/>
    </row>
    <row r="7" spans="1:55" x14ac:dyDescent="0.4">
      <c r="A7" s="46" t="s">
        <v>1</v>
      </c>
      <c r="B7" s="46"/>
      <c r="C7" s="50">
        <v>0</v>
      </c>
      <c r="D7" s="50"/>
      <c r="E7" s="11" t="str">
        <f>IF(C7=0,"바닐라",IF(C7 = 1, "디지털", IF(C7 = 2, "아시안", IF(C7 = 3, "아메리칸", IF(C7 = 4, "아메리칸디지털", IF(C7 = 5, "DownAndIn", IF(C7=6,"DownAndOut",IF(C7=7,"UpAndIn",IF(C7=8,"UpAndOut","다시입력")))))))))</f>
        <v>바닐라</v>
      </c>
      <c r="F7" s="46" t="str">
        <f>IF(C7=2,"평균가격",IF(C7 &gt;= 5, "배리어수준",""))</f>
        <v/>
      </c>
      <c r="G7" s="46"/>
      <c r="H7" s="61">
        <v>1314</v>
      </c>
      <c r="I7" s="61"/>
      <c r="J7" s="11" t="str">
        <f>IF(F7="","입력필요X","")</f>
        <v>입력필요X</v>
      </c>
      <c r="K7" s="1"/>
      <c r="L7" s="1"/>
      <c r="M7" s="51" t="s">
        <v>20</v>
      </c>
      <c r="N7" s="51"/>
      <c r="O7" s="52">
        <v>156.54999420495164</v>
      </c>
      <c r="P7" s="52"/>
      <c r="Q7" s="1"/>
      <c r="R7" s="1"/>
      <c r="S7" s="1"/>
    </row>
    <row r="8" spans="1:55" x14ac:dyDescent="0.4">
      <c r="A8" s="46" t="s">
        <v>5</v>
      </c>
      <c r="B8" s="46"/>
      <c r="C8" s="57">
        <v>45168</v>
      </c>
      <c r="D8" s="50"/>
      <c r="E8" s="4">
        <f>(C10-C8)/365</f>
        <v>2</v>
      </c>
      <c r="F8" s="1">
        <v>0.167123287671233</v>
      </c>
      <c r="G8" s="1"/>
      <c r="H8" s="1"/>
      <c r="I8" s="1"/>
      <c r="K8" s="1"/>
      <c r="L8" s="1"/>
      <c r="M8" s="53" t="s">
        <v>21</v>
      </c>
      <c r="N8" s="5" t="s">
        <v>22</v>
      </c>
      <c r="O8" s="6" t="s">
        <v>23</v>
      </c>
      <c r="P8" s="7" t="s">
        <v>24</v>
      </c>
      <c r="Q8" s="7" t="s">
        <v>25</v>
      </c>
      <c r="R8" s="10" t="s">
        <v>26</v>
      </c>
      <c r="S8" s="1"/>
    </row>
    <row r="9" spans="1:55" x14ac:dyDescent="0.4">
      <c r="A9" s="46" t="str">
        <f>IF(C7=2,"평균시작일",IF(OR(C7 = 3, C7 = 4), "행사시작일", ""))</f>
        <v/>
      </c>
      <c r="B9" s="46"/>
      <c r="C9" s="57">
        <v>45066</v>
      </c>
      <c r="D9" s="50"/>
      <c r="E9" s="11" t="str">
        <f>IF(A9="","입력필요X","")</f>
        <v>입력필요X</v>
      </c>
      <c r="F9" s="41" t="s">
        <v>14</v>
      </c>
      <c r="G9" s="41"/>
      <c r="H9" s="41"/>
      <c r="I9" s="41"/>
      <c r="K9" s="1"/>
      <c r="L9" s="1"/>
      <c r="M9" s="54"/>
      <c r="N9" s="14">
        <v>-0.83769547309999204</v>
      </c>
      <c r="O9" s="15">
        <v>1.1292534082899587E-3</v>
      </c>
      <c r="P9" s="15">
        <v>2.2136269192549687</v>
      </c>
      <c r="Q9" s="15">
        <v>-1.4960293578200392E-2</v>
      </c>
      <c r="R9" s="15">
        <v>-25.179144736090819</v>
      </c>
      <c r="S9" s="1"/>
    </row>
    <row r="10" spans="1:55" x14ac:dyDescent="0.4">
      <c r="A10" s="46" t="s">
        <v>4</v>
      </c>
      <c r="B10" s="46"/>
      <c r="C10" s="57">
        <v>45898</v>
      </c>
      <c r="D10" s="50"/>
      <c r="E10" s="27"/>
      <c r="F10" s="2" t="s">
        <v>15</v>
      </c>
      <c r="G10" s="12">
        <v>1</v>
      </c>
      <c r="H10" s="2" t="s">
        <v>16</v>
      </c>
      <c r="I10" s="13">
        <v>0</v>
      </c>
      <c r="K10" s="1"/>
      <c r="L10" s="1"/>
      <c r="M10" s="1"/>
      <c r="N10" s="1"/>
      <c r="O10" s="1"/>
      <c r="P10" s="1"/>
      <c r="Q10" s="1"/>
      <c r="R10" s="1"/>
      <c r="S10" s="1"/>
    </row>
    <row r="11" spans="1:55" x14ac:dyDescent="0.4">
      <c r="A11" s="46" t="s">
        <v>3</v>
      </c>
      <c r="B11" s="46"/>
      <c r="C11" s="57">
        <f>C10</f>
        <v>45898</v>
      </c>
      <c r="D11" s="50"/>
      <c r="E11" s="27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</row>
    <row r="12" spans="1:55" s="1" customFormat="1" ht="15.6" customHeight="1" x14ac:dyDescent="0.4">
      <c r="E12" s="21"/>
      <c r="F12" s="42" t="str">
        <f>IF(G10=2,"배당액입력(금액입력)","Dividend(%입력)")</f>
        <v>Dividend(%입력)</v>
      </c>
      <c r="G12" s="42"/>
      <c r="H12" s="43" t="s">
        <v>17</v>
      </c>
      <c r="I12" s="43"/>
      <c r="J12" s="21"/>
      <c r="K12" s="41" t="s">
        <v>11</v>
      </c>
      <c r="L12" s="41"/>
      <c r="M12" s="41"/>
      <c r="N12" s="41"/>
      <c r="AY12" s="58" t="s">
        <v>30</v>
      </c>
      <c r="AZ12" s="58"/>
      <c r="BA12" s="58"/>
      <c r="BB12" s="58"/>
      <c r="BC12" s="28"/>
    </row>
    <row r="13" spans="1:55" s="1" customFormat="1" ht="15.6" customHeight="1" x14ac:dyDescent="0.4">
      <c r="A13" s="41" t="s">
        <v>10</v>
      </c>
      <c r="B13" s="41"/>
      <c r="C13" s="41"/>
      <c r="D13" s="41"/>
      <c r="E13" s="21"/>
      <c r="F13" s="42"/>
      <c r="G13" s="42"/>
      <c r="H13" s="43"/>
      <c r="I13" s="43"/>
      <c r="J13" s="21"/>
      <c r="K13" s="47" t="s">
        <v>27</v>
      </c>
      <c r="L13" s="48"/>
      <c r="M13" s="48"/>
      <c r="N13" s="26">
        <v>2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49" t="s">
        <v>19</v>
      </c>
      <c r="AF13" s="49"/>
      <c r="AG13" s="49"/>
      <c r="AH13" s="49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Y13" s="59"/>
      <c r="AZ13" s="59"/>
      <c r="BA13" s="59"/>
      <c r="BB13" s="59"/>
      <c r="BC13" s="28"/>
    </row>
    <row r="14" spans="1:55" ht="17.399999999999999" customHeight="1" x14ac:dyDescent="0.35">
      <c r="A14" s="42" t="s">
        <v>8</v>
      </c>
      <c r="B14" s="42"/>
      <c r="C14" s="43" t="s">
        <v>9</v>
      </c>
      <c r="D14" s="43"/>
      <c r="F14" s="35">
        <v>45169</v>
      </c>
      <c r="G14" s="37">
        <v>5.2999999999999999E-2</v>
      </c>
      <c r="H14" s="35">
        <v>45350</v>
      </c>
      <c r="I14" s="16"/>
      <c r="K14" s="44" t="s">
        <v>13</v>
      </c>
      <c r="L14" s="24" t="s">
        <v>12</v>
      </c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0"/>
      <c r="AE14" s="44" t="s">
        <v>13</v>
      </c>
      <c r="AF14" s="24" t="s">
        <v>12</v>
      </c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Y14" s="29" t="s">
        <v>31</v>
      </c>
      <c r="AZ14" s="29" t="s">
        <v>32</v>
      </c>
      <c r="BA14" s="29" t="s">
        <v>33</v>
      </c>
      <c r="BB14" s="29" t="s">
        <v>34</v>
      </c>
      <c r="BC14" s="29" t="s">
        <v>35</v>
      </c>
    </row>
    <row r="15" spans="1:55" x14ac:dyDescent="0.35">
      <c r="A15" s="42"/>
      <c r="B15" s="42"/>
      <c r="C15" s="43"/>
      <c r="D15" s="43"/>
      <c r="F15" s="35"/>
      <c r="G15" s="37"/>
      <c r="H15" s="35"/>
      <c r="I15" s="16"/>
      <c r="K15" s="45"/>
      <c r="L15" s="18">
        <v>0.33333333333333331</v>
      </c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/>
      <c r="AE15" s="45"/>
      <c r="AF15" s="18">
        <v>0.33333333333333331</v>
      </c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Y15" s="28"/>
      <c r="AZ15" s="28"/>
      <c r="BA15" s="28"/>
      <c r="BB15" s="28"/>
      <c r="BC15" s="28"/>
    </row>
    <row r="16" spans="1:55" x14ac:dyDescent="0.35">
      <c r="A16" s="35">
        <v>45172</v>
      </c>
      <c r="B16" s="39">
        <v>3.5263000000000003E-2</v>
      </c>
      <c r="C16" s="35">
        <v>45172</v>
      </c>
      <c r="D16" s="39">
        <v>3.5263000000000003E-2</v>
      </c>
      <c r="E16" s="34"/>
      <c r="F16" s="35"/>
      <c r="G16" s="37"/>
      <c r="H16" s="35"/>
      <c r="I16" s="16"/>
      <c r="K16" s="18">
        <v>0.5</v>
      </c>
      <c r="L16" s="33">
        <v>5.6594111129641529E-2</v>
      </c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20"/>
      <c r="AE16" s="18">
        <v>0.5</v>
      </c>
      <c r="AF16" s="19">
        <v>5.6594111129641529E-2</v>
      </c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Y16" s="30">
        <v>0.33333333333333331</v>
      </c>
      <c r="AZ16" s="30">
        <v>0</v>
      </c>
      <c r="BA16" s="30">
        <v>0</v>
      </c>
      <c r="BB16" s="30">
        <v>0</v>
      </c>
      <c r="BC16" s="31">
        <v>0</v>
      </c>
    </row>
    <row r="17" spans="1:55" ht="17.399999999999999" x14ac:dyDescent="0.35">
      <c r="A17" s="35">
        <v>45173</v>
      </c>
      <c r="B17" s="39">
        <v>3.5270999999999997E-2</v>
      </c>
      <c r="C17" s="35">
        <v>45173</v>
      </c>
      <c r="D17" s="39">
        <v>3.5270999999999997E-2</v>
      </c>
      <c r="E17" s="34"/>
      <c r="F17" s="35"/>
      <c r="G17" s="37"/>
      <c r="H17" s="35"/>
      <c r="I17" s="16"/>
      <c r="K17" s="18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20"/>
      <c r="AE17" s="18">
        <v>0.6</v>
      </c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Y17" s="30"/>
      <c r="AZ17" s="30"/>
      <c r="BA17" s="30"/>
      <c r="BB17" s="30"/>
      <c r="BC17" s="32"/>
    </row>
    <row r="18" spans="1:55" x14ac:dyDescent="0.35">
      <c r="A18" s="35">
        <v>45264</v>
      </c>
      <c r="B18" s="39">
        <v>3.7902999999999999E-2</v>
      </c>
      <c r="C18" s="35">
        <v>45264</v>
      </c>
      <c r="D18" s="39">
        <v>3.7902999999999999E-2</v>
      </c>
      <c r="E18" s="34"/>
      <c r="F18" s="35"/>
      <c r="G18" s="37"/>
      <c r="H18" s="35"/>
      <c r="I18" s="16"/>
      <c r="K18" s="18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20"/>
      <c r="AE18" s="18">
        <v>0.7</v>
      </c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Y18" s="30"/>
      <c r="AZ18" s="30"/>
      <c r="BA18" s="30"/>
      <c r="BB18" s="30"/>
      <c r="BC18" s="28"/>
    </row>
    <row r="19" spans="1:55" x14ac:dyDescent="0.35">
      <c r="A19" s="35">
        <v>45356</v>
      </c>
      <c r="B19" s="39">
        <v>3.8933000000000002E-2</v>
      </c>
      <c r="C19" s="35">
        <v>45356</v>
      </c>
      <c r="D19" s="39">
        <v>3.8933000000000002E-2</v>
      </c>
      <c r="E19" s="34"/>
      <c r="F19" s="35"/>
      <c r="G19" s="37"/>
      <c r="H19" s="35"/>
      <c r="I19" s="16"/>
      <c r="K19" s="18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22"/>
      <c r="AE19" s="18">
        <v>0.8</v>
      </c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Y19" s="30"/>
      <c r="AZ19" s="30"/>
      <c r="BA19" s="30"/>
      <c r="BB19" s="30"/>
      <c r="BC19" s="28"/>
    </row>
    <row r="20" spans="1:55" x14ac:dyDescent="0.35">
      <c r="A20" s="35">
        <v>45446</v>
      </c>
      <c r="B20" s="39">
        <v>3.9302999999999998E-2</v>
      </c>
      <c r="C20" s="35">
        <v>45446</v>
      </c>
      <c r="D20" s="39">
        <v>3.9302999999999998E-2</v>
      </c>
      <c r="E20" s="34"/>
      <c r="F20" s="35"/>
      <c r="G20" s="37"/>
      <c r="H20" s="35"/>
      <c r="I20" s="16"/>
      <c r="K20" s="18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23"/>
      <c r="AE20" s="18">
        <v>0.9</v>
      </c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Y20" s="30"/>
      <c r="AZ20" s="30"/>
      <c r="BA20" s="30"/>
      <c r="BB20" s="30"/>
      <c r="BC20" s="28"/>
    </row>
    <row r="21" spans="1:55" x14ac:dyDescent="0.35">
      <c r="A21" s="35">
        <v>45538</v>
      </c>
      <c r="B21" s="39">
        <v>3.9365999999999998E-2</v>
      </c>
      <c r="C21" s="35">
        <v>45538</v>
      </c>
      <c r="D21" s="39">
        <v>3.9365999999999998E-2</v>
      </c>
      <c r="E21" s="34"/>
      <c r="F21" s="35"/>
      <c r="G21" s="37"/>
      <c r="H21" s="35"/>
      <c r="I21" s="16"/>
      <c r="K21" s="18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23"/>
      <c r="AE21" s="18">
        <v>1</v>
      </c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Y21" s="30"/>
      <c r="AZ21" s="30"/>
      <c r="BA21" s="30"/>
      <c r="BB21" s="30"/>
      <c r="BC21" s="28"/>
    </row>
    <row r="22" spans="1:55" x14ac:dyDescent="0.35">
      <c r="A22" s="35">
        <v>45720</v>
      </c>
      <c r="B22" s="39">
        <v>3.9529000000000002E-2</v>
      </c>
      <c r="C22" s="35">
        <v>45720</v>
      </c>
      <c r="D22" s="39">
        <v>3.9529000000000002E-2</v>
      </c>
      <c r="E22" s="34"/>
      <c r="F22" s="35"/>
      <c r="G22" s="37"/>
      <c r="H22" s="35"/>
      <c r="I22" s="16"/>
      <c r="K22" s="18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23"/>
      <c r="AE22" s="18">
        <v>1.1000000000000001</v>
      </c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Y22" s="30"/>
      <c r="AZ22" s="30"/>
      <c r="BA22" s="30"/>
      <c r="BB22" s="30"/>
      <c r="BC22" s="28"/>
    </row>
    <row r="23" spans="1:55" x14ac:dyDescent="0.35">
      <c r="A23" s="35">
        <v>45903</v>
      </c>
      <c r="B23" s="39">
        <v>3.9586000000000003E-2</v>
      </c>
      <c r="C23" s="35">
        <v>45903</v>
      </c>
      <c r="D23" s="39">
        <v>3.9586000000000003E-2</v>
      </c>
      <c r="E23" s="34"/>
      <c r="K23" s="18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23"/>
      <c r="AE23" s="18">
        <v>1.2</v>
      </c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Y23" s="30"/>
      <c r="AZ23" s="30"/>
      <c r="BA23" s="30"/>
      <c r="BB23" s="30"/>
      <c r="BC23" s="28"/>
    </row>
    <row r="24" spans="1:55" ht="17.399999999999999" x14ac:dyDescent="0.35">
      <c r="A24" s="35">
        <v>46270</v>
      </c>
      <c r="B24" s="39">
        <v>3.9591000000000001E-2</v>
      </c>
      <c r="C24" s="35">
        <v>46270</v>
      </c>
      <c r="D24" s="39">
        <v>3.9591000000000001E-2</v>
      </c>
      <c r="E24" s="34"/>
      <c r="K24" s="18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23"/>
      <c r="AE24" s="18">
        <v>1.3</v>
      </c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Y24" s="30"/>
      <c r="AZ24" s="30"/>
      <c r="BA24" s="30"/>
      <c r="BB24" s="30"/>
      <c r="BC24" s="32"/>
    </row>
    <row r="25" spans="1:55" ht="17.399999999999999" x14ac:dyDescent="0.35">
      <c r="A25" s="35">
        <v>46634</v>
      </c>
      <c r="B25" s="39">
        <v>3.9673E-2</v>
      </c>
      <c r="C25" s="35">
        <v>46634</v>
      </c>
      <c r="D25" s="39">
        <v>3.9673E-2</v>
      </c>
      <c r="E25" s="34"/>
      <c r="K25" s="18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20"/>
      <c r="AE25" s="18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Y25" s="30"/>
      <c r="AZ25" s="30"/>
      <c r="BA25" s="30"/>
      <c r="BB25" s="30"/>
      <c r="BC25" s="32"/>
    </row>
    <row r="26" spans="1:55" x14ac:dyDescent="0.35">
      <c r="A26" s="35">
        <v>46999</v>
      </c>
      <c r="B26" s="39">
        <v>3.9701E-2</v>
      </c>
      <c r="C26" s="35">
        <v>46999</v>
      </c>
      <c r="D26" s="39">
        <v>3.9701E-2</v>
      </c>
      <c r="E26" s="34"/>
      <c r="K26" s="18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20"/>
      <c r="AE26" s="18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Y26" s="30"/>
      <c r="AZ26" s="30"/>
      <c r="BA26" s="30"/>
      <c r="BB26" s="30"/>
      <c r="BC26" s="28"/>
    </row>
    <row r="27" spans="1:55" ht="17.399999999999999" x14ac:dyDescent="0.35">
      <c r="A27" s="36">
        <v>47364</v>
      </c>
      <c r="B27" s="40">
        <v>3.9782999999999999E-2</v>
      </c>
      <c r="C27" s="36">
        <v>47364</v>
      </c>
      <c r="D27" s="40">
        <v>3.9782999999999999E-2</v>
      </c>
      <c r="E27" s="34"/>
      <c r="K27" s="18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20"/>
      <c r="AE27" s="18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Y27" s="30"/>
      <c r="AZ27" s="30"/>
      <c r="BA27" s="30"/>
      <c r="BB27" s="30"/>
      <c r="BC27" s="32"/>
    </row>
    <row r="28" spans="1:55" x14ac:dyDescent="0.35">
      <c r="A28" s="36">
        <v>47729</v>
      </c>
      <c r="B28" s="40">
        <v>3.9837999999999998E-2</v>
      </c>
      <c r="C28" s="36">
        <v>47729</v>
      </c>
      <c r="D28" s="40">
        <v>3.9837999999999998E-2</v>
      </c>
      <c r="E28" s="34"/>
      <c r="K28" s="18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20"/>
      <c r="AE28" s="18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Y28" s="30"/>
      <c r="AZ28" s="30"/>
      <c r="BA28" s="30"/>
      <c r="BB28" s="30"/>
      <c r="BC28" s="28"/>
    </row>
    <row r="29" spans="1:55" x14ac:dyDescent="0.35">
      <c r="A29" s="36">
        <v>48094</v>
      </c>
      <c r="B29" s="40">
        <v>3.9923E-2</v>
      </c>
      <c r="C29" s="36">
        <v>48094</v>
      </c>
      <c r="D29" s="40">
        <v>3.9923E-2</v>
      </c>
      <c r="E29" s="34"/>
      <c r="K29" s="18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20"/>
      <c r="AE29" s="18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Y29" s="30"/>
      <c r="AZ29" s="30"/>
      <c r="BA29" s="30"/>
      <c r="BB29" s="30"/>
      <c r="BC29" s="28"/>
    </row>
    <row r="30" spans="1:55" x14ac:dyDescent="0.35">
      <c r="A30" s="36">
        <v>48461</v>
      </c>
      <c r="B30" s="40">
        <v>4.0037000000000003E-2</v>
      </c>
      <c r="C30" s="36">
        <v>48461</v>
      </c>
      <c r="D30" s="40">
        <v>4.0037000000000003E-2</v>
      </c>
      <c r="E30" s="34"/>
      <c r="K30" s="18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20"/>
      <c r="AE30" s="18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Y30" s="30"/>
      <c r="AZ30" s="30"/>
      <c r="BA30" s="30"/>
      <c r="BB30" s="30"/>
      <c r="BC30" s="28"/>
    </row>
    <row r="31" spans="1:55" x14ac:dyDescent="0.35">
      <c r="A31" s="36">
        <v>48825</v>
      </c>
      <c r="B31" s="40">
        <v>4.0153000000000001E-2</v>
      </c>
      <c r="C31" s="36">
        <v>48825</v>
      </c>
      <c r="D31" s="40">
        <v>4.0153000000000001E-2</v>
      </c>
      <c r="E31" s="34"/>
      <c r="K31" s="18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20"/>
      <c r="AE31" s="18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Y31" s="30"/>
      <c r="AZ31" s="30"/>
      <c r="BA31" s="30"/>
      <c r="BB31" s="30"/>
      <c r="BC31" s="28"/>
    </row>
    <row r="32" spans="1:55" x14ac:dyDescent="0.35">
      <c r="A32" s="36">
        <v>49555</v>
      </c>
      <c r="B32" s="40">
        <v>4.0266000000000003E-2</v>
      </c>
      <c r="C32" s="36">
        <v>49555</v>
      </c>
      <c r="D32" s="40">
        <v>4.0266000000000003E-2</v>
      </c>
      <c r="E32" s="34"/>
      <c r="K32" s="18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20"/>
      <c r="AE32" s="18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Y32" s="30"/>
      <c r="AZ32" s="30"/>
      <c r="BA32" s="30"/>
      <c r="BB32" s="30"/>
      <c r="BC32" s="28"/>
    </row>
    <row r="33" spans="1:55" x14ac:dyDescent="0.35">
      <c r="A33" s="36">
        <v>50652</v>
      </c>
      <c r="B33" s="40">
        <v>4.0155999999999997E-2</v>
      </c>
      <c r="C33" s="36">
        <v>50652</v>
      </c>
      <c r="D33" s="40">
        <v>4.0155999999999997E-2</v>
      </c>
      <c r="E33" s="34"/>
      <c r="K33" s="18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20"/>
      <c r="AE33" s="18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Y33" s="30"/>
      <c r="AZ33" s="30"/>
      <c r="BA33" s="30"/>
      <c r="BB33" s="30"/>
      <c r="BC33" s="28"/>
    </row>
    <row r="34" spans="1:55" x14ac:dyDescent="0.35">
      <c r="A34" s="36">
        <v>52479</v>
      </c>
      <c r="B34" s="40">
        <v>3.8306E-2</v>
      </c>
      <c r="C34" s="36">
        <v>52479</v>
      </c>
      <c r="D34" s="40">
        <v>3.8306E-2</v>
      </c>
      <c r="E34" s="34"/>
      <c r="K34" s="18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22"/>
      <c r="AE34" s="18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Y34" s="30"/>
      <c r="AZ34" s="30"/>
      <c r="BA34" s="30"/>
      <c r="BB34" s="30"/>
      <c r="BC34" s="28"/>
    </row>
    <row r="35" spans="1:55" x14ac:dyDescent="0.35">
      <c r="A35" s="36">
        <v>54306</v>
      </c>
      <c r="B35" s="40">
        <v>3.6707000000000004E-2</v>
      </c>
      <c r="C35" s="36">
        <v>54306</v>
      </c>
      <c r="D35" s="40">
        <v>3.6707000000000004E-2</v>
      </c>
      <c r="E35" s="34"/>
      <c r="K35" s="18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23"/>
      <c r="AE35" s="18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Y35" s="30"/>
      <c r="AZ35" s="30"/>
      <c r="BA35" s="30"/>
      <c r="BB35" s="30"/>
      <c r="BC35" s="28"/>
    </row>
    <row r="36" spans="1:55" x14ac:dyDescent="0.35">
      <c r="A36" s="36">
        <v>56130</v>
      </c>
      <c r="B36" s="40">
        <v>3.5825000000000003E-2</v>
      </c>
      <c r="C36" s="36">
        <v>56130</v>
      </c>
      <c r="D36" s="40">
        <v>3.5825000000000003E-2</v>
      </c>
      <c r="E36" s="34"/>
      <c r="K36" s="18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23"/>
      <c r="AE36" s="18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Y36" s="30"/>
      <c r="AZ36" s="30"/>
      <c r="BA36" s="30"/>
      <c r="BB36" s="30"/>
      <c r="BC36" s="28"/>
    </row>
    <row r="37" spans="1:55" x14ac:dyDescent="0.35">
      <c r="K37" s="18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23"/>
      <c r="AE37" s="18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Y37" s="30"/>
      <c r="AZ37" s="30"/>
      <c r="BA37" s="30"/>
      <c r="BB37" s="30"/>
      <c r="BC37" s="28"/>
    </row>
    <row r="38" spans="1:55" x14ac:dyDescent="0.35">
      <c r="K38" s="18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23"/>
      <c r="AE38" s="18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Y38" s="30"/>
      <c r="AZ38" s="30"/>
      <c r="BA38" s="30"/>
      <c r="BB38" s="30"/>
      <c r="BC38" s="28"/>
    </row>
    <row r="39" spans="1:55" x14ac:dyDescent="0.35">
      <c r="K39" s="18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23"/>
      <c r="AE39" s="18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Y39" s="30"/>
      <c r="AZ39" s="30"/>
      <c r="BA39" s="30"/>
      <c r="BB39" s="30"/>
      <c r="BC39" s="28"/>
    </row>
  </sheetData>
  <mergeCells count="42">
    <mergeCell ref="AY12:BB13"/>
    <mergeCell ref="A2:P3"/>
    <mergeCell ref="A10:B10"/>
    <mergeCell ref="C10:D10"/>
    <mergeCell ref="A5:B5"/>
    <mergeCell ref="C5:D5"/>
    <mergeCell ref="F7:G7"/>
    <mergeCell ref="H5:I5"/>
    <mergeCell ref="H6:I6"/>
    <mergeCell ref="H7:I7"/>
    <mergeCell ref="F9:I9"/>
    <mergeCell ref="A11:B11"/>
    <mergeCell ref="C11:D11"/>
    <mergeCell ref="A6:B6"/>
    <mergeCell ref="C6:D6"/>
    <mergeCell ref="A7:B7"/>
    <mergeCell ref="C7:D7"/>
    <mergeCell ref="A8:B8"/>
    <mergeCell ref="C8:D8"/>
    <mergeCell ref="A9:B9"/>
    <mergeCell ref="C9:D9"/>
    <mergeCell ref="K14:K15"/>
    <mergeCell ref="K5:L5"/>
    <mergeCell ref="F5:G5"/>
    <mergeCell ref="F6:G6"/>
    <mergeCell ref="AE14:AE15"/>
    <mergeCell ref="K13:M13"/>
    <mergeCell ref="AE13:AH13"/>
    <mergeCell ref="M5:N5"/>
    <mergeCell ref="M7:N7"/>
    <mergeCell ref="O7:P7"/>
    <mergeCell ref="M8:M9"/>
    <mergeCell ref="K12:N12"/>
    <mergeCell ref="S5:V6"/>
    <mergeCell ref="Q5:R5"/>
    <mergeCell ref="K6:L6"/>
    <mergeCell ref="M6:N6"/>
    <mergeCell ref="A13:D13"/>
    <mergeCell ref="A14:B15"/>
    <mergeCell ref="C14:D15"/>
    <mergeCell ref="F12:G13"/>
    <mergeCell ref="H12:I13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OPTIONCALC">
                <anchor moveWithCells="1" sizeWithCells="1">
                  <from>
                    <xdr:col>10</xdr:col>
                    <xdr:colOff>342900</xdr:colOff>
                    <xdr:row>6</xdr:row>
                    <xdr:rowOff>30480</xdr:rowOff>
                  </from>
                  <to>
                    <xdr:col>11</xdr:col>
                    <xdr:colOff>480060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2022-04-01T01:32:47Z</dcterms:created>
  <dcterms:modified xsi:type="dcterms:W3CDTF">2025-01-27T08:04:10Z</dcterms:modified>
</cp:coreProperties>
</file>