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A7BF7C55-3096-40E5-A6CA-5FCF121DC5C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<sst xmlns="http://schemas.openxmlformats.org/spreadsheetml/2006/main" count="36" uniqueCount="35">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</sst>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left" vertical="center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13" fillId="9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workbookViewId="0">
      <selection activeCell="E9" sqref="E9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47" t="s">
        <v>0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55" s="2" customFormat="1" ht="15.6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9" t="s">
        <v>1</v>
      </c>
      <c r="B5" s="39"/>
      <c r="C5" s="40">
        <v>0</v>
      </c>
      <c r="D5" s="40"/>
      <c r="E5" s="3" t="str">
        <f>IF(C5=0,"매수","매도")</f>
        <v>매수</v>
      </c>
      <c r="G5" s="1"/>
      <c r="H5" s="1"/>
      <c r="J5" s="1"/>
      <c r="K5" s="39" t="s">
        <v>19</v>
      </c>
      <c r="L5" s="39"/>
      <c r="M5" s="40">
        <v>0</v>
      </c>
      <c r="N5" s="40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9" t="s">
        <v>2</v>
      </c>
      <c r="B6" s="39"/>
      <c r="C6" s="40">
        <v>0</v>
      </c>
      <c r="D6" s="40"/>
      <c r="E6" s="3" t="str">
        <f>IF(C6=0,"콜","풋")</f>
        <v>콜</v>
      </c>
      <c r="F6" s="39" t="s">
        <v>3</v>
      </c>
      <c r="G6" s="39"/>
      <c r="H6" s="48">
        <v>60</v>
      </c>
      <c r="I6" s="48"/>
      <c r="J6" s="1"/>
      <c r="K6" s="39" t="s">
        <v>20</v>
      </c>
      <c r="L6" s="39"/>
      <c r="M6" s="40">
        <v>0</v>
      </c>
      <c r="N6" s="40"/>
      <c r="O6" s="7" t="s">
        <v>31</v>
      </c>
      <c r="P6" s="8">
        <v>10</v>
      </c>
      <c r="Q6" s="33" t="s">
        <v>33</v>
      </c>
      <c r="R6" s="34"/>
      <c r="S6" s="35"/>
    </row>
    <row r="7" spans="1:55" x14ac:dyDescent="0.4">
      <c r="A7" s="39" t="s">
        <v>7</v>
      </c>
      <c r="B7" s="39"/>
      <c r="C7" s="40">
        <v>1</v>
      </c>
      <c r="D7" s="40"/>
      <c r="E7" s="3" t="str">
        <f>C7&amp;"Month"</f>
        <v>1Month</v>
      </c>
      <c r="G7" s="1"/>
      <c r="H7" s="1"/>
      <c r="J7" s="1"/>
      <c r="K7" s="1"/>
      <c r="L7" s="1"/>
      <c r="M7" s="42" t="s">
        <v>26</v>
      </c>
      <c r="N7" s="42"/>
      <c r="O7" s="36">
        <v>11.020654271934635</v>
      </c>
      <c r="P7" s="37"/>
      <c r="Q7" s="27"/>
      <c r="R7" s="28"/>
      <c r="S7" s="29"/>
    </row>
    <row r="8" spans="1:55" ht="18" thickBot="1" x14ac:dyDescent="0.45">
      <c r="A8" s="39" t="s">
        <v>4</v>
      </c>
      <c r="B8" s="39"/>
      <c r="C8" s="46">
        <v>45411</v>
      </c>
      <c r="D8" s="40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30"/>
      <c r="R8" s="31"/>
      <c r="S8" s="32"/>
    </row>
    <row r="9" spans="1:55" x14ac:dyDescent="0.4">
      <c r="A9" s="39" t="s">
        <v>5</v>
      </c>
      <c r="B9" s="39"/>
      <c r="C9" s="46">
        <v>45413</v>
      </c>
      <c r="D9" s="40"/>
      <c r="E9" s="1"/>
      <c r="F9" s="3" t="s">
        <v>8</v>
      </c>
      <c r="G9" s="4">
        <v>1</v>
      </c>
      <c r="H9" s="49" t="str">
        <f>"M월 "&amp;G9&amp;"일부터"</f>
        <v>M월 1일부터</v>
      </c>
      <c r="I9" s="49"/>
      <c r="J9" s="1"/>
      <c r="K9" s="1"/>
      <c r="L9" s="1"/>
      <c r="M9" s="1"/>
      <c r="N9" s="1"/>
      <c r="O9" s="1"/>
      <c r="P9" s="20">
        <f>(O7-P8)/H6</f>
        <v>-5.2378801089414394E-5</v>
      </c>
      <c r="Q9" s="1"/>
      <c r="R9" s="1"/>
      <c r="S9" s="1"/>
    </row>
    <row r="10" spans="1:55" x14ac:dyDescent="0.4">
      <c r="A10" s="39" t="s">
        <v>6</v>
      </c>
      <c r="B10" s="39"/>
      <c r="C10" s="46">
        <v>45777</v>
      </c>
      <c r="D10" s="40"/>
      <c r="E10" s="1"/>
      <c r="F10" s="3" t="s">
        <v>9</v>
      </c>
      <c r="G10" s="4">
        <v>31</v>
      </c>
      <c r="H10" s="49" t="str">
        <f>"M월 "&amp;G10&amp;"일까지 영업일 평균"</f>
        <v>M월 31일까지 영업일 평균</v>
      </c>
      <c r="I10" s="49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8" t="s">
        <v>14</v>
      </c>
      <c r="B13" s="38"/>
      <c r="D13" s="38" t="s">
        <v>16</v>
      </c>
      <c r="E13" s="38"/>
      <c r="G13" s="38" t="s">
        <v>23</v>
      </c>
      <c r="H13" s="38"/>
      <c r="J13" s="41" t="s">
        <v>10</v>
      </c>
      <c r="K13" s="41" t="s">
        <v>11</v>
      </c>
      <c r="L13" s="41" t="s">
        <v>21</v>
      </c>
      <c r="M13" s="41" t="s">
        <v>22</v>
      </c>
      <c r="N13" s="41" t="s">
        <v>25</v>
      </c>
      <c r="O13" s="43" t="s">
        <v>34</v>
      </c>
      <c r="P13" s="44" t="s">
        <v>28</v>
      </c>
      <c r="Q13" s="44" t="s">
        <v>27</v>
      </c>
      <c r="R13" s="44" t="s">
        <v>29</v>
      </c>
      <c r="S13" s="44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41"/>
      <c r="K14" s="41"/>
      <c r="L14" s="41"/>
      <c r="M14" s="41"/>
      <c r="N14" s="41"/>
      <c r="O14" s="43"/>
      <c r="P14" s="45"/>
      <c r="Q14" s="45"/>
      <c r="R14" s="45"/>
      <c r="S14" s="45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0.12122165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10.07954545454551</v>
      </c>
      <c r="Q15" s="13">
        <v>0.99999999999969935</v>
      </c>
      <c r="R15" s="15">
        <v>2.7537403393593999E-13</v>
      </c>
      <c r="S15" s="25">
        <v>0.99381663257223674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10.328987225558926</v>
      </c>
      <c r="Q16" s="13">
        <v>0.99994176103764476</v>
      </c>
      <c r="R16" s="15">
        <v>5.721705671650966E-5</v>
      </c>
      <c r="S16" s="25">
        <v>0.9897141564847185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10.586730596535382</v>
      </c>
      <c r="Q17" s="13">
        <v>0.99731621390275593</v>
      </c>
      <c r="R17" s="15">
        <v>2.6219188994805053E-3</v>
      </c>
      <c r="S17" s="25">
        <v>0.98536906209478914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10.865041230984446</v>
      </c>
      <c r="Q18" s="13">
        <v>0.98734396160110338</v>
      </c>
      <c r="R18" s="15">
        <v>1.2365432717133796E-2</v>
      </c>
      <c r="S18" s="25">
        <v>0.98076894810876636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11.151888406313496</v>
      </c>
      <c r="Q19" s="13">
        <v>0.97051945356873515</v>
      </c>
      <c r="R19" s="15">
        <v>2.9015658576779589E-2</v>
      </c>
      <c r="S19" s="25">
        <v>0.97640786489059095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11.494152574888446</v>
      </c>
      <c r="Q20" s="13">
        <v>0.95085829738849759</v>
      </c>
      <c r="R20" s="15">
        <v>4.8730757010665114E-2</v>
      </c>
      <c r="S20" s="25">
        <v>0.97250747840369722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10.782398261110032</v>
      </c>
      <c r="Q21" s="13">
        <v>0.90988048257918008</v>
      </c>
      <c r="R21" s="15">
        <v>8.3739242140342895E-2</v>
      </c>
      <c r="S21" s="25">
        <v>0.96850612582543616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10.077416734251223</v>
      </c>
      <c r="Q22" s="13">
        <v>0.86115945792566562</v>
      </c>
      <c r="R22" s="15">
        <v>0.12063563063559921</v>
      </c>
      <c r="S22" s="25">
        <v>0.96399987664870357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12.763520110269148</v>
      </c>
      <c r="Q23" s="13">
        <v>0.88901832071582521</v>
      </c>
      <c r="R23" s="15">
        <v>0.11464030825209645</v>
      </c>
      <c r="S23" s="25">
        <v>0.95995339917747169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12.267130165284719</v>
      </c>
      <c r="Q24" s="13">
        <v>0.85321122946290484</v>
      </c>
      <c r="R24" s="15">
        <v>0.14530250905488992</v>
      </c>
      <c r="S24" s="25">
        <v>0.95592941998839842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11.776711285006293</v>
      </c>
      <c r="Q25" s="13">
        <v>0.81592532738513524</v>
      </c>
      <c r="R25" s="15">
        <v>0.17407815421720729</v>
      </c>
      <c r="S25" s="25">
        <v>0.952351337830045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14.242352413597537</v>
      </c>
      <c r="Q26" s="13">
        <v>0.84330211295277946</v>
      </c>
      <c r="R26" s="15">
        <v>0.1701573170235974</v>
      </c>
      <c r="S26" s="25">
        <v>0.94795467664646405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  <mergeCell ref="A8:B8"/>
    <mergeCell ref="C8:D8"/>
    <mergeCell ref="A9:B9"/>
    <mergeCell ref="C9:D9"/>
    <mergeCell ref="A10:B10"/>
    <mergeCell ref="C10:D10"/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2025-11-23T13:02:23Z</dcterms:modified>
</cp:coreProperties>
</file>