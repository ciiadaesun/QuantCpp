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OptionPricer\"/>
    </mc:Choice>
  </mc:AlternateContent>
  <xr:revisionPtr revIDLastSave="0" documentId="13_ncr:1_{C9D8FB87-EA5C-41CD-A28C-3FDF41F7D63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P9" i="1"/>
  <c r="E18" i="1" l="1"/>
  <c r="E19" i="1" s="1"/>
  <c r="E20" i="1" s="1"/>
  <c r="E21" i="1" s="1"/>
  <c r="E17" i="1"/>
  <c r="H9" i="1"/>
  <c r="E7" i="1" l="1"/>
  <c r="E6" i="1"/>
  <c r="E5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A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O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NYSE
4: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NYMEX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A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O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NYSE
4: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NYMEX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O13" authorId="0" shapeId="0" xr:uid="{00000000-0006-0000-0000-000005000000}">
      <text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Holiday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14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T = [0.002739726, 0.25, 0.5, 0.75, 1.0, …]</t>
        </r>
        <r>
          <rPr>
            <b/>
            <sz val="9"/>
            <color indexed="81"/>
            <rFont val="돋움"/>
            <family val="3"/>
            <charset val="129"/>
          </rPr>
          <t xml:space="preserve">형식
또는
</t>
        </r>
        <r>
          <rPr>
            <b/>
            <sz val="9"/>
            <color indexed="81"/>
            <rFont val="Tahoma"/>
            <family val="2"/>
          </rPr>
          <t>T = [2024-04-30, 2024-05-10, ..]</t>
        </r>
      </text>
    </comment>
    <comment ref="D14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YYYY-MM-DD</t>
        </r>
        <r>
          <rPr>
            <b/>
            <sz val="9"/>
            <color indexed="81"/>
            <rFont val="돋움"/>
            <family val="3"/>
            <charset val="129"/>
          </rPr>
          <t>날짜형식</t>
        </r>
      </text>
    </comment>
    <comment ref="G14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YYYY-MM-DD</t>
        </r>
        <r>
          <rPr>
            <b/>
            <sz val="9"/>
            <color indexed="81"/>
            <rFont val="돋움"/>
            <family val="3"/>
            <charset val="129"/>
          </rPr>
          <t>날짜형식</t>
        </r>
      </text>
    </comment>
  </commentList>
</comments>
</file>

<file path=xl/sharedStrings.xml><?xml version="1.0" encoding="utf-8"?>
<sst xmlns="http://schemas.openxmlformats.org/spreadsheetml/2006/main" count="36" uniqueCount="35">
  <si>
    <t>Option Pricer</t>
    <phoneticPr fontId="3" type="noConversion"/>
  </si>
  <si>
    <t>매수/매도</t>
    <phoneticPr fontId="3" type="noConversion"/>
  </si>
  <si>
    <t>콜/풋</t>
    <phoneticPr fontId="3" type="noConversion"/>
  </si>
  <si>
    <t>행사가격</t>
    <phoneticPr fontId="3" type="noConversion"/>
  </si>
  <si>
    <t>가격계산일</t>
    <phoneticPr fontId="3" type="noConversion"/>
  </si>
  <si>
    <t>시작일</t>
    <phoneticPr fontId="3" type="noConversion"/>
  </si>
  <si>
    <t>종료일</t>
    <phoneticPr fontId="3" type="noConversion"/>
  </si>
  <si>
    <t>지급주기</t>
    <phoneticPr fontId="3" type="noConversion"/>
  </si>
  <si>
    <t>평균시작일</t>
    <phoneticPr fontId="3" type="noConversion"/>
  </si>
  <si>
    <t>평균종료일</t>
    <phoneticPr fontId="3" type="noConversion"/>
  </si>
  <si>
    <t>Forward Start</t>
    <phoneticPr fontId="3" type="noConversion"/>
  </si>
  <si>
    <t>Forward End</t>
    <phoneticPr fontId="3" type="noConversion"/>
  </si>
  <si>
    <t>Term</t>
    <phoneticPr fontId="3" type="noConversion"/>
  </si>
  <si>
    <t>Rate</t>
    <phoneticPr fontId="3" type="noConversion"/>
  </si>
  <si>
    <t>Discount Rate</t>
    <phoneticPr fontId="3" type="noConversion"/>
  </si>
  <si>
    <t>N일뒤 지급</t>
    <phoneticPr fontId="3" type="noConversion"/>
  </si>
  <si>
    <t>Forward(Futures) Price</t>
    <phoneticPr fontId="3" type="noConversion"/>
  </si>
  <si>
    <t>Price</t>
    <phoneticPr fontId="3" type="noConversion"/>
  </si>
  <si>
    <t>Maturity</t>
    <phoneticPr fontId="3" type="noConversion"/>
  </si>
  <si>
    <t>GreekFlag</t>
    <phoneticPr fontId="3" type="noConversion"/>
  </si>
  <si>
    <t>TextFlag</t>
    <phoneticPr fontId="3" type="noConversion"/>
  </si>
  <si>
    <t>LastFixing</t>
    <phoneticPr fontId="3" type="noConversion"/>
  </si>
  <si>
    <t>PayDate</t>
    <phoneticPr fontId="3" type="noConversion"/>
  </si>
  <si>
    <t>Term Volatility</t>
    <phoneticPr fontId="3" type="noConversion"/>
  </si>
  <si>
    <t>Vol</t>
    <phoneticPr fontId="3" type="noConversion"/>
  </si>
  <si>
    <t>FixedAverage</t>
    <phoneticPr fontId="3" type="noConversion"/>
  </si>
  <si>
    <t>가격</t>
    <phoneticPr fontId="3" type="noConversion"/>
  </si>
  <si>
    <t>Delta</t>
    <phoneticPr fontId="3" type="noConversion"/>
  </si>
  <si>
    <t>OptionPrice</t>
    <phoneticPr fontId="3" type="noConversion"/>
  </si>
  <si>
    <t>Vega</t>
    <phoneticPr fontId="3" type="noConversion"/>
  </si>
  <si>
    <t>DiscFactor</t>
    <phoneticPr fontId="3" type="noConversion"/>
  </si>
  <si>
    <t>지급Holiday</t>
    <phoneticPr fontId="3" type="noConversion"/>
  </si>
  <si>
    <t>기초자산Holiday</t>
    <phoneticPr fontId="3" type="noConversion"/>
  </si>
  <si>
    <t>ErrorMessage</t>
    <phoneticPr fontId="3" type="noConversion"/>
  </si>
  <si>
    <t>추가Holiday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</si>
</sst>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);[Red]\(0.00\)"/>
    <numFmt numFmtId="177" formatCode="0_);[Red]\(0\)"/>
    <numFmt numFmtId="178" formatCode="0.000_);[Red]\(0.000\)"/>
    <numFmt numFmtId="179" formatCode="0.0000_);[Red]\(0.0000\)"/>
    <numFmt numFmtId="180" formatCode="0.00000_);[Red]\(0.00000\)"/>
    <numFmt numFmtId="181" formatCode="0.00000%"/>
    <numFmt numFmtId="182" formatCode="0.00000_ ;[Red]\-0.00000\ "/>
    <numFmt numFmtId="183" formatCode="0.000000_);[Red]\(0.00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theme="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5" fillId="6" borderId="0" xfId="0" applyFont="1" applyFill="1" applyProtection="1">
      <alignment vertical="center"/>
      <protection locked="0"/>
    </xf>
    <xf numFmtId="14" fontId="0" fillId="8" borderId="0" xfId="0" applyNumberFormat="1" applyFill="1">
      <alignment vertical="center"/>
    </xf>
    <xf numFmtId="0" fontId="10" fillId="7" borderId="0" xfId="0" applyFont="1" applyFill="1" applyAlignment="1">
      <alignment horizontal="center" vertical="center"/>
    </xf>
    <xf numFmtId="0" fontId="5" fillId="5" borderId="0" xfId="0" applyFont="1" applyFill="1">
      <alignment vertical="center"/>
    </xf>
    <xf numFmtId="177" fontId="2" fillId="6" borderId="0" xfId="0" applyNumberFormat="1" applyFont="1" applyFill="1" applyProtection="1">
      <alignment vertical="center"/>
      <protection locked="0"/>
    </xf>
    <xf numFmtId="176" fontId="0" fillId="8" borderId="0" xfId="0" applyNumberFormat="1" applyFill="1">
      <alignment vertical="center"/>
    </xf>
    <xf numFmtId="10" fontId="12" fillId="8" borderId="0" xfId="1" applyNumberFormat="1" applyFont="1" applyFill="1" applyBorder="1" applyAlignment="1" applyProtection="1">
      <protection locked="0"/>
    </xf>
    <xf numFmtId="10" fontId="5" fillId="8" borderId="0" xfId="1" applyNumberFormat="1" applyFont="1" applyFill="1">
      <alignment vertical="center"/>
    </xf>
    <xf numFmtId="178" fontId="0" fillId="8" borderId="0" xfId="0" applyNumberFormat="1" applyFill="1">
      <alignment vertical="center"/>
    </xf>
    <xf numFmtId="178" fontId="0" fillId="11" borderId="0" xfId="0" applyNumberFormat="1" applyFill="1">
      <alignment vertical="center"/>
    </xf>
    <xf numFmtId="179" fontId="0" fillId="11" borderId="0" xfId="0" applyNumberFormat="1" applyFill="1">
      <alignment vertical="center"/>
    </xf>
    <xf numFmtId="180" fontId="0" fillId="11" borderId="0" xfId="0" applyNumberFormat="1" applyFill="1">
      <alignment vertical="center"/>
    </xf>
    <xf numFmtId="14" fontId="0" fillId="2" borderId="0" xfId="0" applyNumberFormat="1" applyFill="1">
      <alignment vertical="center"/>
    </xf>
    <xf numFmtId="181" fontId="12" fillId="8" borderId="0" xfId="0" applyNumberFormat="1" applyFont="1" applyFill="1" applyAlignment="1" applyProtection="1">
      <protection locked="0"/>
    </xf>
    <xf numFmtId="181" fontId="5" fillId="8" borderId="0" xfId="0" applyNumberFormat="1" applyFont="1" applyFill="1" applyProtection="1">
      <alignment vertical="center"/>
      <protection locked="0"/>
    </xf>
    <xf numFmtId="181" fontId="5" fillId="8" borderId="0" xfId="0" applyNumberFormat="1" applyFont="1" applyFill="1">
      <alignment vertical="center"/>
    </xf>
    <xf numFmtId="181" fontId="0" fillId="2" borderId="0" xfId="1" applyNumberFormat="1" applyFont="1" applyFill="1">
      <alignment vertical="center"/>
    </xf>
    <xf numFmtId="180" fontId="2" fillId="2" borderId="0" xfId="0" applyNumberFormat="1" applyFont="1" applyFill="1">
      <alignment vertical="center"/>
    </xf>
    <xf numFmtId="14" fontId="11" fillId="8" borderId="0" xfId="0" applyNumberFormat="1" applyFont="1" applyFill="1" applyProtection="1">
      <alignment vertical="center"/>
      <protection locked="0"/>
    </xf>
    <xf numFmtId="14" fontId="15" fillId="8" borderId="0" xfId="0" applyNumberFormat="1" applyFont="1" applyFill="1" applyProtection="1">
      <alignment vertical="center"/>
      <protection locked="0"/>
    </xf>
    <xf numFmtId="14" fontId="15" fillId="8" borderId="0" xfId="0" applyNumberFormat="1" applyFont="1" applyFill="1">
      <alignment vertical="center"/>
    </xf>
    <xf numFmtId="183" fontId="0" fillId="11" borderId="0" xfId="0" applyNumberFormat="1" applyFill="1">
      <alignment vertical="center"/>
    </xf>
    <xf numFmtId="14" fontId="0" fillId="13" borderId="0" xfId="0" applyNumberFormat="1" applyFill="1">
      <alignment vertical="center"/>
    </xf>
    <xf numFmtId="0" fontId="10" fillId="10" borderId="2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2" fillId="5" borderId="0" xfId="0" applyFont="1" applyFill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176" fontId="5" fillId="6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3" fillId="9" borderId="0" xfId="0" applyFont="1" applyFill="1" applyAlignment="1">
      <alignment horizontal="left" vertical="center"/>
    </xf>
    <xf numFmtId="14" fontId="5" fillId="6" borderId="0" xfId="0" applyNumberFormat="1" applyFont="1" applyFill="1" applyAlignment="1" applyProtection="1">
      <alignment horizontal="center" vertical="center"/>
      <protection locked="0"/>
    </xf>
    <xf numFmtId="0" fontId="15" fillId="11" borderId="5" xfId="0" applyFont="1" applyFill="1" applyBorder="1" applyAlignment="1">
      <alignment horizontal="center" vertical="center"/>
    </xf>
    <xf numFmtId="0" fontId="15" fillId="11" borderId="6" xfId="0" applyFont="1" applyFill="1" applyBorder="1" applyAlignment="1">
      <alignment horizontal="center" vertical="center"/>
    </xf>
    <xf numFmtId="0" fontId="15" fillId="11" borderId="7" xfId="0" applyFont="1" applyFill="1" applyBorder="1" applyAlignment="1">
      <alignment horizontal="center" vertical="center"/>
    </xf>
    <xf numFmtId="0" fontId="15" fillId="11" borderId="8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0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182" fontId="2" fillId="11" borderId="1" xfId="0" applyNumberFormat="1" applyFont="1" applyFill="1" applyBorder="1" applyAlignment="1" applyProtection="1">
      <alignment horizontal="right" vertical="center"/>
      <protection locked="0"/>
    </xf>
    <xf numFmtId="182" fontId="2" fillId="11" borderId="4" xfId="0" applyNumberFormat="1" applyFont="1" applyFill="1" applyBorder="1" applyAlignment="1" applyProtection="1">
      <alignment horizontal="right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</xdr:colOff>
          <xdr:row>9</xdr:row>
          <xdr:rowOff>99060</xdr:rowOff>
        </xdr:from>
        <xdr:to>
          <xdr:col>10</xdr:col>
          <xdr:colOff>624840</xdr:colOff>
          <xdr:row>11</xdr:row>
          <xdr:rowOff>121920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7</xdr:row>
          <xdr:rowOff>91440</xdr:rowOff>
        </xdr:from>
        <xdr:to>
          <xdr:col>12</xdr:col>
          <xdr:colOff>480060</xdr:colOff>
          <xdr:row>10</xdr:row>
          <xdr:rowOff>15240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34"/>
  <sheetViews>
    <sheetView tabSelected="1" workbookViewId="0">
      <selection activeCell="K12" sqref="K12"/>
    </sheetView>
  </sheetViews>
  <sheetFormatPr defaultColWidth="11.5" defaultRowHeight="17.399999999999999" x14ac:dyDescent="0.4"/>
  <cols>
    <col min="1" max="1" width="11.5" style="24"/>
    <col min="2" max="2" width="11.5" style="19"/>
    <col min="3" max="3" width="11.5" style="1"/>
    <col min="4" max="4" width="11.5" style="5"/>
    <col min="5" max="5" width="11.5" style="9"/>
    <col min="6" max="6" width="11.5" style="1"/>
    <col min="7" max="7" width="11.5" style="5"/>
    <col min="8" max="8" width="11.5" style="11"/>
    <col min="9" max="9" width="11.5" style="1"/>
    <col min="10" max="13" width="11.5" style="5"/>
    <col min="14" max="14" width="11.5" style="12"/>
    <col min="15" max="15" width="12.5" style="26" bestFit="1" customWidth="1"/>
    <col min="16" max="16" width="11.5" style="14"/>
    <col min="17" max="17" width="11.5" style="13"/>
    <col min="18" max="18" width="11.5" style="15"/>
    <col min="19" max="19" width="11.5" style="25"/>
    <col min="20" max="16384" width="11.5" style="1"/>
  </cols>
  <sheetData>
    <row r="1" spans="1:55" s="2" customFormat="1" ht="15.6" x14ac:dyDescent="0.4">
      <c r="A1" s="2">
        <v>1</v>
      </c>
      <c r="B1" s="2">
        <f>A1+1</f>
        <v>2</v>
      </c>
      <c r="C1" s="2">
        <f t="shared" ref="C1:BC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  <c r="AK1" s="2">
        <f t="shared" si="0"/>
        <v>37</v>
      </c>
      <c r="AL1" s="2">
        <f t="shared" si="0"/>
        <v>38</v>
      </c>
      <c r="AM1" s="2">
        <f t="shared" si="0"/>
        <v>39</v>
      </c>
      <c r="AN1" s="2">
        <f t="shared" si="0"/>
        <v>40</v>
      </c>
      <c r="AO1" s="2">
        <f t="shared" si="0"/>
        <v>41</v>
      </c>
      <c r="AP1" s="2">
        <f t="shared" si="0"/>
        <v>42</v>
      </c>
      <c r="AQ1" s="2">
        <f t="shared" si="0"/>
        <v>43</v>
      </c>
      <c r="AR1" s="2">
        <f t="shared" si="0"/>
        <v>44</v>
      </c>
      <c r="AS1" s="2">
        <f t="shared" si="0"/>
        <v>45</v>
      </c>
      <c r="AT1" s="2">
        <f t="shared" si="0"/>
        <v>46</v>
      </c>
      <c r="AU1" s="2">
        <f t="shared" si="0"/>
        <v>47</v>
      </c>
      <c r="AV1" s="2">
        <f t="shared" si="0"/>
        <v>48</v>
      </c>
      <c r="AW1" s="2">
        <f t="shared" si="0"/>
        <v>49</v>
      </c>
      <c r="AX1" s="2">
        <f t="shared" si="0"/>
        <v>50</v>
      </c>
      <c r="AY1" s="2">
        <f t="shared" si="0"/>
        <v>51</v>
      </c>
      <c r="AZ1" s="2">
        <f t="shared" si="0"/>
        <v>52</v>
      </c>
      <c r="BA1" s="2">
        <f t="shared" si="0"/>
        <v>53</v>
      </c>
      <c r="BB1" s="2">
        <f t="shared" si="0"/>
        <v>54</v>
      </c>
      <c r="BC1" s="2">
        <f t="shared" si="0"/>
        <v>55</v>
      </c>
    </row>
    <row r="2" spans="1:55" s="2" customFormat="1" ht="15.6" x14ac:dyDescent="0.4">
      <c r="A2" s="29" t="s">
        <v>0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</row>
    <row r="3" spans="1:55" s="2" customFormat="1" ht="15.6" x14ac:dyDescent="0.4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</row>
    <row r="4" spans="1:55" x14ac:dyDescent="0.4">
      <c r="A4" s="1"/>
      <c r="B4" s="1"/>
      <c r="D4" s="1"/>
      <c r="E4" s="1"/>
      <c r="G4" s="1"/>
      <c r="H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55" ht="18" thickBot="1" x14ac:dyDescent="0.45">
      <c r="A5" s="30" t="s">
        <v>1</v>
      </c>
      <c r="B5" s="30"/>
      <c r="C5" s="31">
        <v>0</v>
      </c>
      <c r="D5" s="31"/>
      <c r="E5" s="3" t="str">
        <f>IF(C5=0,"매수","매도")</f>
        <v>매수</v>
      </c>
      <c r="G5" s="1"/>
      <c r="H5" s="1"/>
      <c r="J5" s="1"/>
      <c r="K5" s="30" t="s">
        <v>19</v>
      </c>
      <c r="L5" s="30"/>
      <c r="M5" s="31">
        <v>0</v>
      </c>
      <c r="N5" s="31"/>
      <c r="O5" s="7" t="s">
        <v>32</v>
      </c>
      <c r="P5" s="8">
        <v>1</v>
      </c>
      <c r="Q5" s="1"/>
      <c r="R5" s="1"/>
      <c r="S5" s="1"/>
    </row>
    <row r="6" spans="1:55" ht="18" thickBot="1" x14ac:dyDescent="0.45">
      <c r="A6" s="30" t="s">
        <v>2</v>
      </c>
      <c r="B6" s="30"/>
      <c r="C6" s="31">
        <v>0</v>
      </c>
      <c r="D6" s="31"/>
      <c r="E6" s="3" t="str">
        <f>IF(C6=0,"콜","풋")</f>
        <v>콜</v>
      </c>
      <c r="F6" s="30" t="s">
        <v>3</v>
      </c>
      <c r="G6" s="30"/>
      <c r="H6" s="32">
        <v>60</v>
      </c>
      <c r="I6" s="32"/>
      <c r="J6" s="1"/>
      <c r="K6" s="30" t="s">
        <v>20</v>
      </c>
      <c r="L6" s="30"/>
      <c r="M6" s="31">
        <v>0</v>
      </c>
      <c r="N6" s="31"/>
      <c r="O6" s="7" t="s">
        <v>31</v>
      </c>
      <c r="P6" s="8">
        <v>10</v>
      </c>
      <c r="Q6" s="43" t="s">
        <v>33</v>
      </c>
      <c r="R6" s="44"/>
      <c r="S6" s="45"/>
    </row>
    <row r="7" spans="1:55" x14ac:dyDescent="0.4">
      <c r="A7" s="30" t="s">
        <v>7</v>
      </c>
      <c r="B7" s="30"/>
      <c r="C7" s="31">
        <v>1</v>
      </c>
      <c r="D7" s="31"/>
      <c r="E7" s="3" t="str">
        <f>C7&amp;"Month"</f>
        <v>1Month</v>
      </c>
      <c r="G7" s="1"/>
      <c r="H7" s="1"/>
      <c r="J7" s="1"/>
      <c r="K7" s="1"/>
      <c r="L7" s="1"/>
      <c r="M7" s="48" t="s">
        <v>26</v>
      </c>
      <c r="N7" s="48"/>
      <c r="O7" s="46">
        <v>11.02065427193463</v>
      </c>
      <c r="P7" s="47"/>
      <c r="Q7" s="37"/>
      <c r="R7" s="38"/>
      <c r="S7" s="39"/>
    </row>
    <row r="8" spans="1:55" ht="18" thickBot="1" x14ac:dyDescent="0.45">
      <c r="A8" s="30" t="s">
        <v>4</v>
      </c>
      <c r="B8" s="30"/>
      <c r="C8" s="36">
        <v>45411</v>
      </c>
      <c r="D8" s="31"/>
      <c r="E8" s="1"/>
      <c r="G8" s="1"/>
      <c r="H8" s="1"/>
      <c r="J8" s="1"/>
      <c r="K8" s="1"/>
      <c r="L8" s="1"/>
      <c r="M8" s="1"/>
      <c r="N8" s="1"/>
      <c r="O8" s="1"/>
      <c r="P8" s="21">
        <v>11.023797</v>
      </c>
      <c r="Q8" s="40"/>
      <c r="R8" s="41"/>
      <c r="S8" s="42"/>
    </row>
    <row r="9" spans="1:55" x14ac:dyDescent="0.4">
      <c r="A9" s="30" t="s">
        <v>5</v>
      </c>
      <c r="B9" s="30"/>
      <c r="C9" s="36">
        <v>45413</v>
      </c>
      <c r="D9" s="31"/>
      <c r="E9" s="1"/>
      <c r="F9" s="3" t="s">
        <v>8</v>
      </c>
      <c r="G9" s="4">
        <v>1</v>
      </c>
      <c r="H9" s="35" t="str">
        <f>"M월 "&amp;G9&amp;"일부터"</f>
        <v>M월 1일부터</v>
      </c>
      <c r="I9" s="35"/>
      <c r="J9" s="1"/>
      <c r="K9" s="1"/>
      <c r="L9" s="1"/>
      <c r="M9" s="1"/>
      <c r="N9" s="1"/>
      <c r="O9" s="1"/>
      <c r="P9" s="20">
        <f>(O7-P8)/H6</f>
        <v>-5.237880108950321E-5</v>
      </c>
      <c r="Q9" s="1"/>
      <c r="R9" s="1"/>
      <c r="S9" s="1"/>
    </row>
    <row r="10" spans="1:55" x14ac:dyDescent="0.4">
      <c r="A10" s="30" t="s">
        <v>6</v>
      </c>
      <c r="B10" s="30"/>
      <c r="C10" s="36">
        <v>45777</v>
      </c>
      <c r="D10" s="31"/>
      <c r="E10" s="1"/>
      <c r="F10" s="3" t="s">
        <v>9</v>
      </c>
      <c r="G10" s="4">
        <v>31</v>
      </c>
      <c r="H10" s="35" t="str">
        <f>"M월 "&amp;G10&amp;"일까지 영업일 평균"</f>
        <v>M월 31일까지 영업일 평균</v>
      </c>
      <c r="I10" s="35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1"/>
      <c r="B11" s="1"/>
      <c r="D11" s="1"/>
      <c r="E11" s="1"/>
      <c r="F11" s="3" t="s">
        <v>15</v>
      </c>
      <c r="G11" s="4">
        <v>5</v>
      </c>
      <c r="H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55" x14ac:dyDescent="0.4">
      <c r="A12" s="1"/>
      <c r="B12" s="1"/>
      <c r="D12" s="1"/>
      <c r="E12" s="1"/>
      <c r="G12" s="1"/>
      <c r="H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55" x14ac:dyDescent="0.4">
      <c r="A13" s="34" t="s">
        <v>14</v>
      </c>
      <c r="B13" s="34"/>
      <c r="D13" s="34" t="s">
        <v>16</v>
      </c>
      <c r="E13" s="34"/>
      <c r="G13" s="34" t="s">
        <v>23</v>
      </c>
      <c r="H13" s="34"/>
      <c r="J13" s="33" t="s">
        <v>10</v>
      </c>
      <c r="K13" s="33" t="s">
        <v>11</v>
      </c>
      <c r="L13" s="33" t="s">
        <v>21</v>
      </c>
      <c r="M13" s="33" t="s">
        <v>22</v>
      </c>
      <c r="N13" s="33" t="s">
        <v>25</v>
      </c>
      <c r="O13" s="49" t="s">
        <v>34</v>
      </c>
      <c r="P13" s="27" t="s">
        <v>28</v>
      </c>
      <c r="Q13" s="27" t="s">
        <v>27</v>
      </c>
      <c r="R13" s="27" t="s">
        <v>29</v>
      </c>
      <c r="S13" s="27" t="s">
        <v>30</v>
      </c>
    </row>
    <row r="14" spans="1:55" x14ac:dyDescent="0.4">
      <c r="A14" s="6" t="s">
        <v>12</v>
      </c>
      <c r="B14" s="6" t="s">
        <v>13</v>
      </c>
      <c r="D14" s="6" t="s">
        <v>18</v>
      </c>
      <c r="E14" s="6" t="s">
        <v>17</v>
      </c>
      <c r="G14" s="6" t="s">
        <v>18</v>
      </c>
      <c r="H14" s="6" t="s">
        <v>24</v>
      </c>
      <c r="J14" s="33"/>
      <c r="K14" s="33"/>
      <c r="L14" s="33"/>
      <c r="M14" s="33"/>
      <c r="N14" s="33"/>
      <c r="O14" s="49"/>
      <c r="P14" s="28"/>
      <c r="Q14" s="28"/>
      <c r="R14" s="28"/>
      <c r="S14" s="28"/>
    </row>
    <row r="15" spans="1:55" x14ac:dyDescent="0.35">
      <c r="A15" s="22">
        <v>45412</v>
      </c>
      <c r="B15" s="17">
        <v>5.3934903999999999E-2</v>
      </c>
      <c r="C15" s="16">
        <v>45412</v>
      </c>
      <c r="D15" s="5">
        <v>45433</v>
      </c>
      <c r="E15" s="9">
        <v>70</v>
      </c>
      <c r="G15" s="5">
        <v>45443</v>
      </c>
      <c r="H15" s="10">
        <v>0</v>
      </c>
      <c r="J15" s="5">
        <v>45413</v>
      </c>
      <c r="K15" s="5">
        <v>45443</v>
      </c>
      <c r="L15" s="5">
        <v>45443</v>
      </c>
      <c r="M15" s="5">
        <v>45453</v>
      </c>
      <c r="O15" s="26">
        <v>45478</v>
      </c>
      <c r="P15" s="14">
        <v>10.079545454545453</v>
      </c>
      <c r="Q15" s="13">
        <v>0.99999999999999967</v>
      </c>
      <c r="R15" s="15">
        <v>0</v>
      </c>
      <c r="S15" s="25">
        <v>0.99381663257223674</v>
      </c>
    </row>
    <row r="16" spans="1:55" x14ac:dyDescent="0.35">
      <c r="A16" s="22">
        <v>45422</v>
      </c>
      <c r="B16" s="17">
        <v>5.3860367999999999E-2</v>
      </c>
      <c r="C16" s="16">
        <v>45422</v>
      </c>
      <c r="D16" s="5">
        <v>45463</v>
      </c>
      <c r="E16" s="9">
        <v>70.25</v>
      </c>
      <c r="G16" s="5">
        <v>45473</v>
      </c>
      <c r="H16" s="10">
        <v>0.12122165</v>
      </c>
      <c r="J16" s="5">
        <v>45444</v>
      </c>
      <c r="K16" s="5">
        <v>45473</v>
      </c>
      <c r="L16" s="5">
        <v>45471</v>
      </c>
      <c r="M16" s="5">
        <v>45481</v>
      </c>
      <c r="O16" s="26">
        <v>45765</v>
      </c>
      <c r="P16" s="14">
        <v>10.328987225558926</v>
      </c>
      <c r="Q16" s="13">
        <v>0.99994176103764476</v>
      </c>
      <c r="R16" s="15">
        <v>5.721705671650966E-5</v>
      </c>
      <c r="S16" s="25">
        <v>0.9897141564847185</v>
      </c>
    </row>
    <row r="17" spans="1:19" x14ac:dyDescent="0.35">
      <c r="A17" s="22">
        <v>45448</v>
      </c>
      <c r="B17" s="17">
        <v>5.3898420000000002E-2</v>
      </c>
      <c r="C17" s="16">
        <v>45448</v>
      </c>
      <c r="D17" s="5">
        <v>45495</v>
      </c>
      <c r="E17" s="9">
        <f>E16+0.25</f>
        <v>70.5</v>
      </c>
      <c r="G17" s="5">
        <v>45504</v>
      </c>
      <c r="H17" s="11">
        <v>0.13136876</v>
      </c>
      <c r="J17" s="5">
        <v>45474</v>
      </c>
      <c r="K17" s="5">
        <v>45504</v>
      </c>
      <c r="L17" s="5">
        <v>45504</v>
      </c>
      <c r="M17" s="5">
        <v>45511</v>
      </c>
      <c r="P17" s="14">
        <v>10.586730596535382</v>
      </c>
      <c r="Q17" s="13">
        <v>0.99731621390275593</v>
      </c>
      <c r="R17" s="15">
        <v>2.6219188994805053E-3</v>
      </c>
      <c r="S17" s="25">
        <v>0.98536906209478914</v>
      </c>
    </row>
    <row r="18" spans="1:19" x14ac:dyDescent="0.35">
      <c r="A18" s="22">
        <v>45476</v>
      </c>
      <c r="B18" s="17">
        <v>5.3925364000000003E-2</v>
      </c>
      <c r="C18" s="16">
        <v>45476</v>
      </c>
      <c r="D18" s="5">
        <v>45524</v>
      </c>
      <c r="E18" s="9">
        <f t="shared" ref="E18:E21" si="1">E17+0.25</f>
        <v>70.75</v>
      </c>
      <c r="G18" s="5">
        <v>45535</v>
      </c>
      <c r="H18" s="11">
        <v>0.14154115</v>
      </c>
      <c r="J18" s="5">
        <v>45505</v>
      </c>
      <c r="K18" s="5">
        <v>45535</v>
      </c>
      <c r="L18" s="5">
        <v>45534</v>
      </c>
      <c r="M18" s="5">
        <v>45544</v>
      </c>
      <c r="P18" s="14">
        <v>10.865041230984446</v>
      </c>
      <c r="Q18" s="13">
        <v>0.98734396160110338</v>
      </c>
      <c r="R18" s="15">
        <v>1.2365432717133796E-2</v>
      </c>
      <c r="S18" s="25">
        <v>0.98076894810876636</v>
      </c>
    </row>
    <row r="19" spans="1:19" x14ac:dyDescent="0.35">
      <c r="A19" s="22">
        <v>45509</v>
      </c>
      <c r="B19" s="17">
        <v>5.3830991000000002E-2</v>
      </c>
      <c r="C19" s="16">
        <v>45509</v>
      </c>
      <c r="D19" s="5">
        <v>45555</v>
      </c>
      <c r="E19" s="9">
        <f t="shared" si="1"/>
        <v>71</v>
      </c>
      <c r="G19" s="5">
        <v>45565</v>
      </c>
      <c r="H19" s="11">
        <v>0.15102460000000001</v>
      </c>
      <c r="J19" s="5">
        <v>45536</v>
      </c>
      <c r="K19" s="5">
        <v>45565</v>
      </c>
      <c r="L19" s="5">
        <v>45565</v>
      </c>
      <c r="M19" s="5">
        <v>45575</v>
      </c>
      <c r="P19" s="14">
        <v>11.151888406313496</v>
      </c>
      <c r="Q19" s="13">
        <v>0.97051945356873515</v>
      </c>
      <c r="R19" s="15">
        <v>2.9015658576779589E-2</v>
      </c>
      <c r="S19" s="25">
        <v>0.97640786489059095</v>
      </c>
    </row>
    <row r="20" spans="1:19" x14ac:dyDescent="0.35">
      <c r="A20" s="22">
        <v>45540</v>
      </c>
      <c r="B20" s="17">
        <v>5.3311007000000001E-2</v>
      </c>
      <c r="C20" s="16">
        <v>45540</v>
      </c>
      <c r="D20" s="5">
        <v>45587</v>
      </c>
      <c r="E20" s="9">
        <f t="shared" si="1"/>
        <v>71.25</v>
      </c>
      <c r="G20" s="5">
        <v>45596</v>
      </c>
      <c r="H20" s="11">
        <v>0.16104489999999999</v>
      </c>
      <c r="J20" s="5">
        <v>45566</v>
      </c>
      <c r="K20" s="5">
        <v>45596</v>
      </c>
      <c r="L20" s="5">
        <v>45596</v>
      </c>
      <c r="M20" s="5">
        <v>45603</v>
      </c>
      <c r="P20" s="14">
        <v>11.494152574888446</v>
      </c>
      <c r="Q20" s="13">
        <v>0.95085829738849759</v>
      </c>
      <c r="R20" s="15">
        <v>4.8730757010665114E-2</v>
      </c>
      <c r="S20" s="25">
        <v>0.97250747840369722</v>
      </c>
    </row>
    <row r="21" spans="1:19" x14ac:dyDescent="0.35">
      <c r="A21" s="22">
        <v>45693</v>
      </c>
      <c r="B21" s="17">
        <v>5.2546755000000001E-2</v>
      </c>
      <c r="C21" s="16">
        <v>45693</v>
      </c>
      <c r="D21" s="5">
        <v>45616</v>
      </c>
      <c r="E21" s="9">
        <f t="shared" si="1"/>
        <v>71.5</v>
      </c>
      <c r="G21" s="5">
        <v>45626</v>
      </c>
      <c r="H21" s="11">
        <v>0.17092044000000001</v>
      </c>
      <c r="J21" s="5">
        <v>45597</v>
      </c>
      <c r="K21" s="5">
        <v>45626</v>
      </c>
      <c r="L21" s="5">
        <v>45625</v>
      </c>
      <c r="M21" s="5">
        <v>45632</v>
      </c>
      <c r="P21" s="14">
        <v>10.782398261110032</v>
      </c>
      <c r="Q21" s="13">
        <v>0.90988048257918008</v>
      </c>
      <c r="R21" s="15">
        <v>8.3739242140342895E-2</v>
      </c>
      <c r="S21" s="25">
        <v>0.96850612582543616</v>
      </c>
    </row>
    <row r="22" spans="1:19" x14ac:dyDescent="0.35">
      <c r="A22" s="22">
        <v>45782</v>
      </c>
      <c r="B22" s="17">
        <v>5.1679950000000002E-2</v>
      </c>
      <c r="C22" s="16">
        <v>45782</v>
      </c>
      <c r="D22" s="5">
        <v>45645</v>
      </c>
      <c r="E22" s="9">
        <v>68</v>
      </c>
      <c r="G22" s="5">
        <v>45657</v>
      </c>
      <c r="H22" s="11">
        <v>0.18130181000000001</v>
      </c>
      <c r="J22" s="5">
        <v>45627</v>
      </c>
      <c r="K22" s="5">
        <v>45657</v>
      </c>
      <c r="L22" s="5">
        <v>45657</v>
      </c>
      <c r="M22" s="5">
        <v>45665</v>
      </c>
      <c r="P22" s="14">
        <v>10.077416734251223</v>
      </c>
      <c r="Q22" s="13">
        <v>0.86115945792566562</v>
      </c>
      <c r="R22" s="15">
        <v>0.12063563063559921</v>
      </c>
      <c r="S22" s="25">
        <v>0.96399987664870357</v>
      </c>
    </row>
    <row r="23" spans="1:19" x14ac:dyDescent="0.35">
      <c r="A23" s="22">
        <v>45966</v>
      </c>
      <c r="B23" s="17">
        <v>4.9851999000000001E-2</v>
      </c>
      <c r="C23" s="16">
        <v>45966</v>
      </c>
      <c r="D23" s="5">
        <v>45678</v>
      </c>
      <c r="E23" s="9">
        <v>72</v>
      </c>
      <c r="G23" s="5">
        <v>45688</v>
      </c>
      <c r="H23" s="11">
        <v>0.19157029</v>
      </c>
      <c r="J23" s="5">
        <v>45658</v>
      </c>
      <c r="K23" s="5">
        <v>45688</v>
      </c>
      <c r="L23" s="5">
        <v>45688</v>
      </c>
      <c r="M23" s="5">
        <v>45695</v>
      </c>
      <c r="P23" s="14">
        <v>12.763520110269148</v>
      </c>
      <c r="Q23" s="13">
        <v>0.88901832071582521</v>
      </c>
      <c r="R23" s="15">
        <v>0.11464030825209645</v>
      </c>
      <c r="S23" s="25">
        <v>0.95995339917747169</v>
      </c>
    </row>
    <row r="24" spans="1:19" x14ac:dyDescent="0.35">
      <c r="A24" s="22">
        <v>46147</v>
      </c>
      <c r="B24" s="17">
        <v>4.8106734999999998E-2</v>
      </c>
      <c r="C24" s="16">
        <v>46147</v>
      </c>
      <c r="D24" s="5">
        <v>45708</v>
      </c>
      <c r="E24" s="9">
        <v>72.25</v>
      </c>
      <c r="G24" s="5">
        <v>45716</v>
      </c>
      <c r="H24" s="11">
        <v>0.20100415999999999</v>
      </c>
      <c r="J24" s="5">
        <v>45689</v>
      </c>
      <c r="K24" s="5">
        <v>45716</v>
      </c>
      <c r="L24" s="5">
        <v>45716</v>
      </c>
      <c r="M24" s="5">
        <v>45726</v>
      </c>
      <c r="P24" s="14">
        <v>12.267130165284719</v>
      </c>
      <c r="Q24" s="13">
        <v>0.85321122946290484</v>
      </c>
      <c r="R24" s="15">
        <v>0.14530250905488992</v>
      </c>
      <c r="S24" s="25">
        <v>0.95592941998839842</v>
      </c>
    </row>
    <row r="25" spans="1:19" x14ac:dyDescent="0.35">
      <c r="A25" s="22">
        <v>46512</v>
      </c>
      <c r="B25" s="17">
        <v>4.5582950999999997E-2</v>
      </c>
      <c r="C25" s="16">
        <v>46512</v>
      </c>
      <c r="D25" s="5">
        <v>45736</v>
      </c>
      <c r="E25" s="9">
        <v>69</v>
      </c>
      <c r="G25" s="5">
        <v>45747</v>
      </c>
      <c r="H25" s="11">
        <v>0.21126969000000001</v>
      </c>
      <c r="J25" s="5">
        <v>45717</v>
      </c>
      <c r="K25" s="5">
        <v>45747</v>
      </c>
      <c r="L25" s="5">
        <v>45747</v>
      </c>
      <c r="M25" s="5">
        <v>45754</v>
      </c>
      <c r="P25" s="14">
        <v>11.776711285006293</v>
      </c>
      <c r="Q25" s="13">
        <v>0.81592532738513524</v>
      </c>
      <c r="R25" s="15">
        <v>0.17407815421720729</v>
      </c>
      <c r="S25" s="25">
        <v>0.952351337830045</v>
      </c>
    </row>
    <row r="26" spans="1:19" x14ac:dyDescent="0.4">
      <c r="A26" s="22">
        <v>46876</v>
      </c>
      <c r="B26" s="18">
        <v>4.3939680000000002E-2</v>
      </c>
      <c r="C26" s="16">
        <v>46876</v>
      </c>
      <c r="D26" s="5">
        <v>45769</v>
      </c>
      <c r="E26" s="9">
        <v>72.75</v>
      </c>
      <c r="G26" s="5">
        <v>45777</v>
      </c>
      <c r="H26" s="11">
        <v>0.22087730999999999</v>
      </c>
      <c r="J26" s="5">
        <v>45748</v>
      </c>
      <c r="K26" s="5">
        <v>45777</v>
      </c>
      <c r="L26" s="5">
        <v>45777</v>
      </c>
      <c r="M26" s="5">
        <v>45789</v>
      </c>
      <c r="P26" s="14">
        <v>14.242352413597537</v>
      </c>
      <c r="Q26" s="13">
        <v>0.84330211295277946</v>
      </c>
      <c r="R26" s="15">
        <v>0.1701573170235974</v>
      </c>
      <c r="S26" s="25">
        <v>0.94795467664646405</v>
      </c>
    </row>
    <row r="27" spans="1:19" x14ac:dyDescent="0.4">
      <c r="A27" s="22">
        <v>47241</v>
      </c>
      <c r="B27" s="18">
        <v>4.2891055999999997E-2</v>
      </c>
      <c r="C27" s="16">
        <v>47241</v>
      </c>
      <c r="D27" s="5">
        <v>45797</v>
      </c>
      <c r="E27" s="9">
        <v>73</v>
      </c>
    </row>
    <row r="28" spans="1:19" x14ac:dyDescent="0.4">
      <c r="A28" s="23"/>
      <c r="B28" s="18"/>
      <c r="D28" s="5">
        <v>45828</v>
      </c>
      <c r="E28" s="9">
        <v>73.25</v>
      </c>
    </row>
    <row r="29" spans="1:19" x14ac:dyDescent="0.4">
      <c r="A29" s="23"/>
      <c r="B29" s="18"/>
      <c r="D29" s="5">
        <v>45860</v>
      </c>
      <c r="E29" s="9">
        <v>73.5</v>
      </c>
    </row>
    <row r="30" spans="1:19" x14ac:dyDescent="0.4">
      <c r="D30" s="5">
        <v>45889</v>
      </c>
      <c r="E30" s="9">
        <v>73.75</v>
      </c>
    </row>
    <row r="31" spans="1:19" x14ac:dyDescent="0.4">
      <c r="D31" s="5">
        <v>45922</v>
      </c>
      <c r="E31" s="9">
        <v>75</v>
      </c>
    </row>
    <row r="32" spans="1:19" x14ac:dyDescent="0.4">
      <c r="D32" s="5">
        <v>45951</v>
      </c>
      <c r="E32" s="9">
        <v>74.25</v>
      </c>
    </row>
    <row r="33" spans="4:5" x14ac:dyDescent="0.4">
      <c r="D33" s="5">
        <v>45981</v>
      </c>
      <c r="E33" s="9">
        <v>74.5</v>
      </c>
    </row>
    <row r="34" spans="4:5" x14ac:dyDescent="0.4">
      <c r="D34" s="5">
        <v>46010</v>
      </c>
      <c r="E34" s="9">
        <v>67</v>
      </c>
    </row>
  </sheetData>
  <mergeCells count="38">
    <mergeCell ref="Q7:S8"/>
    <mergeCell ref="Q6:S6"/>
    <mergeCell ref="O7:P7"/>
    <mergeCell ref="D13:E13"/>
    <mergeCell ref="K5:L5"/>
    <mergeCell ref="M5:N5"/>
    <mergeCell ref="K6:L6"/>
    <mergeCell ref="M6:N6"/>
    <mergeCell ref="L13:L14"/>
    <mergeCell ref="M13:M14"/>
    <mergeCell ref="G13:H13"/>
    <mergeCell ref="N13:N14"/>
    <mergeCell ref="M7:N7"/>
    <mergeCell ref="O13:O14"/>
    <mergeCell ref="P13:P14"/>
    <mergeCell ref="Q13:Q14"/>
    <mergeCell ref="A8:B8"/>
    <mergeCell ref="C8:D8"/>
    <mergeCell ref="A9:B9"/>
    <mergeCell ref="C9:D9"/>
    <mergeCell ref="A10:B10"/>
    <mergeCell ref="C10:D10"/>
    <mergeCell ref="S13:S14"/>
    <mergeCell ref="R13:R14"/>
    <mergeCell ref="A2:P3"/>
    <mergeCell ref="A5:B5"/>
    <mergeCell ref="C5:D5"/>
    <mergeCell ref="A6:B6"/>
    <mergeCell ref="C6:D6"/>
    <mergeCell ref="F6:G6"/>
    <mergeCell ref="H6:I6"/>
    <mergeCell ref="A7:B7"/>
    <mergeCell ref="C7:D7"/>
    <mergeCell ref="J13:J14"/>
    <mergeCell ref="K13:K14"/>
    <mergeCell ref="A13:B13"/>
    <mergeCell ref="H9:I9"/>
    <mergeCell ref="H10:I10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cheduleGo">
                <anchor moveWithCells="1" sizeWithCells="1">
                  <from>
                    <xdr:col>9</xdr:col>
                    <xdr:colOff>99060</xdr:colOff>
                    <xdr:row>9</xdr:row>
                    <xdr:rowOff>99060</xdr:rowOff>
                  </from>
                  <to>
                    <xdr:col>10</xdr:col>
                    <xdr:colOff>624840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eet1.CalcPrice">
                <anchor moveWithCells="1" sizeWithCells="1">
                  <from>
                    <xdr:col>11</xdr:col>
                    <xdr:colOff>15240</xdr:colOff>
                    <xdr:row>7</xdr:row>
                    <xdr:rowOff>91440</xdr:rowOff>
                  </from>
                  <to>
                    <xdr:col>12</xdr:col>
                    <xdr:colOff>480060</xdr:colOff>
                    <xdr:row>10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2024-05-30T12:01:54Z</dcterms:created>
  <dcterms:modified xsi:type="dcterms:W3CDTF">2025-11-09T12:08:59Z</dcterms:modified>
</cp:coreProperties>
</file>