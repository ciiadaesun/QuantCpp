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P1" i="1" s="1"/>
  <c r="Q1" i="1" s="1"/>
  <c r="R1" i="1" s="1"/>
  <c r="S1" i="1" s="1"/>
  <c r="T1" i="1" s="1"/>
  <c r="I4" i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<sst xmlns="http://schemas.openxmlformats.org/spreadsheetml/2006/main" count="25" uniqueCount="19">
  <si>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</si>
  <si>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</si>
  <si>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</si>
  <si>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</si>
  <si>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</si>
  <si>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</si>
  <si>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</si>
  <si>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</si>
  <si>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</si>
  <si>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Forward StartDate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</si>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</sst>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0%"/>
    <numFmt numFmtId="179" formatCode="0_);[Red]\(0\)"/>
    <numFmt numFmtId="183" formatCode="0.00_);[Red]\(0.00\)"/>
    <numFmt numFmtId="186" formatCode="0.00000_);[Red]\(0.00000\)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9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9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4" fillId="5" borderId="0" xfId="1" applyNumberFormat="1" applyFont="1" applyFill="1">
      <alignment vertical="center"/>
    </xf>
    <xf numFmtId="0" fontId="0" fillId="5" borderId="0" xfId="0" applyNumberFormat="1" applyFill="1">
      <alignment vertical="center"/>
    </xf>
    <xf numFmtId="14" fontId="0" fillId="8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83" fontId="4" fillId="4" borderId="0" xfId="0" applyNumberFormat="1" applyFont="1" applyFill="1">
      <alignment vertical="center"/>
    </xf>
    <xf numFmtId="183" fontId="5" fillId="8" borderId="0" xfId="0" applyNumberFormat="1" applyFont="1" applyFill="1">
      <alignment vertical="center"/>
    </xf>
    <xf numFmtId="183" fontId="0" fillId="8" borderId="0" xfId="0" applyNumberFormat="1" applyFill="1">
      <alignment vertical="center"/>
    </xf>
    <xf numFmtId="186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906780</xdr:colOff>
          <xdr:row>3</xdr:row>
          <xdr:rowOff>38100</xdr:rowOff>
        </xdr:from>
        <xdr:to>
          <xdr:col>17</xdr:col>
          <xdr:colOff>175260</xdr:colOff>
          <xdr:row>6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5"/>
  <sheetViews>
    <sheetView tabSelected="1" zoomScaleNormal="100" workbookViewId="0">
      <selection activeCell="H12" sqref="H12"/>
    </sheetView>
  </sheetViews>
  <sheetFormatPr defaultColWidth="14" defaultRowHeight="17.399999999999999" x14ac:dyDescent="0.4"/>
  <cols>
    <col min="1" max="2" width="14" style="1"/>
    <col min="3" max="3" width="14" style="10"/>
    <col min="4" max="4" width="14" style="17"/>
    <col min="5" max="5" width="14" style="14"/>
    <col min="6" max="7" width="14" style="1"/>
    <col min="8" max="8" width="14" style="19"/>
    <col min="9" max="9" width="14" style="20"/>
    <col min="10" max="10" width="14" style="21"/>
    <col min="11" max="12" width="14" style="1"/>
    <col min="13" max="13" width="14" style="18"/>
    <col min="14" max="14" width="14" style="24"/>
    <col min="15" max="16" width="14" style="1"/>
    <col min="17" max="17" width="14" style="23"/>
    <col min="18" max="18" width="14" style="21"/>
    <col min="19" max="19" width="14" style="25"/>
    <col min="20" max="16384" width="14" style="1"/>
  </cols>
  <sheetData>
    <row r="1" spans="1:20" x14ac:dyDescent="0.4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</row>
    <row r="2" spans="1:20" x14ac:dyDescent="0.4">
      <c r="B2" s="2" t="s">
        <v>0</v>
      </c>
      <c r="C2" s="3">
        <v>45117</v>
      </c>
      <c r="D2" s="2" t="s">
        <v>7</v>
      </c>
      <c r="E2" s="3">
        <v>45117</v>
      </c>
      <c r="H2" s="1"/>
      <c r="I2" s="1"/>
      <c r="J2" s="1"/>
      <c r="M2" s="1"/>
      <c r="N2" s="1"/>
      <c r="Q2" s="1"/>
      <c r="R2" s="1"/>
      <c r="S2" s="1"/>
    </row>
    <row r="3" spans="1:20" x14ac:dyDescent="0.4">
      <c r="B3" s="2" t="s">
        <v>6</v>
      </c>
      <c r="C3" s="11">
        <v>1</v>
      </c>
      <c r="D3" s="2" t="s">
        <v>12</v>
      </c>
      <c r="E3" s="22">
        <v>375.51</v>
      </c>
      <c r="G3" s="2" t="s">
        <v>15</v>
      </c>
      <c r="H3" s="11">
        <v>2</v>
      </c>
      <c r="I3" s="1"/>
      <c r="J3" s="1"/>
      <c r="M3" s="1"/>
      <c r="N3" s="1"/>
      <c r="Q3" s="1"/>
      <c r="R3" s="1"/>
      <c r="S3" s="1"/>
    </row>
    <row r="4" spans="1:20" x14ac:dyDescent="0.4">
      <c r="B4" s="2" t="s">
        <v>5</v>
      </c>
      <c r="C4" s="11">
        <v>2</v>
      </c>
      <c r="D4" s="2" t="s">
        <v>16</v>
      </c>
      <c r="E4" s="11">
        <v>2</v>
      </c>
      <c r="G4" s="2" t="s">
        <v>13</v>
      </c>
      <c r="H4" s="12">
        <v>-2</v>
      </c>
      <c r="I4" s="13" t="str">
        <f>H4&amp;"개월"</f>
        <v>-2개월</v>
      </c>
      <c r="J4" s="1"/>
      <c r="M4" s="1"/>
      <c r="N4" s="1"/>
      <c r="Q4" s="1"/>
      <c r="R4" s="1"/>
      <c r="S4" s="1"/>
    </row>
    <row r="5" spans="1:20" x14ac:dyDescent="0.4">
      <c r="C5" s="1"/>
      <c r="D5" s="1"/>
      <c r="E5" s="1"/>
      <c r="H5" s="1"/>
      <c r="I5" s="1"/>
      <c r="J5" s="1"/>
      <c r="M5" s="1"/>
      <c r="N5" s="1"/>
      <c r="Q5" s="1"/>
      <c r="R5" s="1"/>
      <c r="S5" s="1"/>
    </row>
    <row r="6" spans="1:20" x14ac:dyDescent="0.4">
      <c r="B6" s="6" t="s">
        <v>2</v>
      </c>
      <c r="C6" s="6"/>
      <c r="D6" s="6"/>
      <c r="E6" s="6"/>
      <c r="G6" s="6" t="s">
        <v>8</v>
      </c>
      <c r="H6" s="6"/>
      <c r="I6" s="6"/>
      <c r="J6" s="6"/>
      <c r="L6" s="6" t="s">
        <v>11</v>
      </c>
      <c r="M6" s="6"/>
      <c r="N6" s="6"/>
      <c r="O6" s="6"/>
      <c r="Q6" s="1"/>
      <c r="R6" s="1"/>
      <c r="S6" s="1"/>
    </row>
    <row r="7" spans="1:20" x14ac:dyDescent="0.4">
      <c r="B7" s="7" t="s">
        <v>1</v>
      </c>
      <c r="C7" s="7"/>
      <c r="D7" s="8">
        <f>COUNT(C9:C1048576)</f>
        <v>2</v>
      </c>
      <c r="E7" s="8"/>
      <c r="G7" s="7" t="s">
        <v>1</v>
      </c>
      <c r="H7" s="7"/>
      <c r="I7" s="8">
        <f>COUNT(H9:H1048576)</f>
        <v>4</v>
      </c>
      <c r="J7" s="8"/>
      <c r="L7" s="7" t="s">
        <v>1</v>
      </c>
      <c r="M7" s="7"/>
      <c r="N7" s="8">
        <f>COUNT(M9:M1048576)</f>
        <v>2</v>
      </c>
      <c r="O7" s="8"/>
      <c r="Q7" s="1"/>
      <c r="R7" s="1"/>
      <c r="S7" s="1"/>
    </row>
    <row r="8" spans="1:20" x14ac:dyDescent="0.4">
      <c r="C8" s="4" t="s">
        <v>9</v>
      </c>
      <c r="D8" s="4" t="s">
        <v>3</v>
      </c>
      <c r="E8" s="4" t="s">
        <v>4</v>
      </c>
      <c r="H8" s="4" t="s">
        <v>9</v>
      </c>
      <c r="I8" s="4" t="s">
        <v>10</v>
      </c>
      <c r="J8" s="4" t="s">
        <v>4</v>
      </c>
      <c r="M8" s="4" t="s">
        <v>9</v>
      </c>
      <c r="N8" s="4" t="s">
        <v>14</v>
      </c>
      <c r="Q8" s="26" t="s">
        <v>17</v>
      </c>
      <c r="R8" s="26" t="s">
        <v>18</v>
      </c>
      <c r="S8" s="26" t="s">
        <v>14</v>
      </c>
    </row>
    <row r="9" spans="1:20" x14ac:dyDescent="0.4">
      <c r="C9" s="5">
        <v>45122</v>
      </c>
      <c r="D9" s="15">
        <v>6</v>
      </c>
      <c r="E9" s="9">
        <v>3.4000000000000002E-2</v>
      </c>
      <c r="H9" s="19">
        <v>45122</v>
      </c>
      <c r="I9" s="20">
        <v>2</v>
      </c>
      <c r="J9" s="21">
        <v>4.4999999999999998E-2</v>
      </c>
      <c r="M9" s="19">
        <v>44927</v>
      </c>
      <c r="N9" s="23">
        <v>365.12</v>
      </c>
      <c r="Q9" s="23">
        <v>0.31232876712328766</v>
      </c>
      <c r="R9" s="21">
        <v>3.2344306991532665E-2</v>
      </c>
      <c r="S9" s="25">
        <v>379.32264899753932</v>
      </c>
    </row>
    <row r="10" spans="1:20" x14ac:dyDescent="0.4">
      <c r="C10" s="5">
        <v>45122</v>
      </c>
      <c r="D10" s="15">
        <v>12</v>
      </c>
      <c r="E10" s="9">
        <v>4.3999999999999997E-2</v>
      </c>
      <c r="H10" s="19">
        <v>45122</v>
      </c>
      <c r="I10" s="20">
        <v>3</v>
      </c>
      <c r="J10" s="21">
        <v>4.2000000000000003E-2</v>
      </c>
      <c r="M10" s="19">
        <v>45047</v>
      </c>
      <c r="N10" s="23">
        <v>373</v>
      </c>
      <c r="Q10" s="23">
        <v>0.81095890410958904</v>
      </c>
      <c r="R10" s="21">
        <v>4.4826941182839843E-2</v>
      </c>
      <c r="S10" s="25">
        <v>389.41200000000003</v>
      </c>
    </row>
    <row r="11" spans="1:20" x14ac:dyDescent="0.4">
      <c r="C11" s="5"/>
      <c r="D11" s="16"/>
      <c r="E11" s="9"/>
      <c r="H11" s="19">
        <v>45122</v>
      </c>
      <c r="I11" s="20">
        <v>4</v>
      </c>
      <c r="J11" s="21">
        <v>3.9E-2</v>
      </c>
      <c r="M11" s="19"/>
      <c r="Q11" s="23">
        <v>1.810958904109589</v>
      </c>
      <c r="R11" s="21">
        <v>4.4913100898265827E-2</v>
      </c>
      <c r="S11" s="25">
        <v>407.32886528897257</v>
      </c>
    </row>
    <row r="12" spans="1:20" x14ac:dyDescent="0.4">
      <c r="C12" s="5"/>
      <c r="D12" s="16"/>
      <c r="E12" s="9"/>
      <c r="H12" s="19">
        <v>45122</v>
      </c>
      <c r="I12" s="20">
        <v>5</v>
      </c>
      <c r="J12" s="21">
        <v>3.7999999999999999E-2</v>
      </c>
      <c r="M12" s="19"/>
      <c r="Q12" s="23">
        <v>2.8109589041095893</v>
      </c>
      <c r="R12" s="21">
        <v>4.1485956877470032E-2</v>
      </c>
      <c r="S12" s="25">
        <v>421.95573783507149</v>
      </c>
    </row>
    <row r="13" spans="1:20" x14ac:dyDescent="0.4">
      <c r="C13" s="5"/>
      <c r="D13" s="16"/>
      <c r="E13" s="9"/>
      <c r="M13" s="19"/>
      <c r="Q13" s="23">
        <v>3.8109589041095893</v>
      </c>
      <c r="R13" s="21">
        <v>3.8309729412198054E-2</v>
      </c>
      <c r="S13" s="25">
        <v>434.53735197275444</v>
      </c>
    </row>
    <row r="14" spans="1:20" x14ac:dyDescent="0.4">
      <c r="C14" s="5"/>
      <c r="D14" s="16"/>
      <c r="E14" s="9"/>
      <c r="Q14" s="23">
        <v>4.8136986301369866</v>
      </c>
      <c r="R14" s="21">
        <v>3.7297369271516806E-2</v>
      </c>
      <c r="S14" s="25">
        <v>449.35957272798987</v>
      </c>
    </row>
    <row r="15" spans="1:20" x14ac:dyDescent="0.4">
      <c r="C15" s="5"/>
      <c r="D15" s="16"/>
      <c r="E15" s="9"/>
    </row>
  </sheetData>
  <mergeCells count="6"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906780</xdr:colOff>
                    <xdr:row>3</xdr:row>
                    <xdr:rowOff>38100</xdr:rowOff>
                  </from>
                  <to>
                    <xdr:col>17</xdr:col>
                    <xdr:colOff>175260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2023-08-13T14:28:03Z</dcterms:modified>
</cp:coreProperties>
</file>