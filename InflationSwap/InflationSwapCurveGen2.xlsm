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nflationSwap\"/>
    </mc:Choice>
  </mc:AlternateContent>
  <xr:revisionPtr revIDLastSave="0" documentId="13_ncr:1_{AD60AD90-8504-43C6-B807-F812455D8E1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7" i="1" l="1"/>
  <c r="I4" i="1" l="1"/>
  <c r="N7" i="1" l="1"/>
  <c r="I7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D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0: CPN * deltat
1: (1+CPN)^(deltat)</t>
        </r>
      </text>
    </comment>
    <comment ref="G3" authorId="0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스케줄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</t>
        </r>
        <r>
          <rPr>
            <b/>
            <sz val="9"/>
            <color indexed="81"/>
            <rFont val="Tahoma"/>
            <family val="2"/>
          </rPr>
          <t xml:space="preserve"> Holiday
0: 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</text>
    </comment>
    <comment ref="B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
1: Act/360
2: Act/Act</t>
        </r>
      </text>
    </comment>
    <comment ref="G4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ForwardStart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7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15</t>
        </r>
        <r>
          <rPr>
            <b/>
            <sz val="9"/>
            <color indexed="81"/>
            <rFont val="돋움"/>
            <family val="3"/>
            <charset val="129"/>
          </rPr>
          <t>일이고</t>
        </r>
        <r>
          <rPr>
            <b/>
            <sz val="9"/>
            <color indexed="81"/>
            <rFont val="Tahoma"/>
            <family val="2"/>
          </rPr>
          <t xml:space="preserve"> InflationLag</t>
        </r>
        <r>
          <rPr>
            <b/>
            <sz val="9"/>
            <color indexed="81"/>
            <rFont val="돋움"/>
            <family val="3"/>
            <charset val="129"/>
          </rPr>
          <t>월수가</t>
        </r>
        <r>
          <rPr>
            <b/>
            <sz val="9"/>
            <color indexed="81"/>
            <rFont val="Tahoma"/>
            <family val="2"/>
          </rPr>
          <t xml:space="preserve"> -2(</t>
        </r>
        <r>
          <rPr>
            <b/>
            <sz val="9"/>
            <color indexed="81"/>
            <rFont val="돋움"/>
            <family val="3"/>
            <charset val="129"/>
          </rPr>
          <t>월이면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이면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인플레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관측</t>
        </r>
      </text>
    </comment>
  </commentList>
</comments>
</file>

<file path=xl/sharedStrings.xml><?xml version="1.0" encoding="utf-8"?>
<sst xmlns="http://schemas.openxmlformats.org/spreadsheetml/2006/main" count="29" uniqueCount="23">
  <si>
    <t>평가일자</t>
  </si>
  <si>
    <t>개수</t>
    <phoneticPr fontId="2" type="noConversion"/>
  </si>
  <si>
    <t>Zero Coupon Swap 정보</t>
    <phoneticPr fontId="2" type="noConversion"/>
  </si>
  <si>
    <t>만기까지 월수</t>
    <phoneticPr fontId="2" type="noConversion"/>
  </si>
  <si>
    <t>Quote FixRate</t>
    <phoneticPr fontId="2" type="noConversion"/>
  </si>
  <si>
    <t>DayCountFrac</t>
    <phoneticPr fontId="2" type="noConversion"/>
  </si>
  <si>
    <t>CpnFrac</t>
    <phoneticPr fontId="2" type="noConversion"/>
  </si>
  <si>
    <t>인플레평가일</t>
    <phoneticPr fontId="2" type="noConversion"/>
  </si>
  <si>
    <t>YOY Coupon Swap 정보</t>
    <phoneticPr fontId="2" type="noConversion"/>
  </si>
  <si>
    <t>만기까지 년수</t>
    <phoneticPr fontId="2" type="noConversion"/>
  </si>
  <si>
    <t>인플레이션 히스토리</t>
    <phoneticPr fontId="2" type="noConversion"/>
  </si>
  <si>
    <t>현재CPI</t>
    <phoneticPr fontId="2" type="noConversion"/>
  </si>
  <si>
    <t>InflationLag월수</t>
    <phoneticPr fontId="2" type="noConversion"/>
  </si>
  <si>
    <t>CPI</t>
    <phoneticPr fontId="2" type="noConversion"/>
  </si>
  <si>
    <t>HolidayFlag</t>
    <phoneticPr fontId="2" type="noConversion"/>
  </si>
  <si>
    <t>End N일후 지급</t>
    <phoneticPr fontId="2" type="noConversion"/>
  </si>
  <si>
    <t>T</t>
    <phoneticPr fontId="2" type="noConversion"/>
  </si>
  <si>
    <t>Rate</t>
    <phoneticPr fontId="2" type="noConversion"/>
  </si>
  <si>
    <t>StartDate</t>
    <phoneticPr fontId="2" type="noConversion"/>
  </si>
  <si>
    <t>Date</t>
    <phoneticPr fontId="2" type="noConversion"/>
  </si>
  <si>
    <t>할인커브개수</t>
    <phoneticPr fontId="2" type="noConversion"/>
  </si>
  <si>
    <t>Rate</t>
    <phoneticPr fontId="2" type="noConversion"/>
  </si>
  <si>
    <t>할인Zero커브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</si>
</sst>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0%"/>
    <numFmt numFmtId="177" formatCode="0_);[Red]\(0\)"/>
    <numFmt numFmtId="178" formatCode="0.00_);[Red]\(0.00\)"/>
    <numFmt numFmtId="179" formatCode="0.00000_);[Red]\(0.00000\)"/>
    <numFmt numFmtId="180" formatCode="0.000000_);[Red]\(0.000000\)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0" fillId="2" borderId="0" xfId="0" applyFill="1">
      <alignment vertical="center"/>
    </xf>
    <xf numFmtId="0" fontId="3" fillId="3" borderId="0" xfId="0" applyFont="1" applyFill="1">
      <alignment vertical="center"/>
    </xf>
    <xf numFmtId="14" fontId="4" fillId="4" borderId="0" xfId="0" applyNumberFormat="1" applyFont="1" applyFill="1">
      <alignment vertical="center"/>
    </xf>
    <xf numFmtId="0" fontId="4" fillId="4" borderId="0" xfId="0" applyFont="1" applyFill="1" applyAlignment="1">
      <alignment horizontal="center" vertical="center"/>
    </xf>
    <xf numFmtId="14" fontId="4" fillId="5" borderId="0" xfId="0" applyNumberFormat="1" applyFont="1" applyFill="1">
      <alignment vertical="center"/>
    </xf>
    <xf numFmtId="0" fontId="5" fillId="6" borderId="0" xfId="0" applyFont="1" applyFill="1" applyAlignment="1">
      <alignment horizontal="center" vertical="center"/>
    </xf>
    <xf numFmtId="176" fontId="4" fillId="5" borderId="0" xfId="1" applyNumberFormat="1" applyFont="1" applyFill="1">
      <alignment vertical="center"/>
    </xf>
    <xf numFmtId="0" fontId="0" fillId="5" borderId="0" xfId="0" applyFill="1">
      <alignment vertical="center"/>
    </xf>
    <xf numFmtId="177" fontId="4" fillId="4" borderId="0" xfId="0" applyNumberFormat="1" applyFont="1" applyFill="1">
      <alignment vertical="center"/>
    </xf>
    <xf numFmtId="0" fontId="4" fillId="4" borderId="0" xfId="0" applyFont="1" applyFill="1">
      <alignment vertical="center"/>
    </xf>
    <xf numFmtId="177" fontId="4" fillId="7" borderId="0" xfId="0" applyNumberFormat="1" applyFont="1" applyFill="1">
      <alignment vertical="center"/>
    </xf>
    <xf numFmtId="176" fontId="0" fillId="5" borderId="0" xfId="1" applyNumberFormat="1" applyFont="1" applyFill="1">
      <alignment vertical="center"/>
    </xf>
    <xf numFmtId="0" fontId="4" fillId="5" borderId="0" xfId="0" applyFont="1" applyFill="1">
      <alignment vertical="center"/>
    </xf>
    <xf numFmtId="14" fontId="5" fillId="8" borderId="0" xfId="0" applyNumberFormat="1" applyFont="1" applyFill="1">
      <alignment vertical="center"/>
    </xf>
    <xf numFmtId="0" fontId="5" fillId="8" borderId="0" xfId="0" applyFont="1" applyFill="1">
      <alignment vertical="center"/>
    </xf>
    <xf numFmtId="176" fontId="5" fillId="8" borderId="0" xfId="1" applyNumberFormat="1" applyFont="1" applyFill="1">
      <alignment vertical="center"/>
    </xf>
    <xf numFmtId="178" fontId="4" fillId="4" borderId="0" xfId="0" applyNumberFormat="1" applyFont="1" applyFill="1">
      <alignment vertical="center"/>
    </xf>
    <xf numFmtId="178" fontId="5" fillId="8" borderId="0" xfId="0" applyNumberFormat="1" applyFont="1" applyFill="1">
      <alignment vertical="center"/>
    </xf>
    <xf numFmtId="179" fontId="5" fillId="8" borderId="0" xfId="0" applyNumberFormat="1" applyFont="1" applyFill="1">
      <alignment vertical="center"/>
    </xf>
    <xf numFmtId="0" fontId="4" fillId="9" borderId="0" xfId="0" applyFont="1" applyFill="1" applyAlignment="1">
      <alignment horizontal="center" vertical="center"/>
    </xf>
    <xf numFmtId="180" fontId="5" fillId="8" borderId="0" xfId="0" applyNumberFormat="1" applyFont="1" applyFill="1">
      <alignment vertical="center"/>
    </xf>
    <xf numFmtId="0" fontId="3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731520</xdr:colOff>
          <xdr:row>1</xdr:row>
          <xdr:rowOff>190500</xdr:rowOff>
        </xdr:from>
        <xdr:to>
          <xdr:col>20</xdr:col>
          <xdr:colOff>0</xdr:colOff>
          <xdr:row>4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인플레커브생성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3"/>
  <sheetViews>
    <sheetView tabSelected="1" topLeftCell="K1" zoomScaleNormal="100" workbookViewId="0">
      <selection activeCell="N5" sqref="N5"/>
    </sheetView>
  </sheetViews>
  <sheetFormatPr defaultColWidth="14" defaultRowHeight="17.399999999999999" x14ac:dyDescent="0.4"/>
  <cols>
    <col min="1" max="2" width="14" style="1"/>
    <col min="3" max="4" width="14" style="8"/>
    <col min="5" max="5" width="14" style="12"/>
    <col min="6" max="7" width="14" style="1"/>
    <col min="8" max="8" width="14" style="14"/>
    <col min="9" max="9" width="14" style="15"/>
    <col min="10" max="10" width="14" style="16"/>
    <col min="11" max="12" width="14" style="1"/>
    <col min="13" max="13" width="14" style="14"/>
    <col min="14" max="14" width="14" style="18"/>
    <col min="15" max="16" width="14" style="1"/>
    <col min="17" max="18" width="14" style="21"/>
    <col min="19" max="19" width="14" style="1"/>
    <col min="20" max="20" width="14" style="18"/>
    <col min="21" max="21" width="14" style="16"/>
    <col min="22" max="22" width="14" style="19"/>
    <col min="23" max="16384" width="14" style="1"/>
  </cols>
  <sheetData>
    <row r="1" spans="1:23" x14ac:dyDescent="0.4">
      <c r="A1" s="1">
        <v>1</v>
      </c>
      <c r="B1" s="1">
        <f>A1+1</f>
        <v>2</v>
      </c>
      <c r="C1" s="1">
        <f t="shared" ref="C1:P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ref="Q1" si="1">P1+1</f>
        <v>17</v>
      </c>
      <c r="R1" s="1">
        <f t="shared" ref="R1" si="2">Q1+1</f>
        <v>18</v>
      </c>
      <c r="S1" s="1">
        <f t="shared" ref="S1" si="3">R1+1</f>
        <v>19</v>
      </c>
      <c r="T1" s="1">
        <f t="shared" ref="T1" si="4">S1+1</f>
        <v>20</v>
      </c>
      <c r="U1" s="1">
        <f t="shared" ref="U1" si="5">T1+1</f>
        <v>21</v>
      </c>
      <c r="V1" s="1">
        <f t="shared" ref="V1" si="6">U1+1</f>
        <v>22</v>
      </c>
      <c r="W1" s="1">
        <f t="shared" ref="W1" si="7">V1+1</f>
        <v>23</v>
      </c>
    </row>
    <row r="2" spans="1:23" x14ac:dyDescent="0.4">
      <c r="B2" s="2" t="s">
        <v>0</v>
      </c>
      <c r="C2" s="3">
        <v>45117</v>
      </c>
      <c r="D2" s="2" t="s">
        <v>7</v>
      </c>
      <c r="E2" s="3">
        <v>45047</v>
      </c>
      <c r="H2" s="1"/>
      <c r="I2" s="1"/>
      <c r="J2" s="1"/>
      <c r="M2" s="1"/>
      <c r="N2" s="1"/>
      <c r="Q2" s="1"/>
      <c r="R2" s="1"/>
      <c r="T2" s="1"/>
      <c r="U2" s="1"/>
      <c r="V2" s="1"/>
    </row>
    <row r="3" spans="1:23" x14ac:dyDescent="0.4">
      <c r="B3" s="2" t="s">
        <v>6</v>
      </c>
      <c r="C3" s="9">
        <v>1</v>
      </c>
      <c r="D3" s="2" t="s">
        <v>11</v>
      </c>
      <c r="E3" s="17">
        <v>375.3</v>
      </c>
      <c r="G3" s="2" t="s">
        <v>14</v>
      </c>
      <c r="H3" s="9">
        <v>2</v>
      </c>
      <c r="I3" s="1"/>
      <c r="J3" s="1"/>
      <c r="M3" s="1"/>
      <c r="N3" s="1"/>
      <c r="Q3" s="1"/>
      <c r="R3" s="1"/>
      <c r="T3" s="1"/>
      <c r="U3" s="1"/>
      <c r="V3" s="1"/>
    </row>
    <row r="4" spans="1:23" x14ac:dyDescent="0.4">
      <c r="B4" s="2" t="s">
        <v>5</v>
      </c>
      <c r="C4" s="9">
        <v>2</v>
      </c>
      <c r="D4" s="2" t="s">
        <v>15</v>
      </c>
      <c r="E4" s="9">
        <v>0</v>
      </c>
      <c r="G4" s="2" t="s">
        <v>12</v>
      </c>
      <c r="H4" s="10">
        <v>-2</v>
      </c>
      <c r="I4" s="11" t="str">
        <f>H4&amp;"개월"</f>
        <v>-2개월</v>
      </c>
      <c r="J4" s="1"/>
      <c r="M4" s="1"/>
      <c r="N4" s="1"/>
      <c r="Q4" s="1"/>
      <c r="R4" s="1"/>
      <c r="T4" s="1"/>
      <c r="U4" s="1"/>
      <c r="V4" s="1"/>
    </row>
    <row r="5" spans="1:23" x14ac:dyDescent="0.4">
      <c r="C5" s="1"/>
      <c r="D5" s="1"/>
      <c r="E5" s="1"/>
      <c r="H5" s="1"/>
      <c r="I5" s="1"/>
      <c r="J5" s="1"/>
      <c r="M5" s="1"/>
      <c r="N5" s="1"/>
      <c r="Q5" s="1"/>
      <c r="R5" s="1"/>
      <c r="T5" s="1"/>
      <c r="U5" s="1"/>
      <c r="V5" s="1"/>
    </row>
    <row r="6" spans="1:23" x14ac:dyDescent="0.4">
      <c r="B6" s="22" t="s">
        <v>2</v>
      </c>
      <c r="C6" s="22"/>
      <c r="D6" s="22"/>
      <c r="E6" s="22"/>
      <c r="G6" s="22" t="s">
        <v>8</v>
      </c>
      <c r="H6" s="22"/>
      <c r="I6" s="22"/>
      <c r="J6" s="22"/>
      <c r="L6" s="22" t="s">
        <v>10</v>
      </c>
      <c r="M6" s="22"/>
      <c r="N6" s="22"/>
      <c r="O6" s="22"/>
      <c r="Q6" s="22" t="s">
        <v>22</v>
      </c>
      <c r="R6" s="22"/>
      <c r="T6" s="1"/>
      <c r="U6" s="1"/>
      <c r="V6" s="1"/>
    </row>
    <row r="7" spans="1:23" x14ac:dyDescent="0.4">
      <c r="B7" s="23" t="s">
        <v>1</v>
      </c>
      <c r="C7" s="23"/>
      <c r="D7" s="6">
        <f>COUNT(C9:C1048576)</f>
        <v>1</v>
      </c>
      <c r="E7" s="6"/>
      <c r="G7" s="23" t="s">
        <v>1</v>
      </c>
      <c r="H7" s="23"/>
      <c r="I7" s="6">
        <f>COUNT(H9:H1048576)</f>
        <v>14</v>
      </c>
      <c r="J7" s="6"/>
      <c r="L7" s="23" t="s">
        <v>1</v>
      </c>
      <c r="M7" s="23"/>
      <c r="N7" s="6">
        <f>COUNT(M9:M1048576)</f>
        <v>1</v>
      </c>
      <c r="O7" s="6"/>
      <c r="Q7" s="6" t="s">
        <v>20</v>
      </c>
      <c r="R7" s="6">
        <f>COUNT(Q9:Q1048576)</f>
        <v>25</v>
      </c>
      <c r="T7" s="1"/>
      <c r="U7" s="1"/>
      <c r="V7" s="1"/>
    </row>
    <row r="8" spans="1:23" x14ac:dyDescent="0.4">
      <c r="C8" s="4" t="s">
        <v>18</v>
      </c>
      <c r="D8" s="4" t="s">
        <v>3</v>
      </c>
      <c r="E8" s="4" t="s">
        <v>4</v>
      </c>
      <c r="H8" s="4" t="s">
        <v>18</v>
      </c>
      <c r="I8" s="4" t="s">
        <v>9</v>
      </c>
      <c r="J8" s="4" t="s">
        <v>4</v>
      </c>
      <c r="M8" s="4" t="s">
        <v>19</v>
      </c>
      <c r="N8" s="4" t="s">
        <v>13</v>
      </c>
      <c r="Q8" s="4" t="s">
        <v>16</v>
      </c>
      <c r="R8" s="4" t="s">
        <v>21</v>
      </c>
      <c r="T8" s="20" t="s">
        <v>16</v>
      </c>
      <c r="U8" s="20" t="s">
        <v>17</v>
      </c>
      <c r="V8" s="20" t="s">
        <v>13</v>
      </c>
    </row>
    <row r="9" spans="1:23" x14ac:dyDescent="0.4">
      <c r="C9" s="5">
        <v>45122</v>
      </c>
      <c r="D9" s="13">
        <v>12</v>
      </c>
      <c r="E9" s="7">
        <v>3.85625E-2</v>
      </c>
      <c r="H9" s="14">
        <v>45122</v>
      </c>
      <c r="I9" s="15">
        <v>2</v>
      </c>
      <c r="J9" s="16">
        <v>3.9253969999999999E-2</v>
      </c>
      <c r="M9" s="14">
        <v>45047</v>
      </c>
      <c r="N9" s="18">
        <v>375.3</v>
      </c>
      <c r="Q9" s="21">
        <v>2.7397260273972603E-3</v>
      </c>
      <c r="R9" s="21">
        <v>4.9219667100000003E-2</v>
      </c>
      <c r="T9" s="18">
        <v>1.0027397260273974</v>
      </c>
      <c r="U9" s="16">
        <v>3.7734164207493995E-2</v>
      </c>
      <c r="V9" s="19">
        <v>389.77250625000005</v>
      </c>
    </row>
    <row r="10" spans="1:23" x14ac:dyDescent="0.4">
      <c r="C10" s="5"/>
      <c r="D10" s="13"/>
      <c r="E10" s="7"/>
      <c r="H10" s="14">
        <v>45122</v>
      </c>
      <c r="I10" s="15">
        <v>3</v>
      </c>
      <c r="J10" s="16">
        <v>3.9591977926999998E-2</v>
      </c>
      <c r="Q10" s="21">
        <v>1.9178082191780823E-2</v>
      </c>
      <c r="R10" s="21">
        <v>4.9296689999999997E-2</v>
      </c>
      <c r="T10" s="18">
        <v>2.0027397260273974</v>
      </c>
      <c r="U10" s="16">
        <v>3.8470658424348825E-2</v>
      </c>
      <c r="V10" s="19">
        <v>405.35872753082515</v>
      </c>
    </row>
    <row r="11" spans="1:23" x14ac:dyDescent="0.4">
      <c r="C11" s="5"/>
      <c r="D11" s="13"/>
      <c r="E11" s="7"/>
      <c r="H11" s="14">
        <v>45122</v>
      </c>
      <c r="I11" s="15">
        <v>4</v>
      </c>
      <c r="J11" s="16">
        <v>3.9738669999999997E-2</v>
      </c>
      <c r="Q11" s="21">
        <v>8.4931506849315067E-2</v>
      </c>
      <c r="R11" s="21">
        <v>4.9894135000000006E-2</v>
      </c>
      <c r="T11" s="18">
        <v>3.0027397260273974</v>
      </c>
      <c r="U11" s="16">
        <v>3.8824615064174603E-2</v>
      </c>
      <c r="V11" s="19">
        <v>421.70495896365861</v>
      </c>
    </row>
    <row r="12" spans="1:23" x14ac:dyDescent="0.4">
      <c r="C12" s="5"/>
      <c r="D12" s="13"/>
      <c r="E12" s="7"/>
      <c r="H12" s="14">
        <v>45122</v>
      </c>
      <c r="I12" s="15">
        <v>5</v>
      </c>
      <c r="J12" s="16">
        <v>3.9768020000000001E-2</v>
      </c>
      <c r="Q12" s="21">
        <v>0.17260273972602741</v>
      </c>
      <c r="R12" s="21">
        <v>5.1877049000000001E-2</v>
      </c>
      <c r="T12" s="18">
        <v>4.0027397260273974</v>
      </c>
      <c r="U12" s="16">
        <v>3.897764758126257E-2</v>
      </c>
      <c r="V12" s="19">
        <v>438.66809730331954</v>
      </c>
    </row>
    <row r="13" spans="1:23" x14ac:dyDescent="0.4">
      <c r="C13" s="5"/>
      <c r="D13" s="13"/>
      <c r="E13" s="7"/>
      <c r="H13" s="14">
        <v>45122</v>
      </c>
      <c r="I13" s="15">
        <v>6</v>
      </c>
      <c r="J13" s="16">
        <v>3.9806330000000001E-2</v>
      </c>
      <c r="Q13" s="21">
        <v>0.25205479452054796</v>
      </c>
      <c r="R13" s="21">
        <v>5.3329956000000005E-2</v>
      </c>
      <c r="T13" s="18">
        <v>5.0054794520547947</v>
      </c>
      <c r="U13" s="16">
        <v>3.9028348710079194E-2</v>
      </c>
      <c r="V13" s="19">
        <v>456.26843230666202</v>
      </c>
    </row>
    <row r="14" spans="1:23" x14ac:dyDescent="0.4">
      <c r="C14" s="5"/>
      <c r="D14" s="13"/>
      <c r="E14" s="7"/>
      <c r="H14" s="14">
        <v>45122</v>
      </c>
      <c r="I14" s="15">
        <v>7</v>
      </c>
      <c r="J14" s="16">
        <v>3.9865249999999998E-2</v>
      </c>
      <c r="Q14" s="21">
        <v>0.50410958904109593</v>
      </c>
      <c r="R14" s="21">
        <v>5.7022516999999995E-2</v>
      </c>
      <c r="T14" s="18">
        <v>6.0054794520547947</v>
      </c>
      <c r="U14" s="16">
        <v>3.9046618138389583E-2</v>
      </c>
      <c r="V14" s="19">
        <v>474.47995326981112</v>
      </c>
    </row>
    <row r="15" spans="1:23" x14ac:dyDescent="0.4">
      <c r="C15" s="5"/>
      <c r="D15" s="13"/>
      <c r="E15" s="7"/>
      <c r="H15" s="14">
        <v>45122</v>
      </c>
      <c r="I15" s="15">
        <v>8</v>
      </c>
      <c r="J15" s="16">
        <v>3.9124869999999999E-2</v>
      </c>
      <c r="Q15" s="21">
        <v>0.75342465753424659</v>
      </c>
      <c r="R15" s="21">
        <v>5.9343361999999997E-2</v>
      </c>
      <c r="T15" s="18">
        <v>7.0054794520547947</v>
      </c>
      <c r="U15" s="16">
        <v>3.9093965896606464E-2</v>
      </c>
      <c r="V15" s="19">
        <v>493.53692606578767</v>
      </c>
    </row>
    <row r="16" spans="1:23" x14ac:dyDescent="0.4">
      <c r="C16" s="5"/>
      <c r="D16" s="13"/>
      <c r="E16" s="7"/>
      <c r="H16" s="14">
        <v>45122</v>
      </c>
      <c r="I16" s="15">
        <v>9</v>
      </c>
      <c r="J16" s="16">
        <v>3.85548E-2</v>
      </c>
      <c r="Q16" s="21">
        <v>1.0027397260273974</v>
      </c>
      <c r="R16" s="21">
        <v>6.0619687999999998E-2</v>
      </c>
      <c r="T16" s="18">
        <v>8.0054794520547947</v>
      </c>
      <c r="U16" s="16">
        <v>3.8268570301647174E-2</v>
      </c>
      <c r="V16" s="19">
        <v>509.83337637727738</v>
      </c>
    </row>
    <row r="17" spans="3:22" x14ac:dyDescent="0.4">
      <c r="C17" s="5"/>
      <c r="D17" s="13"/>
      <c r="E17" s="7"/>
      <c r="H17" s="14">
        <v>45122</v>
      </c>
      <c r="I17" s="15">
        <v>10</v>
      </c>
      <c r="J17" s="16">
        <v>3.8144499999999998E-2</v>
      </c>
      <c r="Q17" s="21">
        <v>1.5068493150684932</v>
      </c>
      <c r="R17" s="21">
        <v>6.1166033000000002E-2</v>
      </c>
      <c r="T17" s="18">
        <v>9.0082191780821912</v>
      </c>
      <c r="U17" s="16">
        <v>3.7622593413996694E-2</v>
      </c>
      <c r="V17" s="19">
        <v>526.70376442935856</v>
      </c>
    </row>
    <row r="18" spans="3:22" x14ac:dyDescent="0.4">
      <c r="C18" s="5"/>
      <c r="D18" s="13"/>
      <c r="E18" s="7"/>
      <c r="H18" s="14">
        <v>45122</v>
      </c>
      <c r="I18" s="15">
        <v>12</v>
      </c>
      <c r="J18" s="16">
        <v>3.7317645000000003E-2</v>
      </c>
      <c r="Q18" s="21">
        <v>2.0027397260273974</v>
      </c>
      <c r="R18" s="21">
        <v>6.0224198999999999E-2</v>
      </c>
      <c r="T18" s="18">
        <v>10.008219178082191</v>
      </c>
      <c r="U18" s="16">
        <v>3.7169134808301932E-2</v>
      </c>
      <c r="V18" s="19">
        <v>544.42084176476556</v>
      </c>
    </row>
    <row r="19" spans="3:22" x14ac:dyDescent="0.4">
      <c r="C19" s="5"/>
      <c r="D19" s="13"/>
      <c r="E19" s="7"/>
      <c r="H19" s="14">
        <v>45122</v>
      </c>
      <c r="I19" s="15">
        <v>15</v>
      </c>
      <c r="J19" s="16">
        <v>3.6533370000000003E-2</v>
      </c>
      <c r="Q19" s="21">
        <v>3.0027397260273974</v>
      </c>
      <c r="R19" s="21">
        <v>5.7220709999999994E-2</v>
      </c>
      <c r="T19" s="18">
        <v>12.008219178082191</v>
      </c>
      <c r="U19" s="16">
        <v>3.62464666456771E-2</v>
      </c>
      <c r="V19" s="19">
        <v>579.97280937482435</v>
      </c>
    </row>
    <row r="20" spans="3:22" x14ac:dyDescent="0.4">
      <c r="C20" s="5"/>
      <c r="D20" s="13"/>
      <c r="E20" s="7"/>
      <c r="H20" s="14">
        <v>45122</v>
      </c>
      <c r="I20" s="15">
        <v>20</v>
      </c>
      <c r="J20" s="16">
        <v>3.5872019999999998E-2</v>
      </c>
      <c r="Q20" s="21">
        <v>4.0082191780821921</v>
      </c>
      <c r="R20" s="21">
        <v>5.4219226000000002E-2</v>
      </c>
      <c r="T20" s="18">
        <v>15.010958904109589</v>
      </c>
      <c r="U20" s="16">
        <v>3.5344381388897901E-2</v>
      </c>
      <c r="V20" s="19">
        <v>637.96202693377927</v>
      </c>
    </row>
    <row r="21" spans="3:22" x14ac:dyDescent="0.4">
      <c r="C21" s="5"/>
      <c r="D21" s="13"/>
      <c r="E21" s="7"/>
      <c r="H21" s="14">
        <v>45122</v>
      </c>
      <c r="I21" s="15">
        <v>25</v>
      </c>
      <c r="J21" s="16">
        <v>3.5031979999999997E-2</v>
      </c>
      <c r="Q21" s="21">
        <v>5.0054794520547947</v>
      </c>
      <c r="R21" s="21">
        <v>5.1526818000000002E-2</v>
      </c>
      <c r="T21" s="18">
        <v>20.013698630136986</v>
      </c>
      <c r="U21" s="16">
        <v>3.4604231999595156E-2</v>
      </c>
      <c r="V21" s="19">
        <v>750.15839435688804</v>
      </c>
    </row>
    <row r="22" spans="3:22" x14ac:dyDescent="0.4">
      <c r="C22" s="5"/>
      <c r="D22" s="13"/>
      <c r="E22" s="7"/>
      <c r="H22" s="14">
        <v>45122</v>
      </c>
      <c r="I22" s="15">
        <v>30</v>
      </c>
      <c r="J22" s="16">
        <v>3.440737E-2</v>
      </c>
      <c r="Q22" s="21">
        <v>6.0054794520547947</v>
      </c>
      <c r="R22" s="21">
        <v>4.9258050000000005E-2</v>
      </c>
      <c r="T22" s="18">
        <v>25.019178082191782</v>
      </c>
      <c r="U22" s="16">
        <v>3.3510811350803381E-2</v>
      </c>
      <c r="V22" s="19">
        <v>867.95395238501612</v>
      </c>
    </row>
    <row r="23" spans="3:22" x14ac:dyDescent="0.4">
      <c r="C23" s="5"/>
      <c r="D23" s="13"/>
      <c r="E23" s="7"/>
      <c r="Q23" s="21">
        <v>7.0054794520547947</v>
      </c>
      <c r="R23" s="21">
        <v>4.7413569000000003E-2</v>
      </c>
      <c r="T23" s="18">
        <v>30.021917808219179</v>
      </c>
      <c r="U23" s="16">
        <v>3.2675487196857922E-2</v>
      </c>
      <c r="V23" s="19">
        <v>1000.9516706778671</v>
      </c>
    </row>
    <row r="24" spans="3:22" x14ac:dyDescent="0.4">
      <c r="C24" s="5"/>
      <c r="D24" s="13"/>
      <c r="E24" s="7"/>
      <c r="Q24" s="21">
        <v>8.0054794520547947</v>
      </c>
      <c r="R24" s="21">
        <v>4.5959678000000004E-2</v>
      </c>
    </row>
    <row r="25" spans="3:22" x14ac:dyDescent="0.4">
      <c r="C25" s="5"/>
      <c r="D25" s="13"/>
      <c r="E25" s="7"/>
      <c r="Q25" s="21">
        <v>9.0136986301369859</v>
      </c>
      <c r="R25" s="21">
        <v>4.4849877999999996E-2</v>
      </c>
    </row>
    <row r="26" spans="3:22" x14ac:dyDescent="0.4">
      <c r="Q26" s="21">
        <v>10.010958904109589</v>
      </c>
      <c r="R26" s="21">
        <v>4.4058653999999996E-2</v>
      </c>
    </row>
    <row r="27" spans="3:22" x14ac:dyDescent="0.4">
      <c r="Q27" s="21">
        <v>12.008219178082191</v>
      </c>
      <c r="R27" s="21">
        <v>4.2891455000000002E-2</v>
      </c>
    </row>
    <row r="28" spans="3:22" x14ac:dyDescent="0.4">
      <c r="Q28" s="21">
        <v>15.016438356164384</v>
      </c>
      <c r="R28" s="21">
        <v>4.1740725999999999E-2</v>
      </c>
    </row>
    <row r="29" spans="3:22" x14ac:dyDescent="0.4">
      <c r="Q29" s="21">
        <v>20.013698630136986</v>
      </c>
      <c r="R29" s="21">
        <v>4.0257664999999998E-2</v>
      </c>
    </row>
    <row r="30" spans="3:22" x14ac:dyDescent="0.4">
      <c r="Q30" s="21">
        <v>25.019178082191782</v>
      </c>
      <c r="R30" s="21">
        <v>3.8971773000000001E-2</v>
      </c>
    </row>
    <row r="31" spans="3:22" x14ac:dyDescent="0.4">
      <c r="Q31" s="21">
        <v>30.021917808219179</v>
      </c>
      <c r="R31" s="21">
        <v>3.7675277E-2</v>
      </c>
    </row>
    <row r="32" spans="3:22" x14ac:dyDescent="0.4">
      <c r="Q32" s="21">
        <v>40.027397260273972</v>
      </c>
      <c r="R32" s="21">
        <v>3.5017271000000003E-2</v>
      </c>
    </row>
    <row r="33" spans="17:18" x14ac:dyDescent="0.4">
      <c r="Q33" s="21">
        <v>50.035616438356165</v>
      </c>
      <c r="R33" s="21">
        <v>3.2491520000000003E-2</v>
      </c>
    </row>
  </sheetData>
  <mergeCells count="7">
    <mergeCell ref="Q6:R6"/>
    <mergeCell ref="B6:E6"/>
    <mergeCell ref="B7:C7"/>
    <mergeCell ref="G6:J6"/>
    <mergeCell ref="G7:H7"/>
    <mergeCell ref="L6:O6"/>
    <mergeCell ref="L7:M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ZeroInflationMake">
                <anchor moveWithCells="1" sizeWithCells="1">
                  <from>
                    <xdr:col>15</xdr:col>
                    <xdr:colOff>731520</xdr:colOff>
                    <xdr:row>1</xdr:row>
                    <xdr:rowOff>190500</xdr:rowOff>
                  </from>
                  <to>
                    <xdr:col>20</xdr:col>
                    <xdr:colOff>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2023-08-13T12:21:04Z</dcterms:created>
  <dcterms:modified xsi:type="dcterms:W3CDTF">2025-11-23T12:46:49Z</dcterms:modified>
</cp:coreProperties>
</file>