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HiFive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<sst xmlns="http://schemas.openxmlformats.org/spreadsheetml/2006/main" count="210" uniqueCount="91">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</sst>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E27" sqref="E2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2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3" t="s">
        <v>1</v>
      </c>
      <c r="G3" s="113"/>
      <c r="H3" s="133">
        <v>100000</v>
      </c>
      <c r="I3" s="134"/>
    </row>
    <row r="4" spans="1:130" s="3" customFormat="1" ht="21" customHeight="1" x14ac:dyDescent="0.4">
      <c r="A4" s="96" t="s">
        <v>2</v>
      </c>
      <c r="B4" s="97"/>
      <c r="C4" s="140">
        <v>10000</v>
      </c>
      <c r="D4" s="141"/>
      <c r="F4" s="113" t="s">
        <v>3</v>
      </c>
      <c r="G4" s="113"/>
      <c r="H4" s="133">
        <v>1</v>
      </c>
      <c r="I4" s="134"/>
      <c r="M4" s="4"/>
      <c r="N4" s="5" t="s">
        <v>4</v>
      </c>
      <c r="O4" s="6" t="s">
        <v>5</v>
      </c>
      <c r="P4" s="5" t="s">
        <v>6</v>
      </c>
      <c r="R4" s="89" t="s">
        <v>79</v>
      </c>
      <c r="S4" s="139">
        <v>1</v>
      </c>
      <c r="T4" s="139"/>
    </row>
    <row r="5" spans="1:130" s="3" customFormat="1" ht="21" customHeight="1" thickBot="1" x14ac:dyDescent="0.45">
      <c r="A5" s="96" t="s">
        <v>7</v>
      </c>
      <c r="B5" s="97"/>
      <c r="C5" s="98">
        <v>1</v>
      </c>
      <c r="D5" s="99"/>
      <c r="M5" s="7" t="s">
        <v>8</v>
      </c>
      <c r="N5" s="8"/>
      <c r="O5" s="8"/>
      <c r="P5" s="8"/>
      <c r="R5" s="89" t="s">
        <v>77</v>
      </c>
      <c r="S5" s="137">
        <v>45098.911712962959</v>
      </c>
      <c r="T5" s="137"/>
    </row>
    <row r="6" spans="1:130" s="3" customFormat="1" ht="21" customHeight="1" thickBot="1" x14ac:dyDescent="0.45">
      <c r="A6" s="122" t="s">
        <v>9</v>
      </c>
      <c r="B6" s="123"/>
      <c r="C6" s="124">
        <v>42919</v>
      </c>
      <c r="D6" s="125"/>
      <c r="E6" s="2"/>
      <c r="F6" s="126" t="s">
        <v>10</v>
      </c>
      <c r="G6" s="126"/>
      <c r="H6" s="127">
        <v>10000</v>
      </c>
      <c r="I6" s="127"/>
      <c r="M6" s="7" t="s">
        <v>11</v>
      </c>
      <c r="N6" s="8"/>
      <c r="O6" s="8"/>
      <c r="P6" s="8"/>
      <c r="R6" s="89" t="s">
        <v>78</v>
      </c>
      <c r="S6" s="137">
        <v>45098.911724537036</v>
      </c>
      <c r="T6" s="137"/>
    </row>
    <row r="7" spans="1:130" s="3" customFormat="1" ht="21" customHeight="1" thickBot="1" x14ac:dyDescent="0.45">
      <c r="A7" s="122" t="s">
        <v>23</v>
      </c>
      <c r="B7" s="123"/>
      <c r="C7" s="135">
        <v>3</v>
      </c>
      <c r="D7" s="136"/>
      <c r="F7" s="128" t="s">
        <v>12</v>
      </c>
      <c r="G7" s="129"/>
      <c r="H7" s="130">
        <v>0</v>
      </c>
      <c r="I7" s="131"/>
      <c r="M7" s="7" t="s">
        <v>13</v>
      </c>
      <c r="N7" s="8"/>
      <c r="O7" s="8"/>
      <c r="P7" s="8"/>
      <c r="R7" s="89"/>
      <c r="S7" s="138"/>
      <c r="T7" s="138"/>
    </row>
    <row r="8" spans="1:130" s="3" customFormat="1" ht="21" customHeight="1" thickBot="1" x14ac:dyDescent="0.45">
      <c r="A8" s="96" t="s">
        <v>90</v>
      </c>
      <c r="B8" s="97"/>
      <c r="C8" s="98">
        <v>0</v>
      </c>
      <c r="D8" s="9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3" t="s">
        <v>81</v>
      </c>
      <c r="B17" s="113"/>
      <c r="C17" s="118">
        <v>6</v>
      </c>
      <c r="D17" s="117"/>
      <c r="F17" s="96" t="s">
        <v>51</v>
      </c>
      <c r="G17" s="97"/>
      <c r="H17" s="118">
        <v>0</v>
      </c>
      <c r="I17" s="117"/>
      <c r="K17" s="119" t="s">
        <v>14</v>
      </c>
      <c r="L17" s="119"/>
      <c r="M17" s="120">
        <v>9500.698117433798</v>
      </c>
      <c r="N17" s="120"/>
      <c r="O17" s="111" t="s">
        <v>76</v>
      </c>
      <c r="P17" s="112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3" t="s">
        <v>16</v>
      </c>
      <c r="G18" s="113"/>
      <c r="H18" s="114">
        <v>1</v>
      </c>
      <c r="I18" s="115"/>
      <c r="K18" s="119"/>
      <c r="L18" s="119"/>
      <c r="M18" s="120"/>
      <c r="N18" s="120"/>
      <c r="O18" s="111" t="s">
        <v>15</v>
      </c>
      <c r="P18" s="112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3" t="s">
        <v>17</v>
      </c>
      <c r="B19" s="113"/>
      <c r="C19" s="116">
        <v>0.5</v>
      </c>
      <c r="D19" s="117"/>
      <c r="K19" s="121" t="s">
        <v>80</v>
      </c>
      <c r="L19" s="121"/>
      <c r="M19" s="121"/>
      <c r="N19" s="121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96" t="s">
        <v>18</v>
      </c>
      <c r="B27" s="97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96" t="s">
        <v>19</v>
      </c>
      <c r="B28" s="97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96" t="s">
        <v>43</v>
      </c>
      <c r="B29" s="97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96" t="s">
        <v>53</v>
      </c>
      <c r="B30" s="97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96" t="s">
        <v>54</v>
      </c>
      <c r="B31" s="97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96"/>
      <c r="B32" s="97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96"/>
      <c r="B33" s="97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96" t="s">
        <v>20</v>
      </c>
      <c r="B34" s="97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96" t="s">
        <v>55</v>
      </c>
      <c r="B35" s="97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96" t="s">
        <v>56</v>
      </c>
      <c r="B36" s="97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96" t="s">
        <v>21</v>
      </c>
      <c r="B37" s="97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6" t="s">
        <v>57</v>
      </c>
      <c r="B38" s="107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6" t="s">
        <v>58</v>
      </c>
      <c r="B39" s="107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6" t="s">
        <v>59</v>
      </c>
      <c r="B40" s="107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6" t="s">
        <v>63</v>
      </c>
      <c r="B41" s="107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6" t="s">
        <v>62</v>
      </c>
      <c r="B42" s="107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6" t="s">
        <v>61</v>
      </c>
      <c r="B43" s="107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6" t="s">
        <v>60</v>
      </c>
      <c r="B44" s="107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6" t="s">
        <v>72</v>
      </c>
      <c r="B45" s="107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6" t="s">
        <v>64</v>
      </c>
      <c r="B46" s="107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8"/>
      <c r="B47" s="108"/>
      <c r="C47" s="103" t="str">
        <f t="shared" ref="C47:AH47" si="35">IFERROR(IF(AND(C29="",D29="",B29&lt;&gt;"",C34&lt;&gt;""),"Not Autocalled Not KI Payoff",IF(AND(C29="",B29="",A29&lt;&gt;""),"Not Autocalled KI Payoff","")), "")</f>
        <v/>
      </c>
      <c r="D47" s="103" t="str">
        <f t="shared" si="35"/>
        <v/>
      </c>
      <c r="E47" s="103" t="str">
        <f t="shared" si="35"/>
        <v/>
      </c>
      <c r="F47" s="103" t="str">
        <f t="shared" si="35"/>
        <v/>
      </c>
      <c r="G47" s="103" t="str">
        <f t="shared" si="35"/>
        <v/>
      </c>
      <c r="H47" s="103" t="str">
        <f t="shared" si="35"/>
        <v/>
      </c>
      <c r="I47" s="103" t="str">
        <f t="shared" si="35"/>
        <v>Not Autocalled Not KI Payoff</v>
      </c>
      <c r="J47" s="103" t="str">
        <f t="shared" si="35"/>
        <v>Not Autocalled KI Payoff</v>
      </c>
      <c r="K47" s="103" t="str">
        <f t="shared" si="35"/>
        <v/>
      </c>
      <c r="L47" s="103" t="str">
        <f t="shared" si="35"/>
        <v/>
      </c>
      <c r="M47" s="103" t="str">
        <f t="shared" si="35"/>
        <v/>
      </c>
      <c r="N47" s="103" t="str">
        <f t="shared" si="35"/>
        <v/>
      </c>
      <c r="O47" s="103" t="str">
        <f t="shared" si="35"/>
        <v/>
      </c>
      <c r="P47" s="103" t="str">
        <f t="shared" si="35"/>
        <v/>
      </c>
      <c r="Q47" s="103" t="str">
        <f t="shared" si="35"/>
        <v/>
      </c>
      <c r="R47" s="103" t="str">
        <f t="shared" si="35"/>
        <v/>
      </c>
      <c r="S47" s="103" t="str">
        <f t="shared" si="35"/>
        <v/>
      </c>
      <c r="T47" s="103" t="str">
        <f t="shared" si="35"/>
        <v/>
      </c>
      <c r="U47" s="103" t="str">
        <f t="shared" si="35"/>
        <v/>
      </c>
      <c r="V47" s="103" t="str">
        <f t="shared" si="35"/>
        <v/>
      </c>
      <c r="W47" s="103" t="str">
        <f t="shared" si="35"/>
        <v/>
      </c>
      <c r="X47" s="103" t="str">
        <f t="shared" si="35"/>
        <v/>
      </c>
      <c r="Y47" s="103" t="str">
        <f t="shared" si="35"/>
        <v/>
      </c>
      <c r="Z47" s="103" t="str">
        <f t="shared" si="35"/>
        <v/>
      </c>
      <c r="AA47" s="103" t="str">
        <f t="shared" si="35"/>
        <v/>
      </c>
      <c r="AB47" s="103" t="str">
        <f t="shared" si="35"/>
        <v/>
      </c>
      <c r="AC47" s="103" t="str">
        <f t="shared" si="35"/>
        <v/>
      </c>
      <c r="AD47" s="103" t="str">
        <f t="shared" si="35"/>
        <v/>
      </c>
      <c r="AE47" s="103" t="str">
        <f t="shared" si="35"/>
        <v/>
      </c>
      <c r="AF47" s="103" t="str">
        <f t="shared" si="35"/>
        <v/>
      </c>
      <c r="AG47" s="103" t="str">
        <f t="shared" si="35"/>
        <v/>
      </c>
      <c r="AH47" s="103" t="str">
        <f t="shared" si="35"/>
        <v/>
      </c>
      <c r="AI47" s="103" t="str">
        <f t="shared" ref="AI47:BN47" si="36">IFERROR(IF(AND(AI29="",AJ29="",AH29&lt;&gt;"",AI34&lt;&gt;""),"Not Autocalled Not KI Payoff",IF(AND(AI29="",AH29="",AG29&lt;&gt;""),"Not Autocalled KI Payoff","")), "")</f>
        <v/>
      </c>
      <c r="AJ47" s="103" t="str">
        <f t="shared" si="36"/>
        <v/>
      </c>
      <c r="AK47" s="103" t="str">
        <f t="shared" si="36"/>
        <v/>
      </c>
      <c r="AL47" s="103" t="str">
        <f t="shared" si="36"/>
        <v/>
      </c>
      <c r="AM47" s="103" t="str">
        <f t="shared" si="36"/>
        <v/>
      </c>
      <c r="AN47" s="103" t="str">
        <f t="shared" si="36"/>
        <v/>
      </c>
      <c r="AO47" s="103" t="str">
        <f t="shared" si="36"/>
        <v/>
      </c>
      <c r="AP47" s="103" t="str">
        <f t="shared" si="36"/>
        <v/>
      </c>
      <c r="AQ47" s="103" t="str">
        <f t="shared" si="36"/>
        <v/>
      </c>
      <c r="AR47" s="103" t="str">
        <f t="shared" si="36"/>
        <v/>
      </c>
      <c r="AS47" s="103" t="str">
        <f t="shared" si="36"/>
        <v/>
      </c>
      <c r="AT47" s="103" t="str">
        <f t="shared" si="36"/>
        <v/>
      </c>
      <c r="AU47" s="103" t="str">
        <f t="shared" si="36"/>
        <v/>
      </c>
      <c r="AV47" s="103" t="str">
        <f t="shared" si="36"/>
        <v/>
      </c>
      <c r="AW47" s="103" t="str">
        <f t="shared" si="36"/>
        <v/>
      </c>
      <c r="AX47" s="103" t="str">
        <f t="shared" si="36"/>
        <v/>
      </c>
      <c r="AY47" s="103" t="str">
        <f t="shared" si="36"/>
        <v/>
      </c>
      <c r="AZ47" s="103" t="str">
        <f t="shared" si="36"/>
        <v/>
      </c>
      <c r="BA47" s="103" t="str">
        <f t="shared" si="36"/>
        <v/>
      </c>
      <c r="BB47" s="103" t="str">
        <f t="shared" si="36"/>
        <v/>
      </c>
      <c r="BC47" s="103" t="str">
        <f t="shared" si="36"/>
        <v/>
      </c>
      <c r="BD47" s="103" t="str">
        <f t="shared" si="36"/>
        <v/>
      </c>
      <c r="BE47" s="103" t="str">
        <f t="shared" si="36"/>
        <v/>
      </c>
      <c r="BF47" s="103" t="str">
        <f t="shared" si="36"/>
        <v/>
      </c>
      <c r="BG47" s="103" t="str">
        <f t="shared" si="36"/>
        <v/>
      </c>
      <c r="BH47" s="103" t="str">
        <f t="shared" si="36"/>
        <v/>
      </c>
      <c r="BI47" s="103" t="str">
        <f t="shared" si="36"/>
        <v/>
      </c>
      <c r="BJ47" s="103" t="str">
        <f t="shared" si="36"/>
        <v/>
      </c>
      <c r="BK47" s="103" t="str">
        <f t="shared" si="36"/>
        <v/>
      </c>
      <c r="BL47" s="103" t="str">
        <f t="shared" si="36"/>
        <v/>
      </c>
      <c r="BM47" s="103" t="str">
        <f t="shared" si="36"/>
        <v/>
      </c>
      <c r="BN47" s="103" t="str">
        <f t="shared" si="36"/>
        <v/>
      </c>
      <c r="BO47" s="103" t="str">
        <f t="shared" ref="BO47:CT47" si="37">IFERROR(IF(AND(BO29="",BP29="",BN29&lt;&gt;"",BO34&lt;&gt;""),"Not Autocalled Not KI Payoff",IF(AND(BO29="",BN29="",BM29&lt;&gt;""),"Not Autocalled KI Payoff","")), "")</f>
        <v/>
      </c>
      <c r="BP47" s="103" t="str">
        <f t="shared" si="37"/>
        <v/>
      </c>
      <c r="BQ47" s="103" t="str">
        <f t="shared" si="37"/>
        <v/>
      </c>
      <c r="BR47" s="103" t="str">
        <f t="shared" si="37"/>
        <v/>
      </c>
      <c r="BS47" s="103" t="str">
        <f t="shared" si="37"/>
        <v/>
      </c>
      <c r="BT47" s="103" t="str">
        <f t="shared" si="37"/>
        <v/>
      </c>
      <c r="BU47" s="103" t="str">
        <f t="shared" si="37"/>
        <v/>
      </c>
      <c r="BV47" s="103" t="str">
        <f t="shared" si="37"/>
        <v/>
      </c>
      <c r="BW47" s="103" t="str">
        <f t="shared" si="37"/>
        <v/>
      </c>
      <c r="BX47" s="103" t="str">
        <f t="shared" si="37"/>
        <v/>
      </c>
      <c r="BY47" s="103" t="str">
        <f t="shared" si="37"/>
        <v/>
      </c>
      <c r="BZ47" s="103" t="str">
        <f t="shared" si="37"/>
        <v/>
      </c>
      <c r="CA47" s="103" t="str">
        <f t="shared" si="37"/>
        <v/>
      </c>
      <c r="CB47" s="103" t="str">
        <f t="shared" si="37"/>
        <v/>
      </c>
      <c r="CC47" s="103" t="str">
        <f t="shared" si="37"/>
        <v/>
      </c>
      <c r="CD47" s="103" t="str">
        <f t="shared" si="37"/>
        <v/>
      </c>
      <c r="CE47" s="103" t="str">
        <f t="shared" si="37"/>
        <v/>
      </c>
      <c r="CF47" s="103" t="str">
        <f t="shared" si="37"/>
        <v/>
      </c>
      <c r="CG47" s="103" t="str">
        <f t="shared" si="37"/>
        <v/>
      </c>
      <c r="CH47" s="103" t="str">
        <f t="shared" si="37"/>
        <v/>
      </c>
      <c r="CI47" s="103" t="str">
        <f t="shared" si="37"/>
        <v/>
      </c>
      <c r="CJ47" s="103" t="str">
        <f t="shared" si="37"/>
        <v/>
      </c>
      <c r="CK47" s="103" t="str">
        <f t="shared" si="37"/>
        <v/>
      </c>
      <c r="CL47" s="103" t="str">
        <f t="shared" si="37"/>
        <v/>
      </c>
      <c r="CM47" s="103" t="str">
        <f t="shared" si="37"/>
        <v/>
      </c>
      <c r="CN47" s="103" t="str">
        <f t="shared" si="37"/>
        <v/>
      </c>
      <c r="CO47" s="103" t="str">
        <f t="shared" si="37"/>
        <v/>
      </c>
      <c r="CP47" s="103" t="str">
        <f t="shared" si="37"/>
        <v/>
      </c>
      <c r="CQ47" s="103" t="str">
        <f t="shared" si="37"/>
        <v/>
      </c>
      <c r="CR47" s="103" t="str">
        <f t="shared" si="37"/>
        <v/>
      </c>
      <c r="CS47" s="103" t="str">
        <f t="shared" si="37"/>
        <v/>
      </c>
      <c r="CT47" s="103" t="str">
        <f t="shared" si="37"/>
        <v/>
      </c>
      <c r="CU47" s="103" t="str">
        <f t="shared" ref="CU47:DF47" si="38">IFERROR(IF(AND(CU29="",CV29="",CT29&lt;&gt;"",CU34&lt;&gt;""),"Not Autocalled Not KI Payoff",IF(AND(CU29="",CT29="",CS29&lt;&gt;""),"Not Autocalled KI Payoff","")), "")</f>
        <v/>
      </c>
      <c r="CV47" s="103" t="str">
        <f t="shared" si="38"/>
        <v/>
      </c>
      <c r="CW47" s="103" t="str">
        <f t="shared" si="38"/>
        <v/>
      </c>
      <c r="CX47" s="103" t="str">
        <f t="shared" si="38"/>
        <v/>
      </c>
      <c r="CY47" s="103" t="str">
        <f t="shared" si="38"/>
        <v/>
      </c>
      <c r="CZ47" s="103" t="str">
        <f t="shared" si="38"/>
        <v/>
      </c>
      <c r="DA47" s="103" t="str">
        <f t="shared" si="38"/>
        <v/>
      </c>
      <c r="DB47" s="103" t="str">
        <f t="shared" si="38"/>
        <v/>
      </c>
      <c r="DC47" s="103" t="str">
        <f t="shared" si="38"/>
        <v/>
      </c>
      <c r="DD47" s="103" t="str">
        <f t="shared" si="38"/>
        <v/>
      </c>
      <c r="DE47" s="103" t="str">
        <f t="shared" si="38"/>
        <v/>
      </c>
      <c r="DF47" s="103" t="str">
        <f t="shared" si="38"/>
        <v/>
      </c>
      <c r="DG47" s="103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8"/>
      <c r="B48" s="108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</row>
    <row r="49" spans="1:108" s="29" customFormat="1" ht="21" hidden="1" customHeight="1" x14ac:dyDescent="0.4">
      <c r="A49" s="108"/>
      <c r="B49" s="108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8"/>
      <c r="B50" s="108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2" t="s">
        <v>46</v>
      </c>
      <c r="B51" s="142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9" t="s">
        <v>47</v>
      </c>
      <c r="B52" s="11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2" t="s">
        <v>44</v>
      </c>
      <c r="B53" s="142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2" t="s">
        <v>45</v>
      </c>
      <c r="B54" s="142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2" t="s">
        <v>50</v>
      </c>
      <c r="B55" s="142"/>
      <c r="C55" s="36">
        <v>0.05</v>
      </c>
    </row>
    <row r="56" spans="1:108" s="40" customFormat="1" ht="21" customHeight="1" x14ac:dyDescent="0.4">
      <c r="A56" s="142" t="s">
        <v>52</v>
      </c>
      <c r="B56" s="142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8"/>
      <c r="B57" s="108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8"/>
      <c r="B58" s="108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8"/>
      <c r="B59" s="108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8"/>
      <c r="B60" s="108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8"/>
      <c r="B61" s="108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2" t="s">
        <v>22</v>
      </c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J62" s="100" t="s">
        <v>71</v>
      </c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100"/>
      <c r="AY62" s="100"/>
      <c r="AZ62" s="100"/>
      <c r="BA62" s="100"/>
      <c r="BB62" s="100"/>
      <c r="BD62" s="100" t="s">
        <v>82</v>
      </c>
      <c r="BE62" s="100"/>
      <c r="BF62" s="100"/>
      <c r="BG62" s="100"/>
      <c r="BH62" s="100"/>
      <c r="BI62" s="100"/>
      <c r="BJ62" s="100"/>
      <c r="BK62" s="100"/>
      <c r="BL62" s="100"/>
      <c r="BM62" s="100"/>
      <c r="BN62" s="100"/>
      <c r="BO62" s="100"/>
      <c r="BP62" s="100"/>
      <c r="BQ62" s="100"/>
      <c r="BR62" s="100"/>
      <c r="BS62" s="100"/>
      <c r="BT62" s="100"/>
      <c r="BU62" s="100"/>
      <c r="BV62" s="100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00"/>
      <c r="BP63" s="100"/>
      <c r="BQ63" s="100"/>
      <c r="BR63" s="100"/>
      <c r="BS63" s="100"/>
      <c r="BT63" s="100"/>
      <c r="BU63" s="100"/>
      <c r="BV63" s="100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D64" s="100"/>
      <c r="BE64" s="100"/>
      <c r="BF64" s="100"/>
      <c r="BG64" s="100"/>
      <c r="BH64" s="100"/>
      <c r="BI64" s="100"/>
      <c r="BJ64" s="100"/>
      <c r="BK64" s="100"/>
      <c r="BL64" s="100"/>
      <c r="BM64" s="100"/>
      <c r="BN64" s="100"/>
      <c r="BO64" s="100"/>
      <c r="BP64" s="100"/>
      <c r="BQ64" s="100"/>
      <c r="BR64" s="100"/>
      <c r="BS64" s="100"/>
      <c r="BT64" s="100"/>
      <c r="BU64" s="100"/>
      <c r="BV64" s="100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4" t="s">
        <v>87</v>
      </c>
      <c r="BY66" s="104"/>
      <c r="BZ66" s="104"/>
      <c r="CA66" s="104"/>
    </row>
    <row r="67" spans="1:90" s="4" customFormat="1" ht="21" customHeight="1" x14ac:dyDescent="0.4">
      <c r="A67" s="144" t="s">
        <v>74</v>
      </c>
      <c r="B67" s="144"/>
      <c r="C67" s="144"/>
      <c r="D67" s="144"/>
      <c r="E67" s="144"/>
      <c r="F67" s="144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6" t="s">
        <v>68</v>
      </c>
      <c r="Q67" s="107"/>
      <c r="R67" s="38">
        <v>2</v>
      </c>
      <c r="BX67" s="105"/>
      <c r="BY67" s="105"/>
      <c r="BZ67" s="105"/>
      <c r="CA67" s="105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01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101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101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02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02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102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5" t="s">
        <v>31</v>
      </c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3" t="s">
        <v>32</v>
      </c>
      <c r="B73" s="143"/>
      <c r="C73" s="143" t="s">
        <v>33</v>
      </c>
      <c r="D73" s="143"/>
      <c r="E73" s="143" t="s">
        <v>34</v>
      </c>
      <c r="F73" s="143"/>
      <c r="G73" s="143" t="s">
        <v>35</v>
      </c>
      <c r="H73" s="143"/>
      <c r="I73" s="143" t="s">
        <v>65</v>
      </c>
      <c r="J73" s="143"/>
      <c r="K73" s="143" t="s">
        <v>67</v>
      </c>
      <c r="L73" s="143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4" t="s">
        <v>87</v>
      </c>
      <c r="BY96" s="104"/>
      <c r="BZ96" s="104"/>
      <c r="CA96" s="104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6" t="s">
        <v>68</v>
      </c>
      <c r="Q97" s="107"/>
      <c r="R97" s="38">
        <v>1</v>
      </c>
      <c r="BX97" s="105"/>
      <c r="BY97" s="105"/>
      <c r="BZ97" s="105"/>
      <c r="CA97" s="105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101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101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101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102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02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102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5" t="s">
        <v>38</v>
      </c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3" t="s">
        <v>8</v>
      </c>
      <c r="B119" s="143"/>
      <c r="C119" s="143" t="s">
        <v>26</v>
      </c>
      <c r="D119" s="143"/>
      <c r="E119" s="143" t="s">
        <v>27</v>
      </c>
      <c r="F119" s="143"/>
      <c r="G119" s="143" t="s">
        <v>48</v>
      </c>
      <c r="H119" s="143"/>
      <c r="I119" s="143" t="s">
        <v>49</v>
      </c>
      <c r="J119" s="143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4" t="s">
        <v>87</v>
      </c>
      <c r="BY126" s="104"/>
      <c r="BZ126" s="104"/>
      <c r="CA126" s="104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6" t="s">
        <v>68</v>
      </c>
      <c r="Q127" s="107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5"/>
      <c r="BY127" s="105"/>
      <c r="BZ127" s="105"/>
      <c r="CA127" s="105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101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101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101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102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02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102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4" t="s">
        <v>87</v>
      </c>
      <c r="BY156" s="104"/>
      <c r="BZ156" s="104"/>
      <c r="CA156" s="104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6" t="s">
        <v>68</v>
      </c>
      <c r="Q157" s="107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5"/>
      <c r="BY157" s="105"/>
      <c r="BZ157" s="105"/>
      <c r="CA157" s="105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101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101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101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102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02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102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5" t="s">
        <v>40</v>
      </c>
      <c r="B165" s="145"/>
      <c r="C165" s="145"/>
      <c r="D165" s="145"/>
      <c r="E165" s="145"/>
      <c r="F165" s="145"/>
      <c r="G165" s="145"/>
      <c r="H165" s="145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5"/>
      <c r="B166" s="145"/>
      <c r="C166" s="145"/>
      <c r="D166" s="145"/>
      <c r="E166" s="145"/>
      <c r="F166" s="145"/>
      <c r="G166" s="145"/>
      <c r="H166" s="145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6"/>
      <c r="B170" s="146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3" t="s">
        <v>8</v>
      </c>
      <c r="B171" s="143"/>
      <c r="C171" s="143" t="s">
        <v>26</v>
      </c>
      <c r="D171" s="143"/>
      <c r="E171" s="143" t="s">
        <v>27</v>
      </c>
      <c r="F171" s="143"/>
      <c r="G171" s="143" t="s">
        <v>48</v>
      </c>
      <c r="H171" s="143"/>
      <c r="I171" s="143" t="s">
        <v>49</v>
      </c>
      <c r="J171" s="143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4" t="s">
        <v>87</v>
      </c>
      <c r="BY186" s="104"/>
      <c r="BZ186" s="104"/>
      <c r="CA186" s="104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6" t="s">
        <v>68</v>
      </c>
      <c r="Q187" s="107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5"/>
      <c r="BY187" s="105"/>
      <c r="BZ187" s="105"/>
      <c r="CA187" s="105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101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101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101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102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02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102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2023-06-21T12:52:54Z</dcterms:modified>
</cp:coreProperties>
</file>