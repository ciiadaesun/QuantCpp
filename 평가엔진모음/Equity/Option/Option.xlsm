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ciiad\github5\평가엔진모음\Equity\Option\"/>
    </mc:Choice>
  </mc:AlternateContent>
  <bookViews>
    <workbookView xWindow="0" yWindow="0" windowWidth="23040" windowHeight="9108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X1" i="1" l="1"/>
  <c r="AY1" i="1" s="1"/>
  <c r="AZ1" i="1" s="1"/>
  <c r="BA1" i="1" s="1"/>
  <c r="BB1" i="1" s="1"/>
  <c r="BC1" i="1" s="1"/>
  <c r="F12" i="1" l="1"/>
  <c r="C11" i="1"/>
  <c r="F7" i="1" l="1"/>
  <c r="J7" i="1" s="1"/>
  <c r="E7" i="1"/>
  <c r="A9" i="1"/>
  <c r="E9" i="1" s="1"/>
  <c r="C1" i="1" l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B1" i="1"/>
  <c r="E6" i="1"/>
  <c r="E5" i="1"/>
</calcChain>
</file>

<file path=xl/comments1.xml><?xml version="1.0" encoding="utf-8"?>
<comments xmlns="http://schemas.openxmlformats.org/spreadsheetml/2006/main">
  <authors>
    <author>DAESUN IM</author>
    <author>임 대선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매수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매도</t>
        </r>
      </text>
    </comment>
    <comment ref="A6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콜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풋</t>
        </r>
      </text>
    </comment>
    <comment ref="A7" authorId="0" shapeId="0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바닐라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디지털
</t>
        </r>
        <r>
          <rPr>
            <b/>
            <sz val="9"/>
            <color indexed="81"/>
            <rFont val="Tahoma"/>
            <family val="2"/>
          </rPr>
          <t xml:space="preserve">2: </t>
        </r>
        <r>
          <rPr>
            <b/>
            <sz val="9"/>
            <color indexed="81"/>
            <rFont val="돋움"/>
            <family val="3"/>
            <charset val="129"/>
          </rPr>
          <t>아시안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3: </t>
        </r>
        <r>
          <rPr>
            <b/>
            <sz val="9"/>
            <color indexed="81"/>
            <rFont val="돋움"/>
            <family val="3"/>
            <charset val="129"/>
          </rPr>
          <t>아메리칸</t>
        </r>
        <r>
          <rPr>
            <b/>
            <sz val="9"/>
            <color indexed="81"/>
            <rFont val="Tahoma"/>
            <family val="2"/>
          </rPr>
          <t>(FDM)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</t>
        </r>
        <r>
          <rPr>
            <b/>
            <sz val="9"/>
            <color indexed="81"/>
            <rFont val="돋움"/>
            <family val="3"/>
            <charset val="129"/>
          </rPr>
          <t>아메리칸디지털</t>
        </r>
        <r>
          <rPr>
            <b/>
            <sz val="9"/>
            <color indexed="81"/>
            <rFont val="Tahoma"/>
            <family val="2"/>
          </rPr>
          <t>(FDM)</t>
        </r>
      </text>
    </comment>
    <comment ref="F7" authorId="0" shapeId="0">
      <text>
        <r>
          <rPr>
            <b/>
            <sz val="9"/>
            <color indexed="81"/>
            <rFont val="돋움"/>
            <family val="3"/>
            <charset val="129"/>
          </rPr>
          <t>평균시작일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이후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날짜에</t>
        </r>
        <r>
          <rPr>
            <b/>
            <sz val="9"/>
            <color indexed="81"/>
            <rFont val="Tahoma"/>
            <family val="2"/>
          </rPr>
          <t xml:space="preserve"> Asian</t>
        </r>
        <r>
          <rPr>
            <b/>
            <sz val="9"/>
            <color indexed="81"/>
            <rFont val="돋움"/>
            <family val="3"/>
            <charset val="129"/>
          </rPr>
          <t>옵션을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평가하는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F10" authorId="0" shapeId="0">
      <text>
        <r>
          <rPr>
            <b/>
            <sz val="9"/>
            <color indexed="81"/>
            <rFont val="Tahoma"/>
            <family val="2"/>
          </rPr>
          <t xml:space="preserve">0: Flat
1: Curve
2: </t>
        </r>
        <r>
          <rPr>
            <b/>
            <sz val="9"/>
            <color indexed="81"/>
            <rFont val="돋움"/>
            <family val="3"/>
            <charset val="129"/>
          </rPr>
          <t>이산배당</t>
        </r>
      </text>
    </comment>
    <comment ref="K13" authorId="1" shapeId="0">
      <text>
        <r>
          <rPr>
            <b/>
            <sz val="9"/>
            <color indexed="81"/>
            <rFont val="Tahoma"/>
            <family val="2"/>
          </rPr>
          <t>0: Implied Vol</t>
        </r>
        <r>
          <rPr>
            <b/>
            <sz val="9"/>
            <color indexed="81"/>
            <rFont val="돋움"/>
            <family val="3"/>
            <charset val="129"/>
          </rPr>
          <t>인풋</t>
        </r>
        <r>
          <rPr>
            <b/>
            <sz val="9"/>
            <color indexed="81"/>
            <rFont val="Tahoma"/>
            <family val="2"/>
          </rPr>
          <t xml:space="preserve"> LocalVol </t>
        </r>
        <r>
          <rPr>
            <b/>
            <sz val="9"/>
            <color indexed="81"/>
            <rFont val="돋움"/>
            <family val="3"/>
            <charset val="129"/>
          </rPr>
          <t>내부계산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시뮬레이션</t>
        </r>
        <r>
          <rPr>
            <b/>
            <sz val="9"/>
            <color indexed="81"/>
            <rFont val="Tahoma"/>
            <family val="2"/>
          </rPr>
          <t>,FDM</t>
        </r>
        <r>
          <rPr>
            <b/>
            <sz val="9"/>
            <color indexed="81"/>
            <rFont val="돋움"/>
            <family val="3"/>
            <charset val="129"/>
          </rPr>
          <t>의경우에만</t>
        </r>
        <r>
          <rPr>
            <b/>
            <sz val="9"/>
            <color indexed="81"/>
            <rFont val="Tahoma"/>
            <family val="2"/>
          </rPr>
          <t>)
1: Local Vol</t>
        </r>
        <r>
          <rPr>
            <b/>
            <sz val="9"/>
            <color indexed="81"/>
            <rFont val="돋움"/>
            <family val="3"/>
            <charset val="129"/>
          </rPr>
          <t xml:space="preserve">인풋
</t>
        </r>
        <r>
          <rPr>
            <b/>
            <sz val="9"/>
            <color indexed="81"/>
            <rFont val="Tahoma"/>
            <family val="2"/>
          </rPr>
          <t xml:space="preserve">2: Simple Vol </t>
        </r>
        <r>
          <rPr>
            <b/>
            <sz val="9"/>
            <color indexed="81"/>
            <rFont val="돋움"/>
            <family val="3"/>
            <charset val="129"/>
          </rPr>
          <t>찾아서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
</t>
        </r>
        <r>
          <rPr>
            <b/>
            <sz val="9"/>
            <color indexed="81"/>
            <rFont val="Tahoma"/>
            <family val="2"/>
          </rPr>
          <t xml:space="preserve">3: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 xml:space="preserve">(Beta = 1.0)
4: input: Implied Vol -&gt; SABR LocalVol </t>
        </r>
        <r>
          <rPr>
            <b/>
            <sz val="9"/>
            <color indexed="81"/>
            <rFont val="돋움"/>
            <family val="3"/>
            <charset val="129"/>
          </rPr>
          <t>내부변환</t>
        </r>
        <r>
          <rPr>
            <b/>
            <sz val="9"/>
            <color indexed="81"/>
            <rFont val="Tahoma"/>
            <family val="2"/>
          </rPr>
          <t>(beta = 0.5)</t>
        </r>
      </text>
    </comment>
  </commentList>
</comments>
</file>

<file path=xl/sharedStrings.xml><?xml version="1.0" encoding="utf-8"?>
<sst xmlns="http://schemas.openxmlformats.org/spreadsheetml/2006/main" count="38" uniqueCount="36">
  <si>
    <t>매수/매도</t>
    <phoneticPr fontId="1" type="noConversion"/>
  </si>
  <si>
    <t>옵션타입</t>
    <phoneticPr fontId="1" type="noConversion"/>
  </si>
  <si>
    <t>콜/풋</t>
    <phoneticPr fontId="1" type="noConversion"/>
  </si>
  <si>
    <t>지급일</t>
    <phoneticPr fontId="1" type="noConversion"/>
  </si>
  <si>
    <t>만기일</t>
    <phoneticPr fontId="1" type="noConversion"/>
  </si>
  <si>
    <t>가격계산일</t>
    <phoneticPr fontId="1" type="noConversion"/>
  </si>
  <si>
    <t>기초자산가격</t>
    <phoneticPr fontId="1" type="noConversion"/>
  </si>
  <si>
    <t>행사가격</t>
    <phoneticPr fontId="1" type="noConversion"/>
  </si>
  <si>
    <t>Discount</t>
    <phoneticPr fontId="1" type="noConversion"/>
  </si>
  <si>
    <t>Reference</t>
    <phoneticPr fontId="1" type="noConversion"/>
  </si>
  <si>
    <t>이자율</t>
    <phoneticPr fontId="1" type="noConversion"/>
  </si>
  <si>
    <t>변동성</t>
    <phoneticPr fontId="1" type="noConversion"/>
  </si>
  <si>
    <t>기간구조</t>
    <phoneticPr fontId="1" type="noConversion"/>
  </si>
  <si>
    <t>Moneyness</t>
    <phoneticPr fontId="1" type="noConversion"/>
  </si>
  <si>
    <t>배당 및 콴토</t>
    <phoneticPr fontId="1" type="noConversion"/>
  </si>
  <si>
    <t>배당타입</t>
    <phoneticPr fontId="1" type="noConversion"/>
  </si>
  <si>
    <t>QuantoCorr</t>
    <phoneticPr fontId="1" type="noConversion"/>
  </si>
  <si>
    <t>FX Volatility</t>
    <phoneticPr fontId="1" type="noConversion"/>
  </si>
  <si>
    <t>GreekFlag</t>
    <phoneticPr fontId="1" type="noConversion"/>
  </si>
  <si>
    <t>Dupire 로컬 변동성</t>
    <phoneticPr fontId="1" type="noConversion"/>
  </si>
  <si>
    <t>가격</t>
    <phoneticPr fontId="1" type="noConversion"/>
  </si>
  <si>
    <t>Greeks</t>
    <phoneticPr fontId="1" type="noConversion"/>
  </si>
  <si>
    <t>Delta</t>
    <phoneticPr fontId="1" type="noConversion"/>
  </si>
  <si>
    <t>Gamma</t>
    <phoneticPr fontId="1" type="noConversion"/>
  </si>
  <si>
    <t>Vega</t>
    <phoneticPr fontId="1" type="noConversion"/>
  </si>
  <si>
    <t>Theta</t>
    <phoneticPr fontId="1" type="noConversion"/>
  </si>
  <si>
    <t>Rho</t>
    <phoneticPr fontId="1" type="noConversion"/>
  </si>
  <si>
    <t>Implied Vol/ Local Vol Flag</t>
    <phoneticPr fontId="1" type="noConversion"/>
  </si>
  <si>
    <t>Option Pricer</t>
    <phoneticPr fontId="1" type="noConversion"/>
  </si>
  <si>
    <t>Error메시지</t>
    <phoneticPr fontId="1" type="noConversion"/>
  </si>
  <si>
    <t>SABR Parameter</t>
    <phoneticPr fontId="1" type="noConversion"/>
  </si>
  <si>
    <t>Term</t>
    <phoneticPr fontId="1" type="noConversion"/>
  </si>
  <si>
    <t>Alpha</t>
    <phoneticPr fontId="1" type="noConversion"/>
  </si>
  <si>
    <t>Vega</t>
    <phoneticPr fontId="1" type="noConversion"/>
  </si>
  <si>
    <t>Rho</t>
    <phoneticPr fontId="1" type="noConversion"/>
  </si>
  <si>
    <t>RMSPE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</si>
</sst>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0.00_);[Red]\(0.00\)"/>
    <numFmt numFmtId="177" formatCode="0_);[Red]\(0\)"/>
    <numFmt numFmtId="178" formatCode="0.0_);[Red]\(0.0\)"/>
    <numFmt numFmtId="179" formatCode="0.000_);[Red]\(0.000\)"/>
    <numFmt numFmtId="180" formatCode="0.0000_ ;[Red]\-0.0000\ "/>
    <numFmt numFmtId="181" formatCode="0.0000_);[Red]\(0.0000\)"/>
    <numFmt numFmtId="182" formatCode="0.0000_ "/>
    <numFmt numFmtId="183" formatCode="0.00000_);[Red]\(0.00000\)"/>
    <numFmt numFmtId="184" formatCode="0.0000%"/>
  </numFmts>
  <fonts count="16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9"/>
      <color theme="1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9"/>
      <color theme="0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6"/>
      <color theme="0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rgb="FFE6E6E6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gradientFill degree="270">
        <stop position="0">
          <color theme="0"/>
        </stop>
        <stop position="1">
          <color rgb="FF0070C0"/>
        </stop>
      </gradientFill>
    </fill>
    <fill>
      <patternFill patternType="solid">
        <fgColor theme="5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4" fillId="0" borderId="0" applyFont="0" applyFill="0" applyBorder="0" applyAlignment="0" applyProtection="0">
      <alignment vertical="center"/>
    </xf>
  </cellStyleXfs>
  <cellXfs count="57">
    <xf numFmtId="0" fontId="0" fillId="0" borderId="0" xfId="0">
      <alignment vertical="center"/>
    </xf>
    <xf numFmtId="0" fontId="7" fillId="5" borderId="0" xfId="0" applyFont="1" applyFill="1">
      <alignment vertical="center"/>
    </xf>
    <xf numFmtId="0" fontId="8" fillId="6" borderId="0" xfId="0" applyFont="1" applyFill="1">
      <alignment vertical="center"/>
    </xf>
    <xf numFmtId="0" fontId="8" fillId="13" borderId="0" xfId="0" applyFont="1" applyFill="1" applyProtection="1">
      <alignment vertical="center"/>
    </xf>
    <xf numFmtId="0" fontId="10" fillId="5" borderId="0" xfId="0" applyFont="1" applyFill="1">
      <alignment vertical="center"/>
    </xf>
    <xf numFmtId="0" fontId="4" fillId="15" borderId="9" xfId="0" applyFont="1" applyFill="1" applyBorder="1" applyAlignment="1">
      <alignment horizontal="center" vertical="center"/>
    </xf>
    <xf numFmtId="181" fontId="4" fillId="15" borderId="8" xfId="0" applyNumberFormat="1" applyFont="1" applyFill="1" applyBorder="1" applyAlignment="1">
      <alignment horizontal="center" vertical="center"/>
    </xf>
    <xf numFmtId="0" fontId="4" fillId="15" borderId="8" xfId="0" applyFont="1" applyFill="1" applyBorder="1" applyAlignment="1">
      <alignment horizontal="center" vertical="center"/>
    </xf>
    <xf numFmtId="176" fontId="7" fillId="5" borderId="0" xfId="0" applyNumberFormat="1" applyFont="1" applyFill="1">
      <alignment vertical="center"/>
    </xf>
    <xf numFmtId="10" fontId="7" fillId="5" borderId="0" xfId="0" applyNumberFormat="1" applyFont="1" applyFill="1">
      <alignment vertical="center"/>
    </xf>
    <xf numFmtId="0" fontId="4" fillId="15" borderId="8" xfId="0" applyFont="1" applyFill="1" applyBorder="1" applyAlignment="1">
      <alignment horizontal="center" vertical="center"/>
    </xf>
    <xf numFmtId="0" fontId="12" fillId="16" borderId="0" xfId="0" applyFont="1" applyFill="1">
      <alignment vertical="center"/>
    </xf>
    <xf numFmtId="0" fontId="7" fillId="11" borderId="0" xfId="0" applyFont="1" applyFill="1" applyProtection="1">
      <alignment vertical="center"/>
      <protection locked="0"/>
    </xf>
    <xf numFmtId="178" fontId="7" fillId="11" borderId="0" xfId="0" applyNumberFormat="1" applyFont="1" applyFill="1" applyProtection="1">
      <alignment vertical="center"/>
      <protection locked="0"/>
    </xf>
    <xf numFmtId="182" fontId="7" fillId="9" borderId="11" xfId="0" applyNumberFormat="1" applyFont="1" applyFill="1" applyBorder="1" applyProtection="1">
      <alignment vertical="center"/>
      <protection locked="0"/>
    </xf>
    <xf numFmtId="182" fontId="7" fillId="9" borderId="7" xfId="0" applyNumberFormat="1" applyFont="1" applyFill="1" applyBorder="1" applyProtection="1">
      <alignment vertical="center"/>
      <protection locked="0"/>
    </xf>
    <xf numFmtId="176" fontId="5" fillId="7" borderId="0" xfId="0" applyNumberFormat="1" applyFont="1" applyFill="1" applyBorder="1" applyAlignment="1" applyProtection="1">
      <alignment vertical="center"/>
      <protection locked="0"/>
    </xf>
    <xf numFmtId="10" fontId="6" fillId="7" borderId="0" xfId="0" applyNumberFormat="1" applyFont="1" applyFill="1" applyBorder="1" applyAlignment="1" applyProtection="1">
      <protection locked="0"/>
    </xf>
    <xf numFmtId="0" fontId="8" fillId="7" borderId="0" xfId="0" applyFont="1" applyFill="1" applyProtection="1">
      <alignment vertical="center"/>
      <protection locked="0"/>
    </xf>
    <xf numFmtId="179" fontId="6" fillId="7" borderId="0" xfId="0" applyNumberFormat="1" applyFont="1" applyFill="1" applyBorder="1" applyAlignment="1" applyProtection="1">
      <protection locked="0"/>
    </xf>
    <xf numFmtId="179" fontId="8" fillId="7" borderId="0" xfId="0" applyNumberFormat="1" applyFont="1" applyFill="1" applyProtection="1">
      <alignment vertical="center"/>
      <protection locked="0"/>
    </xf>
    <xf numFmtId="176" fontId="5" fillId="10" borderId="5" xfId="0" applyNumberFormat="1" applyFont="1" applyFill="1" applyBorder="1" applyAlignment="1" applyProtection="1">
      <alignment vertical="center"/>
      <protection locked="0"/>
    </xf>
    <xf numFmtId="10" fontId="6" fillId="3" borderId="5" xfId="0" applyNumberFormat="1" applyFont="1" applyFill="1" applyBorder="1" applyAlignment="1" applyProtection="1">
      <protection locked="0"/>
    </xf>
    <xf numFmtId="0" fontId="8" fillId="14" borderId="0" xfId="0" applyFont="1" applyFill="1" applyBorder="1" applyProtection="1">
      <alignment vertical="center"/>
      <protection locked="0"/>
    </xf>
    <xf numFmtId="0" fontId="7" fillId="5" borderId="0" xfId="0" applyFont="1" applyFill="1" applyProtection="1">
      <alignment vertical="center"/>
      <protection locked="0"/>
    </xf>
    <xf numFmtId="0" fontId="8" fillId="2" borderId="0" xfId="0" applyFont="1" applyFill="1" applyProtection="1">
      <alignment vertical="center"/>
      <protection locked="0"/>
    </xf>
    <xf numFmtId="0" fontId="8" fillId="13" borderId="0" xfId="0" applyFont="1" applyFill="1" applyProtection="1">
      <alignment vertical="center"/>
      <protection locked="0"/>
    </xf>
    <xf numFmtId="0" fontId="4" fillId="4" borderId="2" xfId="0" applyFont="1" applyFill="1" applyBorder="1" applyAlignment="1" applyProtection="1">
      <alignment vertical="center"/>
      <protection locked="0"/>
    </xf>
    <xf numFmtId="0" fontId="4" fillId="4" borderId="3" xfId="0" applyFont="1" applyFill="1" applyBorder="1" applyAlignment="1" applyProtection="1">
      <alignment vertical="center"/>
      <protection locked="0"/>
    </xf>
    <xf numFmtId="177" fontId="9" fillId="11" borderId="0" xfId="0" applyNumberFormat="1" applyFont="1" applyFill="1" applyBorder="1" applyAlignment="1" applyProtection="1">
      <alignment vertical="center"/>
      <protection locked="0"/>
    </xf>
    <xf numFmtId="0" fontId="10" fillId="5" borderId="0" xfId="0" applyFont="1" applyFill="1" applyProtection="1">
      <alignment vertical="center"/>
      <protection locked="0"/>
    </xf>
    <xf numFmtId="0" fontId="7" fillId="13" borderId="0" xfId="0" applyFont="1" applyFill="1" applyProtection="1">
      <alignment vertical="center"/>
    </xf>
    <xf numFmtId="176" fontId="5" fillId="10" borderId="5" xfId="0" applyNumberFormat="1" applyFont="1" applyFill="1" applyBorder="1" applyAlignment="1" applyProtection="1">
      <alignment vertical="center"/>
    </xf>
    <xf numFmtId="183" fontId="6" fillId="9" borderId="5" xfId="0" applyNumberFormat="1" applyFont="1" applyFill="1" applyBorder="1" applyAlignment="1" applyProtection="1"/>
    <xf numFmtId="184" fontId="6" fillId="9" borderId="5" xfId="1" applyNumberFormat="1" applyFont="1" applyFill="1" applyBorder="1" applyAlignment="1" applyProtection="1"/>
    <xf numFmtId="0" fontId="0" fillId="2" borderId="0" xfId="0" applyFill="1" applyProtection="1">
      <alignment vertical="center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 applyBorder="1" applyAlignment="1">
      <alignment horizontal="center" vertical="center"/>
    </xf>
    <xf numFmtId="0" fontId="4" fillId="12" borderId="0" xfId="0" applyFont="1" applyFill="1" applyBorder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 wrapText="1"/>
    </xf>
    <xf numFmtId="0" fontId="4" fillId="4" borderId="4" xfId="0" applyFont="1" applyFill="1" applyBorder="1" applyAlignment="1" applyProtection="1">
      <alignment horizontal="center" vertical="center" wrapText="1"/>
    </xf>
    <xf numFmtId="0" fontId="7" fillId="6" borderId="0" xfId="0" applyFont="1" applyFill="1" applyAlignment="1">
      <alignment horizontal="center" vertical="center"/>
    </xf>
    <xf numFmtId="0" fontId="4" fillId="4" borderId="6" xfId="0" applyFont="1" applyFill="1" applyBorder="1" applyAlignment="1" applyProtection="1">
      <alignment horizontal="center" vertical="center"/>
    </xf>
    <xf numFmtId="0" fontId="4" fillId="4" borderId="0" xfId="0" applyFont="1" applyFill="1" applyBorder="1" applyAlignment="1" applyProtection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8" fillId="11" borderId="0" xfId="0" applyFont="1" applyFill="1" applyAlignment="1" applyProtection="1">
      <alignment horizontal="center" vertical="center"/>
      <protection locked="0"/>
    </xf>
    <xf numFmtId="0" fontId="4" fillId="15" borderId="7" xfId="0" applyFont="1" applyFill="1" applyBorder="1" applyAlignment="1">
      <alignment horizontal="center" vertical="center"/>
    </xf>
    <xf numFmtId="180" fontId="7" fillId="9" borderId="7" xfId="0" applyNumberFormat="1" applyFont="1" applyFill="1" applyBorder="1" applyAlignment="1" applyProtection="1">
      <alignment horizontal="right" vertical="center"/>
      <protection locked="0"/>
    </xf>
    <xf numFmtId="0" fontId="4" fillId="15" borderId="8" xfId="0" applyFont="1" applyFill="1" applyBorder="1" applyAlignment="1">
      <alignment horizontal="center" vertical="center"/>
    </xf>
    <xf numFmtId="0" fontId="4" fillId="15" borderId="10" xfId="0" applyFont="1" applyFill="1" applyBorder="1" applyAlignment="1">
      <alignment horizontal="center" vertical="center"/>
    </xf>
    <xf numFmtId="0" fontId="7" fillId="9" borderId="0" xfId="0" applyFont="1" applyFill="1" applyAlignment="1" applyProtection="1">
      <alignment horizontal="center" vertical="center"/>
      <protection locked="0"/>
    </xf>
    <xf numFmtId="0" fontId="7" fillId="9" borderId="0" xfId="0" applyFont="1" applyFill="1" applyAlignment="1">
      <alignment horizontal="center" vertical="center"/>
    </xf>
    <xf numFmtId="14" fontId="8" fillId="11" borderId="0" xfId="0" applyNumberFormat="1" applyFont="1" applyFill="1" applyAlignment="1" applyProtection="1">
      <alignment horizontal="center" vertical="center"/>
      <protection locked="0"/>
    </xf>
    <xf numFmtId="0" fontId="15" fillId="18" borderId="0" xfId="0" applyFont="1" applyFill="1" applyAlignment="1" applyProtection="1">
      <alignment horizontal="center" vertical="center"/>
    </xf>
    <xf numFmtId="0" fontId="15" fillId="18" borderId="3" xfId="0" applyFont="1" applyFill="1" applyBorder="1" applyAlignment="1" applyProtection="1">
      <alignment horizontal="center" vertical="center"/>
    </xf>
    <xf numFmtId="0" fontId="13" fillId="17" borderId="0" xfId="0" applyFont="1" applyFill="1" applyAlignment="1">
      <alignment horizontal="left" vertical="center"/>
    </xf>
    <xf numFmtId="176" fontId="8" fillId="11" borderId="0" xfId="0" applyNumberFormat="1" applyFont="1" applyFill="1" applyAlignment="1" applyProtection="1">
      <alignment horizontal="center" vertical="center"/>
      <protection locked="0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6</xdr:row>
          <xdr:rowOff>30480</xdr:rowOff>
        </xdr:from>
        <xdr:to>
          <xdr:col>11</xdr:col>
          <xdr:colOff>480060</xdr:colOff>
          <xdr:row>8</xdr:row>
          <xdr:rowOff>175260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C39"/>
  <sheetViews>
    <sheetView tabSelected="1" workbookViewId="0">
      <selection activeCell="L14" sqref="L14"/>
    </sheetView>
  </sheetViews>
  <sheetFormatPr defaultColWidth="10.59765625" defaultRowHeight="15.6" x14ac:dyDescent="0.4"/>
  <cols>
    <col min="1" max="4" width="10.59765625" style="18"/>
    <col min="5" max="5" width="10.59765625" style="24"/>
    <col min="6" max="6" width="10.59765625" style="18"/>
    <col min="7" max="7" width="10.59765625" style="20"/>
    <col min="8" max="9" width="10.59765625" style="18"/>
    <col min="10" max="16384" width="10.59765625" style="24"/>
  </cols>
  <sheetData>
    <row r="1" spans="1:55" s="1" customFormat="1" x14ac:dyDescent="0.4">
      <c r="A1" s="1">
        <v>1</v>
      </c>
      <c r="B1" s="1">
        <f>A1+1</f>
        <v>2</v>
      </c>
      <c r="C1" s="1">
        <f t="shared" ref="C1:AW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si="0"/>
        <v>21</v>
      </c>
      <c r="V1" s="1">
        <f t="shared" si="0"/>
        <v>22</v>
      </c>
      <c r="W1" s="1">
        <f t="shared" si="0"/>
        <v>23</v>
      </c>
      <c r="X1" s="1">
        <f t="shared" si="0"/>
        <v>24</v>
      </c>
      <c r="Y1" s="1">
        <f t="shared" si="0"/>
        <v>25</v>
      </c>
      <c r="Z1" s="1">
        <f t="shared" si="0"/>
        <v>26</v>
      </c>
      <c r="AA1" s="1">
        <f t="shared" si="0"/>
        <v>27</v>
      </c>
      <c r="AB1" s="1">
        <f t="shared" si="0"/>
        <v>28</v>
      </c>
      <c r="AC1" s="1">
        <f t="shared" si="0"/>
        <v>29</v>
      </c>
      <c r="AD1" s="1">
        <f t="shared" si="0"/>
        <v>30</v>
      </c>
      <c r="AE1" s="1">
        <f t="shared" si="0"/>
        <v>31</v>
      </c>
      <c r="AF1" s="1">
        <f t="shared" si="0"/>
        <v>32</v>
      </c>
      <c r="AG1" s="1">
        <f t="shared" si="0"/>
        <v>33</v>
      </c>
      <c r="AH1" s="1">
        <f t="shared" si="0"/>
        <v>34</v>
      </c>
      <c r="AI1" s="1">
        <f t="shared" si="0"/>
        <v>35</v>
      </c>
      <c r="AJ1" s="1">
        <f t="shared" si="0"/>
        <v>36</v>
      </c>
      <c r="AK1" s="1">
        <f t="shared" si="0"/>
        <v>37</v>
      </c>
      <c r="AL1" s="1">
        <f t="shared" si="0"/>
        <v>38</v>
      </c>
      <c r="AM1" s="1">
        <f t="shared" si="0"/>
        <v>39</v>
      </c>
      <c r="AN1" s="1">
        <f t="shared" si="0"/>
        <v>40</v>
      </c>
      <c r="AO1" s="1">
        <f t="shared" si="0"/>
        <v>41</v>
      </c>
      <c r="AP1" s="1">
        <f t="shared" si="0"/>
        <v>42</v>
      </c>
      <c r="AQ1" s="1">
        <f t="shared" si="0"/>
        <v>43</v>
      </c>
      <c r="AR1" s="1">
        <f t="shared" si="0"/>
        <v>44</v>
      </c>
      <c r="AS1" s="1">
        <f t="shared" si="0"/>
        <v>45</v>
      </c>
      <c r="AT1" s="1">
        <f t="shared" si="0"/>
        <v>46</v>
      </c>
      <c r="AU1" s="1">
        <f t="shared" si="0"/>
        <v>47</v>
      </c>
      <c r="AV1" s="1">
        <f t="shared" si="0"/>
        <v>48</v>
      </c>
      <c r="AW1" s="1">
        <f t="shared" si="0"/>
        <v>49</v>
      </c>
      <c r="AX1" s="1">
        <f t="shared" ref="AX1" si="1">AW1+1</f>
        <v>50</v>
      </c>
      <c r="AY1" s="1">
        <f t="shared" ref="AY1" si="2">AX1+1</f>
        <v>51</v>
      </c>
      <c r="AZ1" s="1">
        <f t="shared" ref="AZ1" si="3">AY1+1</f>
        <v>52</v>
      </c>
      <c r="BA1" s="1">
        <f t="shared" ref="BA1" si="4">AZ1+1</f>
        <v>53</v>
      </c>
      <c r="BB1" s="1">
        <f t="shared" ref="BB1" si="5">BA1+1</f>
        <v>54</v>
      </c>
      <c r="BC1" s="1">
        <f t="shared" ref="BC1" si="6">BB1+1</f>
        <v>55</v>
      </c>
    </row>
    <row r="2" spans="1:55" s="1" customFormat="1" x14ac:dyDescent="0.4">
      <c r="A2" s="55" t="s">
        <v>28</v>
      </c>
      <c r="B2" s="55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5"/>
    </row>
    <row r="3" spans="1:55" s="1" customFormat="1" x14ac:dyDescent="0.4">
      <c r="A3" s="55"/>
      <c r="B3" s="55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5"/>
    </row>
    <row r="4" spans="1:55" x14ac:dyDescent="0.4">
      <c r="A4" s="1"/>
      <c r="B4" s="1"/>
      <c r="C4" s="1"/>
      <c r="D4" s="1"/>
      <c r="E4" s="1"/>
      <c r="F4" s="1"/>
      <c r="G4" s="1"/>
      <c r="H4" s="1"/>
      <c r="I4" s="8"/>
      <c r="J4" s="8"/>
      <c r="K4" s="1"/>
      <c r="L4" s="9"/>
      <c r="M4" s="9"/>
      <c r="N4" s="9"/>
      <c r="O4" s="1"/>
      <c r="P4" s="1"/>
      <c r="Q4" s="1"/>
      <c r="R4" s="1"/>
      <c r="S4" s="1"/>
    </row>
    <row r="5" spans="1:55" x14ac:dyDescent="0.4">
      <c r="A5" s="41" t="s">
        <v>0</v>
      </c>
      <c r="B5" s="41"/>
      <c r="C5" s="45">
        <v>0</v>
      </c>
      <c r="D5" s="45"/>
      <c r="E5" s="11" t="str">
        <f>IF(C5=0,"매수","매도")</f>
        <v>매수</v>
      </c>
      <c r="F5" s="41" t="s">
        <v>6</v>
      </c>
      <c r="G5" s="41"/>
      <c r="H5" s="56">
        <v>100</v>
      </c>
      <c r="I5" s="56"/>
      <c r="J5" s="1"/>
      <c r="K5" s="41" t="s">
        <v>18</v>
      </c>
      <c r="L5" s="41"/>
      <c r="M5" s="45">
        <v>0</v>
      </c>
      <c r="N5" s="45"/>
      <c r="O5" s="1"/>
      <c r="P5" s="1"/>
      <c r="Q5" s="51" t="s">
        <v>29</v>
      </c>
      <c r="R5" s="51"/>
      <c r="S5" s="50"/>
      <c r="T5" s="50"/>
      <c r="U5" s="50"/>
      <c r="V5" s="50"/>
    </row>
    <row r="6" spans="1:55" x14ac:dyDescent="0.4">
      <c r="A6" s="41" t="s">
        <v>2</v>
      </c>
      <c r="B6" s="41"/>
      <c r="C6" s="45">
        <v>0</v>
      </c>
      <c r="D6" s="45"/>
      <c r="E6" s="11" t="str">
        <f>IF(C6=0,"콜","풋")</f>
        <v>콜</v>
      </c>
      <c r="F6" s="41" t="s">
        <v>7</v>
      </c>
      <c r="G6" s="41"/>
      <c r="H6" s="56">
        <v>100</v>
      </c>
      <c r="I6" s="56"/>
      <c r="J6" s="1"/>
      <c r="K6" s="1"/>
      <c r="L6" s="1"/>
      <c r="M6" s="1"/>
      <c r="N6" s="1"/>
      <c r="O6" s="1"/>
      <c r="P6" s="1"/>
      <c r="Q6" s="1"/>
      <c r="R6" s="1"/>
      <c r="S6" s="50"/>
      <c r="T6" s="50"/>
      <c r="U6" s="50"/>
      <c r="V6" s="50"/>
    </row>
    <row r="7" spans="1:55" x14ac:dyDescent="0.4">
      <c r="A7" s="41" t="s">
        <v>1</v>
      </c>
      <c r="B7" s="41"/>
      <c r="C7" s="45">
        <v>0</v>
      </c>
      <c r="D7" s="45"/>
      <c r="E7" s="11" t="str">
        <f>IF(C7=0,"바닐라",IF(C7 = 1, "디지털", IF(C7 = 2, "아시안", IF(C7 = 3, "아메리칸", IF(C7 = 4, "아메리칸디지털", "다시입력")))))</f>
        <v>바닐라</v>
      </c>
      <c r="F7" s="41" t="str">
        <f>IF(C7=2,"평균가격","")</f>
        <v/>
      </c>
      <c r="G7" s="41"/>
      <c r="H7" s="56">
        <v>100</v>
      </c>
      <c r="I7" s="56"/>
      <c r="J7" s="11" t="str">
        <f>IF(F7="","입력필요X","")</f>
        <v>입력필요X</v>
      </c>
      <c r="K7" s="1"/>
      <c r="L7" s="1"/>
      <c r="M7" s="46" t="s">
        <v>20</v>
      </c>
      <c r="N7" s="46"/>
      <c r="O7" s="47">
        <v>5.8326015992176821</v>
      </c>
      <c r="P7" s="47"/>
      <c r="Q7" s="1"/>
      <c r="R7" s="1"/>
      <c r="S7" s="1"/>
    </row>
    <row r="8" spans="1:55" x14ac:dyDescent="0.4">
      <c r="A8" s="41" t="s">
        <v>5</v>
      </c>
      <c r="B8" s="41"/>
      <c r="C8" s="52">
        <v>44652</v>
      </c>
      <c r="D8" s="45"/>
      <c r="E8" s="4"/>
      <c r="F8" s="1"/>
      <c r="G8" s="1"/>
      <c r="H8" s="1"/>
      <c r="I8" s="1"/>
      <c r="K8" s="1"/>
      <c r="L8" s="1"/>
      <c r="M8" s="48" t="s">
        <v>21</v>
      </c>
      <c r="N8" s="5" t="s">
        <v>22</v>
      </c>
      <c r="O8" s="6" t="s">
        <v>23</v>
      </c>
      <c r="P8" s="7" t="s">
        <v>24</v>
      </c>
      <c r="Q8" s="7" t="s">
        <v>25</v>
      </c>
      <c r="R8" s="10" t="s">
        <v>26</v>
      </c>
      <c r="S8" s="1"/>
    </row>
    <row r="9" spans="1:55" x14ac:dyDescent="0.4">
      <c r="A9" s="41" t="str">
        <f>IF(C7=2,"평균시작일",IF(OR(C7 = 3, C7 = 4), "행사시작일", ""))</f>
        <v/>
      </c>
      <c r="B9" s="41"/>
      <c r="C9" s="52">
        <v>45017</v>
      </c>
      <c r="D9" s="45"/>
      <c r="E9" s="11" t="str">
        <f>IF(A9="","입력필요X","")</f>
        <v>입력필요X</v>
      </c>
      <c r="F9" s="36" t="s">
        <v>14</v>
      </c>
      <c r="G9" s="36"/>
      <c r="H9" s="36"/>
      <c r="I9" s="36"/>
      <c r="K9" s="1"/>
      <c r="L9" s="1"/>
      <c r="M9" s="49"/>
      <c r="N9" s="14">
        <v>0.53438107485710684</v>
      </c>
      <c r="O9" s="15">
        <v>2.7448477205368076E-2</v>
      </c>
      <c r="P9" s="15">
        <v>0.39160742428898637</v>
      </c>
      <c r="Q9" s="15">
        <v>-8.0529515269522692E-3</v>
      </c>
      <c r="R9" s="15">
        <v>0.47605505886493016</v>
      </c>
      <c r="S9" s="1"/>
    </row>
    <row r="10" spans="1:55" x14ac:dyDescent="0.4">
      <c r="A10" s="41" t="s">
        <v>4</v>
      </c>
      <c r="B10" s="41"/>
      <c r="C10" s="52">
        <v>45017</v>
      </c>
      <c r="D10" s="45"/>
      <c r="E10" s="30"/>
      <c r="F10" s="2" t="s">
        <v>15</v>
      </c>
      <c r="G10" s="12">
        <v>0</v>
      </c>
      <c r="H10" s="2" t="s">
        <v>16</v>
      </c>
      <c r="I10" s="13">
        <v>0</v>
      </c>
      <c r="K10" s="1"/>
      <c r="L10" s="1"/>
      <c r="M10" s="1"/>
      <c r="N10" s="1"/>
      <c r="O10" s="1"/>
      <c r="P10" s="1"/>
      <c r="Q10" s="1"/>
      <c r="R10" s="1"/>
      <c r="S10" s="1"/>
    </row>
    <row r="11" spans="1:55" x14ac:dyDescent="0.4">
      <c r="A11" s="41" t="s">
        <v>3</v>
      </c>
      <c r="B11" s="41"/>
      <c r="C11" s="52">
        <f>C10</f>
        <v>45017</v>
      </c>
      <c r="D11" s="45"/>
      <c r="E11" s="30"/>
      <c r="F11" s="1"/>
      <c r="G11" s="1"/>
      <c r="H11" s="1"/>
      <c r="I11" s="1"/>
      <c r="K11" s="1"/>
      <c r="L11" s="1"/>
      <c r="M11" s="1"/>
      <c r="N11" s="1"/>
      <c r="O11" s="1"/>
      <c r="P11" s="1"/>
      <c r="Q11" s="1"/>
      <c r="R11" s="1"/>
      <c r="S11" s="1"/>
    </row>
    <row r="12" spans="1:55" s="1" customFormat="1" ht="15.6" customHeight="1" x14ac:dyDescent="0.4">
      <c r="E12" s="24"/>
      <c r="F12" s="37" t="str">
        <f>IF(G10=2,"배당액입력(금액입력)","Dividend(%입력)")</f>
        <v>Dividend(%입력)</v>
      </c>
      <c r="G12" s="37"/>
      <c r="H12" s="38" t="s">
        <v>17</v>
      </c>
      <c r="I12" s="38"/>
      <c r="J12" s="24"/>
      <c r="K12" s="36" t="s">
        <v>11</v>
      </c>
      <c r="L12" s="36"/>
      <c r="M12" s="36"/>
      <c r="N12" s="36"/>
      <c r="AY12" s="53" t="s">
        <v>30</v>
      </c>
      <c r="AZ12" s="53"/>
      <c r="BA12" s="53"/>
      <c r="BB12" s="53"/>
      <c r="BC12" s="31"/>
    </row>
    <row r="13" spans="1:55" s="1" customFormat="1" ht="15.6" customHeight="1" x14ac:dyDescent="0.4">
      <c r="A13" s="36" t="s">
        <v>10</v>
      </c>
      <c r="B13" s="36"/>
      <c r="C13" s="36"/>
      <c r="D13" s="36"/>
      <c r="E13" s="24"/>
      <c r="F13" s="37"/>
      <c r="G13" s="37"/>
      <c r="H13" s="38"/>
      <c r="I13" s="38"/>
      <c r="J13" s="24"/>
      <c r="K13" s="42" t="s">
        <v>27</v>
      </c>
      <c r="L13" s="43"/>
      <c r="M13" s="43"/>
      <c r="N13" s="29">
        <v>2</v>
      </c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44" t="s">
        <v>19</v>
      </c>
      <c r="AF13" s="44"/>
      <c r="AG13" s="44"/>
      <c r="AH13" s="44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Y13" s="54"/>
      <c r="AZ13" s="54"/>
      <c r="BA13" s="54"/>
      <c r="BB13" s="54"/>
      <c r="BC13" s="31"/>
    </row>
    <row r="14" spans="1:55" ht="17.399999999999999" customHeight="1" x14ac:dyDescent="0.35">
      <c r="A14" s="37" t="s">
        <v>8</v>
      </c>
      <c r="B14" s="37"/>
      <c r="C14" s="38" t="s">
        <v>9</v>
      </c>
      <c r="D14" s="38"/>
      <c r="F14" s="16">
        <v>2.7777777000000002E-3</v>
      </c>
      <c r="G14" s="17">
        <v>1.3140000000000001E-2</v>
      </c>
      <c r="H14" s="16">
        <v>0.5</v>
      </c>
      <c r="I14" s="17">
        <v>5.1200000000000002E-2</v>
      </c>
      <c r="K14" s="39" t="s">
        <v>13</v>
      </c>
      <c r="L14" s="27" t="s">
        <v>12</v>
      </c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3"/>
      <c r="AE14" s="39" t="s">
        <v>13</v>
      </c>
      <c r="AF14" s="27" t="s">
        <v>12</v>
      </c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Y14" s="32" t="s">
        <v>31</v>
      </c>
      <c r="AZ14" s="32" t="s">
        <v>32</v>
      </c>
      <c r="BA14" s="32" t="s">
        <v>33</v>
      </c>
      <c r="BB14" s="32" t="s">
        <v>34</v>
      </c>
      <c r="BC14" s="32" t="s">
        <v>35</v>
      </c>
    </row>
    <row r="15" spans="1:55" x14ac:dyDescent="0.35">
      <c r="A15" s="37"/>
      <c r="B15" s="37"/>
      <c r="C15" s="38"/>
      <c r="D15" s="38"/>
      <c r="F15" s="16">
        <v>0.25</v>
      </c>
      <c r="G15" s="17">
        <v>1.49E-2</v>
      </c>
      <c r="H15" s="16">
        <v>0.75</v>
      </c>
      <c r="I15" s="17">
        <v>0.05</v>
      </c>
      <c r="K15" s="40"/>
      <c r="L15" s="21">
        <v>0.33333333333333331</v>
      </c>
      <c r="M15" s="21">
        <v>0.66666666666666663</v>
      </c>
      <c r="N15" s="21">
        <v>1</v>
      </c>
      <c r="O15" s="21">
        <v>1.3333333333333333</v>
      </c>
      <c r="P15" s="21">
        <v>1.6666666666666665</v>
      </c>
      <c r="Q15" s="21">
        <v>1.9999999999999998</v>
      </c>
      <c r="R15" s="21">
        <v>2.333333333333333</v>
      </c>
      <c r="S15" s="21">
        <v>2.6666666666666665</v>
      </c>
      <c r="T15" s="21">
        <v>3</v>
      </c>
      <c r="U15" s="21">
        <v>3.3333333333333335</v>
      </c>
      <c r="V15" s="21"/>
      <c r="W15" s="21"/>
      <c r="X15" s="21"/>
      <c r="Y15" s="21"/>
      <c r="Z15" s="21"/>
      <c r="AA15" s="21"/>
      <c r="AB15" s="21"/>
      <c r="AC15" s="21"/>
      <c r="AD15" s="23"/>
      <c r="AE15" s="40"/>
      <c r="AF15" s="21">
        <v>0.33333333333333331</v>
      </c>
      <c r="AG15" s="21">
        <v>0.66666666666666663</v>
      </c>
      <c r="AH15" s="21">
        <v>1</v>
      </c>
      <c r="AI15" s="21">
        <v>1.3333333333333333</v>
      </c>
      <c r="AJ15" s="21">
        <v>1.6666666666666665</v>
      </c>
      <c r="AK15" s="21">
        <v>1.9999999999999998</v>
      </c>
      <c r="AL15" s="21">
        <v>2.333333333333333</v>
      </c>
      <c r="AM15" s="21">
        <v>2.6666666666666665</v>
      </c>
      <c r="AN15" s="21">
        <v>3</v>
      </c>
      <c r="AO15" s="21">
        <v>3.3333333333333335</v>
      </c>
      <c r="AP15" s="21"/>
      <c r="AQ15" s="21"/>
      <c r="AR15" s="21"/>
      <c r="AS15" s="21"/>
      <c r="AT15" s="21"/>
      <c r="AU15" s="21"/>
      <c r="AV15" s="21"/>
      <c r="AW15" s="21"/>
      <c r="AY15" s="31"/>
      <c r="AZ15" s="31"/>
      <c r="BA15" s="31"/>
      <c r="BB15" s="31"/>
      <c r="BC15" s="31"/>
    </row>
    <row r="16" spans="1:55" x14ac:dyDescent="0.35">
      <c r="A16" s="16">
        <v>2.7777777000000002E-3</v>
      </c>
      <c r="B16" s="17">
        <v>1.3140000000000001E-2</v>
      </c>
      <c r="C16" s="16">
        <v>2.7777777000000002E-3</v>
      </c>
      <c r="D16" s="17">
        <v>1.3140000000000001E-2</v>
      </c>
      <c r="F16" s="16">
        <v>0.5</v>
      </c>
      <c r="G16" s="17">
        <v>1.5476336E-2</v>
      </c>
      <c r="H16" s="16">
        <v>1</v>
      </c>
      <c r="I16" s="17">
        <v>5.7799999999999997E-2</v>
      </c>
      <c r="K16" s="21">
        <v>0.5</v>
      </c>
      <c r="L16" s="22">
        <v>0.39953</v>
      </c>
      <c r="M16" s="22">
        <v>0.35431000000000001</v>
      </c>
      <c r="N16" s="22">
        <v>0.34103</v>
      </c>
      <c r="O16" s="22">
        <v>0.31208000000000002</v>
      </c>
      <c r="P16" s="22">
        <v>0.29199999999999998</v>
      </c>
      <c r="Q16" s="22">
        <v>0.27834999999999999</v>
      </c>
      <c r="R16" s="22">
        <v>0.26856000000000002</v>
      </c>
      <c r="S16" s="22">
        <v>0.25846999999999998</v>
      </c>
      <c r="T16" s="22">
        <v>0.2477</v>
      </c>
      <c r="U16" s="22">
        <v>0.24334</v>
      </c>
      <c r="V16" s="22"/>
      <c r="W16" s="22"/>
      <c r="X16" s="22"/>
      <c r="Y16" s="22"/>
      <c r="Z16" s="22"/>
      <c r="AA16" s="22"/>
      <c r="AB16" s="22"/>
      <c r="AC16" s="22"/>
      <c r="AD16" s="23"/>
      <c r="AE16" s="21">
        <v>0.5</v>
      </c>
      <c r="AF16" s="22">
        <v>0.39953</v>
      </c>
      <c r="AG16" s="22">
        <v>0.35431000000000001</v>
      </c>
      <c r="AH16" s="22">
        <v>0.34103</v>
      </c>
      <c r="AI16" s="22">
        <v>0.31208000000000002</v>
      </c>
      <c r="AJ16" s="22">
        <v>0.29199999999999998</v>
      </c>
      <c r="AK16" s="22">
        <v>0.27834999999999999</v>
      </c>
      <c r="AL16" s="22">
        <v>0.26856000000000002</v>
      </c>
      <c r="AM16" s="22">
        <v>0.25846999999999998</v>
      </c>
      <c r="AN16" s="22">
        <v>0.2477</v>
      </c>
      <c r="AO16" s="22">
        <v>0.24334</v>
      </c>
      <c r="AP16" s="22"/>
      <c r="AQ16" s="22"/>
      <c r="AR16" s="22"/>
      <c r="AS16" s="22"/>
      <c r="AT16" s="22"/>
      <c r="AU16" s="22"/>
      <c r="AV16" s="22"/>
      <c r="AW16" s="22"/>
      <c r="AY16" s="33">
        <v>0.33333333333333331</v>
      </c>
      <c r="AZ16" s="33">
        <v>0</v>
      </c>
      <c r="BA16" s="33">
        <v>0</v>
      </c>
      <c r="BB16" s="33">
        <v>0</v>
      </c>
      <c r="BC16" s="34">
        <v>0</v>
      </c>
    </row>
    <row r="17" spans="1:55" ht="17.399999999999999" x14ac:dyDescent="0.35">
      <c r="A17" s="16">
        <v>0.25</v>
      </c>
      <c r="B17" s="17">
        <v>1.49E-2</v>
      </c>
      <c r="C17" s="16">
        <v>0.25</v>
      </c>
      <c r="D17" s="17">
        <v>1.49E-2</v>
      </c>
      <c r="F17" s="16"/>
      <c r="G17" s="19"/>
      <c r="H17" s="16"/>
      <c r="I17" s="17"/>
      <c r="K17" s="21">
        <v>0.6</v>
      </c>
      <c r="L17" s="22">
        <v>0.35871999999999998</v>
      </c>
      <c r="M17" s="22">
        <v>0.30496000000000001</v>
      </c>
      <c r="N17" s="22">
        <v>0.29508000000000001</v>
      </c>
      <c r="O17" s="22">
        <v>0.26927000000000001</v>
      </c>
      <c r="P17" s="22">
        <v>0.25139</v>
      </c>
      <c r="Q17" s="22">
        <v>0.23854</v>
      </c>
      <c r="R17" s="22">
        <v>0.23055</v>
      </c>
      <c r="S17" s="22">
        <v>0.22373000000000001</v>
      </c>
      <c r="T17" s="22">
        <v>0.21529999999999999</v>
      </c>
      <c r="U17" s="22">
        <v>0.21249999999999999</v>
      </c>
      <c r="V17" s="22"/>
      <c r="W17" s="22"/>
      <c r="X17" s="22"/>
      <c r="Y17" s="22"/>
      <c r="Z17" s="22"/>
      <c r="AA17" s="22"/>
      <c r="AB17" s="22"/>
      <c r="AC17" s="22"/>
      <c r="AD17" s="23"/>
      <c r="AE17" s="21">
        <v>0.6</v>
      </c>
      <c r="AF17" s="22">
        <v>0.35871999999999998</v>
      </c>
      <c r="AG17" s="22">
        <v>0.30496000000000001</v>
      </c>
      <c r="AH17" s="22">
        <v>0.29508000000000001</v>
      </c>
      <c r="AI17" s="22">
        <v>0.26927000000000001</v>
      </c>
      <c r="AJ17" s="22">
        <v>0.25139</v>
      </c>
      <c r="AK17" s="22">
        <v>0.23854</v>
      </c>
      <c r="AL17" s="22">
        <v>0.23055</v>
      </c>
      <c r="AM17" s="22">
        <v>0.22373000000000001</v>
      </c>
      <c r="AN17" s="22">
        <v>0.21529999999999999</v>
      </c>
      <c r="AO17" s="22">
        <v>0.21249999999999999</v>
      </c>
      <c r="AP17" s="22"/>
      <c r="AQ17" s="22"/>
      <c r="AR17" s="22"/>
      <c r="AS17" s="22"/>
      <c r="AT17" s="22"/>
      <c r="AU17" s="22"/>
      <c r="AV17" s="22"/>
      <c r="AW17" s="22"/>
      <c r="AY17" s="33">
        <v>0.66666666666666663</v>
      </c>
      <c r="AZ17" s="33">
        <v>0</v>
      </c>
      <c r="BA17" s="33">
        <v>0</v>
      </c>
      <c r="BB17" s="33">
        <v>0</v>
      </c>
      <c r="BC17" s="35"/>
    </row>
    <row r="18" spans="1:55" x14ac:dyDescent="0.35">
      <c r="A18" s="16">
        <v>0.5</v>
      </c>
      <c r="B18" s="17">
        <v>1.5476336E-2</v>
      </c>
      <c r="C18" s="16">
        <v>0.5</v>
      </c>
      <c r="D18" s="17">
        <v>1.5476336E-2</v>
      </c>
      <c r="F18" s="16"/>
      <c r="G18" s="19"/>
      <c r="H18" s="16"/>
      <c r="I18" s="17"/>
      <c r="K18" s="21">
        <v>0.7</v>
      </c>
      <c r="L18" s="22">
        <v>0.29748999999999998</v>
      </c>
      <c r="M18" s="22">
        <v>0.25945000000000001</v>
      </c>
      <c r="N18" s="22">
        <v>0.24746000000000001</v>
      </c>
      <c r="O18" s="22">
        <v>0.23002</v>
      </c>
      <c r="P18" s="22">
        <v>0.21759000000000001</v>
      </c>
      <c r="Q18" s="22">
        <v>0.20727000000000001</v>
      </c>
      <c r="R18" s="22">
        <v>0.20204</v>
      </c>
      <c r="S18" s="22">
        <v>0.19833000000000001</v>
      </c>
      <c r="T18" s="22">
        <v>0.19361999999999999</v>
      </c>
      <c r="U18" s="22">
        <v>0.19223999999999999</v>
      </c>
      <c r="V18" s="22"/>
      <c r="W18" s="22"/>
      <c r="X18" s="22"/>
      <c r="Y18" s="22"/>
      <c r="Z18" s="22"/>
      <c r="AA18" s="22"/>
      <c r="AB18" s="22"/>
      <c r="AC18" s="22"/>
      <c r="AD18" s="23"/>
      <c r="AE18" s="21">
        <v>0.7</v>
      </c>
      <c r="AF18" s="22">
        <v>0.29748999999999998</v>
      </c>
      <c r="AG18" s="22">
        <v>0.25945000000000001</v>
      </c>
      <c r="AH18" s="22">
        <v>0.24746000000000001</v>
      </c>
      <c r="AI18" s="22">
        <v>0.23002</v>
      </c>
      <c r="AJ18" s="22">
        <v>0.21759000000000001</v>
      </c>
      <c r="AK18" s="22">
        <v>0.20727000000000001</v>
      </c>
      <c r="AL18" s="22">
        <v>0.20204</v>
      </c>
      <c r="AM18" s="22">
        <v>0.19833000000000001</v>
      </c>
      <c r="AN18" s="22">
        <v>0.19361999999999999</v>
      </c>
      <c r="AO18" s="22">
        <v>0.19223999999999999</v>
      </c>
      <c r="AP18" s="22"/>
      <c r="AQ18" s="22"/>
      <c r="AR18" s="22"/>
      <c r="AS18" s="22"/>
      <c r="AT18" s="22"/>
      <c r="AU18" s="22"/>
      <c r="AV18" s="22"/>
      <c r="AW18" s="22"/>
      <c r="AY18" s="33">
        <v>1</v>
      </c>
      <c r="AZ18" s="33">
        <v>0</v>
      </c>
      <c r="BA18" s="33">
        <v>0</v>
      </c>
      <c r="BB18" s="33">
        <v>0</v>
      </c>
      <c r="BC18" s="31"/>
    </row>
    <row r="19" spans="1:55" x14ac:dyDescent="0.35">
      <c r="A19" s="16">
        <v>0.75</v>
      </c>
      <c r="B19" s="17">
        <v>1.6555259999999999E-2</v>
      </c>
      <c r="C19" s="16">
        <v>0.75</v>
      </c>
      <c r="D19" s="17">
        <v>1.6555259999999999E-2</v>
      </c>
      <c r="F19" s="16"/>
      <c r="G19" s="19"/>
      <c r="H19" s="16"/>
      <c r="I19" s="17"/>
      <c r="K19" s="21">
        <v>0.8</v>
      </c>
      <c r="L19" s="22">
        <v>0.24129999999999999</v>
      </c>
      <c r="M19" s="22">
        <v>0.21798999999999999</v>
      </c>
      <c r="N19" s="22">
        <v>0.20821999999999999</v>
      </c>
      <c r="O19" s="22">
        <v>0.19789999999999999</v>
      </c>
      <c r="P19" s="22">
        <v>0.19069</v>
      </c>
      <c r="Q19" s="22">
        <v>0.18398</v>
      </c>
      <c r="R19" s="22">
        <v>0.18196000000000001</v>
      </c>
      <c r="S19" s="22">
        <v>0.18073</v>
      </c>
      <c r="T19" s="22">
        <v>0.17827999999999999</v>
      </c>
      <c r="U19" s="22">
        <v>0.17832000000000001</v>
      </c>
      <c r="V19" s="22"/>
      <c r="W19" s="22"/>
      <c r="X19" s="22"/>
      <c r="Y19" s="22"/>
      <c r="Z19" s="22"/>
      <c r="AA19" s="22"/>
      <c r="AB19" s="22"/>
      <c r="AC19" s="22"/>
      <c r="AD19" s="25"/>
      <c r="AE19" s="21">
        <v>0.8</v>
      </c>
      <c r="AF19" s="22">
        <v>0.24129999999999999</v>
      </c>
      <c r="AG19" s="22">
        <v>0.21798999999999999</v>
      </c>
      <c r="AH19" s="22">
        <v>0.20821999999999999</v>
      </c>
      <c r="AI19" s="22">
        <v>0.19789999999999999</v>
      </c>
      <c r="AJ19" s="22">
        <v>0.19069</v>
      </c>
      <c r="AK19" s="22">
        <v>0.18398</v>
      </c>
      <c r="AL19" s="22">
        <v>0.18196000000000001</v>
      </c>
      <c r="AM19" s="22">
        <v>0.18073</v>
      </c>
      <c r="AN19" s="22">
        <v>0.17827999999999999</v>
      </c>
      <c r="AO19" s="22">
        <v>0.17832000000000001</v>
      </c>
      <c r="AP19" s="22"/>
      <c r="AQ19" s="22"/>
      <c r="AR19" s="22"/>
      <c r="AS19" s="22"/>
      <c r="AT19" s="22"/>
      <c r="AU19" s="22"/>
      <c r="AV19" s="22"/>
      <c r="AW19" s="22"/>
      <c r="AY19" s="33">
        <v>1.3333333333333333</v>
      </c>
      <c r="AZ19" s="33">
        <v>0</v>
      </c>
      <c r="BA19" s="33">
        <v>0</v>
      </c>
      <c r="BB19" s="33">
        <v>0</v>
      </c>
      <c r="BC19" s="31"/>
    </row>
    <row r="20" spans="1:55" x14ac:dyDescent="0.35">
      <c r="A20" s="16">
        <v>1</v>
      </c>
      <c r="B20" s="17">
        <v>1.7812487500000002E-2</v>
      </c>
      <c r="C20" s="16">
        <v>1</v>
      </c>
      <c r="D20" s="17">
        <v>1.7812487500000002E-2</v>
      </c>
      <c r="F20" s="16"/>
      <c r="G20" s="19"/>
      <c r="H20" s="16"/>
      <c r="I20" s="17"/>
      <c r="K20" s="21">
        <v>0.9</v>
      </c>
      <c r="L20" s="22">
        <v>0.18583</v>
      </c>
      <c r="M20" s="22">
        <v>0.17757999999999999</v>
      </c>
      <c r="N20" s="22">
        <v>0.17082</v>
      </c>
      <c r="O20" s="22">
        <v>0.16969000000000001</v>
      </c>
      <c r="P20" s="22">
        <v>0.16891</v>
      </c>
      <c r="Q20" s="22">
        <v>0.16619</v>
      </c>
      <c r="R20" s="22">
        <v>0.16711999999999999</v>
      </c>
      <c r="S20" s="22">
        <v>0.16803000000000001</v>
      </c>
      <c r="T20" s="22">
        <v>0.16741</v>
      </c>
      <c r="U20" s="22">
        <v>0.16885</v>
      </c>
      <c r="V20" s="22"/>
      <c r="W20" s="22"/>
      <c r="X20" s="22"/>
      <c r="Y20" s="22"/>
      <c r="Z20" s="22"/>
      <c r="AA20" s="22"/>
      <c r="AB20" s="22"/>
      <c r="AC20" s="22"/>
      <c r="AD20" s="26"/>
      <c r="AE20" s="21">
        <v>0.9</v>
      </c>
      <c r="AF20" s="22">
        <v>0.18583</v>
      </c>
      <c r="AG20" s="22">
        <v>0.17757999999999999</v>
      </c>
      <c r="AH20" s="22">
        <v>0.17082</v>
      </c>
      <c r="AI20" s="22">
        <v>0.16969000000000001</v>
      </c>
      <c r="AJ20" s="22">
        <v>0.16891</v>
      </c>
      <c r="AK20" s="22">
        <v>0.16619</v>
      </c>
      <c r="AL20" s="22">
        <v>0.16711999999999999</v>
      </c>
      <c r="AM20" s="22">
        <v>0.16803000000000001</v>
      </c>
      <c r="AN20" s="22">
        <v>0.16741</v>
      </c>
      <c r="AO20" s="22">
        <v>0.16885</v>
      </c>
      <c r="AP20" s="22"/>
      <c r="AQ20" s="22"/>
      <c r="AR20" s="22"/>
      <c r="AS20" s="22"/>
      <c r="AT20" s="22"/>
      <c r="AU20" s="22"/>
      <c r="AV20" s="22"/>
      <c r="AW20" s="22"/>
      <c r="AY20" s="33">
        <v>1.6666666666666665</v>
      </c>
      <c r="AZ20" s="33">
        <v>0</v>
      </c>
      <c r="BA20" s="33">
        <v>0</v>
      </c>
      <c r="BB20" s="33">
        <v>0</v>
      </c>
      <c r="BC20" s="31"/>
    </row>
    <row r="21" spans="1:55" x14ac:dyDescent="0.35">
      <c r="A21" s="16">
        <v>2</v>
      </c>
      <c r="B21" s="17">
        <v>2.0689384000000002E-2</v>
      </c>
      <c r="C21" s="16">
        <v>2</v>
      </c>
      <c r="D21" s="17">
        <v>2.0689384000000002E-2</v>
      </c>
      <c r="F21" s="16"/>
      <c r="G21" s="19"/>
      <c r="H21" s="16"/>
      <c r="I21" s="17"/>
      <c r="K21" s="21">
        <v>1</v>
      </c>
      <c r="L21" s="22">
        <v>0.13402</v>
      </c>
      <c r="M21" s="22">
        <v>0.14104</v>
      </c>
      <c r="N21" s="22">
        <v>0.14266999999999999</v>
      </c>
      <c r="O21" s="22">
        <v>0.14749000000000001</v>
      </c>
      <c r="P21" s="22">
        <v>0.15106</v>
      </c>
      <c r="Q21" s="22">
        <v>0.15182000000000001</v>
      </c>
      <c r="R21" s="22">
        <v>0.15537000000000001</v>
      </c>
      <c r="S21" s="22">
        <v>0.15823000000000001</v>
      </c>
      <c r="T21" s="22">
        <v>0.15916</v>
      </c>
      <c r="U21" s="22">
        <v>0.16161</v>
      </c>
      <c r="V21" s="22"/>
      <c r="W21" s="22"/>
      <c r="X21" s="22"/>
      <c r="Y21" s="22"/>
      <c r="Z21" s="22"/>
      <c r="AA21" s="22"/>
      <c r="AB21" s="22"/>
      <c r="AC21" s="22"/>
      <c r="AD21" s="26"/>
      <c r="AE21" s="21">
        <v>1</v>
      </c>
      <c r="AF21" s="22">
        <v>0.13402</v>
      </c>
      <c r="AG21" s="22">
        <v>0.14104</v>
      </c>
      <c r="AH21" s="22">
        <v>0.14266999999999999</v>
      </c>
      <c r="AI21" s="22">
        <v>0.14749000000000001</v>
      </c>
      <c r="AJ21" s="22">
        <v>0.15106</v>
      </c>
      <c r="AK21" s="22">
        <v>0.15182000000000001</v>
      </c>
      <c r="AL21" s="22">
        <v>0.15537000000000001</v>
      </c>
      <c r="AM21" s="22">
        <v>0.15823000000000001</v>
      </c>
      <c r="AN21" s="22">
        <v>0.15916</v>
      </c>
      <c r="AO21" s="22">
        <v>0.16161</v>
      </c>
      <c r="AP21" s="22"/>
      <c r="AQ21" s="22"/>
      <c r="AR21" s="22"/>
      <c r="AS21" s="22"/>
      <c r="AT21" s="22"/>
      <c r="AU21" s="22"/>
      <c r="AV21" s="22"/>
      <c r="AW21" s="22"/>
      <c r="AY21" s="33">
        <v>1.9999999999999998</v>
      </c>
      <c r="AZ21" s="33">
        <v>0</v>
      </c>
      <c r="BA21" s="33">
        <v>0</v>
      </c>
      <c r="BB21" s="33">
        <v>0</v>
      </c>
      <c r="BC21" s="31"/>
    </row>
    <row r="22" spans="1:55" x14ac:dyDescent="0.35">
      <c r="A22" s="16">
        <v>3</v>
      </c>
      <c r="B22" s="17">
        <v>2.16750437E-2</v>
      </c>
      <c r="C22" s="16">
        <v>3</v>
      </c>
      <c r="D22" s="17">
        <v>2.16750437E-2</v>
      </c>
      <c r="F22" s="16"/>
      <c r="G22" s="19"/>
      <c r="H22" s="16"/>
      <c r="I22" s="17"/>
      <c r="K22" s="21">
        <v>1.1000000000000001</v>
      </c>
      <c r="L22" s="22">
        <v>0.10327</v>
      </c>
      <c r="M22" s="22">
        <v>0.11413</v>
      </c>
      <c r="N22" s="22">
        <v>0.12809999999999999</v>
      </c>
      <c r="O22" s="22">
        <v>0.13346</v>
      </c>
      <c r="P22" s="22">
        <v>0.13786000000000001</v>
      </c>
      <c r="Q22" s="22">
        <v>0.14172999999999999</v>
      </c>
      <c r="R22" s="22">
        <v>0.14682000000000001</v>
      </c>
      <c r="S22" s="22">
        <v>0.15109</v>
      </c>
      <c r="T22" s="22">
        <v>0.15386</v>
      </c>
      <c r="U22" s="22">
        <v>0.15673000000000001</v>
      </c>
      <c r="V22" s="22"/>
      <c r="W22" s="22"/>
      <c r="X22" s="22"/>
      <c r="Y22" s="22"/>
      <c r="Z22" s="22"/>
      <c r="AA22" s="22"/>
      <c r="AB22" s="22"/>
      <c r="AC22" s="22"/>
      <c r="AD22" s="26"/>
      <c r="AE22" s="21">
        <v>1.1000000000000001</v>
      </c>
      <c r="AF22" s="22">
        <v>0.10327</v>
      </c>
      <c r="AG22" s="22">
        <v>0.11413</v>
      </c>
      <c r="AH22" s="22">
        <v>0.12809999999999999</v>
      </c>
      <c r="AI22" s="22">
        <v>0.13346</v>
      </c>
      <c r="AJ22" s="22">
        <v>0.13786000000000001</v>
      </c>
      <c r="AK22" s="22">
        <v>0.14172999999999999</v>
      </c>
      <c r="AL22" s="22">
        <v>0.14682000000000001</v>
      </c>
      <c r="AM22" s="22">
        <v>0.15109</v>
      </c>
      <c r="AN22" s="22">
        <v>0.15386</v>
      </c>
      <c r="AO22" s="22">
        <v>0.15673000000000001</v>
      </c>
      <c r="AP22" s="22"/>
      <c r="AQ22" s="22"/>
      <c r="AR22" s="22"/>
      <c r="AS22" s="22"/>
      <c r="AT22" s="22"/>
      <c r="AU22" s="22"/>
      <c r="AV22" s="22"/>
      <c r="AW22" s="22"/>
      <c r="AY22" s="33">
        <v>2.333333333333333</v>
      </c>
      <c r="AZ22" s="33">
        <v>0</v>
      </c>
      <c r="BA22" s="33">
        <v>0</v>
      </c>
      <c r="BB22" s="33">
        <v>0</v>
      </c>
      <c r="BC22" s="31"/>
    </row>
    <row r="23" spans="1:55" x14ac:dyDescent="0.35">
      <c r="A23" s="16">
        <v>4</v>
      </c>
      <c r="B23" s="17">
        <v>2.19994027E-2</v>
      </c>
      <c r="C23" s="16">
        <v>4</v>
      </c>
      <c r="D23" s="17">
        <v>2.19994027E-2</v>
      </c>
      <c r="K23" s="21">
        <v>1.2</v>
      </c>
      <c r="L23" s="22">
        <v>0.10983999999999999</v>
      </c>
      <c r="M23" s="22">
        <v>0.10829999999999999</v>
      </c>
      <c r="N23" s="22">
        <v>0.12136</v>
      </c>
      <c r="O23" s="22">
        <v>0.12608</v>
      </c>
      <c r="P23" s="22">
        <v>0.13128000000000001</v>
      </c>
      <c r="Q23" s="22">
        <v>0.13700000000000001</v>
      </c>
      <c r="R23" s="22">
        <v>0.14288000000000001</v>
      </c>
      <c r="S23" s="22">
        <v>0.14802000000000001</v>
      </c>
      <c r="T23" s="22">
        <v>0.15206</v>
      </c>
      <c r="U23" s="22">
        <v>0.15514</v>
      </c>
      <c r="V23" s="22"/>
      <c r="W23" s="22"/>
      <c r="X23" s="22"/>
      <c r="Y23" s="22"/>
      <c r="Z23" s="22"/>
      <c r="AA23" s="22"/>
      <c r="AB23" s="22"/>
      <c r="AC23" s="22"/>
      <c r="AD23" s="26"/>
      <c r="AE23" s="21">
        <v>1.2</v>
      </c>
      <c r="AF23" s="22">
        <v>0.10983999999999999</v>
      </c>
      <c r="AG23" s="22">
        <v>0.10829999999999999</v>
      </c>
      <c r="AH23" s="22">
        <v>0.12136</v>
      </c>
      <c r="AI23" s="22">
        <v>0.12608</v>
      </c>
      <c r="AJ23" s="22">
        <v>0.13128000000000001</v>
      </c>
      <c r="AK23" s="22">
        <v>0.13700000000000001</v>
      </c>
      <c r="AL23" s="22">
        <v>0.14288000000000001</v>
      </c>
      <c r="AM23" s="22">
        <v>0.14802000000000001</v>
      </c>
      <c r="AN23" s="22">
        <v>0.15206</v>
      </c>
      <c r="AO23" s="22">
        <v>0.15514</v>
      </c>
      <c r="AP23" s="22"/>
      <c r="AQ23" s="22"/>
      <c r="AR23" s="22"/>
      <c r="AS23" s="22"/>
      <c r="AT23" s="22"/>
      <c r="AU23" s="22"/>
      <c r="AV23" s="22"/>
      <c r="AW23" s="22"/>
      <c r="AY23" s="33">
        <v>2.6666666666666665</v>
      </c>
      <c r="AZ23" s="33">
        <v>0</v>
      </c>
      <c r="BA23" s="33">
        <v>0</v>
      </c>
      <c r="BB23" s="33">
        <v>0</v>
      </c>
      <c r="BC23" s="31"/>
    </row>
    <row r="24" spans="1:55" ht="17.399999999999999" x14ac:dyDescent="0.35">
      <c r="A24" s="16">
        <v>5</v>
      </c>
      <c r="B24" s="17">
        <v>2.2199215299999998E-2</v>
      </c>
      <c r="C24" s="16">
        <v>5</v>
      </c>
      <c r="D24" s="17">
        <v>2.2199215299999998E-2</v>
      </c>
      <c r="K24" s="21">
        <v>1.3</v>
      </c>
      <c r="L24" s="22">
        <v>0.11482000000000001</v>
      </c>
      <c r="M24" s="22">
        <v>0.1139</v>
      </c>
      <c r="N24" s="22">
        <v>0.11792999999999999</v>
      </c>
      <c r="O24" s="22">
        <v>0.12475</v>
      </c>
      <c r="P24" s="22">
        <v>0.13103000000000001</v>
      </c>
      <c r="Q24" s="22">
        <v>0.13549</v>
      </c>
      <c r="R24" s="22">
        <v>0.14180000000000001</v>
      </c>
      <c r="S24" s="22">
        <v>0.14774999999999999</v>
      </c>
      <c r="T24" s="22">
        <v>0.15260000000000001</v>
      </c>
      <c r="U24" s="22">
        <v>0.15597</v>
      </c>
      <c r="V24" s="22"/>
      <c r="W24" s="22"/>
      <c r="X24" s="22"/>
      <c r="Y24" s="22"/>
      <c r="Z24" s="22"/>
      <c r="AA24" s="22"/>
      <c r="AB24" s="22"/>
      <c r="AC24" s="22"/>
      <c r="AD24" s="26"/>
      <c r="AE24" s="21">
        <v>1.3</v>
      </c>
      <c r="AF24" s="22">
        <v>0.11482000000000001</v>
      </c>
      <c r="AG24" s="22">
        <v>0.1139</v>
      </c>
      <c r="AH24" s="22">
        <v>0.11792999999999999</v>
      </c>
      <c r="AI24" s="22">
        <v>0.12475</v>
      </c>
      <c r="AJ24" s="22">
        <v>0.13103000000000001</v>
      </c>
      <c r="AK24" s="22">
        <v>0.13549</v>
      </c>
      <c r="AL24" s="22">
        <v>0.14180000000000001</v>
      </c>
      <c r="AM24" s="22">
        <v>0.14774999999999999</v>
      </c>
      <c r="AN24" s="22">
        <v>0.15260000000000001</v>
      </c>
      <c r="AO24" s="22">
        <v>0.15597</v>
      </c>
      <c r="AP24" s="22"/>
      <c r="AQ24" s="22"/>
      <c r="AR24" s="22"/>
      <c r="AS24" s="22"/>
      <c r="AT24" s="22"/>
      <c r="AU24" s="22"/>
      <c r="AV24" s="22"/>
      <c r="AW24" s="22"/>
      <c r="AY24" s="33">
        <v>3</v>
      </c>
      <c r="AZ24" s="33">
        <v>0</v>
      </c>
      <c r="BA24" s="33">
        <v>0</v>
      </c>
      <c r="BB24" s="33">
        <v>0</v>
      </c>
      <c r="BC24" s="35"/>
    </row>
    <row r="25" spans="1:55" ht="17.399999999999999" x14ac:dyDescent="0.35">
      <c r="A25" s="16">
        <v>7</v>
      </c>
      <c r="B25" s="17">
        <v>2.2158577200000001E-2</v>
      </c>
      <c r="C25" s="16">
        <v>7</v>
      </c>
      <c r="D25" s="17">
        <v>2.2158577200000001E-2</v>
      </c>
      <c r="K25" s="21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3"/>
      <c r="AE25" s="21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Y25" s="33">
        <v>3.3333333333333335</v>
      </c>
      <c r="AZ25" s="33">
        <v>0</v>
      </c>
      <c r="BA25" s="33">
        <v>0</v>
      </c>
      <c r="BB25" s="33">
        <v>0</v>
      </c>
      <c r="BC25" s="35"/>
    </row>
    <row r="26" spans="1:55" x14ac:dyDescent="0.35">
      <c r="A26" s="16">
        <v>10</v>
      </c>
      <c r="B26" s="17">
        <v>2.2148508000000001E-2</v>
      </c>
      <c r="C26" s="16">
        <v>10</v>
      </c>
      <c r="D26" s="17">
        <v>2.2148508000000001E-2</v>
      </c>
      <c r="K26" s="21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2"/>
      <c r="W26" s="22"/>
      <c r="X26" s="22"/>
      <c r="Y26" s="22"/>
      <c r="Z26" s="22"/>
      <c r="AA26" s="22"/>
      <c r="AB26" s="22"/>
      <c r="AC26" s="22"/>
      <c r="AD26" s="23"/>
      <c r="AE26" s="21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Y26" s="33"/>
      <c r="AZ26" s="33"/>
      <c r="BA26" s="33"/>
      <c r="BB26" s="33"/>
      <c r="BC26" s="31"/>
    </row>
    <row r="27" spans="1:55" ht="17.399999999999999" x14ac:dyDescent="0.35">
      <c r="K27" s="21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2"/>
      <c r="W27" s="22"/>
      <c r="X27" s="22"/>
      <c r="Y27" s="22"/>
      <c r="Z27" s="22"/>
      <c r="AA27" s="22"/>
      <c r="AB27" s="22"/>
      <c r="AC27" s="22"/>
      <c r="AD27" s="23"/>
      <c r="AE27" s="21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Y27" s="33"/>
      <c r="AZ27" s="33"/>
      <c r="BA27" s="33"/>
      <c r="BB27" s="33"/>
      <c r="BC27" s="35"/>
    </row>
    <row r="28" spans="1:55" x14ac:dyDescent="0.35">
      <c r="K28" s="21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2"/>
      <c r="W28" s="22"/>
      <c r="X28" s="22"/>
      <c r="Y28" s="22"/>
      <c r="Z28" s="22"/>
      <c r="AA28" s="22"/>
      <c r="AB28" s="22"/>
      <c r="AC28" s="22"/>
      <c r="AD28" s="23"/>
      <c r="AE28" s="21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Y28" s="33"/>
      <c r="AZ28" s="33"/>
      <c r="BA28" s="33"/>
      <c r="BB28" s="33"/>
      <c r="BC28" s="31"/>
    </row>
    <row r="29" spans="1:55" x14ac:dyDescent="0.35">
      <c r="K29" s="21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3"/>
      <c r="AE29" s="21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Y29" s="33"/>
      <c r="AZ29" s="33"/>
      <c r="BA29" s="33"/>
      <c r="BB29" s="33"/>
      <c r="BC29" s="31"/>
    </row>
    <row r="30" spans="1:55" x14ac:dyDescent="0.35">
      <c r="K30" s="21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2"/>
      <c r="W30" s="22"/>
      <c r="X30" s="22"/>
      <c r="Y30" s="22"/>
      <c r="Z30" s="22"/>
      <c r="AA30" s="22"/>
      <c r="AB30" s="22"/>
      <c r="AC30" s="22"/>
      <c r="AD30" s="23"/>
      <c r="AE30" s="21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Y30" s="33"/>
      <c r="AZ30" s="33"/>
      <c r="BA30" s="33"/>
      <c r="BB30" s="33"/>
      <c r="BC30" s="31"/>
    </row>
    <row r="31" spans="1:55" x14ac:dyDescent="0.35">
      <c r="K31" s="21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2"/>
      <c r="W31" s="22"/>
      <c r="X31" s="22"/>
      <c r="Y31" s="22"/>
      <c r="Z31" s="22"/>
      <c r="AA31" s="22"/>
      <c r="AB31" s="22"/>
      <c r="AC31" s="22"/>
      <c r="AD31" s="23"/>
      <c r="AE31" s="21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Y31" s="33"/>
      <c r="AZ31" s="33"/>
      <c r="BA31" s="33"/>
      <c r="BB31" s="33"/>
      <c r="BC31" s="31"/>
    </row>
    <row r="32" spans="1:55" x14ac:dyDescent="0.35">
      <c r="K32" s="21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2"/>
      <c r="W32" s="22"/>
      <c r="X32" s="22"/>
      <c r="Y32" s="22"/>
      <c r="Z32" s="22"/>
      <c r="AA32" s="22"/>
      <c r="AB32" s="22"/>
      <c r="AC32" s="22"/>
      <c r="AD32" s="23"/>
      <c r="AE32" s="21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Y32" s="33"/>
      <c r="AZ32" s="33"/>
      <c r="BA32" s="33"/>
      <c r="BB32" s="33"/>
      <c r="BC32" s="31"/>
    </row>
    <row r="33" spans="11:55" x14ac:dyDescent="0.35">
      <c r="K33" s="21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  <c r="X33" s="22"/>
      <c r="Y33" s="22"/>
      <c r="Z33" s="22"/>
      <c r="AA33" s="22"/>
      <c r="AB33" s="22"/>
      <c r="AC33" s="22"/>
      <c r="AD33" s="23"/>
      <c r="AE33" s="21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Y33" s="33"/>
      <c r="AZ33" s="33"/>
      <c r="BA33" s="33"/>
      <c r="BB33" s="33"/>
      <c r="BC33" s="31"/>
    </row>
    <row r="34" spans="11:55" x14ac:dyDescent="0.35">
      <c r="K34" s="21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  <c r="X34" s="22"/>
      <c r="Y34" s="22"/>
      <c r="Z34" s="22"/>
      <c r="AA34" s="22"/>
      <c r="AB34" s="22"/>
      <c r="AC34" s="22"/>
      <c r="AD34" s="25"/>
      <c r="AE34" s="21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Y34" s="33"/>
      <c r="AZ34" s="33"/>
      <c r="BA34" s="33"/>
      <c r="BB34" s="33"/>
      <c r="BC34" s="31"/>
    </row>
    <row r="35" spans="11:55" x14ac:dyDescent="0.35">
      <c r="K35" s="21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6"/>
      <c r="AE35" s="21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Y35" s="33"/>
      <c r="AZ35" s="33"/>
      <c r="BA35" s="33"/>
      <c r="BB35" s="33"/>
      <c r="BC35" s="31"/>
    </row>
    <row r="36" spans="11:55" x14ac:dyDescent="0.35">
      <c r="K36" s="21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2"/>
      <c r="W36" s="22"/>
      <c r="X36" s="22"/>
      <c r="Y36" s="22"/>
      <c r="Z36" s="22"/>
      <c r="AA36" s="22"/>
      <c r="AB36" s="22"/>
      <c r="AC36" s="22"/>
      <c r="AD36" s="26"/>
      <c r="AE36" s="21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Y36" s="33"/>
      <c r="AZ36" s="33"/>
      <c r="BA36" s="33"/>
      <c r="BB36" s="33"/>
      <c r="BC36" s="31"/>
    </row>
    <row r="37" spans="11:55" x14ac:dyDescent="0.35">
      <c r="K37" s="21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2"/>
      <c r="W37" s="22"/>
      <c r="X37" s="22"/>
      <c r="Y37" s="22"/>
      <c r="Z37" s="22"/>
      <c r="AA37" s="22"/>
      <c r="AB37" s="22"/>
      <c r="AC37" s="22"/>
      <c r="AD37" s="26"/>
      <c r="AE37" s="21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Y37" s="33"/>
      <c r="AZ37" s="33"/>
      <c r="BA37" s="33"/>
      <c r="BB37" s="33"/>
      <c r="BC37" s="31"/>
    </row>
    <row r="38" spans="11:55" x14ac:dyDescent="0.35">
      <c r="K38" s="21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2"/>
      <c r="W38" s="22"/>
      <c r="X38" s="22"/>
      <c r="Y38" s="22"/>
      <c r="Z38" s="22"/>
      <c r="AA38" s="22"/>
      <c r="AB38" s="22"/>
      <c r="AC38" s="22"/>
      <c r="AD38" s="26"/>
      <c r="AE38" s="21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Y38" s="33"/>
      <c r="AZ38" s="33"/>
      <c r="BA38" s="33"/>
      <c r="BB38" s="33"/>
      <c r="BC38" s="31"/>
    </row>
    <row r="39" spans="11:55" x14ac:dyDescent="0.35">
      <c r="K39" s="21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2"/>
      <c r="W39" s="22"/>
      <c r="X39" s="22"/>
      <c r="Y39" s="22"/>
      <c r="Z39" s="22"/>
      <c r="AA39" s="22"/>
      <c r="AB39" s="22"/>
      <c r="AC39" s="22"/>
      <c r="AD39" s="26"/>
      <c r="AE39" s="21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Y39" s="33"/>
      <c r="AZ39" s="33"/>
      <c r="BA39" s="33"/>
      <c r="BB39" s="33"/>
      <c r="BC39" s="31"/>
    </row>
  </sheetData>
  <mergeCells count="40">
    <mergeCell ref="AY12:BB13"/>
    <mergeCell ref="A2:P3"/>
    <mergeCell ref="A10:B10"/>
    <mergeCell ref="C10:D10"/>
    <mergeCell ref="A5:B5"/>
    <mergeCell ref="C5:D5"/>
    <mergeCell ref="F7:G7"/>
    <mergeCell ref="H5:I5"/>
    <mergeCell ref="H6:I6"/>
    <mergeCell ref="H7:I7"/>
    <mergeCell ref="F9:I9"/>
    <mergeCell ref="A11:B11"/>
    <mergeCell ref="C11:D11"/>
    <mergeCell ref="A6:B6"/>
    <mergeCell ref="C6:D6"/>
    <mergeCell ref="A7:B7"/>
    <mergeCell ref="C7:D7"/>
    <mergeCell ref="A8:B8"/>
    <mergeCell ref="C8:D8"/>
    <mergeCell ref="A9:B9"/>
    <mergeCell ref="C9:D9"/>
    <mergeCell ref="K14:K15"/>
    <mergeCell ref="K5:L5"/>
    <mergeCell ref="F5:G5"/>
    <mergeCell ref="F6:G6"/>
    <mergeCell ref="AE14:AE15"/>
    <mergeCell ref="K13:M13"/>
    <mergeCell ref="AE13:AH13"/>
    <mergeCell ref="M5:N5"/>
    <mergeCell ref="M7:N7"/>
    <mergeCell ref="O7:P7"/>
    <mergeCell ref="M8:M9"/>
    <mergeCell ref="K12:N12"/>
    <mergeCell ref="S5:V6"/>
    <mergeCell ref="Q5:R5"/>
    <mergeCell ref="A13:D13"/>
    <mergeCell ref="A14:B15"/>
    <mergeCell ref="C14:D15"/>
    <mergeCell ref="F12:G13"/>
    <mergeCell ref="H12:I13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OPTIONCALC">
                <anchor moveWithCells="1" sizeWithCells="1">
                  <from>
                    <xdr:col>10</xdr:col>
                    <xdr:colOff>342900</xdr:colOff>
                    <xdr:row>6</xdr:row>
                    <xdr:rowOff>30480</xdr:rowOff>
                  </from>
                  <to>
                    <xdr:col>11</xdr:col>
                    <xdr:colOff>480060</xdr:colOff>
                    <xdr:row>8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DAESUN IM</cp:lastModifiedBy>
  <dcterms:created xsi:type="dcterms:W3CDTF">2022-04-01T01:32:47Z</dcterms:created>
  <dcterms:modified xsi:type="dcterms:W3CDTF">2023-06-04T14:44:20Z</dcterms:modified>
</cp:coreProperties>
</file>