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Option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<sst xmlns="http://schemas.openxmlformats.org/spreadsheetml/2006/main" count="39" uniqueCount="37">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</sst>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E17" sqref="E17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5" t="s">
        <v>28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55" s="1" customFormat="1" x14ac:dyDescent="0.4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1" t="s">
        <v>0</v>
      </c>
      <c r="B5" s="41"/>
      <c r="C5" s="45">
        <v>0</v>
      </c>
      <c r="D5" s="45"/>
      <c r="E5" s="11" t="str">
        <f>IF(C5=0,"매수","매도")</f>
        <v>매수</v>
      </c>
      <c r="F5" s="41" t="s">
        <v>6</v>
      </c>
      <c r="G5" s="41"/>
      <c r="H5" s="56">
        <v>100</v>
      </c>
      <c r="I5" s="56"/>
      <c r="J5" s="1"/>
      <c r="K5" s="41" t="s">
        <v>18</v>
      </c>
      <c r="L5" s="41"/>
      <c r="M5" s="45">
        <v>0</v>
      </c>
      <c r="N5" s="45"/>
      <c r="O5" s="1"/>
      <c r="P5" s="1"/>
      <c r="Q5" s="51" t="s">
        <v>29</v>
      </c>
      <c r="R5" s="51"/>
      <c r="S5" s="50"/>
      <c r="T5" s="50"/>
      <c r="U5" s="50"/>
      <c r="V5" s="50"/>
    </row>
    <row r="6" spans="1:55" x14ac:dyDescent="0.4">
      <c r="A6" s="41" t="s">
        <v>2</v>
      </c>
      <c r="B6" s="41"/>
      <c r="C6" s="45">
        <v>0</v>
      </c>
      <c r="D6" s="45"/>
      <c r="E6" s="11" t="str">
        <f>IF(C6=0,"콜","풋")</f>
        <v>콜</v>
      </c>
      <c r="F6" s="41" t="s">
        <v>7</v>
      </c>
      <c r="G6" s="41"/>
      <c r="H6" s="56">
        <v>100</v>
      </c>
      <c r="I6" s="56"/>
      <c r="J6" s="1"/>
      <c r="K6" s="41" t="s">
        <v>36</v>
      </c>
      <c r="L6" s="41"/>
      <c r="M6" s="45">
        <v>0</v>
      </c>
      <c r="N6" s="45"/>
      <c r="O6" s="1"/>
      <c r="P6" s="1"/>
      <c r="Q6" s="1"/>
      <c r="R6" s="1"/>
      <c r="S6" s="50"/>
      <c r="T6" s="50"/>
      <c r="U6" s="50"/>
      <c r="V6" s="50"/>
    </row>
    <row r="7" spans="1:55" x14ac:dyDescent="0.4">
      <c r="A7" s="41" t="s">
        <v>1</v>
      </c>
      <c r="B7" s="41"/>
      <c r="C7" s="45">
        <v>0</v>
      </c>
      <c r="D7" s="45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1" t="str">
        <f>IF(C7=2,"평균가격",IF(C7 &gt;= 5, "배리어수준",""))</f>
        <v/>
      </c>
      <c r="G7" s="41"/>
      <c r="H7" s="56">
        <v>100</v>
      </c>
      <c r="I7" s="56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5.8326015992176821</v>
      </c>
      <c r="P7" s="47"/>
      <c r="Q7" s="1"/>
      <c r="R7" s="1"/>
      <c r="S7" s="1"/>
    </row>
    <row r="8" spans="1:55" x14ac:dyDescent="0.4">
      <c r="A8" s="41" t="s">
        <v>5</v>
      </c>
      <c r="B8" s="41"/>
      <c r="C8" s="52">
        <v>44652</v>
      </c>
      <c r="D8" s="45"/>
      <c r="E8" s="4"/>
      <c r="F8" s="1"/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1" t="str">
        <f>IF(C7=2,"평균시작일",IF(OR(C7 = 3, C7 = 4), "행사시작일", ""))</f>
        <v/>
      </c>
      <c r="B9" s="41"/>
      <c r="C9" s="52">
        <v>45017</v>
      </c>
      <c r="D9" s="45"/>
      <c r="E9" s="11" t="str">
        <f>IF(A9="","입력필요X","")</f>
        <v>입력필요X</v>
      </c>
      <c r="F9" s="36" t="s">
        <v>14</v>
      </c>
      <c r="G9" s="36"/>
      <c r="H9" s="36"/>
      <c r="I9" s="36"/>
      <c r="K9" s="1"/>
      <c r="L9" s="1"/>
      <c r="M9" s="49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41" t="s">
        <v>4</v>
      </c>
      <c r="B10" s="41"/>
      <c r="C10" s="52">
        <v>45017</v>
      </c>
      <c r="D10" s="45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1" t="s">
        <v>3</v>
      </c>
      <c r="B11" s="41"/>
      <c r="C11" s="52">
        <v>45017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37" t="str">
        <f>IF(G10=2,"배당액입력(금액입력)","Dividend(%입력)")</f>
        <v>Dividend(%입력)</v>
      </c>
      <c r="G12" s="37"/>
      <c r="H12" s="38" t="s">
        <v>17</v>
      </c>
      <c r="I12" s="38"/>
      <c r="J12" s="24"/>
      <c r="K12" s="36" t="s">
        <v>11</v>
      </c>
      <c r="L12" s="36"/>
      <c r="M12" s="36"/>
      <c r="N12" s="36"/>
      <c r="AY12" s="53" t="s">
        <v>30</v>
      </c>
      <c r="AZ12" s="53"/>
      <c r="BA12" s="53"/>
      <c r="BB12" s="53"/>
      <c r="BC12" s="31"/>
    </row>
    <row r="13" spans="1:55" s="1" customFormat="1" ht="15.6" customHeight="1" x14ac:dyDescent="0.4">
      <c r="A13" s="36" t="s">
        <v>10</v>
      </c>
      <c r="B13" s="36"/>
      <c r="C13" s="36"/>
      <c r="D13" s="36"/>
      <c r="E13" s="24"/>
      <c r="F13" s="37"/>
      <c r="G13" s="37"/>
      <c r="H13" s="38"/>
      <c r="I13" s="38"/>
      <c r="J13" s="24"/>
      <c r="K13" s="42" t="s">
        <v>27</v>
      </c>
      <c r="L13" s="43"/>
      <c r="M13" s="43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4" t="s">
        <v>19</v>
      </c>
      <c r="AF13" s="44"/>
      <c r="AG13" s="44"/>
      <c r="AH13" s="4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4"/>
      <c r="AZ13" s="54"/>
      <c r="BA13" s="54"/>
      <c r="BB13" s="54"/>
      <c r="BC13" s="31"/>
    </row>
    <row r="14" spans="1:55" ht="17.399999999999999" customHeight="1" x14ac:dyDescent="0.35">
      <c r="A14" s="37" t="s">
        <v>8</v>
      </c>
      <c r="B14" s="37"/>
      <c r="C14" s="38" t="s">
        <v>9</v>
      </c>
      <c r="D14" s="38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37"/>
      <c r="B15" s="37"/>
      <c r="C15" s="38"/>
      <c r="D15" s="38"/>
      <c r="F15" s="16">
        <v>0.25</v>
      </c>
      <c r="G15" s="17">
        <v>1.49E-2</v>
      </c>
      <c r="H15" s="16">
        <v>0.75</v>
      </c>
      <c r="I15" s="17">
        <v>0.05</v>
      </c>
      <c r="K15" s="40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2023-06-19T14:02:30Z</dcterms:modified>
</cp:coreProperties>
</file>