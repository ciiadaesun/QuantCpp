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1" l="1"/>
  <c r="F24" i="1"/>
  <c r="F23" i="1"/>
  <c r="F22" i="1"/>
  <c r="F21" i="1"/>
  <c r="F20" i="1"/>
  <c r="F19" i="1"/>
  <c r="F18" i="1"/>
  <c r="F17" i="1"/>
  <c r="F16" i="1"/>
  <c r="F15" i="1"/>
  <c r="F14" i="1"/>
  <c r="F13" i="1"/>
  <c r="L6" i="1" l="1"/>
  <c r="I11" i="1"/>
  <c r="C33" i="1" l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<sst xmlns="http://schemas.openxmlformats.org/spreadsheetml/2006/main" count="29" uniqueCount="29">
  <si>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</si>
  <si>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</si>
  <si>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</si>
  <si>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</si>
  <si>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</si>
  <si>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</si>
  <si>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</si>
  <si>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</si>
  <si>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</si>
  <si>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</si>
  <si>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</si>
  <si>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</si>
  <si>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</si>
  <si>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</si>
  <si>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</si>
  <si>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</si>
  <si>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</si>
  <si>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</si>
  <si>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</si>
  <si>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</si>
  <si>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</si>
  <si>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</si>
  <si>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Key PV01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</si>
  <si>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</si>
  <si>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</si>
  <si>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</si>
  <si>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볼</t>
    <phoneticPr fontId="2" type="noConversion"/>
  </si>
  <si>
    <t>옵션만기</t>
    <phoneticPr fontId="2" type="noConversion"/>
  </si>
  <si>
    <t>Volatility(스왑만기 = D5)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</si>
</sst>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.00_);[Red]\(0.00\)"/>
    <numFmt numFmtId="177" formatCode="0.0000%"/>
    <numFmt numFmtId="178" formatCode="0.0_);[Red]\(0.0\)"/>
    <numFmt numFmtId="179" formatCode="0.00000%"/>
    <numFmt numFmtId="180" formatCode="0.000_);[Red]\(0.000\)"/>
    <numFmt numFmtId="181" formatCode="[$-F400]h:mm:ss\ AM/PM"/>
    <numFmt numFmtId="182" formatCode="0.0000000_);[Red]\(0.0000000\)"/>
    <numFmt numFmtId="183" formatCode="0.0000_);[Red]\(0.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176" fontId="8" fillId="5" borderId="0" xfId="0" applyNumberFormat="1" applyFont="1" applyFill="1" applyBorder="1" applyAlignment="1">
      <alignment vertical="center"/>
    </xf>
    <xf numFmtId="14" fontId="11" fillId="5" borderId="0" xfId="0" applyNumberFormat="1" applyFont="1" applyFill="1" applyAlignment="1">
      <alignment horizontal="center" vertical="center"/>
    </xf>
    <xf numFmtId="176" fontId="12" fillId="5" borderId="0" xfId="0" applyNumberFormat="1" applyFont="1" applyFill="1">
      <alignment vertical="center"/>
    </xf>
    <xf numFmtId="177" fontId="9" fillId="5" borderId="0" xfId="0" applyNumberFormat="1" applyFont="1" applyFill="1" applyBorder="1" applyAlignment="1"/>
    <xf numFmtId="177" fontId="0" fillId="5" borderId="0" xfId="1" applyNumberFormat="1" applyFont="1" applyFill="1">
      <alignment vertical="center"/>
    </xf>
    <xf numFmtId="176" fontId="0" fillId="8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2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7" fontId="9" fillId="5" borderId="0" xfId="1" applyNumberFormat="1" applyFont="1" applyFill="1" applyBorder="1" applyAlignment="1"/>
    <xf numFmtId="0" fontId="12" fillId="7" borderId="0" xfId="0" applyFont="1" applyFill="1" applyAlignment="1">
      <alignment horizontal="center" vertical="center"/>
    </xf>
    <xf numFmtId="182" fontId="0" fillId="8" borderId="0" xfId="1" applyNumberFormat="1" applyFont="1" applyFill="1" applyAlignment="1">
      <alignment horizontal="center" vertical="center"/>
    </xf>
    <xf numFmtId="179" fontId="0" fillId="8" borderId="0" xfId="1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0" applyNumberFormat="1" applyFill="1" applyAlignment="1">
      <alignment horizontal="center" vertical="center"/>
    </xf>
    <xf numFmtId="0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83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5"/>
  <sheetViews>
    <sheetView tabSelected="1" workbookViewId="0">
      <selection activeCell="P9" sqref="P9:Q9"/>
    </sheetView>
  </sheetViews>
  <sheetFormatPr defaultColWidth="10.8984375" defaultRowHeight="17.399999999999999" x14ac:dyDescent="0.4"/>
  <cols>
    <col min="1" max="1" width="10.8984375" style="1"/>
    <col min="2" max="2" width="10.8984375" style="4"/>
    <col min="3" max="3" width="10.8984375" style="6"/>
    <col min="4" max="5" width="10.8984375" style="1"/>
    <col min="6" max="6" width="10.8984375" style="13"/>
    <col min="7" max="7" width="10.8984375" style="14"/>
    <col min="8" max="8" width="10.8984375" style="1"/>
    <col min="9" max="9" width="10.8984375" style="12"/>
    <col min="10" max="11" width="10.8984375" style="1"/>
    <col min="12" max="12" width="10.8984375" style="9"/>
    <col min="13" max="13" width="10.8984375" style="1"/>
    <col min="14" max="15" width="10.8984375" style="7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F2" s="1"/>
      <c r="G2" s="1"/>
      <c r="I2" s="1"/>
      <c r="J2" s="23" t="s">
        <v>17</v>
      </c>
      <c r="K2" s="23"/>
      <c r="L2" s="23"/>
      <c r="M2" s="23"/>
      <c r="N2" s="1"/>
      <c r="O2" s="1"/>
    </row>
    <row r="3" spans="1:17" x14ac:dyDescent="0.4">
      <c r="B3" s="27" t="s">
        <v>0</v>
      </c>
      <c r="C3" s="27"/>
      <c r="D3" s="33">
        <v>45205</v>
      </c>
      <c r="E3" s="32"/>
      <c r="F3" s="27" t="s">
        <v>1</v>
      </c>
      <c r="G3" s="27"/>
      <c r="H3" s="22">
        <v>0</v>
      </c>
      <c r="I3" s="22"/>
      <c r="J3" s="27" t="s">
        <v>18</v>
      </c>
      <c r="K3" s="27"/>
      <c r="L3" s="22">
        <v>0</v>
      </c>
      <c r="M3" s="22"/>
      <c r="N3" s="1"/>
      <c r="O3" s="1"/>
    </row>
    <row r="4" spans="1:17" x14ac:dyDescent="0.4">
      <c r="B4" s="27" t="s">
        <v>3</v>
      </c>
      <c r="C4" s="27"/>
      <c r="D4" s="33">
        <v>47505</v>
      </c>
      <c r="E4" s="32"/>
      <c r="F4" s="27" t="s">
        <v>6</v>
      </c>
      <c r="G4" s="27"/>
      <c r="H4" s="32">
        <v>0</v>
      </c>
      <c r="I4" s="32"/>
      <c r="J4" s="24" t="s">
        <v>19</v>
      </c>
      <c r="K4" s="25"/>
      <c r="L4" s="26">
        <v>2.63E-2</v>
      </c>
      <c r="M4" s="26"/>
      <c r="N4" s="1"/>
      <c r="O4" s="1"/>
    </row>
    <row r="5" spans="1:17" x14ac:dyDescent="0.4">
      <c r="B5" s="27" t="s">
        <v>4</v>
      </c>
      <c r="C5" s="27"/>
      <c r="D5" s="33">
        <v>51158</v>
      </c>
      <c r="E5" s="32"/>
      <c r="F5" s="27" t="s">
        <v>8</v>
      </c>
      <c r="G5" s="27"/>
      <c r="H5" s="22">
        <v>1</v>
      </c>
      <c r="I5" s="22"/>
      <c r="L5" s="1"/>
      <c r="N5" s="1"/>
      <c r="O5" s="1"/>
    </row>
    <row r="6" spans="1:17" x14ac:dyDescent="0.4">
      <c r="B6" s="24" t="s">
        <v>2</v>
      </c>
      <c r="C6" s="25"/>
      <c r="D6" s="32">
        <v>0</v>
      </c>
      <c r="E6" s="32"/>
      <c r="F6" s="27" t="str">
        <f>IF(H5 = 1, "HolidayNation","Not Used")</f>
        <v>HolidayNation</v>
      </c>
      <c r="G6" s="27"/>
      <c r="H6" s="22">
        <v>0</v>
      </c>
      <c r="I6" s="22"/>
      <c r="J6" s="27" t="s">
        <v>24</v>
      </c>
      <c r="K6" s="27"/>
      <c r="L6" s="8">
        <f>COUNT(L7:L1048572)</f>
        <v>10</v>
      </c>
      <c r="N6" s="17" t="s">
        <v>20</v>
      </c>
      <c r="O6" s="17"/>
      <c r="P6" s="28">
        <v>45270.857060185182</v>
      </c>
      <c r="Q6" s="28"/>
    </row>
    <row r="7" spans="1:17" x14ac:dyDescent="0.4">
      <c r="B7" s="24" t="s">
        <v>5</v>
      </c>
      <c r="C7" s="25"/>
      <c r="D7" s="32">
        <v>4</v>
      </c>
      <c r="E7" s="32"/>
      <c r="F7" s="27" t="s">
        <v>15</v>
      </c>
      <c r="G7" s="27"/>
      <c r="H7" s="22">
        <v>0</v>
      </c>
      <c r="I7" s="22"/>
      <c r="J7" s="27" t="s">
        <v>23</v>
      </c>
      <c r="K7" s="27"/>
      <c r="L7" s="10">
        <v>47505</v>
      </c>
      <c r="N7" s="17" t="s">
        <v>21</v>
      </c>
      <c r="O7" s="17"/>
      <c r="P7" s="28">
        <v>45270.857060185182</v>
      </c>
      <c r="Q7" s="28"/>
    </row>
    <row r="8" spans="1:17" x14ac:dyDescent="0.4">
      <c r="B8" s="1"/>
      <c r="C8" s="1"/>
      <c r="F8" s="24" t="s">
        <v>10</v>
      </c>
      <c r="G8" s="25"/>
      <c r="H8" s="30">
        <v>3.9967291747879802E-2</v>
      </c>
      <c r="I8" s="30"/>
      <c r="L8" s="10">
        <v>47875</v>
      </c>
      <c r="N8" s="1"/>
      <c r="O8" s="1"/>
    </row>
    <row r="9" spans="1:17" x14ac:dyDescent="0.4">
      <c r="B9" s="24" t="s">
        <v>7</v>
      </c>
      <c r="C9" s="25"/>
      <c r="D9" s="32">
        <v>1</v>
      </c>
      <c r="E9" s="32"/>
      <c r="F9" s="24" t="s">
        <v>11</v>
      </c>
      <c r="G9" s="25"/>
      <c r="H9" s="31">
        <v>1</v>
      </c>
      <c r="I9" s="31"/>
      <c r="K9" s="1">
        <v>47505</v>
      </c>
      <c r="L9" s="10">
        <v>48235</v>
      </c>
      <c r="N9" s="17" t="s">
        <v>12</v>
      </c>
      <c r="O9" s="17"/>
      <c r="P9" s="18">
        <v>4.2378503421799649E-2</v>
      </c>
      <c r="Q9" s="18"/>
    </row>
    <row r="10" spans="1:17" x14ac:dyDescent="0.4">
      <c r="B10" s="24" t="s">
        <v>25</v>
      </c>
      <c r="C10" s="25"/>
      <c r="D10" s="32">
        <v>1</v>
      </c>
      <c r="E10" s="32"/>
      <c r="F10" s="1"/>
      <c r="G10" s="1"/>
      <c r="I10" s="1"/>
      <c r="K10" s="1">
        <v>47875</v>
      </c>
      <c r="L10" s="10">
        <v>48603</v>
      </c>
      <c r="N10" s="17" t="s">
        <v>14</v>
      </c>
      <c r="O10" s="17"/>
      <c r="P10" s="19">
        <v>3.9967291747879767E-2</v>
      </c>
      <c r="Q10" s="19"/>
    </row>
    <row r="11" spans="1:17" x14ac:dyDescent="0.4">
      <c r="B11" s="29" t="s">
        <v>9</v>
      </c>
      <c r="C11" s="29"/>
      <c r="F11" s="29" t="s">
        <v>28</v>
      </c>
      <c r="G11" s="29"/>
      <c r="I11" s="29" t="str">
        <f>IF(H5=1,"NotUsed","Holiday")</f>
        <v>NotUsed</v>
      </c>
      <c r="K11" s="1">
        <v>48235</v>
      </c>
      <c r="L11" s="10">
        <v>48967</v>
      </c>
      <c r="N11" s="17" t="s">
        <v>13</v>
      </c>
      <c r="O11" s="17"/>
      <c r="P11" s="20">
        <v>0</v>
      </c>
      <c r="Q11" s="20"/>
    </row>
    <row r="12" spans="1:17" x14ac:dyDescent="0.4">
      <c r="B12" s="29"/>
      <c r="C12" s="29"/>
      <c r="F12" s="15" t="s">
        <v>27</v>
      </c>
      <c r="G12" s="15" t="s">
        <v>26</v>
      </c>
      <c r="I12" s="29"/>
      <c r="K12" s="1">
        <v>48603</v>
      </c>
      <c r="L12" s="10">
        <v>49331</v>
      </c>
      <c r="N12" s="17" t="s">
        <v>16</v>
      </c>
      <c r="O12" s="17"/>
      <c r="P12" s="21">
        <v>-2.2107177338746658E-16</v>
      </c>
      <c r="Q12" s="21"/>
    </row>
    <row r="13" spans="1:17" x14ac:dyDescent="0.35">
      <c r="A13" s="11">
        <v>45209</v>
      </c>
      <c r="B13" s="2">
        <f>(A13-$D$3)/365</f>
        <v>1.0958904109589041E-2</v>
      </c>
      <c r="C13" s="5">
        <f>D13/100</f>
        <v>3.5263000000000003E-2</v>
      </c>
      <c r="D13" s="1">
        <v>3.5263</v>
      </c>
      <c r="E13" s="11">
        <v>45236</v>
      </c>
      <c r="F13" s="2">
        <f>(E13-$D$3)/365</f>
        <v>8.4931506849315067E-2</v>
      </c>
      <c r="G13" s="16">
        <v>8.5000000000000006E-3</v>
      </c>
      <c r="I13" s="3">
        <v>43101</v>
      </c>
      <c r="K13" s="1">
        <v>48967</v>
      </c>
      <c r="L13" s="10">
        <v>49696</v>
      </c>
      <c r="N13" s="1"/>
      <c r="O13" s="1"/>
    </row>
    <row r="14" spans="1:17" x14ac:dyDescent="0.35">
      <c r="A14" s="11">
        <v>45210</v>
      </c>
      <c r="B14" s="2">
        <f t="shared" ref="B14:B33" si="1">(A14-$D$3)/365</f>
        <v>1.3698630136986301E-2</v>
      </c>
      <c r="C14" s="5">
        <f t="shared" ref="C14:C33" si="2">D14/100</f>
        <v>3.5270999999999997E-2</v>
      </c>
      <c r="D14" s="1">
        <v>3.5270999999999999</v>
      </c>
      <c r="E14" s="11">
        <v>45297</v>
      </c>
      <c r="F14" s="2">
        <f t="shared" ref="F14:F25" si="3">(E14-$D$3)/365</f>
        <v>0.25205479452054796</v>
      </c>
      <c r="G14" s="16">
        <v>8.8000000000000005E-3</v>
      </c>
      <c r="I14" s="3">
        <v>43146</v>
      </c>
      <c r="K14" s="1">
        <v>49331</v>
      </c>
      <c r="L14" s="10">
        <v>50062</v>
      </c>
      <c r="N14" s="17" t="s">
        <v>22</v>
      </c>
      <c r="O14" s="17"/>
    </row>
    <row r="15" spans="1:17" x14ac:dyDescent="0.35">
      <c r="A15" s="11">
        <v>45301</v>
      </c>
      <c r="B15" s="2">
        <f t="shared" si="1"/>
        <v>0.26301369863013696</v>
      </c>
      <c r="C15" s="5">
        <f t="shared" si="2"/>
        <v>3.7902999999999999E-2</v>
      </c>
      <c r="D15" s="1">
        <v>3.7902999999999998</v>
      </c>
      <c r="E15" s="11">
        <v>45390</v>
      </c>
      <c r="F15" s="2">
        <f t="shared" si="3"/>
        <v>0.50684931506849318</v>
      </c>
      <c r="G15" s="16">
        <v>9.1999999999999998E-3</v>
      </c>
      <c r="I15" s="3">
        <v>43147</v>
      </c>
      <c r="K15" s="1">
        <v>49696</v>
      </c>
      <c r="L15" s="10">
        <v>50427</v>
      </c>
    </row>
    <row r="16" spans="1:17" x14ac:dyDescent="0.35">
      <c r="A16" s="11">
        <v>45393</v>
      </c>
      <c r="B16" s="2">
        <f t="shared" si="1"/>
        <v>0.51506849315068493</v>
      </c>
      <c r="C16" s="5">
        <f t="shared" si="2"/>
        <v>3.8933000000000002E-2</v>
      </c>
      <c r="D16" s="1">
        <v>3.8933</v>
      </c>
      <c r="E16" s="11">
        <v>45481</v>
      </c>
      <c r="F16" s="2">
        <f t="shared" si="3"/>
        <v>0.75616438356164384</v>
      </c>
      <c r="G16" s="16">
        <v>9.4000000000000004E-3</v>
      </c>
      <c r="I16" s="3">
        <v>43148</v>
      </c>
      <c r="K16" s="1">
        <v>50062</v>
      </c>
      <c r="L16" s="10">
        <v>50794</v>
      </c>
    </row>
    <row r="17" spans="1:11" x14ac:dyDescent="0.35">
      <c r="A17" s="11">
        <v>45483</v>
      </c>
      <c r="B17" s="2">
        <f t="shared" si="1"/>
        <v>0.76164383561643834</v>
      </c>
      <c r="C17" s="5">
        <f t="shared" si="2"/>
        <v>3.9302999999999998E-2</v>
      </c>
      <c r="D17" s="1">
        <v>3.9302999999999999</v>
      </c>
      <c r="E17" s="11">
        <v>45572</v>
      </c>
      <c r="F17" s="2">
        <f t="shared" si="3"/>
        <v>1.0054794520547945</v>
      </c>
      <c r="G17" s="16">
        <v>9.4999999999999998E-3</v>
      </c>
      <c r="I17" s="3">
        <v>43160</v>
      </c>
      <c r="K17" s="1">
        <v>50427</v>
      </c>
    </row>
    <row r="18" spans="1:11" x14ac:dyDescent="0.35">
      <c r="A18" s="11">
        <v>45575</v>
      </c>
      <c r="B18" s="2">
        <f t="shared" si="1"/>
        <v>1.0136986301369864</v>
      </c>
      <c r="C18" s="5">
        <f t="shared" si="2"/>
        <v>3.9365999999999998E-2</v>
      </c>
      <c r="D18" s="1">
        <v>3.9365999999999999</v>
      </c>
      <c r="E18" s="11">
        <v>45754</v>
      </c>
      <c r="F18" s="2">
        <f t="shared" si="3"/>
        <v>1.5041095890410958</v>
      </c>
      <c r="G18" s="16">
        <v>8.3000000000000001E-3</v>
      </c>
      <c r="I18" s="3">
        <v>43221</v>
      </c>
      <c r="K18" s="1">
        <v>50794</v>
      </c>
    </row>
    <row r="19" spans="1:11" x14ac:dyDescent="0.35">
      <c r="A19" s="11">
        <v>45757</v>
      </c>
      <c r="B19" s="2">
        <f t="shared" si="1"/>
        <v>1.5123287671232877</v>
      </c>
      <c r="C19" s="5">
        <f t="shared" si="2"/>
        <v>3.9529000000000002E-2</v>
      </c>
      <c r="D19" s="1">
        <v>3.9529000000000001</v>
      </c>
      <c r="E19" s="11">
        <v>45940</v>
      </c>
      <c r="F19" s="2">
        <f t="shared" si="3"/>
        <v>2.0136986301369864</v>
      </c>
      <c r="G19" s="16">
        <v>7.3000000000000001E-3</v>
      </c>
      <c r="I19" s="3">
        <v>43227</v>
      </c>
    </row>
    <row r="20" spans="1:11" x14ac:dyDescent="0.35">
      <c r="A20" s="11">
        <v>45940</v>
      </c>
      <c r="B20" s="2">
        <f t="shared" si="1"/>
        <v>2.0136986301369864</v>
      </c>
      <c r="C20" s="5">
        <f t="shared" si="2"/>
        <v>3.9586000000000003E-2</v>
      </c>
      <c r="D20" s="1">
        <v>3.9586000000000001</v>
      </c>
      <c r="E20" s="11">
        <v>46301</v>
      </c>
      <c r="F20" s="2">
        <f t="shared" si="3"/>
        <v>3.0027397260273974</v>
      </c>
      <c r="G20" s="16">
        <v>7.0000000000000001E-3</v>
      </c>
      <c r="I20" s="3">
        <v>43242</v>
      </c>
    </row>
    <row r="21" spans="1:11" x14ac:dyDescent="0.35">
      <c r="A21" s="11">
        <v>46307</v>
      </c>
      <c r="B21" s="2">
        <f t="shared" si="1"/>
        <v>3.0191780821917806</v>
      </c>
      <c r="C21" s="5">
        <f t="shared" si="2"/>
        <v>3.9591000000000001E-2</v>
      </c>
      <c r="D21" s="1">
        <v>3.9590999999999998</v>
      </c>
      <c r="E21" s="11">
        <v>46666</v>
      </c>
      <c r="F21" s="2">
        <f t="shared" si="3"/>
        <v>4.0027397260273974</v>
      </c>
      <c r="G21" s="16">
        <v>6.7999999999999996E-3</v>
      </c>
      <c r="I21" s="3">
        <v>43257</v>
      </c>
    </row>
    <row r="22" spans="1:11" x14ac:dyDescent="0.35">
      <c r="A22" s="11">
        <v>46671</v>
      </c>
      <c r="B22" s="2">
        <f t="shared" si="1"/>
        <v>4.0164383561643833</v>
      </c>
      <c r="C22" s="5">
        <f t="shared" si="2"/>
        <v>3.9673E-2</v>
      </c>
      <c r="D22" s="1">
        <v>3.9672999999999998</v>
      </c>
      <c r="E22" s="11">
        <v>47032</v>
      </c>
      <c r="F22" s="2">
        <f t="shared" si="3"/>
        <v>5.0054794520547947</v>
      </c>
      <c r="G22" s="16">
        <v>6.8999999999999999E-3</v>
      </c>
    </row>
    <row r="23" spans="1:11" x14ac:dyDescent="0.35">
      <c r="A23" s="11">
        <v>47036</v>
      </c>
      <c r="B23" s="2">
        <f t="shared" si="1"/>
        <v>5.0164383561643833</v>
      </c>
      <c r="C23" s="5">
        <f t="shared" si="2"/>
        <v>3.9701E-2</v>
      </c>
      <c r="D23" s="1">
        <v>3.9701</v>
      </c>
      <c r="E23" s="11">
        <v>47763</v>
      </c>
      <c r="F23" s="2">
        <f t="shared" si="3"/>
        <v>7.0082191780821921</v>
      </c>
      <c r="G23" s="16">
        <v>6.4999999999999997E-3</v>
      </c>
    </row>
    <row r="24" spans="1:11" x14ac:dyDescent="0.35">
      <c r="A24" s="11">
        <v>47401</v>
      </c>
      <c r="B24" s="2">
        <f t="shared" si="1"/>
        <v>6.0164383561643833</v>
      </c>
      <c r="C24" s="5">
        <f t="shared" si="2"/>
        <v>3.9782999999999999E-2</v>
      </c>
      <c r="D24" s="1">
        <v>3.9782999999999999</v>
      </c>
      <c r="E24" s="11">
        <v>48858</v>
      </c>
      <c r="F24" s="2">
        <f t="shared" si="3"/>
        <v>10.008219178082191</v>
      </c>
      <c r="G24" s="16">
        <v>6.4000000000000003E-3</v>
      </c>
    </row>
    <row r="25" spans="1:11" x14ac:dyDescent="0.35">
      <c r="A25" s="11">
        <v>47766</v>
      </c>
      <c r="B25" s="2">
        <f t="shared" si="1"/>
        <v>7.0164383561643833</v>
      </c>
      <c r="C25" s="5">
        <f t="shared" si="2"/>
        <v>3.9837999999999998E-2</v>
      </c>
      <c r="D25" s="1">
        <v>3.9838</v>
      </c>
      <c r="E25" s="11">
        <v>50791</v>
      </c>
      <c r="F25" s="2">
        <f t="shared" si="3"/>
        <v>15.304109589041095</v>
      </c>
      <c r="G25" s="16">
        <v>6.4000000000000003E-3</v>
      </c>
    </row>
    <row r="26" spans="1:11" x14ac:dyDescent="0.35">
      <c r="A26" s="11">
        <v>48131</v>
      </c>
      <c r="B26" s="2">
        <f t="shared" si="1"/>
        <v>8.0164383561643842</v>
      </c>
      <c r="C26" s="5">
        <f t="shared" si="2"/>
        <v>3.9923E-2</v>
      </c>
      <c r="D26" s="1">
        <v>3.9923000000000002</v>
      </c>
      <c r="F26" s="2"/>
      <c r="G26" s="16"/>
    </row>
    <row r="27" spans="1:11" x14ac:dyDescent="0.35">
      <c r="A27" s="11">
        <v>48498</v>
      </c>
      <c r="B27" s="2">
        <f t="shared" si="1"/>
        <v>9.0219178082191789</v>
      </c>
      <c r="C27" s="5">
        <f t="shared" si="2"/>
        <v>4.0037000000000003E-2</v>
      </c>
      <c r="D27" s="1">
        <v>4.0037000000000003</v>
      </c>
      <c r="F27" s="2"/>
      <c r="G27" s="16"/>
    </row>
    <row r="28" spans="1:11" x14ac:dyDescent="0.35">
      <c r="A28" s="11">
        <v>48862</v>
      </c>
      <c r="B28" s="2">
        <f t="shared" si="1"/>
        <v>10.019178082191781</v>
      </c>
      <c r="C28" s="5">
        <f t="shared" si="2"/>
        <v>4.0153000000000001E-2</v>
      </c>
      <c r="D28" s="1">
        <v>4.0152999999999999</v>
      </c>
      <c r="F28" s="2"/>
      <c r="G28" s="16"/>
    </row>
    <row r="29" spans="1:11" x14ac:dyDescent="0.35">
      <c r="A29" s="11">
        <v>49592</v>
      </c>
      <c r="B29" s="2">
        <f t="shared" si="1"/>
        <v>12.019178082191781</v>
      </c>
      <c r="C29" s="5">
        <f t="shared" si="2"/>
        <v>4.0266000000000003E-2</v>
      </c>
      <c r="D29" s="1">
        <v>4.0266000000000002</v>
      </c>
      <c r="F29" s="2"/>
      <c r="G29" s="16"/>
    </row>
    <row r="30" spans="1:11" x14ac:dyDescent="0.35">
      <c r="A30" s="11">
        <v>50689</v>
      </c>
      <c r="B30" s="2">
        <f t="shared" si="1"/>
        <v>15.024657534246575</v>
      </c>
      <c r="C30" s="5">
        <f t="shared" si="2"/>
        <v>4.0155999999999997E-2</v>
      </c>
      <c r="D30" s="1">
        <v>4.0156000000000001</v>
      </c>
      <c r="F30" s="2"/>
      <c r="G30" s="16"/>
    </row>
    <row r="31" spans="1:11" x14ac:dyDescent="0.35">
      <c r="A31" s="11">
        <v>52516</v>
      </c>
      <c r="B31" s="2">
        <f t="shared" si="1"/>
        <v>20.030136986301368</v>
      </c>
      <c r="C31" s="5">
        <f t="shared" si="2"/>
        <v>3.8306E-2</v>
      </c>
      <c r="D31" s="1">
        <v>3.8306</v>
      </c>
      <c r="F31" s="2"/>
      <c r="G31" s="16"/>
    </row>
    <row r="32" spans="1:11" x14ac:dyDescent="0.35">
      <c r="A32" s="11">
        <v>54343</v>
      </c>
      <c r="B32" s="2">
        <f t="shared" si="1"/>
        <v>25.035616438356165</v>
      </c>
      <c r="C32" s="5">
        <f t="shared" si="2"/>
        <v>3.6707000000000004E-2</v>
      </c>
      <c r="D32" s="1">
        <v>3.6707000000000001</v>
      </c>
      <c r="F32" s="2"/>
      <c r="G32" s="16"/>
    </row>
    <row r="33" spans="1:7" x14ac:dyDescent="0.35">
      <c r="A33" s="11">
        <v>56167</v>
      </c>
      <c r="B33" s="2">
        <f t="shared" si="1"/>
        <v>30.032876712328768</v>
      </c>
      <c r="C33" s="5">
        <f t="shared" si="2"/>
        <v>3.5825000000000003E-2</v>
      </c>
      <c r="D33" s="1">
        <v>3.5825</v>
      </c>
      <c r="F33" s="2"/>
      <c r="G33" s="16"/>
    </row>
    <row r="34" spans="1:7" x14ac:dyDescent="0.4">
      <c r="F34" s="4"/>
      <c r="G34" s="6"/>
    </row>
    <row r="35" spans="1:7" x14ac:dyDescent="0.4">
      <c r="F35" s="4"/>
      <c r="G35" s="6"/>
    </row>
  </sheetData>
  <mergeCells count="51">
    <mergeCell ref="H3:I3"/>
    <mergeCell ref="J3:K3"/>
    <mergeCell ref="B10:C10"/>
    <mergeCell ref="D10:E10"/>
    <mergeCell ref="F5:G5"/>
    <mergeCell ref="F4:G4"/>
    <mergeCell ref="B3:C3"/>
    <mergeCell ref="D3:E3"/>
    <mergeCell ref="F3:G3"/>
    <mergeCell ref="H4:I4"/>
    <mergeCell ref="B7:C7"/>
    <mergeCell ref="D7:E7"/>
    <mergeCell ref="H5:I5"/>
    <mergeCell ref="F6:G6"/>
    <mergeCell ref="B4:C4"/>
    <mergeCell ref="D4:E4"/>
    <mergeCell ref="B5:C5"/>
    <mergeCell ref="D5:E5"/>
    <mergeCell ref="J7:K7"/>
    <mergeCell ref="F7:G7"/>
    <mergeCell ref="H7:I7"/>
    <mergeCell ref="B6:C6"/>
    <mergeCell ref="D6:E6"/>
    <mergeCell ref="H6:I6"/>
    <mergeCell ref="P6:Q6"/>
    <mergeCell ref="N7:O7"/>
    <mergeCell ref="P7:Q7"/>
    <mergeCell ref="B11:C12"/>
    <mergeCell ref="F8:G8"/>
    <mergeCell ref="H8:I8"/>
    <mergeCell ref="F9:G9"/>
    <mergeCell ref="H9:I9"/>
    <mergeCell ref="B9:C9"/>
    <mergeCell ref="D9:E9"/>
    <mergeCell ref="I11:I12"/>
    <mergeCell ref="F11:G11"/>
    <mergeCell ref="L3:M3"/>
    <mergeCell ref="J2:M2"/>
    <mergeCell ref="J4:K4"/>
    <mergeCell ref="L4:M4"/>
    <mergeCell ref="N6:O6"/>
    <mergeCell ref="J6:K6"/>
    <mergeCell ref="N14:O14"/>
    <mergeCell ref="P9:Q9"/>
    <mergeCell ref="P10:Q10"/>
    <mergeCell ref="P11:Q11"/>
    <mergeCell ref="P12:Q12"/>
    <mergeCell ref="N9:O9"/>
    <mergeCell ref="N10:O10"/>
    <mergeCell ref="N11:O11"/>
    <mergeCell ref="N12:O12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2023-12-10T11:34:22Z</dcterms:modified>
</cp:coreProperties>
</file>