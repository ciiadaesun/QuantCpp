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<sst xmlns="http://schemas.openxmlformats.org/spreadsheetml/2006/main" count="29" uniqueCount="29">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</sst>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M9" sqref="M9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1</v>
      </c>
      <c r="F2" s="1"/>
      <c r="G2" s="1"/>
      <c r="I2" s="1"/>
      <c r="J2" s="28" t="s">
        <v>17</v>
      </c>
      <c r="K2" s="28"/>
      <c r="L2" s="28"/>
      <c r="M2" s="28"/>
      <c r="N2" s="1"/>
      <c r="O2" s="1"/>
    </row>
    <row r="3" spans="1:17" x14ac:dyDescent="0.4">
      <c r="B3" s="18" t="s">
        <v>0</v>
      </c>
      <c r="C3" s="18"/>
      <c r="D3" s="22">
        <v>45205</v>
      </c>
      <c r="E3" s="21"/>
      <c r="F3" s="18" t="s">
        <v>1</v>
      </c>
      <c r="G3" s="18"/>
      <c r="H3" s="17">
        <v>1</v>
      </c>
      <c r="I3" s="17"/>
      <c r="J3" s="18" t="s">
        <v>18</v>
      </c>
      <c r="K3" s="18"/>
      <c r="L3" s="17">
        <v>1</v>
      </c>
      <c r="M3" s="17"/>
      <c r="N3" s="1"/>
      <c r="O3" s="1"/>
    </row>
    <row r="4" spans="1:17" x14ac:dyDescent="0.4">
      <c r="B4" s="18" t="s">
        <v>3</v>
      </c>
      <c r="C4" s="18"/>
      <c r="D4" s="22">
        <v>47505</v>
      </c>
      <c r="E4" s="21"/>
      <c r="F4" s="18" t="s">
        <v>6</v>
      </c>
      <c r="G4" s="18"/>
      <c r="H4" s="21">
        <v>0</v>
      </c>
      <c r="I4" s="21"/>
      <c r="J4" s="19" t="s">
        <v>19</v>
      </c>
      <c r="K4" s="20"/>
      <c r="L4" s="29">
        <v>2.63E-2</v>
      </c>
      <c r="M4" s="29"/>
      <c r="N4" s="1"/>
      <c r="O4" s="1"/>
    </row>
    <row r="5" spans="1:17" x14ac:dyDescent="0.4">
      <c r="B5" s="18" t="s">
        <v>4</v>
      </c>
      <c r="C5" s="18"/>
      <c r="D5" s="22">
        <v>51158</v>
      </c>
      <c r="E5" s="21"/>
      <c r="F5" s="18" t="s">
        <v>8</v>
      </c>
      <c r="G5" s="18"/>
      <c r="H5" s="17">
        <v>1</v>
      </c>
      <c r="I5" s="17"/>
      <c r="L5" s="1"/>
      <c r="N5" s="1"/>
      <c r="O5" s="1"/>
    </row>
    <row r="6" spans="1:17" x14ac:dyDescent="0.4">
      <c r="B6" s="19" t="s">
        <v>2</v>
      </c>
      <c r="C6" s="20"/>
      <c r="D6" s="21">
        <v>0</v>
      </c>
      <c r="E6" s="21"/>
      <c r="F6" s="18" t="str">
        <f>IF(H5 = 1, "HolidayNation","Not Used")</f>
        <v>HolidayNation</v>
      </c>
      <c r="G6" s="18"/>
      <c r="H6" s="17">
        <v>0</v>
      </c>
      <c r="I6" s="17"/>
      <c r="J6" s="18" t="s">
        <v>24</v>
      </c>
      <c r="K6" s="18"/>
      <c r="L6" s="8">
        <f>COUNT(L7:L1048572)</f>
        <v>10</v>
      </c>
      <c r="N6" s="24" t="s">
        <v>20</v>
      </c>
      <c r="O6" s="24"/>
      <c r="P6" s="23">
        <v>45354.95003472222</v>
      </c>
      <c r="Q6" s="23"/>
    </row>
    <row r="7" spans="1:17" x14ac:dyDescent="0.4">
      <c r="B7" s="19" t="s">
        <v>5</v>
      </c>
      <c r="C7" s="20"/>
      <c r="D7" s="21">
        <v>4</v>
      </c>
      <c r="E7" s="21"/>
      <c r="F7" s="18" t="s">
        <v>15</v>
      </c>
      <c r="G7" s="18"/>
      <c r="H7" s="17">
        <v>0</v>
      </c>
      <c r="I7" s="17"/>
      <c r="J7" s="18" t="s">
        <v>23</v>
      </c>
      <c r="K7" s="18"/>
      <c r="L7" s="10">
        <v>47505</v>
      </c>
      <c r="N7" s="24" t="s">
        <v>21</v>
      </c>
      <c r="O7" s="24"/>
      <c r="P7" s="23">
        <v>45354.95003472222</v>
      </c>
      <c r="Q7" s="23"/>
    </row>
    <row r="8" spans="1:17" x14ac:dyDescent="0.4">
      <c r="B8" s="1"/>
      <c r="C8" s="1"/>
      <c r="F8" s="19" t="s">
        <v>10</v>
      </c>
      <c r="G8" s="20"/>
      <c r="H8" s="26">
        <v>2.0299999999999999E-2</v>
      </c>
      <c r="I8" s="26"/>
      <c r="L8" s="10">
        <v>47875</v>
      </c>
      <c r="N8" s="1"/>
      <c r="O8" s="1"/>
    </row>
    <row r="9" spans="1:17" x14ac:dyDescent="0.4">
      <c r="B9" s="19" t="s">
        <v>7</v>
      </c>
      <c r="C9" s="20"/>
      <c r="D9" s="21">
        <v>1</v>
      </c>
      <c r="E9" s="21"/>
      <c r="F9" s="19" t="s">
        <v>11</v>
      </c>
      <c r="G9" s="20"/>
      <c r="H9" s="27">
        <v>1</v>
      </c>
      <c r="I9" s="27"/>
      <c r="K9" s="1">
        <v>47505</v>
      </c>
      <c r="L9" s="10">
        <v>48235</v>
      </c>
      <c r="N9" s="24" t="s">
        <v>12</v>
      </c>
      <c r="O9" s="24"/>
      <c r="P9" s="30">
        <v>3.5872576989298948E-3</v>
      </c>
      <c r="Q9" s="30"/>
    </row>
    <row r="10" spans="1:17" x14ac:dyDescent="0.4">
      <c r="B10" s="19" t="s">
        <v>25</v>
      </c>
      <c r="C10" s="20"/>
      <c r="D10" s="21">
        <v>1</v>
      </c>
      <c r="E10" s="21"/>
      <c r="F10" s="1"/>
      <c r="G10" s="1"/>
      <c r="I10" s="1"/>
      <c r="K10" s="1">
        <v>47875</v>
      </c>
      <c r="L10" s="10">
        <v>48603</v>
      </c>
      <c r="N10" s="24" t="s">
        <v>14</v>
      </c>
      <c r="O10" s="24"/>
      <c r="P10" s="31">
        <v>3.9967291747879767E-2</v>
      </c>
      <c r="Q10" s="31"/>
    </row>
    <row r="11" spans="1:17" x14ac:dyDescent="0.4">
      <c r="B11" s="25" t="s">
        <v>9</v>
      </c>
      <c r="C11" s="25"/>
      <c r="F11" s="25" t="s">
        <v>28</v>
      </c>
      <c r="G11" s="25"/>
      <c r="I11" s="25" t="str">
        <f>IF(H5=1,"NotUsed","Holiday")</f>
        <v>NotUsed</v>
      </c>
      <c r="K11" s="1">
        <v>48235</v>
      </c>
      <c r="L11" s="10">
        <v>48967</v>
      </c>
      <c r="N11" s="24" t="s">
        <v>13</v>
      </c>
      <c r="O11" s="24"/>
      <c r="P11" s="32">
        <v>-8.3331237267197933E-5</v>
      </c>
      <c r="Q11" s="32"/>
    </row>
    <row r="12" spans="1:17" x14ac:dyDescent="0.4">
      <c r="B12" s="25"/>
      <c r="C12" s="25"/>
      <c r="F12" s="15" t="s">
        <v>27</v>
      </c>
      <c r="G12" s="15" t="s">
        <v>26</v>
      </c>
      <c r="I12" s="25"/>
      <c r="K12" s="1">
        <v>48603</v>
      </c>
      <c r="L12" s="10">
        <v>49331</v>
      </c>
      <c r="N12" s="24" t="s">
        <v>16</v>
      </c>
      <c r="O12" s="24"/>
      <c r="P12" s="33">
        <v>0.12852681876981059</v>
      </c>
      <c r="Q12" s="33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f>(E13-$D$3)/365</f>
        <v>8.4931506849315067E-2</v>
      </c>
      <c r="G13" s="16">
        <v>8.5000000000000006E-3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>
        <f t="shared" ref="F14:F25" si="3">(E14-$D$3)/365</f>
        <v>0.25205479452054796</v>
      </c>
      <c r="G14" s="16">
        <v>8.8000000000000005E-3</v>
      </c>
      <c r="I14" s="3">
        <v>43146</v>
      </c>
      <c r="K14" s="1">
        <v>49331</v>
      </c>
      <c r="L14" s="10">
        <v>50062</v>
      </c>
      <c r="N14" s="24" t="s">
        <v>22</v>
      </c>
      <c r="O14" s="24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>
        <f t="shared" si="3"/>
        <v>0.50684931506849318</v>
      </c>
      <c r="G15" s="16">
        <v>9.1999999999999998E-3</v>
      </c>
      <c r="I15" s="3">
        <v>43147</v>
      </c>
      <c r="K15" s="1">
        <v>49696</v>
      </c>
      <c r="L15" s="10">
        <v>50427</v>
      </c>
      <c r="N15" s="7">
        <v>1.0958904109589041E-2</v>
      </c>
      <c r="O15" s="7">
        <v>0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>
        <f t="shared" si="3"/>
        <v>0.75616438356164384</v>
      </c>
      <c r="G16" s="16">
        <v>9.4000000000000004E-3</v>
      </c>
      <c r="I16" s="3">
        <v>43148</v>
      </c>
      <c r="K16" s="1">
        <v>50062</v>
      </c>
      <c r="L16" s="10">
        <v>50794</v>
      </c>
      <c r="N16" s="7">
        <v>1.3698630136986301E-2</v>
      </c>
      <c r="O16" s="7">
        <v>0</v>
      </c>
    </row>
    <row r="17" spans="1:15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>
        <f t="shared" si="3"/>
        <v>1.0054794520547945</v>
      </c>
      <c r="G17" s="16">
        <v>9.4999999999999998E-3</v>
      </c>
      <c r="I17" s="3">
        <v>43160</v>
      </c>
      <c r="K17" s="1">
        <v>50427</v>
      </c>
      <c r="N17" s="7">
        <v>0.26301369863013696</v>
      </c>
      <c r="O17" s="7">
        <v>0</v>
      </c>
    </row>
    <row r="18" spans="1:15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>
        <f t="shared" si="3"/>
        <v>1.5041095890410958</v>
      </c>
      <c r="G18" s="16">
        <v>8.3000000000000001E-3</v>
      </c>
      <c r="I18" s="3">
        <v>43221</v>
      </c>
      <c r="K18" s="1">
        <v>50794</v>
      </c>
      <c r="N18" s="7">
        <v>0.51506849315068493</v>
      </c>
      <c r="O18" s="7">
        <v>0</v>
      </c>
    </row>
    <row r="19" spans="1:15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>
        <f t="shared" si="3"/>
        <v>2.0136986301369864</v>
      </c>
      <c r="G19" s="16">
        <v>7.3000000000000001E-3</v>
      </c>
      <c r="I19" s="3">
        <v>43227</v>
      </c>
      <c r="N19" s="7">
        <v>0.76164383561643834</v>
      </c>
      <c r="O19" s="7">
        <v>0</v>
      </c>
    </row>
    <row r="20" spans="1:15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>
        <f t="shared" si="3"/>
        <v>3.0027397260273974</v>
      </c>
      <c r="G20" s="16">
        <v>7.0000000000000001E-3</v>
      </c>
      <c r="I20" s="3">
        <v>43242</v>
      </c>
      <c r="N20" s="7">
        <v>1.0136986301369864</v>
      </c>
      <c r="O20" s="7">
        <v>0</v>
      </c>
    </row>
    <row r="21" spans="1:15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>
        <f t="shared" si="3"/>
        <v>4.0027397260273974</v>
      </c>
      <c r="G21" s="16">
        <v>6.7999999999999996E-3</v>
      </c>
      <c r="I21" s="3">
        <v>43257</v>
      </c>
      <c r="N21" s="7">
        <v>1.5123287671232877</v>
      </c>
      <c r="O21" s="7">
        <v>0</v>
      </c>
    </row>
    <row r="22" spans="1:15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>
        <f t="shared" si="3"/>
        <v>5.0054794520547947</v>
      </c>
      <c r="G22" s="16">
        <v>6.8999999999999999E-3</v>
      </c>
      <c r="N22" s="7">
        <v>2.0136986301369864</v>
      </c>
      <c r="O22" s="7">
        <v>0</v>
      </c>
    </row>
    <row r="23" spans="1:15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>
        <f t="shared" si="3"/>
        <v>7.0082191780821921</v>
      </c>
      <c r="G23" s="16">
        <v>6.4999999999999997E-3</v>
      </c>
      <c r="N23" s="7">
        <v>3.0191780821917806</v>
      </c>
      <c r="O23" s="7">
        <v>0</v>
      </c>
    </row>
    <row r="24" spans="1:15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>
        <f t="shared" si="3"/>
        <v>10.008219178082191</v>
      </c>
      <c r="G24" s="16">
        <v>6.4000000000000003E-3</v>
      </c>
      <c r="N24" s="7">
        <v>4.0164383561643833</v>
      </c>
      <c r="O24" s="7">
        <v>0</v>
      </c>
    </row>
    <row r="25" spans="1:15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si="3"/>
        <v>15.304109589041095</v>
      </c>
      <c r="G25" s="16">
        <v>6.4000000000000003E-3</v>
      </c>
      <c r="N25" s="7">
        <v>5.0164383561643833</v>
      </c>
      <c r="O25" s="7">
        <v>0</v>
      </c>
    </row>
    <row r="26" spans="1:15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  <c r="N26" s="7">
        <v>6.0164383561643833</v>
      </c>
      <c r="O26" s="7">
        <v>4.1352895847654447E-5</v>
      </c>
    </row>
    <row r="27" spans="1:15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  <c r="N27" s="7">
        <v>7.0164383561643833</v>
      </c>
      <c r="O27" s="7">
        <v>1.3832114167722231E-5</v>
      </c>
    </row>
    <row r="28" spans="1:15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  <c r="N28" s="7">
        <v>8.0164383561643842</v>
      </c>
      <c r="O28" s="7">
        <v>-3.3408797351641706E-6</v>
      </c>
    </row>
    <row r="29" spans="1:15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  <c r="N29" s="7">
        <v>9.0219178082191789</v>
      </c>
      <c r="O29" s="7">
        <v>-3.6070451901182299E-6</v>
      </c>
    </row>
    <row r="30" spans="1:15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  <c r="N30" s="7">
        <v>10.019178082191781</v>
      </c>
      <c r="O30" s="7">
        <v>-5.8584073084899657E-6</v>
      </c>
    </row>
    <row r="31" spans="1:15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  <c r="N31" s="7">
        <v>12.019178082191781</v>
      </c>
      <c r="O31" s="7">
        <v>-1.0745322375299571E-5</v>
      </c>
    </row>
    <row r="32" spans="1:15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  <c r="N32" s="7">
        <v>15.024657534246575</v>
      </c>
      <c r="O32" s="7">
        <v>-8.771543770000334E-5</v>
      </c>
    </row>
    <row r="33" spans="1:15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  <c r="N33" s="7">
        <v>20.030136986301368</v>
      </c>
      <c r="O33" s="7">
        <v>-2.7000106809366153E-5</v>
      </c>
    </row>
    <row r="34" spans="1:15" x14ac:dyDescent="0.4">
      <c r="F34" s="4"/>
      <c r="G34" s="6"/>
      <c r="N34" s="7">
        <v>25.035616438356165</v>
      </c>
      <c r="O34" s="7">
        <v>0</v>
      </c>
    </row>
    <row r="35" spans="1:15" x14ac:dyDescent="0.4">
      <c r="F35" s="4"/>
      <c r="G35" s="6"/>
      <c r="N35" s="7">
        <v>30.032876712328768</v>
      </c>
      <c r="O35" s="7">
        <v>0</v>
      </c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2024-03-03T13:48:04Z</dcterms:modified>
</cp:coreProperties>
</file>