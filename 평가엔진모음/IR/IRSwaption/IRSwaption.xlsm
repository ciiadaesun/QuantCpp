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G11" i="1" l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</commentList>
</comments>
</file>

<file path=xl/sharedStrings.xml><?xml version="1.0" encoding="utf-8"?>
<sst xmlns="http://schemas.openxmlformats.org/spreadsheetml/2006/main" count="26" uniqueCount="26">
  <si>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</si>
  <si>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</si>
  <si>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</si>
  <si>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</si>
  <si>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</si>
  <si>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</si>
  <si>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</si>
  <si>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</si>
  <si>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</si>
  <si>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</si>
  <si>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</si>
  <si>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</si>
  <si>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</si>
  <si>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</si>
  <si>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</si>
  <si>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ForwardSwapRate</t>
    <phoneticPr fontId="2" type="noConversion"/>
  </si>
  <si>
    <t>Price or Value Flag</t>
    <phoneticPr fontId="2" type="noConversion"/>
  </si>
  <si>
    <t>스왑션행사가치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</si>
  <si>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</si>
  <si>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</si>
  <si>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</si>
  <si>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</si>
  <si>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</si>
  <si>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Key PV01</t>
    <phoneticPr fontId="2" type="noConversion"/>
  </si>
  <si>
    <t>조기행사날짜</t>
    <phoneticPr fontId="2" type="noConversion"/>
  </si>
  <si>
    <t>조기상환개수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</si>
</sst>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_);[Red]\(0.00\)"/>
    <numFmt numFmtId="177" formatCode="0.000%"/>
    <numFmt numFmtId="178" formatCode="0.0000%"/>
    <numFmt numFmtId="179" formatCode="0.0_);[Red]\(0.0\)"/>
    <numFmt numFmtId="180" formatCode="0.00000%"/>
    <numFmt numFmtId="181" formatCode="0.000_);[Red]\(0.000\)"/>
    <numFmt numFmtId="182" formatCode="[$-F400]h:mm:ss\ AM/PM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2" borderId="0" xfId="0" applyFill="1">
      <alignment vertical="center"/>
    </xf>
    <xf numFmtId="176" fontId="8" fillId="5" borderId="0" xfId="0" applyNumberFormat="1" applyFont="1" applyFill="1" applyBorder="1" applyAlignment="1">
      <alignment vertical="center"/>
    </xf>
    <xf numFmtId="14" fontId="11" fillId="5" borderId="0" xfId="0" applyNumberFormat="1" applyFont="1" applyFill="1" applyAlignment="1">
      <alignment horizontal="center" vertical="center"/>
    </xf>
    <xf numFmtId="0" fontId="0" fillId="5" borderId="0" xfId="0" applyFill="1">
      <alignment vertical="center"/>
    </xf>
    <xf numFmtId="176" fontId="12" fillId="5" borderId="0" xfId="0" applyNumberFormat="1" applyFont="1" applyFill="1" applyBorder="1">
      <alignment vertical="center"/>
    </xf>
    <xf numFmtId="176" fontId="13" fillId="5" borderId="0" xfId="0" applyNumberFormat="1" applyFont="1" applyFill="1">
      <alignment vertical="center"/>
    </xf>
    <xf numFmtId="178" fontId="9" fillId="5" borderId="0" xfId="0" applyNumberFormat="1" applyFont="1" applyFill="1" applyBorder="1" applyAlignment="1"/>
    <xf numFmtId="178" fontId="9" fillId="5" borderId="0" xfId="1" applyNumberFormat="1" applyFont="1" applyFill="1" applyBorder="1" applyAlignment="1"/>
    <xf numFmtId="178" fontId="4" fillId="5" borderId="0" xfId="1" applyNumberFormat="1" applyFont="1" applyFill="1" applyBorder="1">
      <alignment vertical="center"/>
    </xf>
    <xf numFmtId="178" fontId="0" fillId="5" borderId="0" xfId="1" applyNumberFormat="1" applyFont="1" applyFill="1">
      <alignment vertical="center"/>
    </xf>
    <xf numFmtId="176" fontId="0" fillId="8" borderId="0" xfId="0" applyNumberForma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0" fontId="3" fillId="3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0" xfId="0" applyNumberFormat="1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  <xf numFmtId="182" fontId="0" fillId="8" borderId="0" xfId="0" applyNumberFormat="1" applyFill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1" applyNumberFormat="1" applyFont="1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3"/>
  <sheetViews>
    <sheetView tabSelected="1" topLeftCell="B1" workbookViewId="0">
      <selection activeCell="K8" sqref="K8"/>
    </sheetView>
  </sheetViews>
  <sheetFormatPr defaultColWidth="10.8984375" defaultRowHeight="17.399999999999999" x14ac:dyDescent="0.4"/>
  <cols>
    <col min="1" max="1" width="10.8984375" style="1"/>
    <col min="2" max="2" width="10.8984375" style="6"/>
    <col min="3" max="3" width="10.8984375" style="10"/>
    <col min="4" max="6" width="10.8984375" style="1"/>
    <col min="7" max="7" width="10.8984375" style="4"/>
    <col min="8" max="11" width="10.8984375" style="1"/>
    <col min="12" max="12" width="10.8984375" style="13"/>
    <col min="13" max="13" width="10.8984375" style="1"/>
    <col min="14" max="15" width="10.8984375" style="11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G2" s="1"/>
      <c r="J2" s="27" t="s">
        <v>18</v>
      </c>
      <c r="K2" s="27"/>
      <c r="L2" s="27"/>
      <c r="M2" s="27"/>
      <c r="N2" s="1"/>
      <c r="O2" s="1"/>
    </row>
    <row r="3" spans="1:17" x14ac:dyDescent="0.4">
      <c r="B3" s="15" t="s">
        <v>0</v>
      </c>
      <c r="C3" s="15"/>
      <c r="D3" s="16">
        <v>45193</v>
      </c>
      <c r="E3" s="17"/>
      <c r="F3" s="15" t="s">
        <v>1</v>
      </c>
      <c r="G3" s="15"/>
      <c r="H3" s="18">
        <v>1</v>
      </c>
      <c r="I3" s="18"/>
      <c r="J3" s="15" t="s">
        <v>19</v>
      </c>
      <c r="K3" s="15"/>
      <c r="L3" s="18">
        <v>1</v>
      </c>
      <c r="M3" s="18"/>
      <c r="N3" s="1"/>
      <c r="O3" s="1"/>
    </row>
    <row r="4" spans="1:17" x14ac:dyDescent="0.4">
      <c r="B4" s="15" t="s">
        <v>3</v>
      </c>
      <c r="C4" s="15"/>
      <c r="D4" s="16">
        <v>45559</v>
      </c>
      <c r="E4" s="17"/>
      <c r="F4" s="15" t="s">
        <v>6</v>
      </c>
      <c r="G4" s="15"/>
      <c r="H4" s="17">
        <v>0</v>
      </c>
      <c r="I4" s="17"/>
      <c r="J4" s="19" t="s">
        <v>20</v>
      </c>
      <c r="K4" s="20"/>
      <c r="L4" s="28">
        <v>0.01</v>
      </c>
      <c r="M4" s="28"/>
      <c r="N4" s="1"/>
      <c r="O4" s="1"/>
    </row>
    <row r="5" spans="1:17" x14ac:dyDescent="0.4">
      <c r="B5" s="15" t="s">
        <v>4</v>
      </c>
      <c r="C5" s="15"/>
      <c r="D5" s="16">
        <v>47385</v>
      </c>
      <c r="E5" s="17"/>
      <c r="F5" s="15" t="s">
        <v>9</v>
      </c>
      <c r="G5" s="15"/>
      <c r="H5" s="18">
        <v>1</v>
      </c>
      <c r="I5" s="18"/>
      <c r="L5" s="1"/>
      <c r="N5" s="1"/>
      <c r="O5" s="1"/>
    </row>
    <row r="6" spans="1:17" x14ac:dyDescent="0.4">
      <c r="B6" s="19" t="s">
        <v>2</v>
      </c>
      <c r="C6" s="20"/>
      <c r="D6" s="17">
        <v>0</v>
      </c>
      <c r="E6" s="17"/>
      <c r="F6" s="15" t="str">
        <f>IF(H5 = 1, "HolidayNation","Not Used")</f>
        <v>HolidayNation</v>
      </c>
      <c r="G6" s="15"/>
      <c r="H6" s="18">
        <v>0</v>
      </c>
      <c r="I6" s="18"/>
      <c r="J6" s="15" t="s">
        <v>25</v>
      </c>
      <c r="K6" s="15"/>
      <c r="L6" s="12">
        <f>COUNT(L7:L1048572)</f>
        <v>2</v>
      </c>
      <c r="N6" s="26" t="s">
        <v>21</v>
      </c>
      <c r="O6" s="26"/>
      <c r="P6" s="25">
        <v>45205.328217592592</v>
      </c>
      <c r="Q6" s="25"/>
    </row>
    <row r="7" spans="1:17" x14ac:dyDescent="0.4">
      <c r="B7" s="19" t="s">
        <v>5</v>
      </c>
      <c r="C7" s="20"/>
      <c r="D7" s="17">
        <v>4</v>
      </c>
      <c r="E7" s="17"/>
      <c r="F7" s="15" t="s">
        <v>16</v>
      </c>
      <c r="G7" s="15"/>
      <c r="H7" s="18">
        <v>0</v>
      </c>
      <c r="I7" s="18"/>
      <c r="J7" s="15" t="s">
        <v>24</v>
      </c>
      <c r="K7" s="15"/>
      <c r="L7" s="14">
        <v>45375</v>
      </c>
      <c r="N7" s="26" t="s">
        <v>22</v>
      </c>
      <c r="O7" s="26"/>
      <c r="P7" s="25">
        <v>45205.328217592592</v>
      </c>
      <c r="Q7" s="25"/>
    </row>
    <row r="8" spans="1:17" x14ac:dyDescent="0.4">
      <c r="B8" s="19" t="s">
        <v>7</v>
      </c>
      <c r="C8" s="20"/>
      <c r="D8" s="21">
        <v>0.2</v>
      </c>
      <c r="E8" s="21"/>
      <c r="F8" s="19" t="s">
        <v>11</v>
      </c>
      <c r="G8" s="20"/>
      <c r="H8" s="23">
        <v>3.5000000000000003E-2</v>
      </c>
      <c r="I8" s="23"/>
      <c r="L8" s="14">
        <v>45467</v>
      </c>
      <c r="N8" s="1"/>
      <c r="O8" s="1"/>
    </row>
    <row r="9" spans="1:17" x14ac:dyDescent="0.4">
      <c r="B9" s="19" t="s">
        <v>8</v>
      </c>
      <c r="C9" s="20"/>
      <c r="D9" s="17">
        <v>0</v>
      </c>
      <c r="E9" s="17"/>
      <c r="F9" s="19" t="s">
        <v>12</v>
      </c>
      <c r="G9" s="20"/>
      <c r="H9" s="24">
        <v>1</v>
      </c>
      <c r="I9" s="24"/>
      <c r="N9" s="26" t="s">
        <v>13</v>
      </c>
      <c r="O9" s="26"/>
      <c r="P9" s="29">
        <v>4.5730608678128358E-2</v>
      </c>
      <c r="Q9" s="29"/>
    </row>
    <row r="10" spans="1:17" x14ac:dyDescent="0.4">
      <c r="B10" s="1"/>
      <c r="C10" s="1"/>
      <c r="G10" s="1"/>
      <c r="N10" s="26" t="s">
        <v>15</v>
      </c>
      <c r="O10" s="26"/>
      <c r="P10" s="30">
        <v>4.4929366172767896E-2</v>
      </c>
      <c r="Q10" s="30"/>
    </row>
    <row r="11" spans="1:17" x14ac:dyDescent="0.4">
      <c r="B11" s="22" t="s">
        <v>10</v>
      </c>
      <c r="C11" s="22"/>
      <c r="G11" s="22" t="str">
        <f>IF(H5=1,"NotUsed","Holiday")</f>
        <v>NotUsed</v>
      </c>
      <c r="N11" s="26" t="s">
        <v>14</v>
      </c>
      <c r="O11" s="26"/>
      <c r="P11" s="29">
        <v>3.8145351065636823E-4</v>
      </c>
      <c r="Q11" s="29"/>
    </row>
    <row r="12" spans="1:17" x14ac:dyDescent="0.4">
      <c r="B12" s="22"/>
      <c r="C12" s="22"/>
      <c r="G12" s="22"/>
      <c r="N12" s="26" t="s">
        <v>17</v>
      </c>
      <c r="O12" s="26"/>
      <c r="P12" s="31">
        <v>4.3282291226098848E-2</v>
      </c>
      <c r="Q12" s="31"/>
    </row>
    <row r="13" spans="1:17" x14ac:dyDescent="0.35">
      <c r="B13" s="2">
        <v>2.7397260273972603E-3</v>
      </c>
      <c r="C13" s="7">
        <v>3.1519999999999992E-2</v>
      </c>
      <c r="G13" s="3">
        <v>43101</v>
      </c>
      <c r="N13" s="1"/>
      <c r="O13" s="1"/>
    </row>
    <row r="14" spans="1:17" x14ac:dyDescent="0.35">
      <c r="B14" s="2">
        <v>0.25</v>
      </c>
      <c r="C14" s="7">
        <v>3.261E-2</v>
      </c>
      <c r="G14" s="3">
        <v>43146</v>
      </c>
      <c r="N14" s="26" t="s">
        <v>23</v>
      </c>
      <c r="O14" s="26"/>
    </row>
    <row r="15" spans="1:17" x14ac:dyDescent="0.35">
      <c r="B15" s="2">
        <v>0.5</v>
      </c>
      <c r="C15" s="7">
        <v>3.3500000000000002E-2</v>
      </c>
      <c r="G15" s="3">
        <v>43147</v>
      </c>
      <c r="N15" s="11">
        <v>2.7397260273972603E-3</v>
      </c>
      <c r="O15" s="11">
        <v>0</v>
      </c>
    </row>
    <row r="16" spans="1:17" x14ac:dyDescent="0.35">
      <c r="B16" s="2">
        <v>1</v>
      </c>
      <c r="C16" s="7">
        <v>3.4509999999999999E-2</v>
      </c>
      <c r="G16" s="3">
        <v>43148</v>
      </c>
      <c r="N16" s="11">
        <v>0.25</v>
      </c>
      <c r="O16" s="11">
        <v>0</v>
      </c>
    </row>
    <row r="17" spans="2:15" x14ac:dyDescent="0.35">
      <c r="B17" s="2">
        <v>1.5</v>
      </c>
      <c r="C17" s="7">
        <v>3.9999999999999994E-2</v>
      </c>
      <c r="G17" s="3">
        <v>43160</v>
      </c>
      <c r="N17" s="11">
        <v>0.5</v>
      </c>
      <c r="O17" s="11">
        <v>0</v>
      </c>
    </row>
    <row r="18" spans="2:15" x14ac:dyDescent="0.35">
      <c r="B18" s="2">
        <v>2</v>
      </c>
      <c r="C18" s="7">
        <v>4.222999999999999E-2</v>
      </c>
      <c r="G18" s="3">
        <v>43221</v>
      </c>
      <c r="N18" s="11">
        <v>1</v>
      </c>
      <c r="O18" s="11">
        <v>-8.7281177053928627E-5</v>
      </c>
    </row>
    <row r="19" spans="2:15" x14ac:dyDescent="0.35">
      <c r="B19" s="2">
        <v>3</v>
      </c>
      <c r="C19" s="7">
        <v>4.2499999999999996E-2</v>
      </c>
      <c r="G19" s="3">
        <v>43227</v>
      </c>
      <c r="N19" s="11">
        <v>1.5</v>
      </c>
      <c r="O19" s="11">
        <v>1.6645191109193602E-6</v>
      </c>
    </row>
    <row r="20" spans="2:15" x14ac:dyDescent="0.35">
      <c r="B20" s="2">
        <v>4</v>
      </c>
      <c r="C20" s="7">
        <v>4.3450000000000003E-2</v>
      </c>
      <c r="G20" s="3">
        <v>43242</v>
      </c>
      <c r="N20" s="11">
        <v>2</v>
      </c>
      <c r="O20" s="11">
        <v>4.5344682869929986E-6</v>
      </c>
    </row>
    <row r="21" spans="2:15" x14ac:dyDescent="0.35">
      <c r="B21" s="2">
        <v>5</v>
      </c>
      <c r="C21" s="7">
        <v>4.2889999999999998E-2</v>
      </c>
      <c r="G21" s="3">
        <v>43257</v>
      </c>
      <c r="N21" s="11">
        <v>3</v>
      </c>
      <c r="O21" s="11">
        <v>8.059667777136903E-6</v>
      </c>
    </row>
    <row r="22" spans="2:15" x14ac:dyDescent="0.35">
      <c r="B22" s="2">
        <v>10</v>
      </c>
      <c r="C22" s="7">
        <v>4.274E-2</v>
      </c>
      <c r="N22" s="11">
        <v>4</v>
      </c>
      <c r="O22" s="11">
        <v>1.0280276859474247E-5</v>
      </c>
    </row>
    <row r="23" spans="2:15" x14ac:dyDescent="0.35">
      <c r="B23" s="2">
        <v>20</v>
      </c>
      <c r="C23" s="7">
        <v>4.1399999999999992E-2</v>
      </c>
      <c r="N23" s="11">
        <v>5</v>
      </c>
      <c r="O23" s="11">
        <v>3.5740874074518397E-4</v>
      </c>
    </row>
    <row r="24" spans="2:15" x14ac:dyDescent="0.35">
      <c r="B24" s="2">
        <v>30</v>
      </c>
      <c r="C24" s="8">
        <v>4.0489999999999998E-2</v>
      </c>
      <c r="N24" s="11">
        <v>10</v>
      </c>
      <c r="O24" s="11">
        <v>8.6806496695505941E-5</v>
      </c>
    </row>
    <row r="25" spans="2:15" x14ac:dyDescent="0.35">
      <c r="B25" s="2"/>
      <c r="C25" s="8"/>
      <c r="N25" s="11">
        <v>20</v>
      </c>
      <c r="O25" s="11">
        <v>0</v>
      </c>
    </row>
    <row r="26" spans="2:15" x14ac:dyDescent="0.35">
      <c r="B26" s="2"/>
      <c r="C26" s="8"/>
      <c r="N26" s="11">
        <v>30</v>
      </c>
      <c r="O26" s="11">
        <v>0</v>
      </c>
    </row>
    <row r="27" spans="2:15" x14ac:dyDescent="0.4">
      <c r="B27" s="5"/>
      <c r="C27" s="9"/>
    </row>
    <row r="28" spans="2:15" x14ac:dyDescent="0.4">
      <c r="B28" s="5"/>
      <c r="C28" s="9"/>
    </row>
    <row r="29" spans="2:15" x14ac:dyDescent="0.4">
      <c r="B29" s="5"/>
      <c r="C29" s="9"/>
    </row>
    <row r="30" spans="2:15" x14ac:dyDescent="0.4">
      <c r="B30" s="5"/>
      <c r="C30" s="9"/>
    </row>
    <row r="31" spans="2:15" x14ac:dyDescent="0.4">
      <c r="B31" s="5"/>
      <c r="C31" s="9"/>
    </row>
    <row r="32" spans="2:15" x14ac:dyDescent="0.4">
      <c r="B32" s="5"/>
      <c r="C32" s="9"/>
    </row>
    <row r="33" spans="2:3" x14ac:dyDescent="0.4">
      <c r="B33" s="5"/>
      <c r="C33" s="9"/>
    </row>
  </sheetData>
  <mergeCells count="50">
    <mergeCell ref="N14:O14"/>
    <mergeCell ref="P9:Q9"/>
    <mergeCell ref="P10:Q10"/>
    <mergeCell ref="P11:Q11"/>
    <mergeCell ref="P12:Q12"/>
    <mergeCell ref="N9:O9"/>
    <mergeCell ref="N10:O10"/>
    <mergeCell ref="N11:O11"/>
    <mergeCell ref="N12:O12"/>
    <mergeCell ref="L3:M3"/>
    <mergeCell ref="J2:M2"/>
    <mergeCell ref="J4:K4"/>
    <mergeCell ref="L4:M4"/>
    <mergeCell ref="N6:O6"/>
    <mergeCell ref="J6:K6"/>
    <mergeCell ref="J7:K7"/>
    <mergeCell ref="P6:Q6"/>
    <mergeCell ref="N7:O7"/>
    <mergeCell ref="P7:Q7"/>
    <mergeCell ref="B11:C12"/>
    <mergeCell ref="G11:G12"/>
    <mergeCell ref="F8:G8"/>
    <mergeCell ref="H8:I8"/>
    <mergeCell ref="F9:G9"/>
    <mergeCell ref="H9:I9"/>
    <mergeCell ref="B9:C9"/>
    <mergeCell ref="D9:E9"/>
    <mergeCell ref="H4:I4"/>
    <mergeCell ref="B7:C7"/>
    <mergeCell ref="D7:E7"/>
    <mergeCell ref="B8:C8"/>
    <mergeCell ref="D8:E8"/>
    <mergeCell ref="H5:I5"/>
    <mergeCell ref="F6:G6"/>
    <mergeCell ref="F7:G7"/>
    <mergeCell ref="H7:I7"/>
    <mergeCell ref="B6:C6"/>
    <mergeCell ref="D6:E6"/>
    <mergeCell ref="H6:I6"/>
    <mergeCell ref="B4:C4"/>
    <mergeCell ref="D4:E4"/>
    <mergeCell ref="B5:C5"/>
    <mergeCell ref="D5:E5"/>
    <mergeCell ref="F5:G5"/>
    <mergeCell ref="F4:G4"/>
    <mergeCell ref="B3:C3"/>
    <mergeCell ref="D3:E3"/>
    <mergeCell ref="F3:G3"/>
    <mergeCell ref="H3:I3"/>
    <mergeCell ref="J3:K3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2023-10-05T22:53:00Z</dcterms:modified>
</cp:coreProperties>
</file>