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L5" i="1" l="1"/>
  <c r="G11" i="1" l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</commentList>
</comments>
</file>

<file path=xl/sharedStrings.xml><?xml version="1.0" encoding="utf-8"?>
<sst xmlns="http://schemas.openxmlformats.org/spreadsheetml/2006/main" count="26" uniqueCount="26">
  <si>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</si>
  <si>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</si>
  <si>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</si>
  <si>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</si>
  <si>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</si>
  <si>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</si>
  <si>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</si>
  <si>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</si>
  <si>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</si>
  <si>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</si>
  <si>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</si>
  <si>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</si>
  <si>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</si>
  <si>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</si>
  <si>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</si>
  <si>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KeyRatePV01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</si>
  <si>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</si>
  <si>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</si>
  <si>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</si>
  <si>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</si>
  <si>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조기행사시작일</t>
    <phoneticPr fontId="2" type="noConversion"/>
  </si>
  <si>
    <t>조기행사종료일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</si>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</sst>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.000%"/>
    <numFmt numFmtId="178" formatCode="0.0000%"/>
    <numFmt numFmtId="179" formatCode="0.0_);[Red]\(0.0\)"/>
    <numFmt numFmtId="180" formatCode="0.00000%"/>
    <numFmt numFmtId="181" formatCode="0.000_);[Red]\(0.000\)"/>
    <numFmt numFmtId="182" formatCode="[$-F400]h:mm:ss\ AM/PM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176" fontId="12" fillId="5" borderId="0" xfId="0" applyNumberFormat="1" applyFont="1" applyFill="1" applyBorder="1">
      <alignment vertical="center"/>
    </xf>
    <xf numFmtId="176" fontId="13" fillId="5" borderId="0" xfId="0" applyNumberFormat="1" applyFont="1" applyFill="1">
      <alignment vertical="center"/>
    </xf>
    <xf numFmtId="178" fontId="9" fillId="5" borderId="0" xfId="0" applyNumberFormat="1" applyFont="1" applyFill="1" applyBorder="1" applyAlignment="1"/>
    <xf numFmtId="178" fontId="9" fillId="5" borderId="0" xfId="1" applyNumberFormat="1" applyFont="1" applyFill="1" applyBorder="1" applyAlignment="1"/>
    <xf numFmtId="178" fontId="4" fillId="5" borderId="0" xfId="1" applyNumberFormat="1" applyFont="1" applyFill="1" applyBorder="1">
      <alignment vertical="center"/>
    </xf>
    <xf numFmtId="178" fontId="0" fillId="5" borderId="0" xfId="1" applyNumberFormat="1" applyFont="1" applyFill="1">
      <alignment vertical="center"/>
    </xf>
    <xf numFmtId="0" fontId="0" fillId="8" borderId="0" xfId="0" applyFill="1">
      <alignment vertical="center"/>
    </xf>
    <xf numFmtId="182" fontId="0" fillId="8" borderId="0" xfId="0" applyNumberForma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3"/>
  <sheetViews>
    <sheetView tabSelected="1" workbookViewId="0">
      <selection activeCell="D21" sqref="D21"/>
    </sheetView>
  </sheetViews>
  <sheetFormatPr defaultColWidth="10.8984375" defaultRowHeight="17.399999999999999" x14ac:dyDescent="0.4"/>
  <cols>
    <col min="1" max="1" width="10.8984375" style="1"/>
    <col min="2" max="2" width="10.8984375" style="6"/>
    <col min="3" max="3" width="10.8984375" style="10"/>
    <col min="4" max="6" width="10.8984375" style="1"/>
    <col min="7" max="7" width="10.8984375" style="4"/>
    <col min="8" max="11" width="10.8984375" style="1"/>
    <col min="12" max="13" width="10.8984375" style="11"/>
    <col min="14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D2" s="1">
        <v>1</v>
      </c>
      <c r="G2" s="1"/>
      <c r="J2" s="15" t="s">
        <v>19</v>
      </c>
      <c r="K2" s="15"/>
      <c r="L2" s="15"/>
      <c r="M2" s="15"/>
    </row>
    <row r="3" spans="1:17" x14ac:dyDescent="0.4">
      <c r="B3" s="16" t="s">
        <v>0</v>
      </c>
      <c r="C3" s="16"/>
      <c r="D3" s="17">
        <v>45193</v>
      </c>
      <c r="E3" s="18"/>
      <c r="F3" s="16" t="s">
        <v>1</v>
      </c>
      <c r="G3" s="16"/>
      <c r="H3" s="14">
        <v>1</v>
      </c>
      <c r="I3" s="14"/>
      <c r="J3" s="16" t="s">
        <v>22</v>
      </c>
      <c r="K3" s="16"/>
      <c r="L3" s="14">
        <v>1</v>
      </c>
      <c r="M3" s="14"/>
    </row>
    <row r="4" spans="1:17" x14ac:dyDescent="0.4">
      <c r="B4" s="16" t="s">
        <v>3</v>
      </c>
      <c r="C4" s="16"/>
      <c r="D4" s="17">
        <v>45559</v>
      </c>
      <c r="E4" s="18"/>
      <c r="F4" s="16" t="s">
        <v>6</v>
      </c>
      <c r="G4" s="16"/>
      <c r="H4" s="18">
        <v>0</v>
      </c>
      <c r="I4" s="18"/>
      <c r="J4" s="16" t="s">
        <v>20</v>
      </c>
      <c r="K4" s="16"/>
      <c r="L4" s="17">
        <f>L5-60</f>
        <v>45499</v>
      </c>
      <c r="M4" s="18"/>
    </row>
    <row r="5" spans="1:17" x14ac:dyDescent="0.4">
      <c r="B5" s="16" t="s">
        <v>4</v>
      </c>
      <c r="C5" s="16"/>
      <c r="D5" s="17">
        <v>47385</v>
      </c>
      <c r="E5" s="18"/>
      <c r="F5" s="16" t="s">
        <v>9</v>
      </c>
      <c r="G5" s="16"/>
      <c r="H5" s="14">
        <v>1</v>
      </c>
      <c r="I5" s="14"/>
      <c r="J5" s="16" t="s">
        <v>21</v>
      </c>
      <c r="K5" s="16"/>
      <c r="L5" s="17">
        <f>D4</f>
        <v>45559</v>
      </c>
      <c r="M5" s="17"/>
    </row>
    <row r="6" spans="1:17" x14ac:dyDescent="0.4">
      <c r="B6" s="22" t="s">
        <v>2</v>
      </c>
      <c r="C6" s="23"/>
      <c r="D6" s="18">
        <v>0</v>
      </c>
      <c r="E6" s="18"/>
      <c r="F6" s="16" t="str">
        <f>IF(H5 = 1, "HolidayNation","Not Used")</f>
        <v>HolidayNation</v>
      </c>
      <c r="G6" s="16"/>
      <c r="H6" s="14">
        <v>0</v>
      </c>
      <c r="I6" s="14"/>
      <c r="J6" s="22" t="s">
        <v>23</v>
      </c>
      <c r="K6" s="23"/>
      <c r="L6" s="24">
        <v>0.01</v>
      </c>
      <c r="M6" s="24"/>
      <c r="N6" s="13" t="s">
        <v>24</v>
      </c>
      <c r="O6" s="13"/>
      <c r="P6" s="12">
        <v>45202.810381944444</v>
      </c>
      <c r="Q6" s="12"/>
    </row>
    <row r="7" spans="1:17" x14ac:dyDescent="0.4">
      <c r="B7" s="22" t="s">
        <v>5</v>
      </c>
      <c r="C7" s="23"/>
      <c r="D7" s="18">
        <v>4</v>
      </c>
      <c r="E7" s="18"/>
      <c r="F7" s="16" t="s">
        <v>17</v>
      </c>
      <c r="G7" s="16"/>
      <c r="H7" s="14">
        <v>1</v>
      </c>
      <c r="I7" s="14"/>
      <c r="L7" s="1"/>
      <c r="M7" s="1"/>
      <c r="N7" s="13" t="s">
        <v>25</v>
      </c>
      <c r="O7" s="13"/>
      <c r="P7" s="12">
        <v>45202.810393518521</v>
      </c>
      <c r="Q7" s="12"/>
    </row>
    <row r="8" spans="1:17" x14ac:dyDescent="0.4">
      <c r="B8" s="22" t="s">
        <v>7</v>
      </c>
      <c r="C8" s="23"/>
      <c r="D8" s="28">
        <v>0.2</v>
      </c>
      <c r="E8" s="28"/>
      <c r="F8" s="22" t="s">
        <v>11</v>
      </c>
      <c r="G8" s="23"/>
      <c r="H8" s="26">
        <v>3.5000000000000003E-2</v>
      </c>
      <c r="I8" s="26"/>
      <c r="L8" s="1"/>
      <c r="M8" s="1"/>
    </row>
    <row r="9" spans="1:17" x14ac:dyDescent="0.4">
      <c r="B9" s="22" t="s">
        <v>8</v>
      </c>
      <c r="C9" s="23"/>
      <c r="D9" s="18">
        <v>0</v>
      </c>
      <c r="E9" s="18"/>
      <c r="F9" s="22" t="s">
        <v>12</v>
      </c>
      <c r="G9" s="23"/>
      <c r="H9" s="27">
        <v>100</v>
      </c>
      <c r="I9" s="27"/>
      <c r="K9" s="13" t="s">
        <v>13</v>
      </c>
      <c r="L9" s="13"/>
      <c r="M9" s="19">
        <v>3.0792321997018983</v>
      </c>
      <c r="N9" s="19"/>
    </row>
    <row r="10" spans="1:17" x14ac:dyDescent="0.4">
      <c r="B10" s="1"/>
      <c r="C10" s="1"/>
      <c r="G10" s="1"/>
      <c r="K10" s="13" t="s">
        <v>16</v>
      </c>
      <c r="L10" s="13"/>
      <c r="M10" s="21">
        <v>4.4929366172767896E-2</v>
      </c>
      <c r="N10" s="21"/>
    </row>
    <row r="11" spans="1:17" x14ac:dyDescent="0.4">
      <c r="B11" s="25" t="s">
        <v>10</v>
      </c>
      <c r="C11" s="25"/>
      <c r="G11" s="25" t="str">
        <f>IF(H5=1,"NotUsed","Holiday")</f>
        <v>NotUsed</v>
      </c>
      <c r="K11" s="13" t="s">
        <v>14</v>
      </c>
      <c r="L11" s="13"/>
      <c r="M11" s="19">
        <v>3.5215871079417038E-2</v>
      </c>
      <c r="N11" s="19"/>
    </row>
    <row r="12" spans="1:17" x14ac:dyDescent="0.4">
      <c r="B12" s="25"/>
      <c r="C12" s="25"/>
      <c r="G12" s="25"/>
      <c r="K12" s="13" t="s">
        <v>18</v>
      </c>
      <c r="L12" s="13"/>
      <c r="M12" s="20">
        <v>4.3282276302949008E-2</v>
      </c>
      <c r="N12" s="20"/>
    </row>
    <row r="13" spans="1:17" x14ac:dyDescent="0.35">
      <c r="B13" s="2">
        <v>2.7397260273972603E-3</v>
      </c>
      <c r="C13" s="7">
        <v>3.1519999999999992E-2</v>
      </c>
      <c r="G13" s="3">
        <v>43101</v>
      </c>
      <c r="L13" s="13" t="s">
        <v>15</v>
      </c>
      <c r="M13" s="13"/>
    </row>
    <row r="14" spans="1:17" x14ac:dyDescent="0.35">
      <c r="B14" s="2">
        <v>0.25</v>
      </c>
      <c r="C14" s="7">
        <v>3.261E-2</v>
      </c>
      <c r="G14" s="3">
        <v>43146</v>
      </c>
      <c r="L14" s="11">
        <v>2.7397260273972603E-3</v>
      </c>
      <c r="M14" s="11">
        <v>0</v>
      </c>
    </row>
    <row r="15" spans="1:17" x14ac:dyDescent="0.35">
      <c r="B15" s="2">
        <v>0.5</v>
      </c>
      <c r="C15" s="7">
        <v>3.3500000000000002E-2</v>
      </c>
      <c r="G15" s="3">
        <v>43147</v>
      </c>
      <c r="L15" s="11">
        <v>0.25</v>
      </c>
      <c r="M15" s="11">
        <v>0</v>
      </c>
    </row>
    <row r="16" spans="1:17" x14ac:dyDescent="0.35">
      <c r="B16" s="2">
        <v>1</v>
      </c>
      <c r="C16" s="7">
        <v>3.4509999999999999E-2</v>
      </c>
      <c r="G16" s="3">
        <v>43148</v>
      </c>
      <c r="L16" s="11">
        <v>0.5</v>
      </c>
      <c r="M16" s="11">
        <v>0</v>
      </c>
    </row>
    <row r="17" spans="2:13" x14ac:dyDescent="0.35">
      <c r="B17" s="2">
        <v>1.5</v>
      </c>
      <c r="C17" s="7">
        <v>3.9999999999999994E-2</v>
      </c>
      <c r="G17" s="3">
        <v>43160</v>
      </c>
      <c r="L17" s="11">
        <v>1</v>
      </c>
      <c r="M17" s="11">
        <v>-7.9597881986903651E-3</v>
      </c>
    </row>
    <row r="18" spans="2:13" x14ac:dyDescent="0.35">
      <c r="B18" s="2">
        <v>2</v>
      </c>
      <c r="C18" s="7">
        <v>4.222999999999999E-2</v>
      </c>
      <c r="G18" s="3">
        <v>43221</v>
      </c>
      <c r="L18" s="11">
        <v>1.5</v>
      </c>
      <c r="M18" s="11">
        <v>1.706853414322751E-4</v>
      </c>
    </row>
    <row r="19" spans="2:13" x14ac:dyDescent="0.35">
      <c r="B19" s="2">
        <v>3</v>
      </c>
      <c r="C19" s="7">
        <v>4.2499999999999996E-2</v>
      </c>
      <c r="G19" s="3">
        <v>43227</v>
      </c>
      <c r="L19" s="11">
        <v>2</v>
      </c>
      <c r="M19" s="11">
        <v>4.5344682869918884E-4</v>
      </c>
    </row>
    <row r="20" spans="2:13" x14ac:dyDescent="0.35">
      <c r="B20" s="2">
        <v>4</v>
      </c>
      <c r="C20" s="7">
        <v>4.3450000000000003E-2</v>
      </c>
      <c r="G20" s="3">
        <v>43242</v>
      </c>
      <c r="L20" s="11">
        <v>3</v>
      </c>
      <c r="M20" s="11">
        <v>8.0596677771227476E-4</v>
      </c>
    </row>
    <row r="21" spans="2:13" x14ac:dyDescent="0.35">
      <c r="B21" s="2">
        <v>5</v>
      </c>
      <c r="C21" s="7">
        <v>4.2889999999999998E-2</v>
      </c>
      <c r="G21" s="3">
        <v>43257</v>
      </c>
      <c r="L21" s="11">
        <v>4</v>
      </c>
      <c r="M21" s="11">
        <v>1.028027685950228E-3</v>
      </c>
    </row>
    <row r="22" spans="2:13" x14ac:dyDescent="0.35">
      <c r="B22" s="2">
        <v>10</v>
      </c>
      <c r="C22" s="7">
        <v>4.274E-2</v>
      </c>
      <c r="L22" s="11">
        <v>5</v>
      </c>
      <c r="M22" s="11">
        <v>3.278311852727489E-2</v>
      </c>
    </row>
    <row r="23" spans="2:13" x14ac:dyDescent="0.35">
      <c r="B23" s="2">
        <v>20</v>
      </c>
      <c r="C23" s="7">
        <v>4.1399999999999992E-2</v>
      </c>
      <c r="L23" s="11">
        <v>10</v>
      </c>
      <c r="M23" s="11">
        <v>7.9360055358481674E-3</v>
      </c>
    </row>
    <row r="24" spans="2:13" x14ac:dyDescent="0.35">
      <c r="B24" s="2">
        <v>30</v>
      </c>
      <c r="C24" s="8">
        <v>4.0489999999999998E-2</v>
      </c>
      <c r="L24" s="11">
        <v>20</v>
      </c>
      <c r="M24" s="11">
        <v>0</v>
      </c>
    </row>
    <row r="25" spans="2:13" x14ac:dyDescent="0.35">
      <c r="B25" s="2"/>
      <c r="C25" s="8"/>
      <c r="L25" s="11">
        <v>30</v>
      </c>
      <c r="M25" s="11">
        <v>0</v>
      </c>
    </row>
    <row r="26" spans="2:13" x14ac:dyDescent="0.35">
      <c r="B26" s="2"/>
      <c r="C26" s="8"/>
    </row>
    <row r="27" spans="2:13" x14ac:dyDescent="0.4">
      <c r="B27" s="5"/>
      <c r="C27" s="9"/>
    </row>
    <row r="28" spans="2:13" x14ac:dyDescent="0.4">
      <c r="B28" s="5"/>
      <c r="C28" s="9"/>
    </row>
    <row r="29" spans="2:13" x14ac:dyDescent="0.4">
      <c r="B29" s="5"/>
      <c r="C29" s="9"/>
    </row>
    <row r="30" spans="2:13" x14ac:dyDescent="0.4">
      <c r="B30" s="5"/>
      <c r="C30" s="9"/>
    </row>
    <row r="31" spans="2:13" x14ac:dyDescent="0.4">
      <c r="B31" s="5"/>
      <c r="C31" s="9"/>
    </row>
    <row r="32" spans="2:13" x14ac:dyDescent="0.4">
      <c r="B32" s="5"/>
      <c r="C32" s="9"/>
    </row>
    <row r="33" spans="2:3" x14ac:dyDescent="0.4">
      <c r="B33" s="5"/>
      <c r="C33" s="9"/>
    </row>
  </sheetData>
  <mergeCells count="52">
    <mergeCell ref="B3:C3"/>
    <mergeCell ref="D3:E3"/>
    <mergeCell ref="F3:G3"/>
    <mergeCell ref="H3:I3"/>
    <mergeCell ref="J5:K5"/>
    <mergeCell ref="J3:K3"/>
    <mergeCell ref="B4:C4"/>
    <mergeCell ref="D4:E4"/>
    <mergeCell ref="B5:C5"/>
    <mergeCell ref="D5:E5"/>
    <mergeCell ref="F5:G5"/>
    <mergeCell ref="F4:G4"/>
    <mergeCell ref="H4:I4"/>
    <mergeCell ref="B7:C7"/>
    <mergeCell ref="D7:E7"/>
    <mergeCell ref="B8:C8"/>
    <mergeCell ref="D8:E8"/>
    <mergeCell ref="H5:I5"/>
    <mergeCell ref="F6:G6"/>
    <mergeCell ref="F7:G7"/>
    <mergeCell ref="H7:I7"/>
    <mergeCell ref="B6:C6"/>
    <mergeCell ref="D6:E6"/>
    <mergeCell ref="H6:I6"/>
    <mergeCell ref="B11:C12"/>
    <mergeCell ref="G11:G12"/>
    <mergeCell ref="F8:G8"/>
    <mergeCell ref="H8:I8"/>
    <mergeCell ref="F9:G9"/>
    <mergeCell ref="H9:I9"/>
    <mergeCell ref="B9:C9"/>
    <mergeCell ref="D9:E9"/>
    <mergeCell ref="K10:L10"/>
    <mergeCell ref="M10:N10"/>
    <mergeCell ref="J6:K6"/>
    <mergeCell ref="L6:M6"/>
    <mergeCell ref="K9:L9"/>
    <mergeCell ref="M9:N9"/>
    <mergeCell ref="N6:O6"/>
    <mergeCell ref="L13:M13"/>
    <mergeCell ref="K11:L11"/>
    <mergeCell ref="M11:N11"/>
    <mergeCell ref="K12:L12"/>
    <mergeCell ref="M12:N12"/>
    <mergeCell ref="P6:Q6"/>
    <mergeCell ref="N7:O7"/>
    <mergeCell ref="P7:Q7"/>
    <mergeCell ref="L3:M3"/>
    <mergeCell ref="J2:M2"/>
    <mergeCell ref="J4:K4"/>
    <mergeCell ref="L4:M4"/>
    <mergeCell ref="L5:M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2023-10-03T13:25:42Z</dcterms:modified>
</cp:coreProperties>
</file>