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PhaseStructuredSwap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/>
  <c r="N31" i="5" l="1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Q1" i="5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N70" i="5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<sst xmlns="http://schemas.openxmlformats.org/spreadsheetml/2006/main" count="269" uniqueCount="121">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</sst>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9" xfId="0" applyFont="1" applyFill="1" applyBorder="1" applyAlignment="1" applyProtection="1">
      <alignment horizontal="center" vertical="center" wrapText="1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workbookViewId="0">
      <selection activeCell="M26" sqref="M26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</row>
    <row r="3" spans="1:41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</row>
    <row r="4" spans="1:41" x14ac:dyDescent="0.4">
      <c r="A4" s="6">
        <f>4</f>
        <v>4</v>
      </c>
      <c r="B4" s="90" t="s">
        <v>2</v>
      </c>
      <c r="C4" s="90"/>
      <c r="D4" s="91">
        <v>2</v>
      </c>
      <c r="E4" s="91"/>
    </row>
    <row r="5" spans="1:41" x14ac:dyDescent="0.4">
      <c r="A5" s="6">
        <f>A4+1</f>
        <v>5</v>
      </c>
      <c r="G5" s="101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102"/>
      <c r="H6" s="92" t="s">
        <v>7</v>
      </c>
      <c r="I6" s="93"/>
      <c r="L6" s="96" t="s">
        <v>11</v>
      </c>
      <c r="M6" s="96"/>
      <c r="N6" s="96"/>
      <c r="R6" s="96" t="s">
        <v>12</v>
      </c>
      <c r="S6" s="96"/>
      <c r="T6" s="96"/>
    </row>
    <row r="7" spans="1:41" x14ac:dyDescent="0.4">
      <c r="A7" s="6">
        <f t="shared" si="1"/>
        <v>7</v>
      </c>
      <c r="B7" s="90" t="s">
        <v>4</v>
      </c>
      <c r="C7" s="90"/>
      <c r="D7" s="91">
        <v>0</v>
      </c>
      <c r="E7" s="91"/>
      <c r="G7" s="102"/>
      <c r="H7" s="94"/>
      <c r="I7" s="95"/>
      <c r="L7" s="96"/>
      <c r="M7" s="96"/>
      <c r="N7" s="96"/>
      <c r="R7" s="96"/>
      <c r="S7" s="96"/>
      <c r="T7" s="96"/>
    </row>
    <row r="8" spans="1:41" x14ac:dyDescent="0.4">
      <c r="A8" s="6">
        <f t="shared" si="1"/>
        <v>8</v>
      </c>
      <c r="B8" s="90" t="s">
        <v>1</v>
      </c>
      <c r="C8" s="90"/>
      <c r="D8" s="91">
        <v>0.01</v>
      </c>
      <c r="E8" s="91"/>
      <c r="G8" s="102"/>
      <c r="I8" s="2" t="s">
        <v>102</v>
      </c>
      <c r="J8" s="2" t="s">
        <v>103</v>
      </c>
      <c r="K8" s="2" t="s">
        <v>104</v>
      </c>
      <c r="R8" s="96" t="s">
        <v>13</v>
      </c>
      <c r="S8" s="96"/>
      <c r="T8" s="4">
        <v>3</v>
      </c>
    </row>
    <row r="9" spans="1:41" x14ac:dyDescent="0.4">
      <c r="A9" s="6">
        <f t="shared" si="1"/>
        <v>9</v>
      </c>
      <c r="G9" s="102"/>
      <c r="H9" s="2" t="s">
        <v>8</v>
      </c>
      <c r="I9" s="3">
        <v>7.9129827002378153E-2</v>
      </c>
      <c r="J9" s="59">
        <v>1.1919304891329596E-2</v>
      </c>
      <c r="K9" s="59">
        <v>-0.8771262742377044</v>
      </c>
      <c r="N9" s="83">
        <v>45212</v>
      </c>
    </row>
    <row r="10" spans="1:41" x14ac:dyDescent="0.4">
      <c r="A10" s="6">
        <f t="shared" si="1"/>
        <v>10</v>
      </c>
      <c r="G10" s="102"/>
      <c r="H10" s="60" t="s">
        <v>9</v>
      </c>
      <c r="I10" s="97" t="s">
        <v>10</v>
      </c>
      <c r="J10" s="98"/>
      <c r="L10" s="64" t="s">
        <v>15</v>
      </c>
      <c r="M10" s="64" t="s">
        <v>16</v>
      </c>
      <c r="N10" s="60" t="s">
        <v>68</v>
      </c>
      <c r="R10" s="88" t="s">
        <v>14</v>
      </c>
      <c r="S10" s="88" t="s">
        <v>112</v>
      </c>
      <c r="T10" s="88" t="s">
        <v>113</v>
      </c>
      <c r="U10" s="88" t="s">
        <v>114</v>
      </c>
      <c r="V10" s="88" t="s">
        <v>115</v>
      </c>
      <c r="W10" s="88" t="s">
        <v>116</v>
      </c>
    </row>
    <row r="11" spans="1:41" x14ac:dyDescent="0.4">
      <c r="A11" s="6">
        <f t="shared" si="1"/>
        <v>11</v>
      </c>
      <c r="G11" s="102"/>
      <c r="H11" s="61">
        <v>0.25</v>
      </c>
      <c r="I11" s="62">
        <v>9.6154639886737621E-3</v>
      </c>
      <c r="J11" s="63"/>
      <c r="L11" s="65">
        <v>1</v>
      </c>
      <c r="M11" s="66">
        <f>(O11-$N$9)/365</f>
        <v>8.21917808219178E-3</v>
      </c>
      <c r="N11" s="67">
        <f>P11/100</f>
        <v>3.5114930000000003E-2</v>
      </c>
      <c r="O11" s="83">
        <v>45215</v>
      </c>
      <c r="P11" s="6">
        <v>3.5114930000000002</v>
      </c>
      <c r="Q11" s="6">
        <v>3.5114930000000002</v>
      </c>
      <c r="R11" s="89"/>
      <c r="S11" s="89"/>
      <c r="T11" s="89"/>
      <c r="U11" s="89"/>
      <c r="V11" s="89"/>
      <c r="W11" s="89"/>
    </row>
    <row r="12" spans="1:41" x14ac:dyDescent="0.4">
      <c r="A12" s="6">
        <f t="shared" si="1"/>
        <v>12</v>
      </c>
      <c r="G12" s="102"/>
      <c r="H12" s="61">
        <v>0.5</v>
      </c>
      <c r="I12" s="62">
        <v>1.116236458178887E-2</v>
      </c>
      <c r="J12" s="63"/>
      <c r="L12" s="65">
        <f>L11+1</f>
        <v>2</v>
      </c>
      <c r="M12" s="66">
        <f t="shared" ref="M12:M31" si="2">(O12-$N$9)/365</f>
        <v>1.0958904109589041E-2</v>
      </c>
      <c r="N12" s="67">
        <f t="shared" ref="N12:N31" si="3">P12/100</f>
        <v>3.512415E-2</v>
      </c>
      <c r="O12" s="83">
        <v>45216</v>
      </c>
      <c r="P12" s="6">
        <v>3.5124149999999998</v>
      </c>
      <c r="Q12" s="6">
        <v>3.5124149999999998</v>
      </c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1.7714085993805377E-3</v>
      </c>
      <c r="W12" s="82">
        <v>-3.8979236505198855E-15</v>
      </c>
    </row>
    <row r="13" spans="1:41" x14ac:dyDescent="0.4">
      <c r="A13" s="6">
        <f t="shared" si="1"/>
        <v>13</v>
      </c>
      <c r="C13" s="1" t="s">
        <v>5</v>
      </c>
      <c r="D13" s="99" t="s">
        <v>6</v>
      </c>
      <c r="E13" s="99"/>
      <c r="G13" s="102"/>
      <c r="H13" s="61">
        <v>0.75</v>
      </c>
      <c r="I13" s="62">
        <v>1.172975130927131E-2</v>
      </c>
      <c r="J13" s="63"/>
      <c r="L13" s="65">
        <f t="shared" ref="L13:L53" si="4">L12+1</f>
        <v>3</v>
      </c>
      <c r="M13" s="66">
        <f t="shared" si="2"/>
        <v>0.26027397260273971</v>
      </c>
      <c r="N13" s="67">
        <f t="shared" si="3"/>
        <v>3.792562E-2</v>
      </c>
      <c r="O13" s="83">
        <v>45307</v>
      </c>
      <c r="P13" s="6">
        <v>3.7925620000000002</v>
      </c>
      <c r="Q13" s="6">
        <v>3.7925620000000002</v>
      </c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4.9630522901335013E-3</v>
      </c>
      <c r="W13" s="82">
        <v>3.6611338960490514E-15</v>
      </c>
    </row>
    <row r="14" spans="1:41" x14ac:dyDescent="0.4">
      <c r="A14" s="6">
        <f t="shared" si="1"/>
        <v>14</v>
      </c>
      <c r="D14" s="99"/>
      <c r="E14" s="99"/>
      <c r="G14" s="102"/>
      <c r="H14" s="61">
        <v>1</v>
      </c>
      <c r="I14" s="62">
        <v>1.2738326744595085E-2</v>
      </c>
      <c r="J14" s="63"/>
      <c r="L14" s="65">
        <f t="shared" si="4"/>
        <v>4</v>
      </c>
      <c r="M14" s="66">
        <f t="shared" si="2"/>
        <v>0.50958904109589043</v>
      </c>
      <c r="N14" s="67">
        <f t="shared" si="3"/>
        <v>3.8730349999999997E-2</v>
      </c>
      <c r="O14" s="83">
        <v>45398</v>
      </c>
      <c r="P14" s="6">
        <v>3.8730349999999998</v>
      </c>
      <c r="Q14" s="6">
        <v>3.8730349999999998</v>
      </c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8.9659423532001386E-3</v>
      </c>
      <c r="W14" s="82">
        <v>-2.9889285491080386E-15</v>
      </c>
    </row>
    <row r="15" spans="1:41" x14ac:dyDescent="0.4">
      <c r="A15" s="6">
        <f t="shared" si="1"/>
        <v>15</v>
      </c>
      <c r="D15" s="99"/>
      <c r="E15" s="99"/>
      <c r="G15" s="102"/>
      <c r="H15" s="61">
        <v>2</v>
      </c>
      <c r="I15" s="62">
        <v>8.8252457576764656E-3</v>
      </c>
      <c r="J15" s="63"/>
      <c r="L15" s="65">
        <f t="shared" si="4"/>
        <v>5</v>
      </c>
      <c r="M15" s="66">
        <f t="shared" si="2"/>
        <v>0.75890410958904109</v>
      </c>
      <c r="N15" s="67">
        <f t="shared" si="3"/>
        <v>3.9020980000000004E-2</v>
      </c>
      <c r="O15" s="83">
        <v>45489</v>
      </c>
      <c r="P15" s="6">
        <v>3.9020980000000001</v>
      </c>
      <c r="Q15" s="6">
        <v>3.9020980000000001</v>
      </c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1.3624316007602499E-2</v>
      </c>
      <c r="W15" s="82">
        <v>1.7139067942650854E-15</v>
      </c>
    </row>
    <row r="16" spans="1:41" x14ac:dyDescent="0.4">
      <c r="A16" s="6">
        <f t="shared" si="1"/>
        <v>16</v>
      </c>
      <c r="G16" s="102"/>
      <c r="H16" s="61">
        <v>3</v>
      </c>
      <c r="I16" s="62">
        <v>1.0273480057541884E-2</v>
      </c>
      <c r="J16" s="63"/>
      <c r="L16" s="65">
        <f t="shared" si="4"/>
        <v>6</v>
      </c>
      <c r="M16" s="66">
        <f t="shared" si="2"/>
        <v>1.010958904109589</v>
      </c>
      <c r="N16" s="67">
        <f t="shared" si="3"/>
        <v>3.920444E-2</v>
      </c>
      <c r="O16" s="83">
        <v>45581</v>
      </c>
      <c r="P16" s="6">
        <v>3.9204439999999998</v>
      </c>
      <c r="Q16" s="6">
        <v>3.9204439999999998</v>
      </c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2.0325396119213482E-2</v>
      </c>
      <c r="W16" s="82">
        <v>-5.4470317145671743E-16</v>
      </c>
    </row>
    <row r="17" spans="1:23" x14ac:dyDescent="0.4">
      <c r="A17" s="6">
        <f t="shared" si="1"/>
        <v>17</v>
      </c>
      <c r="D17" s="100">
        <v>45202.835729166669</v>
      </c>
      <c r="E17" s="100"/>
      <c r="G17" s="102"/>
      <c r="H17" s="61">
        <v>5</v>
      </c>
      <c r="I17" s="62">
        <v>1.1472470786780141E-2</v>
      </c>
      <c r="J17" s="63"/>
      <c r="L17" s="65">
        <f t="shared" si="4"/>
        <v>7</v>
      </c>
      <c r="M17" s="66">
        <f t="shared" si="2"/>
        <v>1.5095890410958903</v>
      </c>
      <c r="N17" s="67">
        <f t="shared" si="3"/>
        <v>3.9238849999999999E-2</v>
      </c>
      <c r="O17" s="83">
        <v>45763</v>
      </c>
      <c r="P17" s="6">
        <v>3.9238849999999998</v>
      </c>
      <c r="Q17" s="6">
        <v>3.9238849999999998</v>
      </c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2.8178321240633374E-2</v>
      </c>
      <c r="W17" s="82">
        <v>1.7347234759768071E-16</v>
      </c>
    </row>
    <row r="18" spans="1:23" x14ac:dyDescent="0.4">
      <c r="A18" s="6">
        <f t="shared" si="1"/>
        <v>18</v>
      </c>
      <c r="D18" s="100">
        <v>45202.835729166669</v>
      </c>
      <c r="E18" s="100"/>
      <c r="G18" s="102"/>
      <c r="H18" s="61"/>
      <c r="I18" s="62"/>
      <c r="J18" s="63"/>
      <c r="L18" s="65">
        <f t="shared" si="4"/>
        <v>8</v>
      </c>
      <c r="M18" s="66">
        <f t="shared" si="2"/>
        <v>2.010958904109589</v>
      </c>
      <c r="N18" s="67">
        <f t="shared" si="3"/>
        <v>3.9116110000000003E-2</v>
      </c>
      <c r="O18" s="83">
        <v>45946</v>
      </c>
      <c r="P18" s="6">
        <v>3.9116110000000002</v>
      </c>
      <c r="Q18" s="6">
        <v>3.9116110000000002</v>
      </c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4.1090962313551402E-2</v>
      </c>
      <c r="W18" s="82">
        <v>-1.8735013540549517E-16</v>
      </c>
    </row>
    <row r="19" spans="1:23" x14ac:dyDescent="0.4">
      <c r="A19" s="6">
        <f t="shared" si="1"/>
        <v>19</v>
      </c>
      <c r="G19" s="102"/>
      <c r="H19" s="61"/>
      <c r="I19" s="62"/>
      <c r="J19" s="63"/>
      <c r="L19" s="65">
        <f t="shared" si="4"/>
        <v>9</v>
      </c>
      <c r="M19" s="66">
        <f t="shared" si="2"/>
        <v>3.010958904109589</v>
      </c>
      <c r="N19" s="67">
        <f t="shared" si="3"/>
        <v>3.8993020000000003E-2</v>
      </c>
      <c r="O19" s="83">
        <v>46311</v>
      </c>
      <c r="P19" s="6">
        <v>3.899302</v>
      </c>
      <c r="Q19" s="6">
        <v>3.899302</v>
      </c>
      <c r="R19" s="5"/>
      <c r="S19" s="5"/>
      <c r="T19" s="81"/>
      <c r="U19" s="62"/>
      <c r="V19" s="62"/>
      <c r="W19" s="82"/>
    </row>
    <row r="20" spans="1:23" x14ac:dyDescent="0.4">
      <c r="A20" s="6">
        <f t="shared" si="1"/>
        <v>20</v>
      </c>
      <c r="G20" s="102"/>
      <c r="H20" s="61"/>
      <c r="I20" s="62"/>
      <c r="J20" s="63"/>
      <c r="L20" s="65">
        <f t="shared" si="4"/>
        <v>10</v>
      </c>
      <c r="M20" s="66">
        <f t="shared" si="2"/>
        <v>4.0164383561643833</v>
      </c>
      <c r="N20" s="67">
        <f t="shared" si="3"/>
        <v>3.902303E-2</v>
      </c>
      <c r="O20" s="83">
        <v>46678</v>
      </c>
      <c r="P20" s="6">
        <v>3.9023029999999999</v>
      </c>
      <c r="Q20" s="6">
        <v>3.9023029999999999</v>
      </c>
      <c r="R20" s="5"/>
      <c r="S20" s="5"/>
      <c r="T20" s="81"/>
      <c r="U20" s="62"/>
      <c r="V20" s="62"/>
      <c r="W20" s="82"/>
    </row>
    <row r="21" spans="1:23" x14ac:dyDescent="0.4">
      <c r="A21" s="6">
        <f t="shared" si="1"/>
        <v>21</v>
      </c>
      <c r="G21" s="102"/>
      <c r="H21" s="61"/>
      <c r="I21" s="62"/>
      <c r="J21" s="63"/>
      <c r="L21" s="65">
        <f t="shared" si="4"/>
        <v>11</v>
      </c>
      <c r="M21" s="66">
        <f t="shared" si="2"/>
        <v>5.0136986301369859</v>
      </c>
      <c r="N21" s="67">
        <f t="shared" si="3"/>
        <v>3.9025310000000001E-2</v>
      </c>
      <c r="O21" s="83">
        <v>47042</v>
      </c>
      <c r="P21" s="6">
        <v>3.9025310000000002</v>
      </c>
      <c r="Q21" s="6">
        <v>3.9025310000000002</v>
      </c>
      <c r="R21" s="5"/>
      <c r="S21" s="5"/>
      <c r="T21" s="81"/>
      <c r="U21" s="62"/>
      <c r="V21" s="62"/>
      <c r="W21" s="82"/>
    </row>
    <row r="22" spans="1:23" x14ac:dyDescent="0.4">
      <c r="A22" s="6">
        <f t="shared" si="1"/>
        <v>22</v>
      </c>
      <c r="G22" s="102"/>
      <c r="H22" s="61"/>
      <c r="I22" s="62"/>
      <c r="J22" s="63"/>
      <c r="L22" s="65">
        <f t="shared" si="4"/>
        <v>12</v>
      </c>
      <c r="M22" s="66">
        <f t="shared" si="2"/>
        <v>6.0136986301369859</v>
      </c>
      <c r="N22" s="67">
        <f t="shared" si="3"/>
        <v>3.9081440000000002E-2</v>
      </c>
      <c r="O22" s="83">
        <v>47407</v>
      </c>
      <c r="P22" s="6">
        <v>3.9081440000000001</v>
      </c>
      <c r="Q22" s="6">
        <v>3.9081440000000001</v>
      </c>
      <c r="R22" s="5"/>
      <c r="S22" s="5"/>
      <c r="T22" s="81"/>
      <c r="U22" s="62"/>
      <c r="V22" s="62"/>
      <c r="W22" s="82"/>
    </row>
    <row r="23" spans="1:23" x14ac:dyDescent="0.4">
      <c r="A23" s="6">
        <f t="shared" si="1"/>
        <v>23</v>
      </c>
      <c r="B23" s="90" t="s">
        <v>110</v>
      </c>
      <c r="C23" s="90"/>
      <c r="D23" s="91">
        <v>1</v>
      </c>
      <c r="E23" s="91"/>
      <c r="G23" s="102"/>
      <c r="H23" s="61"/>
      <c r="I23" s="62"/>
      <c r="J23" s="63"/>
      <c r="L23" s="65">
        <f t="shared" si="4"/>
        <v>13</v>
      </c>
      <c r="M23" s="66">
        <f t="shared" si="2"/>
        <v>7.0136986301369859</v>
      </c>
      <c r="N23" s="67">
        <f t="shared" si="3"/>
        <v>3.9137569999999997E-2</v>
      </c>
      <c r="O23" s="83">
        <v>47772</v>
      </c>
      <c r="P23" s="6">
        <v>3.9137569999999999</v>
      </c>
      <c r="Q23" s="6">
        <v>3.9137569999999999</v>
      </c>
      <c r="R23" s="5"/>
      <c r="S23" s="5"/>
      <c r="T23" s="81"/>
      <c r="U23" s="62"/>
      <c r="V23" s="62"/>
      <c r="W23" s="82"/>
    </row>
    <row r="24" spans="1:23" x14ac:dyDescent="0.4">
      <c r="A24" s="6">
        <f t="shared" si="1"/>
        <v>24</v>
      </c>
      <c r="B24" s="90" t="s">
        <v>106</v>
      </c>
      <c r="C24" s="90"/>
      <c r="D24" s="91">
        <v>0</v>
      </c>
      <c r="E24" s="91"/>
      <c r="G24" s="102"/>
      <c r="H24" s="61"/>
      <c r="I24" s="62"/>
      <c r="J24" s="63"/>
      <c r="L24" s="65">
        <f t="shared" si="4"/>
        <v>14</v>
      </c>
      <c r="M24" s="66">
        <f t="shared" si="2"/>
        <v>8.0136986301369859</v>
      </c>
      <c r="N24" s="67">
        <f t="shared" si="3"/>
        <v>3.922254E-2</v>
      </c>
      <c r="O24" s="83">
        <v>48137</v>
      </c>
      <c r="P24" s="6">
        <v>3.9222540000000001</v>
      </c>
      <c r="Q24" s="6">
        <v>3.9222540000000001</v>
      </c>
      <c r="R24" s="5"/>
      <c r="S24" s="5"/>
      <c r="T24" s="81"/>
      <c r="U24" s="62"/>
      <c r="V24" s="62"/>
      <c r="W24" s="82"/>
    </row>
    <row r="25" spans="1:23" x14ac:dyDescent="0.4">
      <c r="A25" s="6">
        <f t="shared" si="1"/>
        <v>25</v>
      </c>
      <c r="B25" s="90" t="s">
        <v>108</v>
      </c>
      <c r="C25" s="90"/>
      <c r="D25" s="91">
        <v>-0.1</v>
      </c>
      <c r="E25" s="91"/>
      <c r="G25" s="102"/>
      <c r="H25" s="61"/>
      <c r="I25" s="62"/>
      <c r="J25" s="63"/>
      <c r="L25" s="65">
        <f t="shared" si="4"/>
        <v>15</v>
      </c>
      <c r="M25" s="66">
        <f t="shared" si="2"/>
        <v>9.0219178082191789</v>
      </c>
      <c r="N25" s="67">
        <f t="shared" si="3"/>
        <v>3.9337179999999999E-2</v>
      </c>
      <c r="O25" s="83">
        <v>48505</v>
      </c>
      <c r="P25" s="6">
        <v>3.9337179999999998</v>
      </c>
      <c r="Q25" s="6">
        <v>3.9337179999999998</v>
      </c>
      <c r="R25" s="5"/>
      <c r="S25" s="5"/>
      <c r="T25" s="81"/>
      <c r="U25" s="62"/>
      <c r="V25" s="62"/>
      <c r="W25" s="82"/>
    </row>
    <row r="26" spans="1:23" x14ac:dyDescent="0.4">
      <c r="A26" s="6">
        <f t="shared" si="1"/>
        <v>26</v>
      </c>
      <c r="B26" s="90" t="s">
        <v>107</v>
      </c>
      <c r="C26" s="90"/>
      <c r="D26" s="91">
        <v>0.15</v>
      </c>
      <c r="E26" s="91"/>
      <c r="G26" s="102"/>
      <c r="H26" s="61"/>
      <c r="I26" s="62"/>
      <c r="J26" s="63"/>
      <c r="L26" s="65">
        <f t="shared" si="4"/>
        <v>16</v>
      </c>
      <c r="M26" s="66">
        <f t="shared" si="2"/>
        <v>10.019178082191781</v>
      </c>
      <c r="N26" s="67">
        <f t="shared" si="3"/>
        <v>3.945328E-2</v>
      </c>
      <c r="O26" s="83">
        <v>48869</v>
      </c>
      <c r="P26" s="6">
        <v>3.9453279999999999</v>
      </c>
      <c r="Q26" s="6">
        <v>3.9453279999999999</v>
      </c>
      <c r="R26" s="5"/>
      <c r="S26" s="5"/>
      <c r="T26" s="81"/>
      <c r="U26" s="62"/>
      <c r="V26" s="62"/>
      <c r="W26" s="82"/>
    </row>
    <row r="27" spans="1:23" x14ac:dyDescent="0.4">
      <c r="A27" s="6">
        <f t="shared" si="1"/>
        <v>27</v>
      </c>
      <c r="G27" s="102"/>
      <c r="H27" s="61"/>
      <c r="I27" s="62"/>
      <c r="J27" s="63"/>
      <c r="L27" s="65">
        <f t="shared" si="4"/>
        <v>17</v>
      </c>
      <c r="M27" s="66">
        <f t="shared" si="2"/>
        <v>12.016438356164384</v>
      </c>
      <c r="N27" s="67">
        <f t="shared" si="3"/>
        <v>3.9689729999999999E-2</v>
      </c>
      <c r="O27" s="83">
        <v>49598</v>
      </c>
      <c r="P27" s="6">
        <v>3.9689730000000001</v>
      </c>
      <c r="Q27" s="6">
        <v>3.9689730000000001</v>
      </c>
      <c r="R27" s="5"/>
      <c r="S27" s="5"/>
      <c r="T27" s="81"/>
      <c r="U27" s="62"/>
      <c r="V27" s="62"/>
      <c r="W27" s="82"/>
    </row>
    <row r="28" spans="1:23" x14ac:dyDescent="0.4">
      <c r="A28" s="6">
        <f t="shared" si="1"/>
        <v>28</v>
      </c>
      <c r="G28" s="102"/>
      <c r="H28" s="61"/>
      <c r="I28" s="62"/>
      <c r="J28" s="63"/>
      <c r="L28" s="65">
        <f t="shared" si="4"/>
        <v>18</v>
      </c>
      <c r="M28" s="66">
        <f t="shared" si="2"/>
        <v>15.024657534246575</v>
      </c>
      <c r="N28" s="67">
        <f t="shared" si="3"/>
        <v>3.9608210000000005E-2</v>
      </c>
      <c r="O28" s="83">
        <v>50696</v>
      </c>
      <c r="P28" s="6">
        <v>3.9608210000000001</v>
      </c>
      <c r="Q28" s="6">
        <v>3.9608210000000001</v>
      </c>
      <c r="R28" s="5"/>
      <c r="S28" s="5"/>
      <c r="T28" s="81"/>
      <c r="U28" s="62"/>
      <c r="V28" s="62"/>
      <c r="W28" s="82"/>
    </row>
    <row r="29" spans="1:23" x14ac:dyDescent="0.4">
      <c r="A29" s="6">
        <f t="shared" si="1"/>
        <v>29</v>
      </c>
      <c r="G29" s="102"/>
      <c r="H29" s="61"/>
      <c r="I29" s="62"/>
      <c r="J29" s="63"/>
      <c r="L29" s="65">
        <f t="shared" si="4"/>
        <v>19</v>
      </c>
      <c r="M29" s="66">
        <f t="shared" si="2"/>
        <v>20.021917808219179</v>
      </c>
      <c r="N29" s="67">
        <f t="shared" si="3"/>
        <v>3.802929E-2</v>
      </c>
      <c r="O29" s="83">
        <v>52520</v>
      </c>
      <c r="P29" s="6">
        <v>3.8029289999999998</v>
      </c>
      <c r="Q29" s="6">
        <v>3.8029289999999998</v>
      </c>
      <c r="R29" s="5"/>
      <c r="S29" s="5"/>
      <c r="T29" s="81"/>
      <c r="U29" s="62"/>
      <c r="V29" s="62"/>
      <c r="W29" s="82"/>
    </row>
    <row r="30" spans="1:23" x14ac:dyDescent="0.4">
      <c r="A30" s="6">
        <f t="shared" si="1"/>
        <v>30</v>
      </c>
      <c r="G30" s="102"/>
      <c r="H30" s="61"/>
      <c r="I30" s="62"/>
      <c r="J30" s="63"/>
      <c r="L30" s="65">
        <f t="shared" si="4"/>
        <v>20</v>
      </c>
      <c r="M30" s="66">
        <f t="shared" si="2"/>
        <v>25.027397260273972</v>
      </c>
      <c r="N30" s="67">
        <f t="shared" si="3"/>
        <v>3.641312E-2</v>
      </c>
      <c r="O30" s="83">
        <v>54347</v>
      </c>
      <c r="P30" s="6">
        <v>3.6413120000000001</v>
      </c>
      <c r="Q30" s="6">
        <v>3.6413120000000001</v>
      </c>
      <c r="R30" s="5"/>
      <c r="S30" s="5"/>
      <c r="T30" s="81"/>
      <c r="U30" s="62"/>
      <c r="V30" s="62"/>
      <c r="W30" s="82"/>
    </row>
    <row r="31" spans="1:23" x14ac:dyDescent="0.4">
      <c r="A31" s="6">
        <f t="shared" si="1"/>
        <v>31</v>
      </c>
      <c r="G31" s="102"/>
      <c r="H31" s="61"/>
      <c r="I31" s="62"/>
      <c r="J31" s="63"/>
      <c r="L31" s="65">
        <f t="shared" si="4"/>
        <v>21</v>
      </c>
      <c r="M31" s="66">
        <f t="shared" si="2"/>
        <v>30.030136986301368</v>
      </c>
      <c r="N31" s="67">
        <f t="shared" si="3"/>
        <v>3.5521360000000002E-2</v>
      </c>
      <c r="O31" s="83">
        <v>56173</v>
      </c>
      <c r="P31" s="6">
        <v>3.552136</v>
      </c>
      <c r="Q31" s="6">
        <v>3.552136</v>
      </c>
      <c r="R31" s="5"/>
      <c r="S31" s="5"/>
      <c r="T31" s="81"/>
      <c r="U31" s="62"/>
      <c r="V31" s="62"/>
      <c r="W31" s="82"/>
    </row>
    <row r="32" spans="1:23" x14ac:dyDescent="0.4">
      <c r="A32" s="6">
        <f t="shared" si="1"/>
        <v>32</v>
      </c>
      <c r="G32" s="102"/>
      <c r="H32" s="61"/>
      <c r="I32" s="62"/>
      <c r="J32" s="63"/>
      <c r="L32" s="65">
        <f t="shared" si="4"/>
        <v>22</v>
      </c>
      <c r="M32" s="68"/>
      <c r="N32" s="69"/>
      <c r="O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102"/>
      <c r="H33" s="61"/>
      <c r="I33" s="62"/>
      <c r="J33" s="63"/>
      <c r="L33" s="65">
        <f t="shared" si="4"/>
        <v>23</v>
      </c>
      <c r="M33" s="68"/>
      <c r="N33" s="69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102"/>
      <c r="H34" s="61"/>
      <c r="I34" s="62"/>
      <c r="J34" s="63"/>
      <c r="L34" s="65">
        <f t="shared" si="4"/>
        <v>24</v>
      </c>
      <c r="M34" s="68"/>
      <c r="N34" s="69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102"/>
      <c r="H35" s="61"/>
      <c r="I35" s="62"/>
      <c r="J35" s="63"/>
      <c r="L35" s="65">
        <f t="shared" si="4"/>
        <v>25</v>
      </c>
      <c r="M35" s="68"/>
      <c r="N35" s="69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102"/>
      <c r="H36" s="61"/>
      <c r="I36" s="62"/>
      <c r="J36" s="63"/>
      <c r="L36" s="65">
        <f t="shared" si="4"/>
        <v>26</v>
      </c>
      <c r="M36" s="68"/>
      <c r="N36" s="69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102"/>
      <c r="H37" s="61"/>
      <c r="I37" s="62"/>
      <c r="J37" s="63"/>
      <c r="L37" s="65">
        <f t="shared" si="4"/>
        <v>27</v>
      </c>
      <c r="M37" s="68"/>
      <c r="N37" s="69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102"/>
      <c r="H38" s="61"/>
      <c r="I38" s="62"/>
      <c r="J38" s="63"/>
      <c r="L38" s="65">
        <f t="shared" si="4"/>
        <v>28</v>
      </c>
      <c r="M38" s="68"/>
      <c r="N38" s="69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102"/>
      <c r="H39" s="61"/>
      <c r="I39" s="62"/>
      <c r="J39" s="63"/>
      <c r="L39" s="65">
        <f t="shared" si="4"/>
        <v>29</v>
      </c>
      <c r="M39" s="68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102"/>
      <c r="H40" s="61"/>
      <c r="I40" s="62"/>
      <c r="J40" s="63"/>
      <c r="L40" s="65">
        <f t="shared" si="4"/>
        <v>30</v>
      </c>
      <c r="M40" s="68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4"/>
        <v>31</v>
      </c>
      <c r="M41" s="68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4"/>
        <v>32</v>
      </c>
      <c r="M42" s="68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4"/>
        <v>33</v>
      </c>
      <c r="M43" s="68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4"/>
        <v>34</v>
      </c>
      <c r="M44" s="68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4"/>
        <v>35</v>
      </c>
      <c r="M45" s="68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4"/>
        <v>36</v>
      </c>
      <c r="M46" s="68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4"/>
        <v>37</v>
      </c>
      <c r="M47" s="68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4"/>
        <v>38</v>
      </c>
      <c r="M48" s="68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4"/>
        <v>39</v>
      </c>
      <c r="M49" s="68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4"/>
        <v>40</v>
      </c>
      <c r="M50" s="68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4"/>
        <v>41</v>
      </c>
      <c r="M51" s="68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4"/>
        <v>42</v>
      </c>
      <c r="M52" s="68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4"/>
        <v>43</v>
      </c>
      <c r="M53" s="68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1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102"/>
      <c r="H56" s="92" t="s">
        <v>7</v>
      </c>
      <c r="I56" s="93"/>
      <c r="L56" s="96" t="s">
        <v>11</v>
      </c>
      <c r="M56" s="96"/>
      <c r="N56" s="96"/>
      <c r="R56" s="96" t="s">
        <v>12</v>
      </c>
      <c r="S56" s="96"/>
      <c r="T56" s="96"/>
    </row>
    <row r="57" spans="1:23" x14ac:dyDescent="0.4">
      <c r="A57" s="6">
        <f t="shared" si="1"/>
        <v>57</v>
      </c>
      <c r="B57" s="90" t="s">
        <v>4</v>
      </c>
      <c r="C57" s="90"/>
      <c r="D57" s="91">
        <v>0</v>
      </c>
      <c r="E57" s="91"/>
      <c r="G57" s="102"/>
      <c r="H57" s="94"/>
      <c r="I57" s="95"/>
      <c r="L57" s="96"/>
      <c r="M57" s="96"/>
      <c r="N57" s="96"/>
      <c r="R57" s="96"/>
      <c r="S57" s="96"/>
      <c r="T57" s="96"/>
    </row>
    <row r="58" spans="1:23" x14ac:dyDescent="0.4">
      <c r="A58" s="6">
        <f t="shared" si="1"/>
        <v>58</v>
      </c>
      <c r="B58" s="90" t="s">
        <v>1</v>
      </c>
      <c r="C58" s="90"/>
      <c r="D58" s="91">
        <v>0.01</v>
      </c>
      <c r="E58" s="91"/>
      <c r="G58" s="102"/>
      <c r="I58" s="2" t="s">
        <v>102</v>
      </c>
      <c r="J58" s="2" t="s">
        <v>103</v>
      </c>
      <c r="K58" s="2" t="s">
        <v>104</v>
      </c>
      <c r="R58" s="96" t="s">
        <v>13</v>
      </c>
      <c r="S58" s="96"/>
      <c r="T58" s="4">
        <v>3</v>
      </c>
    </row>
    <row r="59" spans="1:23" x14ac:dyDescent="0.4">
      <c r="A59" s="6">
        <f t="shared" si="1"/>
        <v>59</v>
      </c>
      <c r="G59" s="102"/>
      <c r="H59" s="2" t="s">
        <v>8</v>
      </c>
      <c r="I59" s="3">
        <v>4.4457666844725831E-2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102"/>
      <c r="H60" s="60" t="s">
        <v>9</v>
      </c>
      <c r="I60" s="97" t="s">
        <v>10</v>
      </c>
      <c r="J60" s="98"/>
      <c r="L60" s="64" t="s">
        <v>15</v>
      </c>
      <c r="M60" s="64" t="s">
        <v>16</v>
      </c>
      <c r="N60" s="60" t="s">
        <v>68</v>
      </c>
      <c r="R60" s="88" t="s">
        <v>14</v>
      </c>
      <c r="S60" s="88" t="s">
        <v>112</v>
      </c>
      <c r="T60" s="88" t="s">
        <v>113</v>
      </c>
      <c r="U60" s="88" t="s">
        <v>114</v>
      </c>
      <c r="V60" s="88" t="s">
        <v>115</v>
      </c>
      <c r="W60" s="88" t="s">
        <v>116</v>
      </c>
    </row>
    <row r="61" spans="1:23" x14ac:dyDescent="0.4">
      <c r="A61" s="6">
        <f t="shared" si="1"/>
        <v>61</v>
      </c>
      <c r="G61" s="102"/>
      <c r="H61" s="61">
        <v>0.25</v>
      </c>
      <c r="I61" s="62">
        <v>1.2716062706134264E-2</v>
      </c>
      <c r="J61" s="63"/>
      <c r="L61" s="65">
        <v>1</v>
      </c>
      <c r="M61" s="66">
        <v>0.25</v>
      </c>
      <c r="N61" s="67">
        <v>4.2140000000000004E-2</v>
      </c>
      <c r="O61" s="21"/>
      <c r="R61" s="89"/>
      <c r="S61" s="89"/>
      <c r="T61" s="89"/>
      <c r="U61" s="89"/>
      <c r="V61" s="89"/>
      <c r="W61" s="89"/>
    </row>
    <row r="62" spans="1:23" x14ac:dyDescent="0.4">
      <c r="A62" s="6">
        <f t="shared" si="1"/>
        <v>62</v>
      </c>
      <c r="G62" s="102"/>
      <c r="H62" s="61">
        <v>0.5</v>
      </c>
      <c r="I62" s="62">
        <v>1.236180295977587E-2</v>
      </c>
      <c r="J62" s="63"/>
      <c r="L62" s="65">
        <f>L61+1</f>
        <v>2</v>
      </c>
      <c r="M62" s="66">
        <v>0.5</v>
      </c>
      <c r="N62" s="67">
        <v>4.5100000000000001E-2</v>
      </c>
      <c r="O62" s="21"/>
      <c r="R62" s="5">
        <v>0.25</v>
      </c>
      <c r="S62" s="5">
        <v>1</v>
      </c>
      <c r="T62" s="81">
        <v>0.25</v>
      </c>
      <c r="U62" s="62">
        <v>2.3805804109763408E-3</v>
      </c>
      <c r="V62" s="62">
        <v>2.3805804109780331E-3</v>
      </c>
      <c r="W62" s="82">
        <v>-1.6922227508153753E-15</v>
      </c>
    </row>
    <row r="63" spans="1:23" x14ac:dyDescent="0.4">
      <c r="A63" s="6">
        <f t="shared" si="1"/>
        <v>63</v>
      </c>
      <c r="C63" s="1" t="s">
        <v>5</v>
      </c>
      <c r="D63" s="99" t="s">
        <v>6</v>
      </c>
      <c r="E63" s="99"/>
      <c r="G63" s="102"/>
      <c r="H63" s="61">
        <v>0.75</v>
      </c>
      <c r="I63" s="62">
        <v>1.2347486138288233E-2</v>
      </c>
      <c r="J63" s="63"/>
      <c r="L63" s="65">
        <f t="shared" ref="L63:L103" si="5">L62+1</f>
        <v>3</v>
      </c>
      <c r="M63" s="66">
        <v>1</v>
      </c>
      <c r="N63" s="67">
        <v>4.8210000000000003E-2</v>
      </c>
      <c r="O63" s="21"/>
      <c r="R63" s="5">
        <v>0.5</v>
      </c>
      <c r="S63" s="5">
        <v>2</v>
      </c>
      <c r="T63" s="81">
        <v>0.25</v>
      </c>
      <c r="U63" s="62">
        <v>6.2907412810360858E-3</v>
      </c>
      <c r="V63" s="62">
        <v>6.2907412810343016E-3</v>
      </c>
      <c r="W63" s="82">
        <v>1.7841630950421461E-15</v>
      </c>
    </row>
    <row r="64" spans="1:23" x14ac:dyDescent="0.4">
      <c r="A64" s="6">
        <f t="shared" si="1"/>
        <v>64</v>
      </c>
      <c r="D64" s="99"/>
      <c r="E64" s="99"/>
      <c r="G64" s="102"/>
      <c r="H64" s="61">
        <v>1</v>
      </c>
      <c r="I64" s="62">
        <v>1.1221942646175874E-2</v>
      </c>
      <c r="J64" s="63"/>
      <c r="L64" s="65">
        <f t="shared" si="5"/>
        <v>4</v>
      </c>
      <c r="M64" s="66">
        <v>2</v>
      </c>
      <c r="N64" s="67">
        <v>4.7410000000000001E-2</v>
      </c>
      <c r="O64" s="21"/>
      <c r="R64" s="5">
        <v>0.75</v>
      </c>
      <c r="S64" s="5">
        <v>3</v>
      </c>
      <c r="T64" s="81">
        <v>0.25</v>
      </c>
      <c r="U64" s="62">
        <v>1.0817059870020292E-2</v>
      </c>
      <c r="V64" s="62">
        <v>1.0817059870021604E-2</v>
      </c>
      <c r="W64" s="82">
        <v>-1.3114509478384662E-15</v>
      </c>
    </row>
    <row r="65" spans="1:23" x14ac:dyDescent="0.4">
      <c r="A65" s="6">
        <f t="shared" si="1"/>
        <v>65</v>
      </c>
      <c r="D65" s="99"/>
      <c r="E65" s="99"/>
      <c r="G65" s="102"/>
      <c r="H65" s="61">
        <v>2</v>
      </c>
      <c r="I65" s="62">
        <v>1.287582854793747E-2</v>
      </c>
      <c r="J65" s="63"/>
      <c r="L65" s="65">
        <f t="shared" si="5"/>
        <v>5</v>
      </c>
      <c r="M65" s="66">
        <v>3</v>
      </c>
      <c r="N65" s="67">
        <v>4.727E-2</v>
      </c>
      <c r="O65" s="21"/>
      <c r="R65" s="5">
        <v>1</v>
      </c>
      <c r="S65" s="5">
        <v>4</v>
      </c>
      <c r="T65" s="81">
        <v>0.25</v>
      </c>
      <c r="U65" s="62">
        <v>1.5396680198328693E-2</v>
      </c>
      <c r="V65" s="62">
        <v>1.539668019832815E-2</v>
      </c>
      <c r="W65" s="82">
        <v>5.4296844798074062E-16</v>
      </c>
    </row>
    <row r="66" spans="1:23" x14ac:dyDescent="0.4">
      <c r="A66" s="6">
        <f t="shared" si="1"/>
        <v>66</v>
      </c>
      <c r="G66" s="102"/>
      <c r="H66" s="61">
        <v>3</v>
      </c>
      <c r="I66" s="62">
        <v>1.1989025254029589E-2</v>
      </c>
      <c r="J66" s="63"/>
      <c r="L66" s="65">
        <f t="shared" si="5"/>
        <v>6</v>
      </c>
      <c r="M66" s="66">
        <v>5</v>
      </c>
      <c r="N66" s="67">
        <v>4.5089999999999998E-2</v>
      </c>
      <c r="O66" s="21"/>
      <c r="R66" s="5">
        <v>2</v>
      </c>
      <c r="S66" s="5">
        <v>5</v>
      </c>
      <c r="T66" s="81">
        <v>0.25</v>
      </c>
      <c r="U66" s="62">
        <v>2.4588877114415639E-2</v>
      </c>
      <c r="V66" s="62">
        <v>2.4588877114415875E-2</v>
      </c>
      <c r="W66" s="82">
        <v>-2.3592239273284576E-16</v>
      </c>
    </row>
    <row r="67" spans="1:23" x14ac:dyDescent="0.4">
      <c r="A67" s="6">
        <f t="shared" si="1"/>
        <v>67</v>
      </c>
      <c r="D67" s="100">
        <v>45202.835729166669</v>
      </c>
      <c r="E67" s="100"/>
      <c r="G67" s="102"/>
      <c r="H67" s="61">
        <v>5</v>
      </c>
      <c r="I67" s="62">
        <v>1.7276467423499461E-2</v>
      </c>
      <c r="J67" s="63"/>
      <c r="L67" s="65">
        <f t="shared" si="5"/>
        <v>7</v>
      </c>
      <c r="M67" s="66">
        <v>7</v>
      </c>
      <c r="N67" s="67">
        <v>4.4120000000000006E-2</v>
      </c>
      <c r="O67" s="21"/>
      <c r="R67" s="5">
        <v>3</v>
      </c>
      <c r="S67" s="5">
        <v>7</v>
      </c>
      <c r="T67" s="81">
        <v>0.25</v>
      </c>
      <c r="U67" s="62">
        <v>3.7064430867525769E-2</v>
      </c>
      <c r="V67" s="62">
        <v>3.7064430867525741E-2</v>
      </c>
      <c r="W67" s="82">
        <v>2.7755575615628914E-17</v>
      </c>
    </row>
    <row r="68" spans="1:23" x14ac:dyDescent="0.4">
      <c r="A68" s="6">
        <f t="shared" si="1"/>
        <v>68</v>
      </c>
      <c r="D68" s="100">
        <v>45202.835729166669</v>
      </c>
      <c r="E68" s="100"/>
      <c r="G68" s="102"/>
      <c r="H68" s="61"/>
      <c r="I68" s="62"/>
      <c r="J68" s="63"/>
      <c r="L68" s="65">
        <f t="shared" si="5"/>
        <v>8</v>
      </c>
      <c r="M68" s="66">
        <v>10</v>
      </c>
      <c r="N68" s="67">
        <v>4.2840000000000003E-2</v>
      </c>
      <c r="O68" s="21"/>
      <c r="R68" s="5">
        <v>5</v>
      </c>
      <c r="S68" s="5">
        <v>10</v>
      </c>
      <c r="T68" s="81">
        <v>0.25</v>
      </c>
      <c r="U68" s="62">
        <v>6.2507322771680723E-2</v>
      </c>
      <c r="V68" s="62">
        <v>6.2507322771680821E-2</v>
      </c>
      <c r="W68" s="82">
        <v>-9.7144514654701197E-17</v>
      </c>
    </row>
    <row r="69" spans="1:23" x14ac:dyDescent="0.4">
      <c r="A69" s="6">
        <f t="shared" si="1"/>
        <v>69</v>
      </c>
      <c r="G69" s="102"/>
      <c r="H69" s="61"/>
      <c r="I69" s="62"/>
      <c r="J69" s="63"/>
      <c r="L69" s="65">
        <f t="shared" si="5"/>
        <v>9</v>
      </c>
      <c r="M69" s="66">
        <v>20</v>
      </c>
      <c r="N69" s="67">
        <v>4.5839999999999999E-2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6">A69+1</f>
        <v>70</v>
      </c>
      <c r="G70" s="102"/>
      <c r="H70" s="61"/>
      <c r="I70" s="62"/>
      <c r="J70" s="63"/>
      <c r="L70" s="65">
        <f t="shared" si="5"/>
        <v>10</v>
      </c>
      <c r="M70" s="66">
        <v>30</v>
      </c>
      <c r="N70" s="67">
        <f>N69+0.001</f>
        <v>4.684E-2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6"/>
        <v>71</v>
      </c>
      <c r="G71" s="102"/>
      <c r="H71" s="61"/>
      <c r="I71" s="62"/>
      <c r="J71" s="63"/>
      <c r="L71" s="65">
        <f t="shared" si="5"/>
        <v>11</v>
      </c>
      <c r="M71" s="66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6"/>
        <v>72</v>
      </c>
      <c r="G72" s="102"/>
      <c r="H72" s="61"/>
      <c r="I72" s="62"/>
      <c r="J72" s="63"/>
      <c r="L72" s="65">
        <f t="shared" si="5"/>
        <v>12</v>
      </c>
      <c r="M72" s="66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6"/>
        <v>73</v>
      </c>
      <c r="B73" s="90" t="s">
        <v>110</v>
      </c>
      <c r="C73" s="90"/>
      <c r="D73" s="91">
        <v>0</v>
      </c>
      <c r="E73" s="91"/>
      <c r="G73" s="102"/>
      <c r="H73" s="61"/>
      <c r="I73" s="62"/>
      <c r="J73" s="63"/>
      <c r="L73" s="65">
        <f t="shared" si="5"/>
        <v>13</v>
      </c>
      <c r="M73" s="66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6"/>
        <v>74</v>
      </c>
      <c r="B74" s="90" t="s">
        <v>106</v>
      </c>
      <c r="C74" s="90"/>
      <c r="D74" s="91">
        <v>1</v>
      </c>
      <c r="E74" s="91"/>
      <c r="G74" s="102"/>
      <c r="H74" s="61"/>
      <c r="I74" s="62"/>
      <c r="J74" s="63"/>
      <c r="L74" s="65">
        <f t="shared" si="5"/>
        <v>14</v>
      </c>
      <c r="M74" s="66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6"/>
        <v>75</v>
      </c>
      <c r="B75" s="90" t="s">
        <v>108</v>
      </c>
      <c r="C75" s="90"/>
      <c r="D75" s="91">
        <v>-0.12</v>
      </c>
      <c r="E75" s="91"/>
      <c r="G75" s="102"/>
      <c r="H75" s="61"/>
      <c r="I75" s="62"/>
      <c r="J75" s="63"/>
      <c r="L75" s="65">
        <f t="shared" si="5"/>
        <v>15</v>
      </c>
      <c r="M75" s="66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6"/>
        <v>76</v>
      </c>
      <c r="B76" s="90" t="s">
        <v>107</v>
      </c>
      <c r="C76" s="90"/>
      <c r="D76" s="91">
        <v>0.24</v>
      </c>
      <c r="E76" s="91"/>
      <c r="G76" s="102"/>
      <c r="H76" s="61"/>
      <c r="I76" s="62"/>
      <c r="J76" s="63"/>
      <c r="L76" s="65">
        <f t="shared" si="5"/>
        <v>16</v>
      </c>
      <c r="M76" s="66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6"/>
        <v>77</v>
      </c>
      <c r="G77" s="102"/>
      <c r="H77" s="61"/>
      <c r="I77" s="62"/>
      <c r="J77" s="63"/>
      <c r="L77" s="65">
        <f t="shared" si="5"/>
        <v>17</v>
      </c>
      <c r="M77" s="66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6"/>
        <v>78</v>
      </c>
      <c r="G78" s="102"/>
      <c r="H78" s="61"/>
      <c r="I78" s="62"/>
      <c r="J78" s="63"/>
      <c r="L78" s="65">
        <f t="shared" si="5"/>
        <v>18</v>
      </c>
      <c r="M78" s="66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6"/>
        <v>79</v>
      </c>
      <c r="G79" s="102"/>
      <c r="H79" s="61"/>
      <c r="I79" s="62"/>
      <c r="J79" s="63"/>
      <c r="L79" s="65">
        <f t="shared" si="5"/>
        <v>19</v>
      </c>
      <c r="M79" s="68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6"/>
        <v>80</v>
      </c>
      <c r="G80" s="102"/>
      <c r="H80" s="61"/>
      <c r="I80" s="62"/>
      <c r="J80" s="63"/>
      <c r="L80" s="65">
        <f t="shared" si="5"/>
        <v>20</v>
      </c>
      <c r="M80" s="68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6"/>
        <v>81</v>
      </c>
      <c r="G81" s="102"/>
      <c r="H81" s="61"/>
      <c r="I81" s="62"/>
      <c r="J81" s="63"/>
      <c r="L81" s="65">
        <f t="shared" si="5"/>
        <v>21</v>
      </c>
      <c r="M81" s="68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6"/>
        <v>82</v>
      </c>
      <c r="G82" s="102"/>
      <c r="H82" s="61"/>
      <c r="I82" s="62"/>
      <c r="J82" s="63"/>
      <c r="L82" s="65">
        <f t="shared" si="5"/>
        <v>22</v>
      </c>
      <c r="M82" s="68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6"/>
        <v>83</v>
      </c>
      <c r="G83" s="102"/>
      <c r="H83" s="61"/>
      <c r="I83" s="62"/>
      <c r="J83" s="63"/>
      <c r="L83" s="65">
        <f t="shared" si="5"/>
        <v>23</v>
      </c>
      <c r="M83" s="68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6"/>
        <v>84</v>
      </c>
      <c r="G84" s="102"/>
      <c r="H84" s="61"/>
      <c r="I84" s="62"/>
      <c r="J84" s="63"/>
      <c r="L84" s="65">
        <f t="shared" si="5"/>
        <v>24</v>
      </c>
      <c r="M84" s="68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6"/>
        <v>85</v>
      </c>
      <c r="G85" s="102"/>
      <c r="H85" s="61"/>
      <c r="I85" s="62"/>
      <c r="J85" s="63"/>
      <c r="L85" s="65">
        <f t="shared" si="5"/>
        <v>25</v>
      </c>
      <c r="M85" s="68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6"/>
        <v>86</v>
      </c>
      <c r="G86" s="102"/>
      <c r="H86" s="61"/>
      <c r="I86" s="62"/>
      <c r="J86" s="63"/>
      <c r="L86" s="65">
        <f t="shared" si="5"/>
        <v>26</v>
      </c>
      <c r="M86" s="68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6"/>
        <v>87</v>
      </c>
      <c r="G87" s="102"/>
      <c r="H87" s="61"/>
      <c r="I87" s="62"/>
      <c r="J87" s="63"/>
      <c r="L87" s="65">
        <f t="shared" si="5"/>
        <v>27</v>
      </c>
      <c r="M87" s="68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6"/>
        <v>88</v>
      </c>
      <c r="G88" s="102"/>
      <c r="H88" s="61"/>
      <c r="I88" s="62"/>
      <c r="J88" s="63"/>
      <c r="L88" s="65">
        <f t="shared" si="5"/>
        <v>28</v>
      </c>
      <c r="M88" s="68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6"/>
        <v>89</v>
      </c>
      <c r="G89" s="102"/>
      <c r="H89" s="61"/>
      <c r="I89" s="62"/>
      <c r="J89" s="63"/>
      <c r="L89" s="65">
        <f t="shared" si="5"/>
        <v>29</v>
      </c>
      <c r="M89" s="68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6"/>
        <v>90</v>
      </c>
      <c r="G90" s="102"/>
      <c r="H90" s="61"/>
      <c r="I90" s="62"/>
      <c r="J90" s="63"/>
      <c r="L90" s="65">
        <f t="shared" si="5"/>
        <v>30</v>
      </c>
      <c r="M90" s="68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6"/>
        <v>91</v>
      </c>
      <c r="G91" s="79"/>
      <c r="H91" s="61"/>
      <c r="I91" s="62"/>
      <c r="J91" s="63"/>
      <c r="L91" s="65">
        <f t="shared" si="5"/>
        <v>31</v>
      </c>
      <c r="M91" s="68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6"/>
        <v>92</v>
      </c>
      <c r="G92" s="79"/>
      <c r="H92" s="61"/>
      <c r="I92" s="62"/>
      <c r="J92" s="63"/>
      <c r="L92" s="65">
        <f t="shared" si="5"/>
        <v>32</v>
      </c>
      <c r="M92" s="68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6"/>
        <v>93</v>
      </c>
      <c r="G93" s="79"/>
      <c r="H93" s="61"/>
      <c r="I93" s="62"/>
      <c r="J93" s="63"/>
      <c r="L93" s="65">
        <f t="shared" si="5"/>
        <v>33</v>
      </c>
      <c r="M93" s="68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6"/>
        <v>94</v>
      </c>
      <c r="G94" s="79"/>
      <c r="H94" s="61"/>
      <c r="I94" s="62"/>
      <c r="J94" s="63"/>
      <c r="L94" s="65">
        <f t="shared" si="5"/>
        <v>34</v>
      </c>
      <c r="M94" s="68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6"/>
        <v>95</v>
      </c>
      <c r="G95" s="79"/>
      <c r="H95" s="61"/>
      <c r="I95" s="62"/>
      <c r="J95" s="63"/>
      <c r="L95" s="65">
        <f t="shared" si="5"/>
        <v>35</v>
      </c>
      <c r="M95" s="68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6"/>
        <v>96</v>
      </c>
      <c r="G96" s="79"/>
      <c r="H96" s="61"/>
      <c r="I96" s="62"/>
      <c r="J96" s="63"/>
      <c r="L96" s="65">
        <f t="shared" si="5"/>
        <v>36</v>
      </c>
      <c r="M96" s="68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6"/>
        <v>97</v>
      </c>
      <c r="G97" s="79"/>
      <c r="H97" s="61"/>
      <c r="I97" s="62"/>
      <c r="J97" s="63"/>
      <c r="L97" s="65">
        <f t="shared" si="5"/>
        <v>37</v>
      </c>
      <c r="M97" s="68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6"/>
        <v>98</v>
      </c>
      <c r="G98" s="79"/>
      <c r="H98" s="61"/>
      <c r="I98" s="62"/>
      <c r="J98" s="63"/>
      <c r="L98" s="65">
        <f t="shared" si="5"/>
        <v>38</v>
      </c>
      <c r="M98" s="68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6"/>
        <v>99</v>
      </c>
      <c r="G99" s="79"/>
      <c r="H99" s="61"/>
      <c r="I99" s="62"/>
      <c r="J99" s="63"/>
      <c r="L99" s="65">
        <f t="shared" si="5"/>
        <v>39</v>
      </c>
      <c r="M99" s="68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6"/>
        <v>100</v>
      </c>
      <c r="G100" s="79"/>
      <c r="H100" s="61"/>
      <c r="I100" s="62"/>
      <c r="J100" s="63"/>
      <c r="L100" s="65">
        <f t="shared" si="5"/>
        <v>40</v>
      </c>
      <c r="M100" s="68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6"/>
        <v>101</v>
      </c>
      <c r="G101" s="79"/>
      <c r="H101" s="61"/>
      <c r="I101" s="62"/>
      <c r="J101" s="63"/>
      <c r="L101" s="65">
        <f t="shared" si="5"/>
        <v>41</v>
      </c>
      <c r="M101" s="68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6"/>
        <v>102</v>
      </c>
      <c r="G102" s="79"/>
      <c r="H102" s="61"/>
      <c r="I102" s="62"/>
      <c r="J102" s="63"/>
      <c r="L102" s="65">
        <f t="shared" si="5"/>
        <v>42</v>
      </c>
      <c r="M102" s="68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6"/>
        <v>103</v>
      </c>
      <c r="G103" s="79"/>
      <c r="H103" s="61"/>
      <c r="I103" s="62"/>
      <c r="J103" s="63"/>
      <c r="L103" s="65">
        <f t="shared" si="5"/>
        <v>43</v>
      </c>
      <c r="M103" s="68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6"/>
        <v>104</v>
      </c>
    </row>
    <row r="105" spans="1:23" x14ac:dyDescent="0.4">
      <c r="A105" s="6">
        <f t="shared" si="6"/>
        <v>105</v>
      </c>
      <c r="G105" s="101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6"/>
        <v>106</v>
      </c>
      <c r="G106" s="102"/>
      <c r="H106" s="92" t="s">
        <v>7</v>
      </c>
      <c r="I106" s="93"/>
      <c r="L106" s="96" t="s">
        <v>11</v>
      </c>
      <c r="M106" s="96"/>
      <c r="N106" s="96"/>
      <c r="R106" s="96" t="s">
        <v>12</v>
      </c>
      <c r="S106" s="96"/>
      <c r="T106" s="96"/>
    </row>
    <row r="107" spans="1:23" x14ac:dyDescent="0.4">
      <c r="A107" s="6">
        <f t="shared" si="6"/>
        <v>107</v>
      </c>
      <c r="B107" s="90" t="s">
        <v>4</v>
      </c>
      <c r="C107" s="90"/>
      <c r="D107" s="91">
        <v>1</v>
      </c>
      <c r="E107" s="91"/>
      <c r="G107" s="102"/>
      <c r="H107" s="94"/>
      <c r="I107" s="95"/>
      <c r="L107" s="96"/>
      <c r="M107" s="96"/>
      <c r="N107" s="96"/>
      <c r="R107" s="96"/>
      <c r="S107" s="96"/>
      <c r="T107" s="96"/>
    </row>
    <row r="108" spans="1:23" x14ac:dyDescent="0.4">
      <c r="A108" s="6">
        <f t="shared" si="6"/>
        <v>108</v>
      </c>
      <c r="B108" s="90" t="s">
        <v>1</v>
      </c>
      <c r="C108" s="90"/>
      <c r="D108" s="91">
        <v>0.01</v>
      </c>
      <c r="E108" s="91"/>
      <c r="G108" s="102"/>
      <c r="I108" s="2" t="s">
        <v>102</v>
      </c>
      <c r="J108" s="2" t="s">
        <v>103</v>
      </c>
      <c r="K108" s="2" t="s">
        <v>104</v>
      </c>
      <c r="R108" s="96" t="s">
        <v>13</v>
      </c>
      <c r="S108" s="96"/>
      <c r="T108" s="4">
        <v>3</v>
      </c>
    </row>
    <row r="109" spans="1:23" x14ac:dyDescent="0.4">
      <c r="A109" s="6">
        <f t="shared" si="6"/>
        <v>109</v>
      </c>
      <c r="G109" s="102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6"/>
        <v>110</v>
      </c>
      <c r="G110" s="102"/>
      <c r="H110" s="60" t="s">
        <v>9</v>
      </c>
      <c r="I110" s="97" t="s">
        <v>10</v>
      </c>
      <c r="J110" s="98"/>
      <c r="L110" s="64" t="s">
        <v>15</v>
      </c>
      <c r="M110" s="64" t="s">
        <v>16</v>
      </c>
      <c r="N110" s="60" t="s">
        <v>68</v>
      </c>
      <c r="R110" s="88" t="s">
        <v>14</v>
      </c>
      <c r="S110" s="88" t="s">
        <v>112</v>
      </c>
      <c r="T110" s="88" t="s">
        <v>113</v>
      </c>
      <c r="U110" s="88" t="s">
        <v>114</v>
      </c>
      <c r="V110" s="88" t="s">
        <v>115</v>
      </c>
      <c r="W110" s="88" t="s">
        <v>116</v>
      </c>
    </row>
    <row r="111" spans="1:23" x14ac:dyDescent="0.4">
      <c r="A111" s="6">
        <f t="shared" si="6"/>
        <v>111</v>
      </c>
      <c r="G111" s="102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89"/>
      <c r="S111" s="89"/>
      <c r="T111" s="89"/>
      <c r="U111" s="89"/>
      <c r="V111" s="89"/>
      <c r="W111" s="89"/>
    </row>
    <row r="112" spans="1:23" x14ac:dyDescent="0.4">
      <c r="A112" s="6">
        <f t="shared" si="6"/>
        <v>112</v>
      </c>
      <c r="G112" s="102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6"/>
        <v>113</v>
      </c>
      <c r="C113" s="1" t="s">
        <v>5</v>
      </c>
      <c r="D113" s="99" t="s">
        <v>6</v>
      </c>
      <c r="E113" s="99"/>
      <c r="G113" s="102"/>
      <c r="H113" s="61">
        <v>1.5</v>
      </c>
      <c r="I113" s="62">
        <v>3.2000000000000002E-3</v>
      </c>
      <c r="J113" s="63">
        <v>1.2199999999999999E-2</v>
      </c>
      <c r="L113" s="65">
        <f t="shared" ref="L113:L140" si="7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6"/>
        <v>114</v>
      </c>
      <c r="D114" s="99"/>
      <c r="E114" s="99"/>
      <c r="G114" s="102"/>
      <c r="H114" s="61">
        <v>2</v>
      </c>
      <c r="I114" s="62">
        <v>3.2000000000000002E-3</v>
      </c>
      <c r="J114" s="63">
        <v>1.2199999999999999E-2</v>
      </c>
      <c r="L114" s="65">
        <f t="shared" si="7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6"/>
        <v>115</v>
      </c>
      <c r="D115" s="99"/>
      <c r="E115" s="99"/>
      <c r="G115" s="102"/>
      <c r="H115" s="61">
        <v>3</v>
      </c>
      <c r="I115" s="62">
        <v>3.0000000000000001E-3</v>
      </c>
      <c r="J115" s="63">
        <v>1.14E-2</v>
      </c>
      <c r="L115" s="65">
        <f t="shared" si="7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6"/>
        <v>116</v>
      </c>
      <c r="G116" s="102"/>
      <c r="H116" s="61">
        <v>4</v>
      </c>
      <c r="I116" s="62">
        <v>3.2000000000000002E-3</v>
      </c>
      <c r="J116" s="63">
        <v>1.1800000000000001E-2</v>
      </c>
      <c r="L116" s="65">
        <f t="shared" si="7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6"/>
        <v>117</v>
      </c>
      <c r="D117" s="100">
        <v>44931.461863425924</v>
      </c>
      <c r="E117" s="100"/>
      <c r="G117" s="102"/>
      <c r="H117" s="61">
        <v>5</v>
      </c>
      <c r="I117" s="62">
        <v>3.2000000000000002E-3</v>
      </c>
      <c r="J117" s="63">
        <v>1.2799999999999999E-2</v>
      </c>
      <c r="L117" s="65">
        <f t="shared" si="7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6"/>
        <v>118</v>
      </c>
      <c r="D118" s="100">
        <v>44931.461875000001</v>
      </c>
      <c r="E118" s="100"/>
      <c r="G118" s="102"/>
      <c r="H118" s="61">
        <v>7</v>
      </c>
      <c r="I118" s="62">
        <v>3.2000000000000002E-3</v>
      </c>
      <c r="J118" s="63">
        <v>1.1200000000000002E-2</v>
      </c>
      <c r="L118" s="65">
        <f t="shared" si="7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6"/>
        <v>119</v>
      </c>
      <c r="G119" s="102"/>
      <c r="H119" s="61">
        <v>10</v>
      </c>
      <c r="I119" s="62">
        <v>3.4000000000000002E-3</v>
      </c>
      <c r="J119" s="63">
        <v>1.1599999999999999E-2</v>
      </c>
      <c r="L119" s="65">
        <f t="shared" si="7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6"/>
        <v>120</v>
      </c>
      <c r="G120" s="102"/>
      <c r="H120" s="61"/>
      <c r="I120" s="62"/>
      <c r="J120" s="63"/>
      <c r="L120" s="65">
        <f t="shared" si="7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6"/>
        <v>121</v>
      </c>
      <c r="G121" s="102"/>
      <c r="H121" s="61"/>
      <c r="I121" s="62"/>
      <c r="J121" s="63"/>
      <c r="L121" s="65">
        <f t="shared" si="7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6"/>
        <v>122</v>
      </c>
      <c r="G122" s="102"/>
      <c r="H122" s="61"/>
      <c r="I122" s="62"/>
      <c r="J122" s="63"/>
      <c r="L122" s="65">
        <f t="shared" si="7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6"/>
        <v>123</v>
      </c>
      <c r="B123" s="90" t="s">
        <v>110</v>
      </c>
      <c r="C123" s="90"/>
      <c r="D123" s="91">
        <v>0</v>
      </c>
      <c r="E123" s="91"/>
      <c r="G123" s="102"/>
      <c r="H123" s="61"/>
      <c r="I123" s="62"/>
      <c r="J123" s="63"/>
      <c r="L123" s="65">
        <f t="shared" si="7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6"/>
        <v>124</v>
      </c>
      <c r="B124" s="90" t="s">
        <v>106</v>
      </c>
      <c r="C124" s="90"/>
      <c r="D124" s="91">
        <v>0</v>
      </c>
      <c r="E124" s="91"/>
      <c r="G124" s="102"/>
      <c r="H124" s="61"/>
      <c r="I124" s="62"/>
      <c r="J124" s="63"/>
      <c r="L124" s="65">
        <f t="shared" si="7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6"/>
        <v>125</v>
      </c>
      <c r="B125" s="90" t="s">
        <v>108</v>
      </c>
      <c r="C125" s="90"/>
      <c r="D125" s="91">
        <v>-0.1</v>
      </c>
      <c r="E125" s="91"/>
      <c r="G125" s="102"/>
      <c r="H125" s="61"/>
      <c r="I125" s="62"/>
      <c r="J125" s="63"/>
      <c r="L125" s="65">
        <f t="shared" si="7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6"/>
        <v>126</v>
      </c>
      <c r="B126" s="90" t="s">
        <v>107</v>
      </c>
      <c r="C126" s="90"/>
      <c r="D126" s="91">
        <v>0.15</v>
      </c>
      <c r="E126" s="91"/>
      <c r="G126" s="102"/>
      <c r="H126" s="61"/>
      <c r="I126" s="62"/>
      <c r="J126" s="63"/>
      <c r="L126" s="65">
        <f t="shared" si="7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6"/>
        <v>127</v>
      </c>
      <c r="G127" s="102"/>
      <c r="H127" s="61"/>
      <c r="I127" s="62"/>
      <c r="J127" s="63"/>
      <c r="L127" s="65">
        <f t="shared" si="7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6"/>
        <v>128</v>
      </c>
      <c r="G128" s="102"/>
      <c r="H128" s="61"/>
      <c r="I128" s="62"/>
      <c r="J128" s="63"/>
      <c r="L128" s="65">
        <f t="shared" si="7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6"/>
        <v>129</v>
      </c>
      <c r="G129" s="102"/>
      <c r="H129" s="61"/>
      <c r="I129" s="62"/>
      <c r="J129" s="63"/>
      <c r="L129" s="65">
        <f t="shared" si="7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6"/>
        <v>130</v>
      </c>
      <c r="G130" s="102"/>
      <c r="H130" s="61"/>
      <c r="I130" s="62"/>
      <c r="J130" s="63"/>
      <c r="L130" s="65">
        <f t="shared" si="7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6"/>
        <v>131</v>
      </c>
      <c r="G131" s="102"/>
      <c r="H131" s="61"/>
      <c r="I131" s="62"/>
      <c r="J131" s="63"/>
      <c r="L131" s="65">
        <f t="shared" si="7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6"/>
        <v>132</v>
      </c>
      <c r="G132" s="102"/>
      <c r="H132" s="61"/>
      <c r="I132" s="62"/>
      <c r="J132" s="63"/>
      <c r="L132" s="65">
        <f t="shared" si="7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6"/>
        <v>133</v>
      </c>
      <c r="G133" s="102"/>
      <c r="H133" s="61"/>
      <c r="I133" s="62"/>
      <c r="J133" s="63"/>
      <c r="L133" s="65">
        <f t="shared" si="7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8">A133+1</f>
        <v>134</v>
      </c>
      <c r="G134" s="102"/>
      <c r="H134" s="61"/>
      <c r="I134" s="62"/>
      <c r="J134" s="63"/>
      <c r="L134" s="65">
        <f t="shared" si="7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8"/>
        <v>135</v>
      </c>
      <c r="G135" s="102"/>
      <c r="H135" s="61"/>
      <c r="I135" s="62"/>
      <c r="J135" s="63"/>
      <c r="L135" s="65">
        <f t="shared" si="7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8"/>
        <v>136</v>
      </c>
      <c r="G136" s="102"/>
      <c r="H136" s="61"/>
      <c r="I136" s="62"/>
      <c r="J136" s="63"/>
      <c r="L136" s="65">
        <f t="shared" si="7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8"/>
        <v>137</v>
      </c>
      <c r="G137" s="102"/>
      <c r="H137" s="61"/>
      <c r="I137" s="62"/>
      <c r="J137" s="63"/>
      <c r="L137" s="65">
        <f t="shared" si="7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8"/>
        <v>138</v>
      </c>
      <c r="G138" s="102"/>
      <c r="H138" s="61"/>
      <c r="I138" s="62"/>
      <c r="J138" s="63"/>
      <c r="L138" s="65">
        <f t="shared" si="7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8"/>
        <v>139</v>
      </c>
      <c r="G139" s="102"/>
      <c r="H139" s="61"/>
      <c r="I139" s="62"/>
      <c r="J139" s="63"/>
      <c r="L139" s="65">
        <f t="shared" si="7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8"/>
        <v>140</v>
      </c>
      <c r="G140" s="102"/>
      <c r="H140" s="61"/>
      <c r="I140" s="62"/>
      <c r="J140" s="63"/>
      <c r="L140" s="65">
        <f t="shared" si="7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8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8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8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8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8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8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8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8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8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8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8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8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8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8"/>
        <v>154</v>
      </c>
    </row>
    <row r="155" spans="1:23" x14ac:dyDescent="0.4">
      <c r="A155" s="6">
        <f t="shared" si="8"/>
        <v>155</v>
      </c>
      <c r="G155" s="101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8"/>
        <v>156</v>
      </c>
      <c r="B156" s="90" t="s">
        <v>3</v>
      </c>
      <c r="C156" s="90"/>
      <c r="D156" s="91">
        <v>1</v>
      </c>
      <c r="E156" s="91"/>
      <c r="G156" s="102"/>
      <c r="H156" s="92" t="s">
        <v>7</v>
      </c>
      <c r="I156" s="93"/>
      <c r="L156" s="96" t="s">
        <v>11</v>
      </c>
      <c r="M156" s="96"/>
      <c r="N156" s="96"/>
      <c r="R156" s="96" t="s">
        <v>12</v>
      </c>
      <c r="S156" s="96"/>
      <c r="T156" s="96"/>
    </row>
    <row r="157" spans="1:23" x14ac:dyDescent="0.4">
      <c r="A157" s="6">
        <f t="shared" si="8"/>
        <v>157</v>
      </c>
      <c r="B157" s="90" t="s">
        <v>4</v>
      </c>
      <c r="C157" s="90"/>
      <c r="D157" s="91">
        <v>1</v>
      </c>
      <c r="E157" s="91"/>
      <c r="G157" s="102"/>
      <c r="H157" s="94"/>
      <c r="I157" s="95"/>
      <c r="L157" s="96"/>
      <c r="M157" s="96"/>
      <c r="N157" s="96"/>
      <c r="R157" s="96"/>
      <c r="S157" s="96"/>
      <c r="T157" s="96"/>
    </row>
    <row r="158" spans="1:23" x14ac:dyDescent="0.4">
      <c r="A158" s="6">
        <f t="shared" si="8"/>
        <v>158</v>
      </c>
      <c r="B158" s="90" t="s">
        <v>1</v>
      </c>
      <c r="C158" s="90"/>
      <c r="D158" s="91">
        <v>0.01</v>
      </c>
      <c r="E158" s="91"/>
      <c r="G158" s="102"/>
      <c r="I158" s="2" t="s">
        <v>102</v>
      </c>
      <c r="J158" s="2" t="s">
        <v>103</v>
      </c>
      <c r="K158" s="2" t="s">
        <v>104</v>
      </c>
      <c r="R158" s="96" t="s">
        <v>13</v>
      </c>
      <c r="S158" s="96"/>
      <c r="T158" s="4">
        <v>3</v>
      </c>
    </row>
    <row r="159" spans="1:23" x14ac:dyDescent="0.4">
      <c r="A159" s="6">
        <f t="shared" si="8"/>
        <v>159</v>
      </c>
      <c r="G159" s="102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8"/>
        <v>160</v>
      </c>
      <c r="G160" s="102"/>
      <c r="H160" s="60" t="s">
        <v>9</v>
      </c>
      <c r="I160" s="97" t="s">
        <v>10</v>
      </c>
      <c r="J160" s="98"/>
      <c r="L160" s="64" t="s">
        <v>15</v>
      </c>
      <c r="M160" s="64" t="s">
        <v>16</v>
      </c>
      <c r="N160" s="60" t="s">
        <v>68</v>
      </c>
      <c r="R160" s="88" t="s">
        <v>14</v>
      </c>
      <c r="S160" s="88" t="s">
        <v>112</v>
      </c>
      <c r="T160" s="88" t="s">
        <v>113</v>
      </c>
      <c r="U160" s="88" t="s">
        <v>114</v>
      </c>
      <c r="V160" s="88" t="s">
        <v>115</v>
      </c>
      <c r="W160" s="88" t="s">
        <v>116</v>
      </c>
    </row>
    <row r="161" spans="1:23" x14ac:dyDescent="0.4">
      <c r="A161" s="6">
        <f t="shared" si="8"/>
        <v>161</v>
      </c>
      <c r="G161" s="102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89"/>
      <c r="S161" s="89"/>
      <c r="T161" s="89"/>
      <c r="U161" s="89"/>
      <c r="V161" s="89"/>
      <c r="W161" s="89"/>
    </row>
    <row r="162" spans="1:23" x14ac:dyDescent="0.4">
      <c r="A162" s="6">
        <f t="shared" si="8"/>
        <v>162</v>
      </c>
      <c r="G162" s="102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8"/>
        <v>163</v>
      </c>
      <c r="C163" s="1" t="s">
        <v>5</v>
      </c>
      <c r="D163" s="99" t="s">
        <v>6</v>
      </c>
      <c r="E163" s="99"/>
      <c r="G163" s="102"/>
      <c r="H163" s="61">
        <v>1.5</v>
      </c>
      <c r="I163" s="62">
        <v>3.2000000000000002E-3</v>
      </c>
      <c r="J163" s="63">
        <v>1.2199999999999999E-2</v>
      </c>
      <c r="L163" s="65">
        <f t="shared" ref="L163:L203" si="9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8"/>
        <v>164</v>
      </c>
      <c r="D164" s="99"/>
      <c r="E164" s="99"/>
      <c r="G164" s="102"/>
      <c r="H164" s="61">
        <v>2</v>
      </c>
      <c r="I164" s="62">
        <v>3.4000000000000002E-3</v>
      </c>
      <c r="J164" s="63">
        <v>1.2199999999999999E-2</v>
      </c>
      <c r="L164" s="65">
        <f t="shared" si="9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8"/>
        <v>165</v>
      </c>
      <c r="D165" s="99"/>
      <c r="E165" s="99"/>
      <c r="G165" s="102"/>
      <c r="H165" s="61">
        <v>3</v>
      </c>
      <c r="I165" s="62">
        <v>3.0000000000000001E-3</v>
      </c>
      <c r="J165" s="63">
        <v>1.14E-2</v>
      </c>
      <c r="L165" s="65">
        <f t="shared" si="9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8"/>
        <v>166</v>
      </c>
      <c r="G166" s="102"/>
      <c r="H166" s="61">
        <v>4</v>
      </c>
      <c r="I166" s="62">
        <v>3.6000000000000003E-3</v>
      </c>
      <c r="J166" s="63">
        <v>1.1800000000000001E-2</v>
      </c>
      <c r="L166" s="65">
        <f t="shared" si="9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8"/>
        <v>167</v>
      </c>
      <c r="D167" s="100">
        <v>44931.461875000001</v>
      </c>
      <c r="E167" s="100"/>
      <c r="G167" s="102"/>
      <c r="H167" s="61">
        <v>5</v>
      </c>
      <c r="I167" s="62">
        <v>3.6000000000000003E-3</v>
      </c>
      <c r="J167" s="63">
        <v>1.2799999999999999E-2</v>
      </c>
      <c r="L167" s="65">
        <f t="shared" si="9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8"/>
        <v>168</v>
      </c>
      <c r="D168" s="100">
        <v>44931.461875000001</v>
      </c>
      <c r="E168" s="100"/>
      <c r="G168" s="102"/>
      <c r="H168" s="61">
        <v>7</v>
      </c>
      <c r="I168" s="62">
        <v>3.2000000000000002E-3</v>
      </c>
      <c r="J168" s="63">
        <v>1.1200000000000002E-2</v>
      </c>
      <c r="L168" s="65">
        <f t="shared" si="9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8"/>
        <v>169</v>
      </c>
      <c r="G169" s="102"/>
      <c r="H169" s="61">
        <v>10</v>
      </c>
      <c r="I169" s="62">
        <v>3.2000000000000002E-3</v>
      </c>
      <c r="J169" s="63">
        <v>1.1599999999999999E-2</v>
      </c>
      <c r="L169" s="65">
        <f t="shared" si="9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8"/>
        <v>170</v>
      </c>
      <c r="G170" s="102"/>
      <c r="H170" s="61"/>
      <c r="I170" s="62"/>
      <c r="J170" s="63"/>
      <c r="L170" s="65">
        <f t="shared" si="9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8"/>
        <v>171</v>
      </c>
      <c r="G171" s="102"/>
      <c r="H171" s="61"/>
      <c r="I171" s="62"/>
      <c r="J171" s="63"/>
      <c r="L171" s="65">
        <f t="shared" si="9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8"/>
        <v>172</v>
      </c>
      <c r="G172" s="102"/>
      <c r="H172" s="61"/>
      <c r="I172" s="62"/>
      <c r="J172" s="63"/>
      <c r="L172" s="65">
        <f t="shared" si="9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8"/>
        <v>173</v>
      </c>
      <c r="B173" s="90" t="s">
        <v>110</v>
      </c>
      <c r="C173" s="90"/>
      <c r="D173" s="91">
        <v>0</v>
      </c>
      <c r="E173" s="91"/>
      <c r="G173" s="102"/>
      <c r="H173" s="61"/>
      <c r="I173" s="62"/>
      <c r="J173" s="63"/>
      <c r="L173" s="65">
        <f t="shared" si="9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8"/>
        <v>174</v>
      </c>
      <c r="B174" s="90" t="s">
        <v>106</v>
      </c>
      <c r="C174" s="90"/>
      <c r="D174" s="91">
        <v>0</v>
      </c>
      <c r="E174" s="91"/>
      <c r="G174" s="102"/>
      <c r="H174" s="61"/>
      <c r="I174" s="62"/>
      <c r="J174" s="63"/>
      <c r="L174" s="65">
        <f t="shared" si="9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8"/>
        <v>175</v>
      </c>
      <c r="B175" s="90" t="s">
        <v>108</v>
      </c>
      <c r="C175" s="90"/>
      <c r="D175" s="91">
        <v>-0.1</v>
      </c>
      <c r="E175" s="91"/>
      <c r="G175" s="102"/>
      <c r="H175" s="61"/>
      <c r="I175" s="62"/>
      <c r="J175" s="63"/>
      <c r="L175" s="65">
        <f t="shared" si="9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8"/>
        <v>176</v>
      </c>
      <c r="B176" s="90" t="s">
        <v>107</v>
      </c>
      <c r="C176" s="90"/>
      <c r="D176" s="91">
        <v>0.15</v>
      </c>
      <c r="E176" s="91"/>
      <c r="G176" s="102"/>
      <c r="H176" s="61"/>
      <c r="I176" s="62"/>
      <c r="J176" s="63"/>
      <c r="L176" s="65">
        <f t="shared" si="9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8"/>
        <v>177</v>
      </c>
      <c r="G177" s="102"/>
      <c r="H177" s="61"/>
      <c r="I177" s="62"/>
      <c r="J177" s="63"/>
      <c r="L177" s="65">
        <f t="shared" si="9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8"/>
        <v>178</v>
      </c>
      <c r="G178" s="102"/>
      <c r="H178" s="61"/>
      <c r="I178" s="62"/>
      <c r="J178" s="63"/>
      <c r="L178" s="65">
        <f t="shared" si="9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8"/>
        <v>179</v>
      </c>
      <c r="G179" s="102"/>
      <c r="H179" s="61"/>
      <c r="I179" s="62"/>
      <c r="J179" s="63"/>
      <c r="L179" s="65">
        <f t="shared" si="9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8"/>
        <v>180</v>
      </c>
      <c r="G180" s="102"/>
      <c r="H180" s="61"/>
      <c r="I180" s="62"/>
      <c r="J180" s="63"/>
      <c r="L180" s="65">
        <f t="shared" si="9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8"/>
        <v>181</v>
      </c>
      <c r="G181" s="102"/>
      <c r="H181" s="61"/>
      <c r="I181" s="62"/>
      <c r="J181" s="63"/>
      <c r="L181" s="65">
        <f t="shared" si="9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8"/>
        <v>182</v>
      </c>
      <c r="G182" s="102"/>
      <c r="H182" s="61"/>
      <c r="I182" s="62"/>
      <c r="J182" s="63"/>
      <c r="L182" s="65">
        <f t="shared" si="9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8"/>
        <v>183</v>
      </c>
      <c r="G183" s="102"/>
      <c r="H183" s="61"/>
      <c r="I183" s="62"/>
      <c r="J183" s="63"/>
      <c r="L183" s="65">
        <f t="shared" si="9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8"/>
        <v>184</v>
      </c>
      <c r="G184" s="102"/>
      <c r="H184" s="61"/>
      <c r="I184" s="62"/>
      <c r="J184" s="63"/>
      <c r="L184" s="65">
        <f t="shared" si="9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8"/>
        <v>185</v>
      </c>
      <c r="G185" s="102"/>
      <c r="H185" s="61"/>
      <c r="I185" s="62"/>
      <c r="J185" s="63"/>
      <c r="L185" s="65">
        <f t="shared" si="9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8"/>
        <v>186</v>
      </c>
      <c r="G186" s="102"/>
      <c r="H186" s="61"/>
      <c r="I186" s="62"/>
      <c r="J186" s="63"/>
      <c r="L186" s="65">
        <f t="shared" si="9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8"/>
        <v>187</v>
      </c>
      <c r="G187" s="102"/>
      <c r="H187" s="61"/>
      <c r="I187" s="62"/>
      <c r="J187" s="63"/>
      <c r="L187" s="65">
        <f t="shared" si="9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8"/>
        <v>188</v>
      </c>
      <c r="G188" s="102"/>
      <c r="H188" s="61"/>
      <c r="I188" s="62"/>
      <c r="J188" s="63"/>
      <c r="L188" s="65">
        <f t="shared" si="9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8"/>
        <v>189</v>
      </c>
      <c r="G189" s="102"/>
      <c r="H189" s="61"/>
      <c r="I189" s="62"/>
      <c r="J189" s="63"/>
      <c r="L189" s="65">
        <f t="shared" si="9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8"/>
        <v>190</v>
      </c>
      <c r="G190" s="102"/>
      <c r="H190" s="61"/>
      <c r="I190" s="62"/>
      <c r="J190" s="63"/>
      <c r="L190" s="65">
        <f t="shared" si="9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8"/>
        <v>191</v>
      </c>
      <c r="G191" s="79"/>
      <c r="H191" s="61"/>
      <c r="I191" s="62"/>
      <c r="J191" s="63"/>
      <c r="L191" s="65">
        <f t="shared" si="9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8"/>
        <v>192</v>
      </c>
      <c r="G192" s="79"/>
      <c r="H192" s="61"/>
      <c r="I192" s="62"/>
      <c r="J192" s="63"/>
      <c r="L192" s="65">
        <f t="shared" si="9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8"/>
        <v>193</v>
      </c>
      <c r="G193" s="79"/>
      <c r="H193" s="61"/>
      <c r="I193" s="62"/>
      <c r="J193" s="63"/>
      <c r="L193" s="65">
        <f t="shared" si="9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8"/>
        <v>194</v>
      </c>
      <c r="G194" s="79"/>
      <c r="H194" s="61"/>
      <c r="I194" s="62"/>
      <c r="J194" s="63"/>
      <c r="L194" s="65">
        <f t="shared" si="9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8"/>
        <v>195</v>
      </c>
      <c r="G195" s="79"/>
      <c r="H195" s="61"/>
      <c r="I195" s="62"/>
      <c r="J195" s="63"/>
      <c r="L195" s="65">
        <f t="shared" si="9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8"/>
        <v>196</v>
      </c>
      <c r="G196" s="79"/>
      <c r="H196" s="61"/>
      <c r="I196" s="62"/>
      <c r="J196" s="63"/>
      <c r="L196" s="65">
        <f t="shared" si="9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8"/>
        <v>197</v>
      </c>
      <c r="G197" s="79"/>
      <c r="H197" s="61"/>
      <c r="I197" s="62"/>
      <c r="J197" s="63"/>
      <c r="L197" s="65">
        <f t="shared" si="9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10">A197+1</f>
        <v>198</v>
      </c>
      <c r="G198" s="79"/>
      <c r="H198" s="61"/>
      <c r="I198" s="62"/>
      <c r="J198" s="63"/>
      <c r="L198" s="65">
        <f t="shared" si="9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10"/>
        <v>199</v>
      </c>
      <c r="G199" s="79"/>
      <c r="H199" s="61"/>
      <c r="I199" s="62"/>
      <c r="J199" s="63"/>
      <c r="L199" s="65">
        <f t="shared" si="9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10"/>
        <v>200</v>
      </c>
      <c r="G200" s="79"/>
      <c r="H200" s="61"/>
      <c r="I200" s="62"/>
      <c r="J200" s="63"/>
      <c r="L200" s="65">
        <f t="shared" si="9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10"/>
        <v>201</v>
      </c>
      <c r="G201" s="79"/>
      <c r="H201" s="61"/>
      <c r="I201" s="62"/>
      <c r="J201" s="63"/>
      <c r="L201" s="65">
        <f t="shared" si="9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10"/>
        <v>202</v>
      </c>
      <c r="G202" s="79"/>
      <c r="H202" s="61"/>
      <c r="I202" s="62"/>
      <c r="J202" s="63"/>
      <c r="L202" s="65">
        <f t="shared" si="9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10"/>
        <v>203</v>
      </c>
      <c r="G203" s="79"/>
      <c r="H203" s="61"/>
      <c r="I203" s="62"/>
      <c r="J203" s="63"/>
      <c r="L203" s="65">
        <f t="shared" si="9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10"/>
        <v>204</v>
      </c>
    </row>
  </sheetData>
  <mergeCells count="113">
    <mergeCell ref="I60:J60"/>
    <mergeCell ref="T60:T61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D107:E107"/>
    <mergeCell ref="B108:C108"/>
    <mergeCell ref="D108:E108"/>
    <mergeCell ref="R108:S10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T110:T111"/>
    <mergeCell ref="R160:R161"/>
    <mergeCell ref="S160:S161"/>
    <mergeCell ref="T160:T161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I110:J110"/>
    <mergeCell ref="D113:E115"/>
    <mergeCell ref="D117:E117"/>
    <mergeCell ref="D118:E118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D1" zoomScale="85" zoomScaleNormal="85" workbookViewId="0">
      <selection activeCell="S11" sqref="S11:S12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07" t="s">
        <v>25</v>
      </c>
      <c r="C3" s="107"/>
      <c r="D3" s="105">
        <v>44848</v>
      </c>
      <c r="E3" s="106"/>
      <c r="F3" s="104" t="s">
        <v>27</v>
      </c>
      <c r="G3" s="104"/>
      <c r="H3" s="106">
        <v>0</v>
      </c>
      <c r="I3" s="106"/>
      <c r="J3" s="104" t="s">
        <v>63</v>
      </c>
      <c r="K3" s="104"/>
      <c r="L3" s="106">
        <v>10000</v>
      </c>
      <c r="M3" s="106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77" t="s">
        <v>42</v>
      </c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25"/>
      <c r="O5" s="25"/>
      <c r="P5" s="25"/>
      <c r="Q5" s="25"/>
      <c r="R5" s="25"/>
      <c r="S5" s="25"/>
      <c r="T5" s="25"/>
      <c r="U5" s="25"/>
      <c r="AD5" s="177" t="s">
        <v>43</v>
      </c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25"/>
      <c r="AQ5" s="25"/>
      <c r="AR5" s="25"/>
      <c r="AS5" s="25"/>
      <c r="AT5" s="25"/>
      <c r="AU5" s="25"/>
      <c r="AV5" s="25"/>
      <c r="AW5" s="25"/>
    </row>
    <row r="6" spans="1:57" ht="16.2" customHeight="1" x14ac:dyDescent="0.4">
      <c r="A6" s="24">
        <f t="shared" si="1"/>
        <v>6</v>
      </c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25"/>
      <c r="O6" s="107" t="s">
        <v>119</v>
      </c>
      <c r="P6" s="107"/>
      <c r="Q6" s="104" t="s">
        <v>117</v>
      </c>
      <c r="R6" s="104"/>
      <c r="S6" s="105">
        <v>43109</v>
      </c>
      <c r="T6" s="106"/>
      <c r="U6" s="25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25"/>
      <c r="AQ6" s="107" t="s">
        <v>119</v>
      </c>
      <c r="AR6" s="107"/>
      <c r="AS6" s="104" t="s">
        <v>117</v>
      </c>
      <c r="AT6" s="104"/>
      <c r="AU6" s="105">
        <v>43109</v>
      </c>
      <c r="AV6" s="106"/>
      <c r="AW6" s="25"/>
    </row>
    <row r="7" spans="1:57" ht="16.2" customHeight="1" x14ac:dyDescent="0.4">
      <c r="A7" s="24">
        <f t="shared" si="1"/>
        <v>7</v>
      </c>
      <c r="B7" s="107" t="str">
        <f>IF(D7&gt;0,"레퍼런스금리 개수","기초금리는 1개 - 3개 입력가능")</f>
        <v>레퍼런스금리 개수</v>
      </c>
      <c r="C7" s="107"/>
      <c r="D7" s="174">
        <v>1</v>
      </c>
      <c r="E7" s="174"/>
      <c r="F7" s="175" t="s">
        <v>28</v>
      </c>
      <c r="G7" s="176"/>
      <c r="H7" s="106">
        <v>1</v>
      </c>
      <c r="I7" s="106"/>
      <c r="J7" s="104" t="s">
        <v>87</v>
      </c>
      <c r="K7" s="104"/>
      <c r="L7" s="106">
        <v>0</v>
      </c>
      <c r="M7" s="106"/>
      <c r="N7" s="25"/>
      <c r="O7" s="107"/>
      <c r="P7" s="107"/>
      <c r="Q7" s="104" t="s">
        <v>118</v>
      </c>
      <c r="R7" s="104"/>
      <c r="S7" s="105">
        <f>EDATE(S6,120) + 2</f>
        <v>46763</v>
      </c>
      <c r="T7" s="106"/>
      <c r="U7" s="25"/>
      <c r="AD7" s="107" t="str">
        <f>IF(AF7&gt;0,"레퍼런스금리 개수","기초금리는 1개 - 3개 입력가능")</f>
        <v>레퍼런스금리 개수</v>
      </c>
      <c r="AE7" s="107"/>
      <c r="AF7" s="174">
        <v>1</v>
      </c>
      <c r="AG7" s="174"/>
      <c r="AH7" s="175" t="s">
        <v>28</v>
      </c>
      <c r="AI7" s="176"/>
      <c r="AJ7" s="106">
        <v>0</v>
      </c>
      <c r="AK7" s="106"/>
      <c r="AL7" s="104" t="s">
        <v>87</v>
      </c>
      <c r="AM7" s="104"/>
      <c r="AN7" s="106">
        <v>0</v>
      </c>
      <c r="AO7" s="106"/>
      <c r="AP7" s="25"/>
      <c r="AQ7" s="107"/>
      <c r="AR7" s="107"/>
      <c r="AS7" s="104" t="s">
        <v>118</v>
      </c>
      <c r="AT7" s="104"/>
      <c r="AU7" s="105">
        <f>EDATE(AU6,120) + 2</f>
        <v>46763</v>
      </c>
      <c r="AV7" s="106"/>
      <c r="AW7" s="25"/>
    </row>
    <row r="8" spans="1:57" ht="16.2" customHeight="1" x14ac:dyDescent="0.4">
      <c r="A8" s="24">
        <f t="shared" si="1"/>
        <v>8</v>
      </c>
      <c r="B8" s="104" t="s">
        <v>46</v>
      </c>
      <c r="C8" s="104"/>
      <c r="D8" s="173">
        <v>1</v>
      </c>
      <c r="E8" s="174"/>
      <c r="F8" s="104" t="s">
        <v>47</v>
      </c>
      <c r="G8" s="104"/>
      <c r="H8" s="173">
        <v>1</v>
      </c>
      <c r="I8" s="174"/>
      <c r="J8" s="104" t="s">
        <v>38</v>
      </c>
      <c r="K8" s="104"/>
      <c r="L8" s="106">
        <v>0</v>
      </c>
      <c r="M8" s="106"/>
      <c r="N8" s="25"/>
      <c r="O8" s="107"/>
      <c r="P8" s="107"/>
      <c r="Q8" s="104" t="s">
        <v>120</v>
      </c>
      <c r="R8" s="104"/>
      <c r="S8" s="108">
        <v>4</v>
      </c>
      <c r="T8" s="108"/>
      <c r="U8" s="25"/>
      <c r="AD8" s="104" t="s">
        <v>46</v>
      </c>
      <c r="AE8" s="104"/>
      <c r="AF8" s="173">
        <v>1</v>
      </c>
      <c r="AG8" s="174"/>
      <c r="AH8" s="104" t="s">
        <v>47</v>
      </c>
      <c r="AI8" s="104"/>
      <c r="AJ8" s="173">
        <v>1</v>
      </c>
      <c r="AK8" s="174"/>
      <c r="AP8" s="25"/>
      <c r="AQ8" s="107"/>
      <c r="AR8" s="107"/>
      <c r="AS8" s="104" t="s">
        <v>120</v>
      </c>
      <c r="AT8" s="104"/>
      <c r="AU8" s="108">
        <v>4</v>
      </c>
      <c r="AV8" s="108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84" t="str">
        <f>IF(D7&gt;=1,"기초금리1", "")</f>
        <v>기초금리1</v>
      </c>
      <c r="C10" s="171" t="str">
        <f>IF($D$7&gt;=1,"커브번호", "")</f>
        <v>커브번호</v>
      </c>
      <c r="D10" s="171"/>
      <c r="E10" s="136">
        <v>1</v>
      </c>
      <c r="F10" s="136"/>
      <c r="G10" s="55"/>
      <c r="H10" s="26"/>
      <c r="I10" s="149" t="str">
        <f>IF(OR(E11 = 0, E11 = 2, E11 = 4), "RefType = "&amp;E11&amp;" 이므로 Ref Swap 금리정보 사용안함", "사용")</f>
        <v>RefType = 0 이므로 Ref Swap 금리정보 사용안함</v>
      </c>
      <c r="J10" s="150"/>
      <c r="K10" s="150"/>
      <c r="L10" s="151"/>
      <c r="N10" s="165" t="s">
        <v>30</v>
      </c>
      <c r="O10" s="165"/>
      <c r="P10" s="165"/>
      <c r="Q10" s="165"/>
      <c r="R10" s="24"/>
      <c r="S10" s="24"/>
      <c r="T10" s="24"/>
      <c r="U10" s="24"/>
      <c r="W10" s="165" t="s">
        <v>48</v>
      </c>
      <c r="X10" s="165"/>
      <c r="Y10" s="165"/>
      <c r="AD10" s="139" t="str">
        <f>IF($AF$7&gt;=1,"기초금리1", "")</f>
        <v>기초금리1</v>
      </c>
      <c r="AE10" s="135" t="str">
        <f>IF($AF$7&gt;=1,"커브번호", "")</f>
        <v>커브번호</v>
      </c>
      <c r="AF10" s="135"/>
      <c r="AG10" s="136">
        <v>2</v>
      </c>
      <c r="AH10" s="136"/>
      <c r="AI10" s="55"/>
      <c r="AJ10" s="26"/>
      <c r="AK10" s="133" t="str">
        <f>IF(OR(AG11 = 0, AG11 = 2, AG11 = 4), "RefType = "&amp;AG11&amp;" 이므로 Ref Swap 금리정보 사용안함", "사용")</f>
        <v>RefType = 0 이므로 Ref Swap 금리정보 사용안함</v>
      </c>
      <c r="AL10" s="133"/>
      <c r="AM10" s="133"/>
      <c r="AN10" s="134"/>
      <c r="AP10" s="165" t="s">
        <v>50</v>
      </c>
      <c r="AQ10" s="165"/>
      <c r="AR10" s="165"/>
      <c r="AS10" s="165"/>
      <c r="AT10" s="24"/>
      <c r="AU10" s="24"/>
      <c r="AV10" s="24"/>
      <c r="AW10" s="24"/>
      <c r="AY10" s="165" t="s">
        <v>49</v>
      </c>
      <c r="AZ10" s="165"/>
      <c r="BA10" s="165"/>
    </row>
    <row r="11" spans="1:57" ht="16.2" customHeight="1" x14ac:dyDescent="0.4">
      <c r="A11" s="24">
        <f t="shared" si="1"/>
        <v>11</v>
      </c>
      <c r="B11" s="168"/>
      <c r="C11" s="157" t="str">
        <f>IF($D$7&gt;=1,"Reference Rate Type", "")</f>
        <v>Reference Rate Type</v>
      </c>
      <c r="D11" s="158"/>
      <c r="E11" s="172">
        <v>0</v>
      </c>
      <c r="F11" s="181"/>
      <c r="G11" s="149" t="str">
        <f>IF(OR(E11 = 0, E11 = 2, E11 = 4), "", "Zero/Swap 레퍼런스금리정보")</f>
        <v/>
      </c>
      <c r="H11" s="150"/>
      <c r="I11" s="141" t="str">
        <f>IF(OR(E11 = 0, E11 = 2, E11 = 4), "", "연 지급횟수")</f>
        <v/>
      </c>
      <c r="J11" s="142"/>
      <c r="K11" s="128">
        <v>4</v>
      </c>
      <c r="L11" s="129"/>
      <c r="M11" s="24"/>
      <c r="N11" s="183" t="str">
        <f>IF(OR(E11 = 0, E11 = 2, E11 = 4), "ForwardStart", "ResetStart")</f>
        <v>ForwardStart</v>
      </c>
      <c r="O11" s="183" t="str">
        <f>IF(OR(E11 = 0, E11 = 2, E11 = 4), "ForwardEnd", "ResetEnd")</f>
        <v>ForwardEnd</v>
      </c>
      <c r="P11" s="130" t="s">
        <v>31</v>
      </c>
      <c r="Q11" s="130" t="s">
        <v>32</v>
      </c>
      <c r="R11" s="130" t="s">
        <v>33</v>
      </c>
      <c r="S11" s="130" t="s">
        <v>34</v>
      </c>
      <c r="T11" s="130" t="s">
        <v>111</v>
      </c>
      <c r="U11" s="130" t="s">
        <v>67</v>
      </c>
      <c r="W11" s="27" t="s">
        <v>39</v>
      </c>
      <c r="X11" s="153">
        <v>0</v>
      </c>
      <c r="Y11" s="153"/>
      <c r="AD11" s="140"/>
      <c r="AE11" s="124" t="str">
        <f>IF($AF$7&gt;=1,"Reference Rate Type", "")</f>
        <v>Reference Rate Type</v>
      </c>
      <c r="AF11" s="137"/>
      <c r="AG11" s="172">
        <v>0</v>
      </c>
      <c r="AH11" s="172"/>
      <c r="AI11" s="126" t="str">
        <f>IF(OR(AG11 = 0, AG11 = 2, AG11 = 4), "", "Zero/Swap 레퍼런스금리정보")</f>
        <v/>
      </c>
      <c r="AJ11" s="126"/>
      <c r="AK11" s="126" t="str">
        <f>IF(OR(AG11 = 0, AG11 = 2, AG11 = 4), "", "연 지급횟수")</f>
        <v/>
      </c>
      <c r="AL11" s="127"/>
      <c r="AM11" s="128">
        <v>4</v>
      </c>
      <c r="AN11" s="129"/>
      <c r="AO11" s="24"/>
      <c r="AP11" s="130" t="str">
        <f>IF(OR(AG11 = 0, AG11 = 2, AG11 = 4), "ForwardStart", "ResetEnd")</f>
        <v>ForwardStart</v>
      </c>
      <c r="AQ11" s="130" t="str">
        <f>IF(OR(AG11 = 0, AG11 = 2, AG11 = 4), "ForwardEnd", "ResetEnd")</f>
        <v>ForwardEnd</v>
      </c>
      <c r="AR11" s="130" t="s">
        <v>31</v>
      </c>
      <c r="AS11" s="130" t="s">
        <v>32</v>
      </c>
      <c r="AT11" s="130" t="s">
        <v>33</v>
      </c>
      <c r="AU11" s="130" t="s">
        <v>34</v>
      </c>
      <c r="AV11" s="130" t="s">
        <v>111</v>
      </c>
      <c r="AW11" s="130" t="s">
        <v>67</v>
      </c>
      <c r="AY11" s="27" t="s">
        <v>39</v>
      </c>
      <c r="AZ11" s="153">
        <v>0</v>
      </c>
      <c r="BA11" s="153"/>
    </row>
    <row r="12" spans="1:57" ht="16.2" customHeight="1" x14ac:dyDescent="0.4">
      <c r="A12" s="24">
        <f t="shared" si="1"/>
        <v>12</v>
      </c>
      <c r="B12" s="168"/>
      <c r="C12" s="157" t="str">
        <f>IF($D$7&gt;=1,"DayCount", "")</f>
        <v>DayCount</v>
      </c>
      <c r="D12" s="157"/>
      <c r="E12" s="115">
        <v>0</v>
      </c>
      <c r="F12" s="182"/>
      <c r="G12" s="178"/>
      <c r="H12" s="141"/>
      <c r="I12" s="141" t="str">
        <f>IF(OR(E11 = 0, E11 = 2, E11 = 4,E14=1), "", "만기")</f>
        <v/>
      </c>
      <c r="J12" s="142"/>
      <c r="K12" s="179">
        <v>10</v>
      </c>
      <c r="L12" s="180"/>
      <c r="N12" s="130"/>
      <c r="O12" s="130"/>
      <c r="P12" s="130"/>
      <c r="Q12" s="130"/>
      <c r="R12" s="130"/>
      <c r="S12" s="130"/>
      <c r="T12" s="130"/>
      <c r="U12" s="130"/>
      <c r="W12" s="27" t="s">
        <v>40</v>
      </c>
      <c r="X12" s="153">
        <v>0</v>
      </c>
      <c r="Y12" s="153"/>
      <c r="AD12" s="140"/>
      <c r="AE12" s="124" t="str">
        <f>IF($AF$7&gt;=1,"DayCount", "")</f>
        <v>DayCount</v>
      </c>
      <c r="AF12" s="124"/>
      <c r="AG12" s="115">
        <v>3</v>
      </c>
      <c r="AH12" s="115"/>
      <c r="AI12" s="126"/>
      <c r="AJ12" s="126"/>
      <c r="AK12" s="141" t="str">
        <f>IF(OR(AG11 = 0, AG11 = 2, AG11 = 4,AG14=1), "", "만기")</f>
        <v/>
      </c>
      <c r="AL12" s="142"/>
      <c r="AM12" s="143">
        <v>0.25</v>
      </c>
      <c r="AN12" s="144"/>
      <c r="AP12" s="130"/>
      <c r="AQ12" s="130"/>
      <c r="AR12" s="130"/>
      <c r="AS12" s="130"/>
      <c r="AT12" s="130"/>
      <c r="AU12" s="130"/>
      <c r="AV12" s="130"/>
      <c r="AW12" s="130"/>
      <c r="AY12" s="27" t="s">
        <v>40</v>
      </c>
      <c r="AZ12" s="153">
        <v>0</v>
      </c>
      <c r="BA12" s="153"/>
    </row>
    <row r="13" spans="1:57" ht="16.2" customHeight="1" x14ac:dyDescent="0.4">
      <c r="A13" s="24">
        <f t="shared" si="1"/>
        <v>13</v>
      </c>
      <c r="B13" s="168"/>
      <c r="C13" s="157" t="str">
        <f>IF($D$7&gt;=1,"금리결정조건Multiple", "")</f>
        <v>금리결정조건Multiple</v>
      </c>
      <c r="D13" s="158"/>
      <c r="E13" s="114">
        <v>1</v>
      </c>
      <c r="F13" s="170"/>
      <c r="G13" s="110" t="str">
        <f>IF(OR(E11 = 0, E11 = 2, E11 = 4), "", "ex) Zero Rate 5년 -&gt; 연 지급횟수= 0, 만기= 5 // CD91일 -&gt; 연 지급횟수= 4, 만기= 0.25")</f>
        <v/>
      </c>
      <c r="H13" s="110"/>
      <c r="I13" s="110"/>
      <c r="J13" s="110"/>
      <c r="K13" s="110"/>
      <c r="L13" s="111"/>
      <c r="M13" s="24"/>
      <c r="N13" s="28">
        <v>43109</v>
      </c>
      <c r="O13" s="28">
        <v>43199</v>
      </c>
      <c r="P13" s="28">
        <v>43109</v>
      </c>
      <c r="Q13" s="28">
        <v>43199</v>
      </c>
      <c r="R13" s="28">
        <v>43200</v>
      </c>
      <c r="S13" s="70">
        <v>0</v>
      </c>
      <c r="T13" s="75">
        <v>1</v>
      </c>
      <c r="W13" s="27" t="s">
        <v>41</v>
      </c>
      <c r="X13" s="153">
        <v>0</v>
      </c>
      <c r="Y13" s="153"/>
      <c r="AD13" s="140"/>
      <c r="AE13" s="124" t="str">
        <f>IF($AF$7&gt;=1,"금리결정조건Multiple", "")</f>
        <v>금리결정조건Multiple</v>
      </c>
      <c r="AF13" s="137"/>
      <c r="AG13" s="114">
        <v>1</v>
      </c>
      <c r="AH13" s="114"/>
      <c r="AI13" s="110" t="str">
        <f>IF(OR(AG11 = 0, AG11 = 2, AG11 = 4), "", "ex) Zero Rate 5년 -&gt; 연 지급횟수= 0, 만기= 5 // CD91일 -&gt; 연 지급횟수= 4, 만기= 0.25")</f>
        <v/>
      </c>
      <c r="AJ13" s="110"/>
      <c r="AK13" s="110"/>
      <c r="AL13" s="110"/>
      <c r="AM13" s="110"/>
      <c r="AN13" s="111"/>
      <c r="AO13" s="24"/>
      <c r="AP13" s="28">
        <v>43109</v>
      </c>
      <c r="AQ13" s="28">
        <v>43199</v>
      </c>
      <c r="AR13" s="28">
        <v>43109</v>
      </c>
      <c r="AS13" s="28">
        <v>43199</v>
      </c>
      <c r="AT13" s="28">
        <v>43200</v>
      </c>
      <c r="AU13" s="70">
        <v>2E-3</v>
      </c>
      <c r="AV13" s="75">
        <v>1</v>
      </c>
      <c r="AY13" s="27" t="s">
        <v>41</v>
      </c>
      <c r="AZ13" s="153">
        <v>0</v>
      </c>
      <c r="BA13" s="153"/>
    </row>
    <row r="14" spans="1:57" ht="16.2" customHeight="1" x14ac:dyDescent="0.4">
      <c r="A14" s="24">
        <f t="shared" si="1"/>
        <v>14</v>
      </c>
      <c r="B14" s="168"/>
      <c r="C14" s="156" t="str">
        <f>IF($D$7&gt;=1,"Power Spread Flag", "")</f>
        <v>Power Spread Flag</v>
      </c>
      <c r="D14" s="156"/>
      <c r="E14" s="115">
        <v>0</v>
      </c>
      <c r="F14" s="182"/>
      <c r="G14" s="163" t="str">
        <f>IF(E14&gt;0,"PowerSpreadFlag 1일때 입력","입력필요X")</f>
        <v>입력필요X</v>
      </c>
      <c r="H14" s="163"/>
      <c r="I14" s="163" t="str">
        <f>IF(E14&gt;0,"만기1","")</f>
        <v/>
      </c>
      <c r="J14" s="163"/>
      <c r="K14" s="117">
        <v>10</v>
      </c>
      <c r="L14" s="118"/>
      <c r="M14" s="24"/>
      <c r="N14" s="28">
        <v>43199</v>
      </c>
      <c r="O14" s="28">
        <v>43290</v>
      </c>
      <c r="P14" s="28">
        <v>43199</v>
      </c>
      <c r="Q14" s="28">
        <v>43290</v>
      </c>
      <c r="R14" s="28">
        <v>43291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40"/>
      <c r="AE14" s="123" t="str">
        <f>IF($AF$7&gt;=1,"Power Spread Flag", "")</f>
        <v>Power Spread Flag</v>
      </c>
      <c r="AF14" s="123"/>
      <c r="AG14" s="115">
        <v>0</v>
      </c>
      <c r="AH14" s="115"/>
      <c r="AI14" s="116" t="str">
        <f>IF(AG14&gt;0,"PowerSpreadFlag 1일때 입력","입력필요X")</f>
        <v>입력필요X</v>
      </c>
      <c r="AJ14" s="116"/>
      <c r="AK14" s="116" t="str">
        <f>IF(AG14&gt;0,"만기1","")</f>
        <v/>
      </c>
      <c r="AL14" s="116"/>
      <c r="AM14" s="117">
        <v>10</v>
      </c>
      <c r="AN14" s="118"/>
      <c r="AP14" s="28">
        <v>43199</v>
      </c>
      <c r="AQ14" s="28">
        <v>43290</v>
      </c>
      <c r="AR14" s="28">
        <v>43199</v>
      </c>
      <c r="AS14" s="28">
        <v>43290</v>
      </c>
      <c r="AT14" s="28">
        <v>43291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68" t="str">
        <f>IF($D$7&gt;0, "사용", "커브개수"&amp;"="&amp;$D$7&amp;"이므로 사용안함")</f>
        <v>사용</v>
      </c>
      <c r="C15" s="156" t="str">
        <f>IF($D$7&gt;=1,"기초금리 Range상한", "")</f>
        <v>기초금리 Range상한</v>
      </c>
      <c r="D15" s="156"/>
      <c r="E15" s="145">
        <v>10</v>
      </c>
      <c r="F15" s="166"/>
      <c r="G15" s="163"/>
      <c r="H15" s="163"/>
      <c r="I15" s="163" t="str">
        <f>IF(E14&gt;0,"만기2","")</f>
        <v/>
      </c>
      <c r="J15" s="163"/>
      <c r="K15" s="117">
        <v>5</v>
      </c>
      <c r="L15" s="118"/>
      <c r="M15" s="24"/>
      <c r="N15" s="28">
        <v>43290</v>
      </c>
      <c r="O15" s="28">
        <v>43383</v>
      </c>
      <c r="P15" s="28">
        <v>43290</v>
      </c>
      <c r="Q15" s="28">
        <v>43383</v>
      </c>
      <c r="R15" s="28">
        <v>43384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40" t="str">
        <f>IF($AF$7&gt;0, "사용", "커브개수"&amp;"="&amp;$AF$7&amp;"이므로 사용안함")</f>
        <v>사용</v>
      </c>
      <c r="AE15" s="123" t="str">
        <f>IF($AF$7&gt;=1,"기초금리 Range상한", "")</f>
        <v>기초금리 Range상한</v>
      </c>
      <c r="AF15" s="123"/>
      <c r="AG15" s="145">
        <v>10</v>
      </c>
      <c r="AH15" s="145"/>
      <c r="AI15" s="116"/>
      <c r="AJ15" s="116"/>
      <c r="AK15" s="116" t="str">
        <f>IF(AG14&gt;0,"만기2","")</f>
        <v/>
      </c>
      <c r="AL15" s="116"/>
      <c r="AM15" s="117">
        <v>5</v>
      </c>
      <c r="AN15" s="118"/>
      <c r="AP15" s="28">
        <v>43290</v>
      </c>
      <c r="AQ15" s="28">
        <v>43383</v>
      </c>
      <c r="AR15" s="28">
        <v>43290</v>
      </c>
      <c r="AS15" s="28">
        <v>43383</v>
      </c>
      <c r="AT15" s="28">
        <v>43384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68"/>
      <c r="C16" s="156" t="str">
        <f>IF($D$7&gt;=1,"기초금리 Range하한", "")</f>
        <v>기초금리 Range하한</v>
      </c>
      <c r="D16" s="157"/>
      <c r="E16" s="125">
        <v>-1</v>
      </c>
      <c r="F16" s="167"/>
      <c r="G16" s="169"/>
      <c r="H16" s="169"/>
      <c r="I16" s="164" t="str">
        <f>IF(E14&gt;0,"Spread1","")</f>
        <v/>
      </c>
      <c r="J16" s="164"/>
      <c r="K16" s="154" t="str">
        <f>IF(E14&gt;0, I14&amp;"-"&amp;I15, "")</f>
        <v/>
      </c>
      <c r="L16" s="155"/>
      <c r="M16" s="24"/>
      <c r="N16" s="28">
        <v>43383</v>
      </c>
      <c r="O16" s="28">
        <v>43474</v>
      </c>
      <c r="P16" s="28">
        <v>43383</v>
      </c>
      <c r="Q16" s="28">
        <v>43474</v>
      </c>
      <c r="R16" s="28">
        <v>43475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40"/>
      <c r="AE16" s="123" t="str">
        <f>IF($AF$7&gt;=1,"기초금리 Range하한", "")</f>
        <v>기초금리 Range하한</v>
      </c>
      <c r="AF16" s="124"/>
      <c r="AG16" s="125">
        <v>-1</v>
      </c>
      <c r="AH16" s="125"/>
      <c r="AI16" s="122"/>
      <c r="AJ16" s="122"/>
      <c r="AK16" s="119" t="str">
        <f>IF(AG14&gt;0,"Spread1","")</f>
        <v/>
      </c>
      <c r="AL16" s="119"/>
      <c r="AM16" s="120" t="str">
        <f>IF(AG14&gt;0, AK14&amp;"-"&amp;AK15, "")</f>
        <v/>
      </c>
      <c r="AN16" s="121"/>
      <c r="AO16" s="24"/>
      <c r="AP16" s="28">
        <v>43383</v>
      </c>
      <c r="AQ16" s="28">
        <v>43474</v>
      </c>
      <c r="AR16" s="28">
        <v>43383</v>
      </c>
      <c r="AS16" s="28">
        <v>43474</v>
      </c>
      <c r="AT16" s="28">
        <v>43475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46" t="str">
        <f>IF($D$7&gt;=1,"Payoff조건Multiple", "")</f>
        <v>Payoff조건Multiple</v>
      </c>
      <c r="D17" s="146"/>
      <c r="E17" s="131">
        <v>1</v>
      </c>
      <c r="F17" s="152"/>
      <c r="G17" s="112" t="str">
        <f>IF(E14&gt;0,"예시) 10년-5년 스왑: 연 지급횟수=4, 만기1=10, 만기2=5","")</f>
        <v/>
      </c>
      <c r="H17" s="112"/>
      <c r="I17" s="112"/>
      <c r="J17" s="112"/>
      <c r="K17" s="112"/>
      <c r="L17" s="113"/>
      <c r="M17" s="24"/>
      <c r="N17" s="28">
        <v>43474</v>
      </c>
      <c r="O17" s="28">
        <v>43564</v>
      </c>
      <c r="P17" s="28">
        <v>43474</v>
      </c>
      <c r="Q17" s="28">
        <v>43564</v>
      </c>
      <c r="R17" s="28">
        <v>43565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32" t="str">
        <f>IF($AF$7&gt;=1,"Payoff조건Multiple", "")</f>
        <v>Payoff조건Multiple</v>
      </c>
      <c r="AF17" s="132"/>
      <c r="AG17" s="131">
        <v>1</v>
      </c>
      <c r="AH17" s="131"/>
      <c r="AI17" s="112" t="str">
        <f>IF(AG14&gt;0,"예시) 10년-5년 스왑: 연 지급횟수=4, 만기1=10, 만기2=5","")</f>
        <v/>
      </c>
      <c r="AJ17" s="112"/>
      <c r="AK17" s="112"/>
      <c r="AL17" s="112"/>
      <c r="AM17" s="112"/>
      <c r="AN17" s="113"/>
      <c r="AO17" s="24"/>
      <c r="AP17" s="28">
        <v>43474</v>
      </c>
      <c r="AQ17" s="28">
        <v>43564</v>
      </c>
      <c r="AR17" s="28">
        <v>43474</v>
      </c>
      <c r="AS17" s="28">
        <v>43564</v>
      </c>
      <c r="AT17" s="28">
        <v>43565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43564</v>
      </c>
      <c r="O18" s="28">
        <v>43655</v>
      </c>
      <c r="P18" s="28">
        <v>43564</v>
      </c>
      <c r="Q18" s="28">
        <v>43655</v>
      </c>
      <c r="R18" s="28">
        <v>43656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43564</v>
      </c>
      <c r="AQ18" s="28">
        <v>43655</v>
      </c>
      <c r="AR18" s="28">
        <v>43564</v>
      </c>
      <c r="AS18" s="28">
        <v>43655</v>
      </c>
      <c r="AT18" s="28">
        <v>43656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84" t="str">
        <f>IF(D7&gt;=2,"기초금리2", "")</f>
        <v/>
      </c>
      <c r="C19" s="171" t="str">
        <f>IF($D$7&gt;=2,"커브번호", "")</f>
        <v/>
      </c>
      <c r="D19" s="171"/>
      <c r="E19" s="136">
        <v>2</v>
      </c>
      <c r="F19" s="136"/>
      <c r="G19" s="55"/>
      <c r="H19" s="26"/>
      <c r="I19" s="150" t="str">
        <f>IF(OR(E20 = 0, E20 = 2, E20 = 4), "RefType = "&amp;E20&amp;" 이므로 Ref Swap 금리정보 사용안함", "사용")</f>
        <v>RefType = 0 이므로 Ref Swap 금리정보 사용안함</v>
      </c>
      <c r="J19" s="150"/>
      <c r="K19" s="150"/>
      <c r="L19" s="151"/>
      <c r="M19" s="24"/>
      <c r="N19" s="28">
        <v>43655</v>
      </c>
      <c r="O19" s="28">
        <v>43748</v>
      </c>
      <c r="P19" s="28">
        <v>43655</v>
      </c>
      <c r="Q19" s="28">
        <v>43748</v>
      </c>
      <c r="R19" s="28">
        <v>43749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39" t="str">
        <f>IF($AF$7&gt;=2,"기초금리2", "")</f>
        <v/>
      </c>
      <c r="AE19" s="135" t="str">
        <f>IF($AF$7&gt;=2,"커브번호", "")</f>
        <v/>
      </c>
      <c r="AF19" s="135"/>
      <c r="AG19" s="136">
        <v>2</v>
      </c>
      <c r="AH19" s="136"/>
      <c r="AI19" s="55"/>
      <c r="AJ19" s="26"/>
      <c r="AK19" s="133" t="str">
        <f>IF(OR(AG20 = 0, AG20 = 2, AG20 = 4), "RefType = "&amp;AG20&amp;" 이므로 Ref Swap 금리정보 사용안함", "사용")</f>
        <v>RefType = 0 이므로 Ref Swap 금리정보 사용안함</v>
      </c>
      <c r="AL19" s="133"/>
      <c r="AM19" s="133"/>
      <c r="AN19" s="134"/>
      <c r="AP19" s="28">
        <v>43655</v>
      </c>
      <c r="AQ19" s="28">
        <v>43748</v>
      </c>
      <c r="AR19" s="28">
        <v>43655</v>
      </c>
      <c r="AS19" s="28">
        <v>43748</v>
      </c>
      <c r="AT19" s="28">
        <v>43749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68"/>
      <c r="C20" s="157" t="str">
        <f>IF($D$7&gt;=2,"Reference Rate Type", "")</f>
        <v/>
      </c>
      <c r="D20" s="158"/>
      <c r="E20" s="138">
        <v>0</v>
      </c>
      <c r="F20" s="138"/>
      <c r="G20" s="141" t="str">
        <f>IF(OR(E20 = 0, E20 = 2, E20 = 4), "", "Zero/Swap 레퍼런스금리정보")</f>
        <v/>
      </c>
      <c r="H20" s="141"/>
      <c r="I20" s="141" t="str">
        <f>IF(OR(E20 = 0, E20 = 2, E20 = 4), "", "연 지급횟수")</f>
        <v/>
      </c>
      <c r="J20" s="142"/>
      <c r="K20" s="128">
        <v>4</v>
      </c>
      <c r="L20" s="129"/>
      <c r="M20" s="24"/>
      <c r="N20" s="28">
        <v>43748</v>
      </c>
      <c r="O20" s="28">
        <v>43839</v>
      </c>
      <c r="P20" s="28">
        <v>43748</v>
      </c>
      <c r="Q20" s="28">
        <v>43839</v>
      </c>
      <c r="R20" s="28">
        <v>43840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40"/>
      <c r="AE20" s="124" t="str">
        <f>IF($AF$7&gt;=2,"Reference Rate Type", "")</f>
        <v/>
      </c>
      <c r="AF20" s="137"/>
      <c r="AG20" s="138">
        <v>0</v>
      </c>
      <c r="AH20" s="138"/>
      <c r="AI20" s="126" t="str">
        <f>IF(OR(AG20 = 0, AG20 = 2, AG20 = 4), "", "Zero/Swap 레퍼런스금리정보")</f>
        <v/>
      </c>
      <c r="AJ20" s="126"/>
      <c r="AK20" s="126" t="str">
        <f>IF(OR(AG20 = 0, AG20 = 2, AG20 = 4), "", "연 지급횟수")</f>
        <v/>
      </c>
      <c r="AL20" s="127"/>
      <c r="AM20" s="128">
        <v>4</v>
      </c>
      <c r="AN20" s="129"/>
      <c r="AP20" s="28">
        <v>43748</v>
      </c>
      <c r="AQ20" s="28">
        <v>43839</v>
      </c>
      <c r="AR20" s="28">
        <v>43748</v>
      </c>
      <c r="AS20" s="28">
        <v>43839</v>
      </c>
      <c r="AT20" s="28">
        <v>43840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68"/>
      <c r="C21" s="157" t="str">
        <f>IF($D$7&gt;=2,"DayCount", "")</f>
        <v/>
      </c>
      <c r="D21" s="157"/>
      <c r="E21" s="115">
        <v>0</v>
      </c>
      <c r="F21" s="115"/>
      <c r="G21" s="141"/>
      <c r="H21" s="141"/>
      <c r="I21" s="141" t="str">
        <f>IF(OR(E20 = 0, E20 = 2, E20 = 4,E23=1), "", "만기")</f>
        <v/>
      </c>
      <c r="J21" s="142"/>
      <c r="K21" s="143">
        <v>1</v>
      </c>
      <c r="L21" s="144"/>
      <c r="M21" s="24"/>
      <c r="N21" s="28">
        <v>43839</v>
      </c>
      <c r="O21" s="28">
        <v>43930</v>
      </c>
      <c r="P21" s="28">
        <v>43839</v>
      </c>
      <c r="Q21" s="28">
        <v>43930</v>
      </c>
      <c r="R21" s="28">
        <v>43931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40"/>
      <c r="AE21" s="124" t="str">
        <f>IF($AF$7&gt;=2,"DayCount", "")</f>
        <v/>
      </c>
      <c r="AF21" s="124"/>
      <c r="AG21" s="115">
        <v>0</v>
      </c>
      <c r="AH21" s="115"/>
      <c r="AI21" s="126"/>
      <c r="AJ21" s="126"/>
      <c r="AK21" s="141" t="str">
        <f>IF(OR(AG20 = 0, AG20 = 2, AG20 = 4,AG23=1), "", "만기")</f>
        <v/>
      </c>
      <c r="AL21" s="142"/>
      <c r="AM21" s="143">
        <v>5</v>
      </c>
      <c r="AN21" s="144"/>
      <c r="AP21" s="28">
        <v>43839</v>
      </c>
      <c r="AQ21" s="28">
        <v>43930</v>
      </c>
      <c r="AR21" s="28">
        <v>43839</v>
      </c>
      <c r="AS21" s="28">
        <v>43930</v>
      </c>
      <c r="AT21" s="28">
        <v>43931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68"/>
      <c r="C22" s="157" t="str">
        <f>IF($D$7&gt;=2,"금리결정조건Multiple", "")</f>
        <v/>
      </c>
      <c r="D22" s="158"/>
      <c r="E22" s="114">
        <v>1</v>
      </c>
      <c r="F22" s="114"/>
      <c r="G22" s="110" t="str">
        <f>IF(OR(E20 = 0, E20 = 2, E20 = 4), "", "ex) Zero Rate 5년 -&gt; 연 지급횟수= 0, 만기= 5 // CD91일 -&gt; 연 지급횟수= 4, 만기= 0.25")</f>
        <v/>
      </c>
      <c r="H22" s="110"/>
      <c r="I22" s="110"/>
      <c r="J22" s="110"/>
      <c r="K22" s="110"/>
      <c r="L22" s="111"/>
      <c r="M22" s="24"/>
      <c r="N22" s="28">
        <v>43930</v>
      </c>
      <c r="O22" s="28">
        <v>44021</v>
      </c>
      <c r="P22" s="28">
        <v>43930</v>
      </c>
      <c r="Q22" s="28">
        <v>44021</v>
      </c>
      <c r="R22" s="28">
        <v>44022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40"/>
      <c r="AE22" s="124" t="str">
        <f>IF($AF$7&gt;=2,"금리결정조건Multiple", "")</f>
        <v/>
      </c>
      <c r="AF22" s="137"/>
      <c r="AG22" s="114">
        <v>1</v>
      </c>
      <c r="AH22" s="114"/>
      <c r="AI22" s="110" t="str">
        <f>IF(OR(AG20 = 0, AG20 = 2, AG20 = 4), "", "ex) Zero Rate 5년 -&gt; 연 지급횟수= 0, 만기= 5 // CD91일 -&gt; 연 지급횟수= 4, 만기= 0.25")</f>
        <v/>
      </c>
      <c r="AJ22" s="110"/>
      <c r="AK22" s="110"/>
      <c r="AL22" s="110"/>
      <c r="AM22" s="110"/>
      <c r="AN22" s="111"/>
      <c r="AP22" s="28">
        <v>43930</v>
      </c>
      <c r="AQ22" s="28">
        <v>44021</v>
      </c>
      <c r="AR22" s="28">
        <v>43930</v>
      </c>
      <c r="AS22" s="28">
        <v>44021</v>
      </c>
      <c r="AT22" s="28">
        <v>44022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68"/>
      <c r="C23" s="156" t="str">
        <f>IF($D$7&gt;=2,"Power Spread Flag", "")</f>
        <v/>
      </c>
      <c r="D23" s="156"/>
      <c r="E23" s="115">
        <v>0</v>
      </c>
      <c r="F23" s="115"/>
      <c r="G23" s="163" t="str">
        <f>IF(E23&gt;0,"PowerSpreadFlag 1일때 입력","입력필요X")</f>
        <v>입력필요X</v>
      </c>
      <c r="H23" s="163"/>
      <c r="I23" s="163" t="str">
        <f>IF(E23&gt;0,"만기1","")</f>
        <v/>
      </c>
      <c r="J23" s="163"/>
      <c r="K23" s="117">
        <v>10</v>
      </c>
      <c r="L23" s="118"/>
      <c r="M23" s="24"/>
      <c r="N23" s="28">
        <v>44021</v>
      </c>
      <c r="O23" s="28">
        <v>44116</v>
      </c>
      <c r="P23" s="28">
        <v>44021</v>
      </c>
      <c r="Q23" s="28">
        <v>44116</v>
      </c>
      <c r="R23" s="28">
        <v>44117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40"/>
      <c r="AE23" s="123" t="str">
        <f>IF($AF$7&gt;=2,"Power Spread Flag", "")</f>
        <v/>
      </c>
      <c r="AF23" s="123"/>
      <c r="AG23" s="115">
        <v>0</v>
      </c>
      <c r="AH23" s="115"/>
      <c r="AI23" s="116" t="str">
        <f>IF(AG23&gt;0,"PowerSpreadFlag 1일때 입력","입력필요X")</f>
        <v>입력필요X</v>
      </c>
      <c r="AJ23" s="116"/>
      <c r="AK23" s="116" t="str">
        <f>IF(AG23&gt;0,"만기1","")</f>
        <v/>
      </c>
      <c r="AL23" s="116"/>
      <c r="AM23" s="117">
        <v>10</v>
      </c>
      <c r="AN23" s="118"/>
      <c r="AP23" s="28">
        <v>44021</v>
      </c>
      <c r="AQ23" s="28">
        <v>44116</v>
      </c>
      <c r="AR23" s="28">
        <v>44021</v>
      </c>
      <c r="AS23" s="28">
        <v>44116</v>
      </c>
      <c r="AT23" s="28">
        <v>44117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68" t="str">
        <f>IF($D$7&gt;1, "사용", "커브개수"&amp;"="&amp;$D$7&amp;"이므로 사용안함")</f>
        <v>커브개수=1이므로 사용안함</v>
      </c>
      <c r="C24" s="156" t="str">
        <f>IF($D$7&gt;=2,"기초금리 Range상한", "")</f>
        <v/>
      </c>
      <c r="D24" s="156"/>
      <c r="E24" s="145">
        <v>10</v>
      </c>
      <c r="F24" s="145"/>
      <c r="G24" s="163"/>
      <c r="H24" s="163"/>
      <c r="I24" s="163" t="str">
        <f>IF(E23&gt;0,"만기2","")</f>
        <v/>
      </c>
      <c r="J24" s="163"/>
      <c r="K24" s="117">
        <v>5</v>
      </c>
      <c r="L24" s="118"/>
      <c r="M24" s="24"/>
      <c r="N24" s="28">
        <v>44116</v>
      </c>
      <c r="O24" s="28">
        <v>44207</v>
      </c>
      <c r="P24" s="28">
        <v>44116</v>
      </c>
      <c r="Q24" s="28">
        <v>44207</v>
      </c>
      <c r="R24" s="28">
        <v>44208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40" t="str">
        <f>IF($AF$7&gt;1, "사용", "커브개수"&amp;"="&amp;$AF$7&amp;"이므로 사용안함")</f>
        <v>커브개수=1이므로 사용안함</v>
      </c>
      <c r="AE24" s="123" t="str">
        <f>IF($AF$7&gt;=2,"기초금리 Range상한", "")</f>
        <v/>
      </c>
      <c r="AF24" s="123"/>
      <c r="AG24" s="145">
        <v>0.5</v>
      </c>
      <c r="AH24" s="145"/>
      <c r="AI24" s="116"/>
      <c r="AJ24" s="116"/>
      <c r="AK24" s="116" t="str">
        <f>IF(AG23&gt;0,"만기2","")</f>
        <v/>
      </c>
      <c r="AL24" s="116"/>
      <c r="AM24" s="117">
        <v>5</v>
      </c>
      <c r="AN24" s="118"/>
      <c r="AP24" s="28">
        <v>44116</v>
      </c>
      <c r="AQ24" s="28">
        <v>44207</v>
      </c>
      <c r="AR24" s="28">
        <v>44116</v>
      </c>
      <c r="AS24" s="28">
        <v>44207</v>
      </c>
      <c r="AT24" s="28">
        <v>44208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68"/>
      <c r="C25" s="156" t="str">
        <f>IF($D$7&gt;=2,"기초금리 Range하한", "")</f>
        <v/>
      </c>
      <c r="D25" s="157"/>
      <c r="E25" s="125">
        <v>-1</v>
      </c>
      <c r="F25" s="125"/>
      <c r="G25" s="169"/>
      <c r="H25" s="169"/>
      <c r="I25" s="164" t="str">
        <f>IF(E23&gt;0,"Spread1","")</f>
        <v/>
      </c>
      <c r="J25" s="164"/>
      <c r="K25" s="154" t="str">
        <f>IF(E23&gt;0, I23&amp;"-"&amp;I24, "")</f>
        <v/>
      </c>
      <c r="L25" s="155"/>
      <c r="N25" s="28">
        <v>44207</v>
      </c>
      <c r="O25" s="28">
        <v>44295</v>
      </c>
      <c r="P25" s="28">
        <v>44207</v>
      </c>
      <c r="Q25" s="28">
        <v>44295</v>
      </c>
      <c r="R25" s="28">
        <v>44298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40"/>
      <c r="AE25" s="123" t="str">
        <f>IF($AF$7&gt;=2,"기초금리 Range하한", "")</f>
        <v/>
      </c>
      <c r="AF25" s="124"/>
      <c r="AG25" s="125">
        <v>-0.1</v>
      </c>
      <c r="AH25" s="125"/>
      <c r="AI25" s="122"/>
      <c r="AJ25" s="122"/>
      <c r="AK25" s="119" t="str">
        <f>IF(AG23&gt;0,"Spread1","")</f>
        <v/>
      </c>
      <c r="AL25" s="119"/>
      <c r="AM25" s="120" t="str">
        <f>IF(AG23&gt;0, AK23&amp;"-"&amp;AK24, "")</f>
        <v/>
      </c>
      <c r="AN25" s="121"/>
      <c r="AP25" s="28">
        <v>44207</v>
      </c>
      <c r="AQ25" s="28">
        <v>44295</v>
      </c>
      <c r="AR25" s="28">
        <v>44207</v>
      </c>
      <c r="AS25" s="28">
        <v>44295</v>
      </c>
      <c r="AT25" s="28">
        <v>44298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46" t="str">
        <f>IF($D$7&gt;=2,"Payoff조건Multiple", "")</f>
        <v/>
      </c>
      <c r="D26" s="146"/>
      <c r="E26" s="131">
        <v>0</v>
      </c>
      <c r="F26" s="131"/>
      <c r="G26" s="112" t="str">
        <f>IF(E23&gt;0,"예시) 10년-5년 스왑: 연 지급횟수=4, 만기1=10, 만기2=5","")</f>
        <v/>
      </c>
      <c r="H26" s="112"/>
      <c r="I26" s="112"/>
      <c r="J26" s="112"/>
      <c r="K26" s="112"/>
      <c r="L26" s="113"/>
      <c r="N26" s="28">
        <v>44295</v>
      </c>
      <c r="O26" s="28">
        <v>44386</v>
      </c>
      <c r="P26" s="28">
        <v>44295</v>
      </c>
      <c r="Q26" s="28">
        <v>44386</v>
      </c>
      <c r="R26" s="28">
        <v>44389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32" t="str">
        <f>IF($AF$7&gt;=2,"Payoff조건Multiple", "")</f>
        <v/>
      </c>
      <c r="AF26" s="132"/>
      <c r="AG26" s="131">
        <v>0</v>
      </c>
      <c r="AH26" s="131"/>
      <c r="AI26" s="112" t="str">
        <f>IF(AG23&gt;0,"예시) 10년-5년 스왑: 연 지급횟수=4, 만기1=10, 만기2=5","")</f>
        <v/>
      </c>
      <c r="AJ26" s="112"/>
      <c r="AK26" s="112"/>
      <c r="AL26" s="112"/>
      <c r="AM26" s="112"/>
      <c r="AN26" s="113"/>
      <c r="AP26" s="28">
        <v>44295</v>
      </c>
      <c r="AQ26" s="28">
        <v>44386</v>
      </c>
      <c r="AR26" s="28">
        <v>44295</v>
      </c>
      <c r="AS26" s="28">
        <v>44386</v>
      </c>
      <c r="AT26" s="28">
        <v>44389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44386</v>
      </c>
      <c r="O27" s="28">
        <v>44480</v>
      </c>
      <c r="P27" s="28">
        <v>44386</v>
      </c>
      <c r="Q27" s="28">
        <v>44480</v>
      </c>
      <c r="R27" s="28">
        <v>44481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44386</v>
      </c>
      <c r="AQ27" s="28">
        <v>44480</v>
      </c>
      <c r="AR27" s="28">
        <v>44386</v>
      </c>
      <c r="AS27" s="28">
        <v>44480</v>
      </c>
      <c r="AT27" s="28">
        <v>44481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84" t="str">
        <f>IF($D$7&gt;=3,"기초금리3", "")</f>
        <v/>
      </c>
      <c r="C28" s="171" t="str">
        <f>IF($D$7&gt;=3,"커브번호", "")</f>
        <v/>
      </c>
      <c r="D28" s="171"/>
      <c r="E28" s="136">
        <v>3</v>
      </c>
      <c r="F28" s="136"/>
      <c r="G28" s="55"/>
      <c r="H28" s="26"/>
      <c r="I28" s="150" t="str">
        <f>IF(OR(E29 = 0, E29 = 2, E29 = 4), "RefType = "&amp;E29&amp;" 이므로 Ref Swap 금리정보 사용안함", "사용")</f>
        <v>RefType = 0 이므로 Ref Swap 금리정보 사용안함</v>
      </c>
      <c r="J28" s="150"/>
      <c r="K28" s="150"/>
      <c r="L28" s="151"/>
      <c r="N28" s="28">
        <v>44480</v>
      </c>
      <c r="O28" s="28">
        <v>44571</v>
      </c>
      <c r="P28" s="28">
        <v>44480</v>
      </c>
      <c r="Q28" s="28">
        <v>44571</v>
      </c>
      <c r="R28" s="28">
        <v>44572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39" t="str">
        <f>IF($AF$7&gt;=3,"기초금리3", "")</f>
        <v/>
      </c>
      <c r="AE28" s="135" t="str">
        <f>IF($AF$7&gt;=3,"커브번호", "")</f>
        <v/>
      </c>
      <c r="AF28" s="135"/>
      <c r="AG28" s="136">
        <v>3</v>
      </c>
      <c r="AH28" s="136"/>
      <c r="AI28" s="55"/>
      <c r="AJ28" s="26"/>
      <c r="AK28" s="133" t="str">
        <f>IF(OR(AG29 = 0, AG29 = 2, AG29 = 4), "RefType = "&amp;AG29&amp;" 이므로 Ref Swap 금리정보 사용안함", "사용")</f>
        <v>RefType = 0 이므로 Ref Swap 금리정보 사용안함</v>
      </c>
      <c r="AL28" s="133"/>
      <c r="AM28" s="133"/>
      <c r="AN28" s="134"/>
      <c r="AP28" s="28">
        <v>44480</v>
      </c>
      <c r="AQ28" s="28">
        <v>44571</v>
      </c>
      <c r="AR28" s="28">
        <v>44480</v>
      </c>
      <c r="AS28" s="28">
        <v>44571</v>
      </c>
      <c r="AT28" s="28">
        <v>44572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68"/>
      <c r="C29" s="157" t="str">
        <f>IF($D$7&gt;=3,"Reference Rate Type", "")</f>
        <v/>
      </c>
      <c r="D29" s="158"/>
      <c r="E29" s="138">
        <v>0</v>
      </c>
      <c r="F29" s="138"/>
      <c r="G29" s="141" t="str">
        <f>IF(OR(E29 = 0, E29 = 2, E29 = 4), "", "Zero/Swap 레퍼런스금리정보")</f>
        <v/>
      </c>
      <c r="H29" s="141"/>
      <c r="I29" s="141" t="str">
        <f>IF(OR(E29 = 0, E29 = 2, E29 = 4), "", "연 지급횟수")</f>
        <v/>
      </c>
      <c r="J29" s="142"/>
      <c r="K29" s="128">
        <v>4</v>
      </c>
      <c r="L29" s="129"/>
      <c r="N29" s="28">
        <v>44571</v>
      </c>
      <c r="O29" s="28">
        <v>44662</v>
      </c>
      <c r="P29" s="28">
        <v>44571</v>
      </c>
      <c r="Q29" s="28">
        <v>44662</v>
      </c>
      <c r="R29" s="28">
        <v>44663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40"/>
      <c r="AE29" s="124" t="str">
        <f>IF($AF$7&gt;=3,"Reference Rate Type", "")</f>
        <v/>
      </c>
      <c r="AF29" s="137"/>
      <c r="AG29" s="138">
        <v>0</v>
      </c>
      <c r="AH29" s="138"/>
      <c r="AI29" s="126" t="str">
        <f>IF(OR(AG29 = 0, AG29 = 2, AG29 = 4), "", "Zero/Swap 레퍼런스금리정보")</f>
        <v/>
      </c>
      <c r="AJ29" s="126"/>
      <c r="AK29" s="126" t="str">
        <f>IF(OR(AG29 = 0, AG29 = 2, AG29 = 4), "", "연 지급횟수")</f>
        <v/>
      </c>
      <c r="AL29" s="127"/>
      <c r="AM29" s="128">
        <v>4</v>
      </c>
      <c r="AN29" s="129"/>
      <c r="AP29" s="28">
        <v>44571</v>
      </c>
      <c r="AQ29" s="28">
        <v>44662</v>
      </c>
      <c r="AR29" s="28">
        <v>44571</v>
      </c>
      <c r="AS29" s="28">
        <v>44662</v>
      </c>
      <c r="AT29" s="28">
        <v>44663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68"/>
      <c r="C30" s="157" t="str">
        <f>IF($D$7&gt;=3,"DayCount", "")</f>
        <v/>
      </c>
      <c r="D30" s="157"/>
      <c r="E30" s="115">
        <v>0</v>
      </c>
      <c r="F30" s="115"/>
      <c r="G30" s="141"/>
      <c r="H30" s="141"/>
      <c r="I30" s="141" t="str">
        <f>IF(OR(E29 = 0, E29 = 2, E29 = 4,E32=1), "", "만기")</f>
        <v/>
      </c>
      <c r="J30" s="142"/>
      <c r="K30" s="143">
        <v>5</v>
      </c>
      <c r="L30" s="144"/>
      <c r="N30" s="28">
        <v>44662</v>
      </c>
      <c r="O30" s="28">
        <v>44753</v>
      </c>
      <c r="P30" s="28">
        <v>44662</v>
      </c>
      <c r="Q30" s="28">
        <v>44753</v>
      </c>
      <c r="R30" s="28">
        <v>44754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40"/>
      <c r="AE30" s="124" t="str">
        <f>IF($AF$7&gt;=3,"DayCount", "")</f>
        <v/>
      </c>
      <c r="AF30" s="124"/>
      <c r="AG30" s="115">
        <v>0</v>
      </c>
      <c r="AH30" s="115"/>
      <c r="AI30" s="126"/>
      <c r="AJ30" s="126"/>
      <c r="AK30" s="141" t="str">
        <f>IF(OR(AG29 = 0, AG29 = 2, AG29 = 4,AG32=1), "", "만기")</f>
        <v/>
      </c>
      <c r="AL30" s="142"/>
      <c r="AM30" s="143">
        <v>5</v>
      </c>
      <c r="AN30" s="144"/>
      <c r="AP30" s="28">
        <v>44662</v>
      </c>
      <c r="AQ30" s="28">
        <v>44753</v>
      </c>
      <c r="AR30" s="28">
        <v>44662</v>
      </c>
      <c r="AS30" s="28">
        <v>44753</v>
      </c>
      <c r="AT30" s="28">
        <v>44754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68"/>
      <c r="C31" s="157" t="str">
        <f>IF($D$7&gt;=3,"금리결정조건Multiple", "")</f>
        <v/>
      </c>
      <c r="D31" s="158"/>
      <c r="E31" s="114">
        <v>1</v>
      </c>
      <c r="F31" s="114"/>
      <c r="G31" s="110" t="str">
        <f>IF(OR(E29 = 0, E29 = 2, E29 = 4), "", "ex) Zero Rate 5년 -&gt; 연 지급횟수= 0, 만기= 5 // CD91일 -&gt; 연 지급횟수= 4, 만기= 0.25")</f>
        <v/>
      </c>
      <c r="H31" s="110"/>
      <c r="I31" s="110"/>
      <c r="J31" s="110"/>
      <c r="K31" s="110"/>
      <c r="L31" s="111"/>
      <c r="N31" s="28">
        <v>44753</v>
      </c>
      <c r="O31" s="28">
        <v>44844</v>
      </c>
      <c r="P31" s="28">
        <v>44753</v>
      </c>
      <c r="Q31" s="28">
        <v>44844</v>
      </c>
      <c r="R31" s="28">
        <v>44845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40"/>
      <c r="AE31" s="124" t="str">
        <f>IF($AF$7&gt;=3,"금리결정조건Multiple", "")</f>
        <v/>
      </c>
      <c r="AF31" s="137"/>
      <c r="AG31" s="114">
        <v>1</v>
      </c>
      <c r="AH31" s="114"/>
      <c r="AI31" s="110" t="str">
        <f>IF(OR(AG29 = 0, AG29 = 2, AG29 = 4), "", "ex) Zero Rate 5년 -&gt; 연 지급횟수= 0, 만기= 5 // CD91일 -&gt; 연 지급횟수= 4, 만기= 0.25")</f>
        <v/>
      </c>
      <c r="AJ31" s="110"/>
      <c r="AK31" s="110"/>
      <c r="AL31" s="110"/>
      <c r="AM31" s="110"/>
      <c r="AN31" s="111"/>
      <c r="AP31" s="28">
        <v>44753</v>
      </c>
      <c r="AQ31" s="28">
        <v>44844</v>
      </c>
      <c r="AR31" s="28">
        <v>44753</v>
      </c>
      <c r="AS31" s="28">
        <v>44844</v>
      </c>
      <c r="AT31" s="28">
        <v>44845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68"/>
      <c r="C32" s="156" t="str">
        <f>IF($D$7&gt;=3,"Power Spread Flag", "")</f>
        <v/>
      </c>
      <c r="D32" s="156"/>
      <c r="E32" s="115">
        <v>0</v>
      </c>
      <c r="F32" s="115"/>
      <c r="G32" s="163" t="str">
        <f>IF(E32&gt;0,"PowerSpreadFlag 1일때 입력","입력필요X")</f>
        <v>입력필요X</v>
      </c>
      <c r="H32" s="163"/>
      <c r="I32" s="163" t="str">
        <f>IF(E32&gt;0,"만기1","")</f>
        <v/>
      </c>
      <c r="J32" s="163"/>
      <c r="K32" s="117">
        <v>10</v>
      </c>
      <c r="L32" s="118"/>
      <c r="N32" s="28">
        <v>44844</v>
      </c>
      <c r="O32" s="28">
        <v>44935</v>
      </c>
      <c r="P32" s="28">
        <v>44844</v>
      </c>
      <c r="Q32" s="28">
        <v>44935</v>
      </c>
      <c r="R32" s="28">
        <v>44936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40"/>
      <c r="AE32" s="123" t="str">
        <f>IF($AF$7&gt;=3,"Power Spread Flag", "")</f>
        <v/>
      </c>
      <c r="AF32" s="123"/>
      <c r="AG32" s="115">
        <v>0</v>
      </c>
      <c r="AH32" s="115"/>
      <c r="AI32" s="116" t="str">
        <f>IF(AG32&gt;0,"PowerSpreadFlag 1일때 입력","입력필요X")</f>
        <v>입력필요X</v>
      </c>
      <c r="AJ32" s="116"/>
      <c r="AK32" s="116" t="str">
        <f>IF(AG32&gt;0,"만기1","")</f>
        <v/>
      </c>
      <c r="AL32" s="116"/>
      <c r="AM32" s="117">
        <v>10</v>
      </c>
      <c r="AN32" s="118"/>
      <c r="AP32" s="28">
        <v>44844</v>
      </c>
      <c r="AQ32" s="28">
        <v>44935</v>
      </c>
      <c r="AR32" s="28">
        <v>44844</v>
      </c>
      <c r="AS32" s="28">
        <v>44935</v>
      </c>
      <c r="AT32" s="28">
        <v>44936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68" t="str">
        <f>IF($D$7&gt;2, "사용", "커브개수"&amp;"="&amp;$D$7&amp;"이므로 사용안함")</f>
        <v>커브개수=1이므로 사용안함</v>
      </c>
      <c r="C33" s="156" t="str">
        <f>IF($D$7&gt;=3,"기초금리 Range상한", "")</f>
        <v/>
      </c>
      <c r="D33" s="156"/>
      <c r="E33" s="145">
        <v>0.5</v>
      </c>
      <c r="F33" s="145"/>
      <c r="G33" s="163"/>
      <c r="H33" s="163"/>
      <c r="I33" s="163" t="str">
        <f>IF(E32&gt;0,"만기2","")</f>
        <v/>
      </c>
      <c r="J33" s="163"/>
      <c r="K33" s="117">
        <v>5</v>
      </c>
      <c r="L33" s="118"/>
      <c r="N33" s="28">
        <v>44935</v>
      </c>
      <c r="O33" s="28">
        <v>45026</v>
      </c>
      <c r="P33" s="28">
        <v>44935</v>
      </c>
      <c r="Q33" s="28">
        <v>45026</v>
      </c>
      <c r="R33" s="28">
        <v>45027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40" t="str">
        <f>IF($AF$7&gt;2, "사용", "커브개수"&amp;"="&amp;$AF$7&amp;"이므로 사용안함")</f>
        <v>커브개수=1이므로 사용안함</v>
      </c>
      <c r="AE33" s="123" t="str">
        <f>IF($AF$7&gt;=3,"기초금리 Range상한", "")</f>
        <v/>
      </c>
      <c r="AF33" s="123"/>
      <c r="AG33" s="145">
        <v>0.5</v>
      </c>
      <c r="AH33" s="145"/>
      <c r="AI33" s="116"/>
      <c r="AJ33" s="116"/>
      <c r="AK33" s="116" t="str">
        <f>IF(AG32&gt;0,"만기2","")</f>
        <v/>
      </c>
      <c r="AL33" s="116"/>
      <c r="AM33" s="117">
        <v>5</v>
      </c>
      <c r="AN33" s="118"/>
      <c r="AP33" s="28">
        <v>44935</v>
      </c>
      <c r="AQ33" s="28">
        <v>45026</v>
      </c>
      <c r="AR33" s="28">
        <v>44935</v>
      </c>
      <c r="AS33" s="28">
        <v>45026</v>
      </c>
      <c r="AT33" s="28">
        <v>45027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68"/>
      <c r="C34" s="156" t="str">
        <f>IF($D$7&gt;=3,"기초금리 Range하한", "")</f>
        <v/>
      </c>
      <c r="D34" s="157"/>
      <c r="E34" s="125">
        <v>-0.1</v>
      </c>
      <c r="F34" s="125"/>
      <c r="G34" s="169"/>
      <c r="H34" s="169"/>
      <c r="I34" s="164" t="str">
        <f>IF(E32&gt;0,"Spread1","")</f>
        <v/>
      </c>
      <c r="J34" s="164"/>
      <c r="K34" s="154" t="str">
        <f>IF(E32&gt;0, I32&amp;"-"&amp;I33, "")</f>
        <v/>
      </c>
      <c r="L34" s="155"/>
      <c r="N34" s="28">
        <v>45026</v>
      </c>
      <c r="O34" s="28">
        <v>45117</v>
      </c>
      <c r="P34" s="28">
        <v>45026</v>
      </c>
      <c r="Q34" s="28">
        <v>45117</v>
      </c>
      <c r="R34" s="28">
        <v>45118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40"/>
      <c r="AE34" s="123" t="str">
        <f>IF($AF$7&gt;=3,"기초금리 Range하한", "")</f>
        <v/>
      </c>
      <c r="AF34" s="124"/>
      <c r="AG34" s="125">
        <v>-0.1</v>
      </c>
      <c r="AH34" s="125"/>
      <c r="AI34" s="122"/>
      <c r="AJ34" s="122"/>
      <c r="AK34" s="119" t="str">
        <f>IF(AG32&gt;0,"Spread1","")</f>
        <v/>
      </c>
      <c r="AL34" s="119"/>
      <c r="AM34" s="120" t="str">
        <f>IF(AG32&gt;0, AK32&amp;"-"&amp;AK33, "")</f>
        <v/>
      </c>
      <c r="AN34" s="121"/>
      <c r="AP34" s="28">
        <v>45026</v>
      </c>
      <c r="AQ34" s="28">
        <v>45117</v>
      </c>
      <c r="AR34" s="28">
        <v>45026</v>
      </c>
      <c r="AS34" s="28">
        <v>45117</v>
      </c>
      <c r="AT34" s="28">
        <v>45118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46" t="str">
        <f>IF($D$7&gt;=3,"Payoff조건Multiple", "")</f>
        <v/>
      </c>
      <c r="D35" s="146"/>
      <c r="E35" s="131">
        <v>0</v>
      </c>
      <c r="F35" s="131"/>
      <c r="G35" s="112" t="str">
        <f>IF(E32&gt;0,"예시) 10년-5년 스왑: 연 지급횟수=4, 만기1=10, 만기2=5","")</f>
        <v/>
      </c>
      <c r="H35" s="112"/>
      <c r="I35" s="112"/>
      <c r="J35" s="112"/>
      <c r="K35" s="112"/>
      <c r="L35" s="113"/>
      <c r="N35" s="28">
        <v>45117</v>
      </c>
      <c r="O35" s="28">
        <v>45209</v>
      </c>
      <c r="P35" s="28">
        <v>45117</v>
      </c>
      <c r="Q35" s="28">
        <v>45209</v>
      </c>
      <c r="R35" s="28">
        <v>45210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32" t="str">
        <f>IF($AF$7&gt;=3,"Payoff조건Multiple", "")</f>
        <v/>
      </c>
      <c r="AF35" s="132"/>
      <c r="AG35" s="131">
        <v>0</v>
      </c>
      <c r="AH35" s="131"/>
      <c r="AI35" s="112" t="str">
        <f>IF(AG32&gt;0,"예시) 10년-5년 스왑: 연 지급횟수=4, 만기1=10, 만기2=5","")</f>
        <v/>
      </c>
      <c r="AJ35" s="112"/>
      <c r="AK35" s="112"/>
      <c r="AL35" s="112"/>
      <c r="AM35" s="112"/>
      <c r="AN35" s="113"/>
      <c r="AP35" s="28">
        <v>45117</v>
      </c>
      <c r="AQ35" s="28">
        <v>45209</v>
      </c>
      <c r="AR35" s="28">
        <v>45117</v>
      </c>
      <c r="AS35" s="28">
        <v>45209</v>
      </c>
      <c r="AT35" s="28">
        <v>45210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45209</v>
      </c>
      <c r="O36" s="28">
        <v>45300</v>
      </c>
      <c r="P36" s="28">
        <v>45209</v>
      </c>
      <c r="Q36" s="28">
        <v>45300</v>
      </c>
      <c r="R36" s="28">
        <v>45301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45209</v>
      </c>
      <c r="AQ36" s="28">
        <v>45300</v>
      </c>
      <c r="AR36" s="28">
        <v>45209</v>
      </c>
      <c r="AS36" s="28">
        <v>45300</v>
      </c>
      <c r="AT36" s="28">
        <v>45301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59" t="s">
        <v>89</v>
      </c>
      <c r="C37" s="135" t="s">
        <v>29</v>
      </c>
      <c r="D37" s="135"/>
      <c r="E37" s="193">
        <v>1</v>
      </c>
      <c r="F37" s="194"/>
      <c r="G37" s="25"/>
      <c r="H37" s="139" t="s">
        <v>44</v>
      </c>
      <c r="I37" s="159"/>
      <c r="J37" s="147">
        <v>0</v>
      </c>
      <c r="K37" s="147"/>
      <c r="L37" s="148"/>
      <c r="N37" s="28">
        <v>45300</v>
      </c>
      <c r="O37" s="28">
        <v>45391</v>
      </c>
      <c r="P37" s="28">
        <v>45300</v>
      </c>
      <c r="Q37" s="28">
        <v>45391</v>
      </c>
      <c r="R37" s="28">
        <v>45392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59" t="s">
        <v>89</v>
      </c>
      <c r="AE37" s="135" t="s">
        <v>29</v>
      </c>
      <c r="AF37" s="135"/>
      <c r="AG37" s="193">
        <v>1</v>
      </c>
      <c r="AH37" s="194"/>
      <c r="AJ37" s="139" t="s">
        <v>44</v>
      </c>
      <c r="AK37" s="159"/>
      <c r="AL37" s="147">
        <v>0</v>
      </c>
      <c r="AM37" s="147"/>
      <c r="AN37" s="148"/>
      <c r="AP37" s="28">
        <v>45300</v>
      </c>
      <c r="AQ37" s="28">
        <v>45391</v>
      </c>
      <c r="AR37" s="28">
        <v>45300</v>
      </c>
      <c r="AS37" s="28">
        <v>45391</v>
      </c>
      <c r="AT37" s="28">
        <v>45392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91"/>
      <c r="C38" s="132"/>
      <c r="D38" s="132"/>
      <c r="E38" s="195"/>
      <c r="F38" s="196"/>
      <c r="G38" s="25"/>
      <c r="H38" s="160" t="s">
        <v>45</v>
      </c>
      <c r="I38" s="161"/>
      <c r="J38" s="161"/>
      <c r="K38" s="161"/>
      <c r="L38" s="162"/>
      <c r="N38" s="28">
        <v>45391</v>
      </c>
      <c r="O38" s="28">
        <v>45482</v>
      </c>
      <c r="P38" s="28">
        <v>45391</v>
      </c>
      <c r="Q38" s="28">
        <v>45482</v>
      </c>
      <c r="R38" s="28">
        <v>45483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91"/>
      <c r="AE38" s="132"/>
      <c r="AF38" s="132"/>
      <c r="AG38" s="195"/>
      <c r="AH38" s="196"/>
      <c r="AJ38" s="160" t="s">
        <v>45</v>
      </c>
      <c r="AK38" s="161"/>
      <c r="AL38" s="161"/>
      <c r="AM38" s="161"/>
      <c r="AN38" s="162"/>
      <c r="AP38" s="28">
        <v>45391</v>
      </c>
      <c r="AQ38" s="28">
        <v>45482</v>
      </c>
      <c r="AR38" s="28">
        <v>45391</v>
      </c>
      <c r="AS38" s="28">
        <v>45482</v>
      </c>
      <c r="AT38" s="28">
        <v>45483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91"/>
      <c r="C39" s="192"/>
      <c r="D39" s="192"/>
      <c r="E39" s="192"/>
      <c r="F39" s="192"/>
      <c r="G39" s="25"/>
      <c r="H39" s="18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9"/>
      <c r="J39" s="189"/>
      <c r="K39" s="189"/>
      <c r="L39" s="190"/>
      <c r="N39" s="28">
        <v>45482</v>
      </c>
      <c r="O39" s="28">
        <v>45575</v>
      </c>
      <c r="P39" s="28">
        <v>45482</v>
      </c>
      <c r="Q39" s="28">
        <v>45575</v>
      </c>
      <c r="R39" s="28">
        <v>45576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91"/>
      <c r="AE39" s="192"/>
      <c r="AF39" s="192"/>
      <c r="AG39" s="192"/>
      <c r="AH39" s="192"/>
      <c r="AJ39" s="18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6"/>
      <c r="AL39" s="186"/>
      <c r="AM39" s="186"/>
      <c r="AN39" s="187"/>
      <c r="AP39" s="28">
        <v>45482</v>
      </c>
      <c r="AQ39" s="28">
        <v>45575</v>
      </c>
      <c r="AR39" s="28">
        <v>45482</v>
      </c>
      <c r="AS39" s="28">
        <v>45575</v>
      </c>
      <c r="AT39" s="28">
        <v>45576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45575</v>
      </c>
      <c r="O40" s="28">
        <v>45666</v>
      </c>
      <c r="P40" s="28">
        <v>45575</v>
      </c>
      <c r="Q40" s="28">
        <v>45666</v>
      </c>
      <c r="R40" s="28">
        <v>45667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45575</v>
      </c>
      <c r="AQ40" s="28">
        <v>45666</v>
      </c>
      <c r="AR40" s="28">
        <v>45575</v>
      </c>
      <c r="AS40" s="28">
        <v>45666</v>
      </c>
      <c r="AT40" s="28">
        <v>45667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45666</v>
      </c>
      <c r="O41" s="28">
        <v>45756</v>
      </c>
      <c r="P41" s="28">
        <v>45666</v>
      </c>
      <c r="Q41" s="28">
        <v>45756</v>
      </c>
      <c r="R41" s="28">
        <v>45757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45666</v>
      </c>
      <c r="AQ41" s="28">
        <v>45756</v>
      </c>
      <c r="AR41" s="28">
        <v>45666</v>
      </c>
      <c r="AS41" s="28">
        <v>45756</v>
      </c>
      <c r="AT41" s="28">
        <v>45757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09" t="s">
        <v>85</v>
      </c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N42" s="28">
        <v>45756</v>
      </c>
      <c r="O42" s="28">
        <v>45847</v>
      </c>
      <c r="P42" s="28">
        <v>45756</v>
      </c>
      <c r="Q42" s="28">
        <v>45847</v>
      </c>
      <c r="R42" s="28">
        <v>45848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45756</v>
      </c>
      <c r="AQ42" s="28">
        <v>45847</v>
      </c>
      <c r="AR42" s="28">
        <v>45756</v>
      </c>
      <c r="AS42" s="28">
        <v>45847</v>
      </c>
      <c r="AT42" s="28">
        <v>45848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45847</v>
      </c>
      <c r="O43" s="28">
        <v>45940</v>
      </c>
      <c r="P43" s="28">
        <v>45847</v>
      </c>
      <c r="Q43" s="28">
        <v>45940</v>
      </c>
      <c r="R43" s="28">
        <v>45943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45847</v>
      </c>
      <c r="AQ43" s="28">
        <v>45940</v>
      </c>
      <c r="AR43" s="28">
        <v>45847</v>
      </c>
      <c r="AS43" s="28">
        <v>45940</v>
      </c>
      <c r="AT43" s="28">
        <v>45943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43185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45940</v>
      </c>
      <c r="O44" s="28">
        <v>46031</v>
      </c>
      <c r="P44" s="28">
        <v>45940</v>
      </c>
      <c r="Q44" s="28">
        <v>46031</v>
      </c>
      <c r="R44" s="28">
        <v>46034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45940</v>
      </c>
      <c r="AQ44" s="28">
        <v>46031</v>
      </c>
      <c r="AR44" s="28">
        <v>45940</v>
      </c>
      <c r="AS44" s="28">
        <v>46031</v>
      </c>
      <c r="AT44" s="28">
        <v>46034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43276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46031</v>
      </c>
      <c r="O45" s="28">
        <v>46121</v>
      </c>
      <c r="P45" s="28">
        <v>46031</v>
      </c>
      <c r="Q45" s="28">
        <v>46121</v>
      </c>
      <c r="R45" s="28">
        <v>46122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46031</v>
      </c>
      <c r="AQ45" s="28">
        <v>46121</v>
      </c>
      <c r="AR45" s="28">
        <v>46031</v>
      </c>
      <c r="AS45" s="28">
        <v>46121</v>
      </c>
      <c r="AT45" s="28">
        <v>46122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43369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46121</v>
      </c>
      <c r="O46" s="28">
        <v>46212</v>
      </c>
      <c r="P46" s="28">
        <v>46121</v>
      </c>
      <c r="Q46" s="28">
        <v>46212</v>
      </c>
      <c r="R46" s="28">
        <v>46213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46121</v>
      </c>
      <c r="AQ46" s="28">
        <v>46212</v>
      </c>
      <c r="AR46" s="28">
        <v>46121</v>
      </c>
      <c r="AS46" s="28">
        <v>46212</v>
      </c>
      <c r="AT46" s="28">
        <v>46213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43460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46212</v>
      </c>
      <c r="O47" s="28">
        <v>46307</v>
      </c>
      <c r="P47" s="28">
        <v>46212</v>
      </c>
      <c r="Q47" s="28">
        <v>46307</v>
      </c>
      <c r="R47" s="28">
        <v>46308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46212</v>
      </c>
      <c r="AQ47" s="28">
        <v>46307</v>
      </c>
      <c r="AR47" s="28">
        <v>46212</v>
      </c>
      <c r="AS47" s="28">
        <v>46307</v>
      </c>
      <c r="AT47" s="28">
        <v>46308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43550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46398</v>
      </c>
      <c r="P48" s="28">
        <v>46307</v>
      </c>
      <c r="Q48" s="28">
        <v>46398</v>
      </c>
      <c r="R48" s="28">
        <v>46399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46398</v>
      </c>
      <c r="AR48" s="28">
        <v>46307</v>
      </c>
      <c r="AS48" s="28">
        <v>46398</v>
      </c>
      <c r="AT48" s="28">
        <v>46399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43641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46398</v>
      </c>
      <c r="O49" s="28">
        <v>46486</v>
      </c>
      <c r="P49" s="28">
        <v>46398</v>
      </c>
      <c r="Q49" s="28">
        <v>46486</v>
      </c>
      <c r="R49" s="28">
        <v>46489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46398</v>
      </c>
      <c r="AQ49" s="28">
        <v>46486</v>
      </c>
      <c r="AR49" s="28">
        <v>46398</v>
      </c>
      <c r="AS49" s="28">
        <v>46486</v>
      </c>
      <c r="AT49" s="28">
        <v>46489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43734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46486</v>
      </c>
      <c r="O50" s="28">
        <v>46577</v>
      </c>
      <c r="P50" s="28">
        <v>46486</v>
      </c>
      <c r="Q50" s="28">
        <v>46577</v>
      </c>
      <c r="R50" s="28">
        <v>46580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46486</v>
      </c>
      <c r="AQ50" s="28">
        <v>46577</v>
      </c>
      <c r="AR50" s="28">
        <v>46486</v>
      </c>
      <c r="AS50" s="28">
        <v>46577</v>
      </c>
      <c r="AT50" s="28">
        <v>46580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43825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46577</v>
      </c>
      <c r="O51" s="28">
        <v>46671</v>
      </c>
      <c r="P51" s="28">
        <v>46577</v>
      </c>
      <c r="Q51" s="28">
        <v>46671</v>
      </c>
      <c r="R51" s="28">
        <v>46672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46577</v>
      </c>
      <c r="AQ51" s="28">
        <v>46671</v>
      </c>
      <c r="AR51" s="28">
        <v>46577</v>
      </c>
      <c r="AS51" s="28">
        <v>46671</v>
      </c>
      <c r="AT51" s="28">
        <v>46672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43916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46671</v>
      </c>
      <c r="O52" s="28">
        <v>46762</v>
      </c>
      <c r="P52" s="28">
        <v>46671</v>
      </c>
      <c r="Q52" s="28">
        <v>46762</v>
      </c>
      <c r="R52" s="28">
        <v>46763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46671</v>
      </c>
      <c r="AQ52" s="28">
        <v>46762</v>
      </c>
      <c r="AR52" s="28">
        <v>46671</v>
      </c>
      <c r="AS52" s="28">
        <v>46762</v>
      </c>
      <c r="AT52" s="28">
        <v>46763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44007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44102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44193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44283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44374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44466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44557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44648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44739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44830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44921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45012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45103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45195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45286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45377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45468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45561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45652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45742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45833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45928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46019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46107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46198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46293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46384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46474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46565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46657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46748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3"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E20:F20"/>
    <mergeCell ref="E14:F14"/>
    <mergeCell ref="G23:H24"/>
    <mergeCell ref="G13:L13"/>
    <mergeCell ref="G22:L22"/>
    <mergeCell ref="I15:J15"/>
    <mergeCell ref="K15:L15"/>
    <mergeCell ref="I16:J16"/>
    <mergeCell ref="Q8:R8"/>
    <mergeCell ref="D8:E8"/>
    <mergeCell ref="F8:G8"/>
    <mergeCell ref="H8:I8"/>
    <mergeCell ref="J8:K8"/>
    <mergeCell ref="L8:M8"/>
    <mergeCell ref="B3:C3"/>
    <mergeCell ref="D3:E3"/>
    <mergeCell ref="F3:G3"/>
    <mergeCell ref="C19:D19"/>
    <mergeCell ref="E19:F19"/>
    <mergeCell ref="C21:D21"/>
    <mergeCell ref="E21:F21"/>
    <mergeCell ref="Q11:Q12"/>
    <mergeCell ref="R11:R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F7:G7"/>
    <mergeCell ref="H7:I7"/>
    <mergeCell ref="N10:Q10"/>
    <mergeCell ref="N11:N12"/>
    <mergeCell ref="O11:O12"/>
    <mergeCell ref="P11:P12"/>
    <mergeCell ref="AL7:AM7"/>
    <mergeCell ref="AN7:AO7"/>
    <mergeCell ref="J7:K7"/>
    <mergeCell ref="L7:M7"/>
    <mergeCell ref="B5:M6"/>
    <mergeCell ref="Q6:R6"/>
    <mergeCell ref="AD5:AO6"/>
    <mergeCell ref="Q7:R7"/>
    <mergeCell ref="O6:P8"/>
    <mergeCell ref="S6:T6"/>
    <mergeCell ref="S7:T7"/>
    <mergeCell ref="S8:T8"/>
    <mergeCell ref="B7:C7"/>
    <mergeCell ref="D7:E7"/>
    <mergeCell ref="B8:C8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7:AE7"/>
    <mergeCell ref="AF7:AG7"/>
    <mergeCell ref="AH7:AI7"/>
    <mergeCell ref="AJ7:AK7"/>
    <mergeCell ref="S11:S12"/>
    <mergeCell ref="T11:T12"/>
    <mergeCell ref="W10:Y10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I25:J25"/>
    <mergeCell ref="K25:L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C10:D10"/>
    <mergeCell ref="E10:F10"/>
    <mergeCell ref="E24:F24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33:AF33"/>
    <mergeCell ref="AS6:AT6"/>
    <mergeCell ref="AU6:AV6"/>
    <mergeCell ref="AS7:AT7"/>
    <mergeCell ref="AU7:AV7"/>
    <mergeCell ref="AQ6:AR8"/>
    <mergeCell ref="AS8:AT8"/>
    <mergeCell ref="AU8:AV8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F11" sqref="F11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7" t="s">
        <v>52</v>
      </c>
      <c r="B3" s="197"/>
      <c r="C3" s="197"/>
      <c r="D3" s="197"/>
      <c r="E3" s="197"/>
      <c r="G3" s="197" t="s">
        <v>72</v>
      </c>
      <c r="H3" s="197"/>
      <c r="I3" s="197"/>
      <c r="J3" s="197"/>
      <c r="K3" s="197"/>
      <c r="L3" s="7"/>
      <c r="M3" s="7"/>
      <c r="N3" s="7"/>
      <c r="P3" s="197" t="s">
        <v>73</v>
      </c>
      <c r="Q3" s="197"/>
      <c r="R3" s="197"/>
      <c r="S3" s="197"/>
      <c r="T3" s="197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4">
        <v>1</v>
      </c>
      <c r="C5" s="84">
        <v>0</v>
      </c>
      <c r="D5" s="84">
        <v>0</v>
      </c>
      <c r="E5" s="85">
        <v>0</v>
      </c>
      <c r="G5" s="14">
        <v>44792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44792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6"/>
      <c r="C6" s="84">
        <v>1</v>
      </c>
      <c r="D6" s="84">
        <v>0</v>
      </c>
      <c r="E6" s="85">
        <v>0</v>
      </c>
      <c r="G6" s="14">
        <f>G5+1</f>
        <v>44793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44793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6"/>
      <c r="C7" s="86"/>
      <c r="D7" s="84">
        <v>1</v>
      </c>
      <c r="E7" s="85">
        <v>0</v>
      </c>
      <c r="G7" s="14">
        <f t="shared" ref="G7:G70" si="8">G6+1</f>
        <v>44794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44794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7"/>
      <c r="C8" s="87"/>
      <c r="D8" s="87"/>
      <c r="E8" s="85">
        <v>1</v>
      </c>
      <c r="G8" s="14">
        <f t="shared" si="8"/>
        <v>44795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44795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44796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44796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44797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44797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44798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44798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44799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44799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44800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44800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44801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44801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44802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44802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44803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44803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44804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44804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44805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44805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44806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44806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44807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44807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44808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44808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44809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44809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44810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44810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44811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44811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44812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44812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44813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44813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44814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44814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44815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44815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44816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44816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44817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44817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44818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44818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44819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44819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44820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44820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44821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44821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44822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44822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44823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44823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44824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44824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44825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44825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44826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44826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44827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44827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44828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44828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44829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44829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44830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44830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44831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44831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44832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44832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44833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44833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44834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44834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44835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44835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44836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44836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44837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44837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44838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44838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44839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44839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44840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44840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44841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44841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44842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44842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44843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44843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44844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44844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44845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44845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44846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44846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44847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44847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44848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44848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44849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44849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44850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44850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44851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44851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44852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44852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44853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44853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44854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44854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44855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44855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44856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44856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44857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44857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44858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44858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44859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44859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44860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44860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44861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44861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44862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44862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44863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44863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44864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44864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44865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44865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44866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44866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44867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44867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44868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44868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44869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44869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44870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44870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44871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44871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44872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44872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44873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44873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44874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44874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44875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44875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44876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44876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44877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44877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44878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44878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44879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44879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44880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44880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44881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44881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44882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44882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44883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44883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44884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44884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44885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44885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44886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44886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44887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44887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44888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44888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44889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44889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44890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44890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44891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44891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44892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44892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44893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44893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44894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44894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44895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44895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44896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44896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44897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44897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44898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44898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44899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44899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44900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44900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44901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44901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44902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44902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44903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44903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44904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44904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44905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44905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44906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44906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44907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44907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44908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44908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44909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44909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44910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44910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44911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44911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44912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44912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44913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44913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44914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44914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44915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44915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44916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44916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44917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44917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44918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44918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44919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44919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44920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44920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44921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44921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44922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44922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44923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44923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44924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44924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44925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44925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44926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44926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44927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44927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44928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44928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44929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44929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44930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44930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44931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44931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44932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44932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44933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44933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44934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44934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44935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44935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44936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44936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44937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44937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44938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44938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44939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44939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44940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44940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44941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44941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44942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44942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44943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44943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44944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44944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44945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44945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44946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44946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44947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44947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44948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44948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44949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44949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44950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44950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44951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44951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44952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44952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44953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44953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44954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44954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44955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44955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44956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44956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44957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44957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44958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44958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44959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44959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44960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44960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44961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44961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44962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44962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44963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44963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44964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44964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44965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44965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44966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44966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44967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44967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44968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44968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44969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44969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44970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44970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44971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44971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44972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44972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44973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44973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44974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44974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44975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44975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44976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44976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44977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44977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44978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44978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44979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44979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44980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44980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44981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44981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44982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44982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44983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44983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44984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44984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44985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44985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44986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44986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44987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44987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44988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44988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44989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44989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44990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44990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44991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44991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44992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44992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44993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44993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44994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44994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44995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44995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44996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44996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44997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44997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44998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44998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44999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44999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45000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45000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45001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45001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45002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45002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45003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45003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45004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45004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C37" sqref="C37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1" t="s">
        <v>105</v>
      </c>
      <c r="C3" s="201"/>
      <c r="D3" s="202">
        <v>0</v>
      </c>
      <c r="E3" s="202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1" t="s">
        <v>51</v>
      </c>
      <c r="C4" s="201"/>
      <c r="D4" s="202">
        <v>10000</v>
      </c>
      <c r="E4" s="202"/>
      <c r="F4" s="7"/>
      <c r="G4" s="203" t="s">
        <v>69</v>
      </c>
      <c r="H4" s="204"/>
      <c r="I4" s="199">
        <v>1834.4687647998694</v>
      </c>
      <c r="J4" s="200"/>
      <c r="K4" s="7"/>
      <c r="L4" s="53">
        <v>45292.74695601852</v>
      </c>
      <c r="M4" s="1" t="s">
        <v>5</v>
      </c>
      <c r="N4" s="99" t="s">
        <v>6</v>
      </c>
      <c r="O4" s="99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1" t="s">
        <v>26</v>
      </c>
      <c r="C5" s="201"/>
      <c r="D5" s="202">
        <v>0</v>
      </c>
      <c r="E5" s="202"/>
      <c r="F5" s="7"/>
      <c r="G5" s="203" t="s">
        <v>70</v>
      </c>
      <c r="H5" s="204"/>
      <c r="I5" s="199">
        <v>2275.8960584440069</v>
      </c>
      <c r="J5" s="200"/>
      <c r="K5" s="7"/>
      <c r="L5" s="53">
        <v>45292.74695601852</v>
      </c>
      <c r="M5" s="7"/>
      <c r="N5" s="99"/>
      <c r="O5" s="99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1" t="s">
        <v>109</v>
      </c>
      <c r="C6" s="201"/>
      <c r="D6" s="202">
        <v>0</v>
      </c>
      <c r="E6" s="202"/>
      <c r="F6" s="7"/>
      <c r="G6" s="203" t="s">
        <v>101</v>
      </c>
      <c r="H6" s="204"/>
      <c r="I6" s="199">
        <v>116.24635849303604</v>
      </c>
      <c r="J6" s="200"/>
      <c r="K6" s="50"/>
      <c r="L6" s="13"/>
      <c r="M6" s="7"/>
      <c r="N6" s="99"/>
      <c r="O6" s="99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3" t="s">
        <v>84</v>
      </c>
      <c r="H7" s="204"/>
      <c r="I7" s="199">
        <v>557.67365213717358</v>
      </c>
      <c r="J7" s="200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198" t="s">
        <v>57</v>
      </c>
      <c r="C10" s="198"/>
      <c r="D10" s="198"/>
      <c r="E10" s="198"/>
      <c r="F10" s="198"/>
      <c r="G10" s="198"/>
      <c r="H10" s="198"/>
      <c r="I10" s="198" t="s">
        <v>60</v>
      </c>
      <c r="J10" s="198"/>
      <c r="K10" s="198"/>
      <c r="L10" s="198"/>
      <c r="M10" s="198"/>
      <c r="N10" s="198"/>
      <c r="O10" s="198"/>
      <c r="P10" s="7"/>
      <c r="Q10" s="198" t="s">
        <v>93</v>
      </c>
      <c r="R10" s="198"/>
      <c r="S10" s="7"/>
      <c r="T10" s="7"/>
      <c r="U10" s="198" t="s">
        <v>94</v>
      </c>
      <c r="V10" s="198"/>
      <c r="W10" s="7"/>
      <c r="Y10" s="198" t="s">
        <v>95</v>
      </c>
      <c r="Z10" s="198"/>
      <c r="AA10" s="7"/>
      <c r="AB10" s="7"/>
      <c r="AC10" s="198" t="s">
        <v>96</v>
      </c>
      <c r="AD10" s="198"/>
      <c r="AE10" s="7"/>
      <c r="AF10" s="7"/>
      <c r="AG10" s="198" t="s">
        <v>97</v>
      </c>
      <c r="AH10" s="198"/>
      <c r="AI10" s="7"/>
      <c r="AJ10" s="7"/>
      <c r="AK10" s="198" t="s">
        <v>98</v>
      </c>
      <c r="AL10" s="198"/>
      <c r="AM10" s="7"/>
      <c r="AN10" s="7"/>
      <c r="AO10" s="198" t="s">
        <v>99</v>
      </c>
      <c r="AP10" s="198"/>
      <c r="AQ10" s="7"/>
      <c r="AR10" s="7"/>
      <c r="AS10" s="198" t="s">
        <v>100</v>
      </c>
      <c r="AT10" s="198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20180410</v>
      </c>
      <c r="C12" s="39">
        <v>0</v>
      </c>
      <c r="F12" s="40"/>
      <c r="G12" s="41">
        <v>0</v>
      </c>
      <c r="H12" s="41">
        <v>0.99999999999990619</v>
      </c>
      <c r="I12" s="71">
        <v>20180410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20180710</v>
      </c>
      <c r="C13" s="39">
        <v>0</v>
      </c>
      <c r="F13" s="40"/>
      <c r="G13" s="41">
        <v>0</v>
      </c>
      <c r="H13" s="41">
        <v>0.99999999999990619</v>
      </c>
      <c r="I13" s="71">
        <v>20180710</v>
      </c>
      <c r="J13" s="39">
        <v>0</v>
      </c>
      <c r="M13" s="40"/>
      <c r="N13" s="41">
        <v>0</v>
      </c>
      <c r="O13" s="41">
        <v>0.99999999999990619</v>
      </c>
      <c r="P13" s="7"/>
      <c r="Q13" s="198" t="s">
        <v>92</v>
      </c>
      <c r="R13" s="198"/>
      <c r="S13" s="56"/>
      <c r="T13" s="7"/>
      <c r="U13" s="198" t="s">
        <v>92</v>
      </c>
      <c r="V13" s="198"/>
      <c r="W13" s="56"/>
      <c r="Y13" s="198" t="s">
        <v>92</v>
      </c>
      <c r="Z13" s="198"/>
      <c r="AA13" s="56"/>
      <c r="AB13" s="7"/>
      <c r="AC13" s="198" t="s">
        <v>92</v>
      </c>
      <c r="AD13" s="198"/>
      <c r="AE13" s="56"/>
      <c r="AF13" s="7"/>
      <c r="AG13" s="198" t="s">
        <v>92</v>
      </c>
      <c r="AH13" s="198"/>
      <c r="AI13" s="56"/>
      <c r="AJ13" s="7"/>
      <c r="AK13" s="198" t="s">
        <v>92</v>
      </c>
      <c r="AL13" s="198"/>
      <c r="AM13" s="56"/>
      <c r="AN13" s="7"/>
      <c r="AO13" s="198" t="s">
        <v>92</v>
      </c>
      <c r="AP13" s="198"/>
      <c r="AQ13" s="56"/>
      <c r="AR13" s="7"/>
      <c r="AS13" s="198" t="s">
        <v>92</v>
      </c>
      <c r="AT13" s="198"/>
      <c r="AU13" s="56"/>
    </row>
    <row r="14" spans="1:47" x14ac:dyDescent="0.4">
      <c r="B14" s="71">
        <v>20181011</v>
      </c>
      <c r="C14" s="39">
        <v>0</v>
      </c>
      <c r="F14" s="40"/>
      <c r="G14" s="41">
        <v>0</v>
      </c>
      <c r="H14" s="41">
        <v>0.99999999999990619</v>
      </c>
      <c r="I14" s="71">
        <v>20181011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20190110</v>
      </c>
      <c r="C15" s="39">
        <v>0</v>
      </c>
      <c r="F15" s="40"/>
      <c r="G15" s="41">
        <v>0</v>
      </c>
      <c r="H15" s="41">
        <v>0.99999999999990619</v>
      </c>
      <c r="I15" s="71">
        <v>20190110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20190410</v>
      </c>
      <c r="C16" s="39">
        <v>0</v>
      </c>
      <c r="F16" s="40"/>
      <c r="G16" s="41">
        <v>0</v>
      </c>
      <c r="H16" s="41">
        <v>0.99999999999990619</v>
      </c>
      <c r="I16" s="71">
        <v>20190410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20190710</v>
      </c>
      <c r="C17" s="39">
        <v>0</v>
      </c>
      <c r="F17" s="40"/>
      <c r="G17" s="41">
        <v>0</v>
      </c>
      <c r="H17" s="41">
        <v>0.99999999999990619</v>
      </c>
      <c r="I17" s="71">
        <v>20190710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20191011</v>
      </c>
      <c r="C18" s="39">
        <v>0</v>
      </c>
      <c r="F18" s="40"/>
      <c r="G18" s="41">
        <v>0</v>
      </c>
      <c r="H18" s="41">
        <v>0.99999999999990619</v>
      </c>
      <c r="I18" s="71">
        <v>20191011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20200110</v>
      </c>
      <c r="C19" s="39">
        <v>0</v>
      </c>
      <c r="F19" s="40"/>
      <c r="G19" s="41">
        <v>0</v>
      </c>
      <c r="H19" s="41">
        <v>0.99999999999990619</v>
      </c>
      <c r="I19" s="71">
        <v>20200110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20200410</v>
      </c>
      <c r="C20" s="39">
        <v>0</v>
      </c>
      <c r="F20" s="40"/>
      <c r="G20" s="42">
        <v>0</v>
      </c>
      <c r="H20" s="41">
        <v>0.99999999999990619</v>
      </c>
      <c r="I20" s="71">
        <v>20200410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20200710</v>
      </c>
      <c r="C21" s="39">
        <v>0</v>
      </c>
      <c r="F21" s="40"/>
      <c r="G21" s="42">
        <v>0</v>
      </c>
      <c r="H21" s="41">
        <v>0.99999999999990619</v>
      </c>
      <c r="I21" s="71">
        <v>20200710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20201013</v>
      </c>
      <c r="C22" s="39">
        <v>0</v>
      </c>
      <c r="F22" s="40"/>
      <c r="G22" s="42">
        <v>0</v>
      </c>
      <c r="H22" s="41">
        <v>0.99999999999990619</v>
      </c>
      <c r="I22" s="71">
        <v>20201013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20210112</v>
      </c>
      <c r="C23" s="39">
        <v>0</v>
      </c>
      <c r="F23" s="40"/>
      <c r="G23" s="42">
        <v>0</v>
      </c>
      <c r="H23" s="41">
        <v>0.99999999999990619</v>
      </c>
      <c r="I23" s="71">
        <v>20210112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20210412</v>
      </c>
      <c r="C24" s="39">
        <v>0</v>
      </c>
      <c r="F24" s="40"/>
      <c r="G24" s="42">
        <v>0</v>
      </c>
      <c r="H24" s="41">
        <v>0.99999999999990619</v>
      </c>
      <c r="I24" s="71">
        <v>20210412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20210712</v>
      </c>
      <c r="C25" s="39">
        <v>0</v>
      </c>
      <c r="F25" s="40"/>
      <c r="G25" s="42">
        <v>0</v>
      </c>
      <c r="H25" s="41">
        <v>0.99999999999990619</v>
      </c>
      <c r="I25" s="71">
        <v>20210712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20211012</v>
      </c>
      <c r="C26" s="39">
        <v>0</v>
      </c>
      <c r="F26" s="40"/>
      <c r="G26" s="42">
        <v>0</v>
      </c>
      <c r="H26" s="41">
        <v>0.99999999999990619</v>
      </c>
      <c r="I26" s="71">
        <v>20211012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20220111</v>
      </c>
      <c r="C27" s="39">
        <v>0</v>
      </c>
      <c r="F27" s="40"/>
      <c r="G27" s="42">
        <v>0</v>
      </c>
      <c r="H27" s="41">
        <v>0.99999999999990619</v>
      </c>
      <c r="I27" s="71">
        <v>20220111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20220412</v>
      </c>
      <c r="C28" s="39">
        <v>0</v>
      </c>
      <c r="F28" s="40"/>
      <c r="G28" s="42">
        <v>0</v>
      </c>
      <c r="H28" s="41">
        <v>0.99999999999990619</v>
      </c>
      <c r="I28" s="71">
        <v>20220412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20220712</v>
      </c>
      <c r="C29" s="39">
        <v>0</v>
      </c>
      <c r="F29" s="40"/>
      <c r="G29" s="42">
        <v>0</v>
      </c>
      <c r="H29" s="41">
        <v>0.99999999999990619</v>
      </c>
      <c r="I29" s="71">
        <v>20220712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20221011</v>
      </c>
      <c r="C30" s="39">
        <v>0</v>
      </c>
      <c r="F30" s="40"/>
      <c r="G30" s="42">
        <v>0</v>
      </c>
      <c r="H30" s="41">
        <v>0.99999999999990619</v>
      </c>
      <c r="I30" s="71">
        <v>20221011</v>
      </c>
      <c r="J30" s="39">
        <v>0</v>
      </c>
      <c r="M30" s="40"/>
      <c r="N30" s="42">
        <v>0</v>
      </c>
      <c r="O30" s="41">
        <v>0.99999999999990619</v>
      </c>
      <c r="P30" s="77"/>
      <c r="T30" s="7"/>
    </row>
    <row r="31" spans="1:20" x14ac:dyDescent="0.4">
      <c r="A31" s="76"/>
      <c r="B31" s="71">
        <v>20230110</v>
      </c>
      <c r="C31" s="39">
        <v>3.0399999999995049E-2</v>
      </c>
      <c r="F31" s="40"/>
      <c r="G31" s="42">
        <v>75.791780821913093</v>
      </c>
      <c r="H31" s="41">
        <v>0.99094944952410213</v>
      </c>
      <c r="I31" s="71">
        <v>20230110</v>
      </c>
      <c r="J31" s="39">
        <v>3.9140000000005316E-2</v>
      </c>
      <c r="M31" s="40"/>
      <c r="N31" s="42">
        <v>102.84999999999435</v>
      </c>
      <c r="O31" s="41">
        <v>0.99094944952410213</v>
      </c>
      <c r="P31" s="77"/>
      <c r="T31" s="7"/>
    </row>
    <row r="32" spans="1:20" x14ac:dyDescent="0.4">
      <c r="A32" s="76"/>
      <c r="B32" s="71">
        <v>20230411</v>
      </c>
      <c r="C32" s="39">
        <v>3.9746871546664314E-2</v>
      </c>
      <c r="F32" s="40"/>
      <c r="G32" s="42">
        <v>99.094940020450451</v>
      </c>
      <c r="H32" s="41">
        <v>0.98122782471828118</v>
      </c>
      <c r="I32" s="71">
        <v>20230411</v>
      </c>
      <c r="J32" s="39">
        <v>4.792731871948664E-2</v>
      </c>
      <c r="M32" s="40"/>
      <c r="N32" s="42">
        <v>124.81829679871628</v>
      </c>
      <c r="O32" s="41">
        <v>0.98122782471828118</v>
      </c>
      <c r="P32" s="77"/>
      <c r="T32" s="7"/>
    </row>
    <row r="33" spans="1:20" x14ac:dyDescent="0.4">
      <c r="A33" s="76"/>
      <c r="B33" s="71">
        <v>20230711</v>
      </c>
      <c r="C33" s="39">
        <v>3.9837907818079936E-2</v>
      </c>
      <c r="F33" s="40"/>
      <c r="G33" s="42">
        <v>99.321907162883846</v>
      </c>
      <c r="H33" s="41">
        <v>0.97156914847469134</v>
      </c>
      <c r="I33" s="71">
        <v>20230711</v>
      </c>
      <c r="J33" s="39">
        <v>5.0189280077005599E-2</v>
      </c>
      <c r="M33" s="40"/>
      <c r="N33" s="42">
        <v>130.47320019251384</v>
      </c>
      <c r="O33" s="41">
        <v>0.97156914847469134</v>
      </c>
      <c r="P33" s="77"/>
      <c r="T33" s="7"/>
    </row>
    <row r="34" spans="1:20" x14ac:dyDescent="0.4">
      <c r="A34" s="76"/>
      <c r="B34" s="72">
        <v>20231011</v>
      </c>
      <c r="C34" s="39">
        <v>3.9899585108265474E-2</v>
      </c>
      <c r="G34" s="74">
        <v>100.56881725919069</v>
      </c>
      <c r="H34" s="74">
        <v>0.96189460632632773</v>
      </c>
      <c r="I34" s="73">
        <v>20231011</v>
      </c>
      <c r="J34" s="39">
        <v>5.327924287913393E-2</v>
      </c>
      <c r="N34" s="74">
        <v>138.19810719783433</v>
      </c>
      <c r="O34" s="74">
        <v>0.96189460632632773</v>
      </c>
      <c r="P34" s="78"/>
    </row>
    <row r="35" spans="1:20" x14ac:dyDescent="0.4">
      <c r="A35" s="76"/>
      <c r="B35" s="72">
        <v>20240110</v>
      </c>
      <c r="C35" s="39">
        <v>3.9468679848504301E-2</v>
      </c>
      <c r="G35" s="74">
        <v>98.401366197641124</v>
      </c>
      <c r="H35" s="74">
        <v>0.95251225651989657</v>
      </c>
      <c r="I35" s="73">
        <v>20240110</v>
      </c>
      <c r="J35" s="39">
        <v>4.8139981366267383E-2</v>
      </c>
      <c r="N35" s="74">
        <v>125.34995341566847</v>
      </c>
      <c r="O35" s="74">
        <v>0.95251225651989657</v>
      </c>
      <c r="P35" s="78"/>
    </row>
    <row r="36" spans="1:20" x14ac:dyDescent="0.4">
      <c r="A36" s="76"/>
      <c r="B36" s="72">
        <v>20240410</v>
      </c>
      <c r="C36" s="39">
        <v>3.9406495268422582E-2</v>
      </c>
      <c r="G36" s="74">
        <v>98.246330669217983</v>
      </c>
      <c r="H36" s="74">
        <v>0.94323083835508603</v>
      </c>
      <c r="I36" s="73">
        <v>20240410</v>
      </c>
      <c r="J36" s="39">
        <v>4.7553297537754488E-2</v>
      </c>
      <c r="N36" s="74">
        <v>123.88324384438572</v>
      </c>
      <c r="O36" s="74">
        <v>0.94323083835508603</v>
      </c>
      <c r="P36" s="78"/>
    </row>
    <row r="37" spans="1:20" x14ac:dyDescent="0.4">
      <c r="A37" s="76"/>
      <c r="B37" s="72">
        <v>20240710</v>
      </c>
      <c r="C37" s="39">
        <v>3.8936668696533006E-2</v>
      </c>
      <c r="G37" s="74">
        <v>97.074982229712262</v>
      </c>
      <c r="H37" s="74">
        <v>0.93414031112541596</v>
      </c>
      <c r="I37" s="73">
        <v>20240710</v>
      </c>
      <c r="J37" s="39">
        <v>4.7286328691930765E-2</v>
      </c>
      <c r="N37" s="74">
        <v>123.21582172982654</v>
      </c>
      <c r="O37" s="74">
        <v>0.93414031112541596</v>
      </c>
      <c r="P37" s="78"/>
    </row>
    <row r="38" spans="1:20" x14ac:dyDescent="0.4">
      <c r="A38" s="76"/>
      <c r="B38" s="72">
        <v>20241011</v>
      </c>
      <c r="C38" s="39">
        <v>3.8862197652631866E-2</v>
      </c>
      <c r="G38" s="74">
        <v>99.01875018341768</v>
      </c>
      <c r="H38" s="74">
        <v>0.92495741187740377</v>
      </c>
      <c r="I38" s="73">
        <v>20241011</v>
      </c>
      <c r="J38" s="39">
        <v>4.7006920703108079E-2</v>
      </c>
      <c r="N38" s="74">
        <v>122.51730175777035</v>
      </c>
      <c r="O38" s="74">
        <v>0.92495741187740377</v>
      </c>
      <c r="P38" s="78"/>
    </row>
    <row r="39" spans="1:20" x14ac:dyDescent="0.4">
      <c r="A39" s="76"/>
      <c r="B39" s="72">
        <v>20250110</v>
      </c>
      <c r="C39" s="39">
        <v>3.8950003992704672E-2</v>
      </c>
      <c r="G39" s="74">
        <v>97.108229132496348</v>
      </c>
      <c r="H39" s="74">
        <v>0.91605593330666624</v>
      </c>
      <c r="I39" s="73">
        <v>20250110</v>
      </c>
      <c r="J39" s="39">
        <v>4.8127766019916793E-2</v>
      </c>
      <c r="N39" s="74">
        <v>125.31941504979243</v>
      </c>
      <c r="O39" s="74">
        <v>0.91605593330666624</v>
      </c>
      <c r="P39" s="78"/>
    </row>
    <row r="40" spans="1:20" x14ac:dyDescent="0.4">
      <c r="A40" s="76"/>
      <c r="B40" s="72">
        <v>20250410</v>
      </c>
      <c r="C40" s="39">
        <v>3.8871099346078866E-2</v>
      </c>
      <c r="G40" s="74">
        <v>95.846546332797033</v>
      </c>
      <c r="H40" s="74">
        <v>0.90734585186766736</v>
      </c>
      <c r="I40" s="73">
        <v>20250410</v>
      </c>
      <c r="J40" s="39">
        <v>4.8226990511566592E-2</v>
      </c>
      <c r="N40" s="74">
        <v>125.56747627891578</v>
      </c>
      <c r="O40" s="74">
        <v>0.90734585186766736</v>
      </c>
      <c r="P40" s="78"/>
    </row>
    <row r="41" spans="1:20" x14ac:dyDescent="0.4">
      <c r="A41" s="76"/>
      <c r="B41" s="72">
        <v>20250710</v>
      </c>
      <c r="C41" s="39">
        <v>3.8793064709385643E-2</v>
      </c>
      <c r="G41" s="74">
        <v>96.716955850797405</v>
      </c>
      <c r="H41" s="74">
        <v>0.89863447349607173</v>
      </c>
      <c r="I41" s="73">
        <v>20250710</v>
      </c>
      <c r="J41" s="39">
        <v>4.8205252448167396E-2</v>
      </c>
      <c r="N41" s="74">
        <v>125.51313112041815</v>
      </c>
      <c r="O41" s="74">
        <v>0.89863447349607173</v>
      </c>
      <c r="P41" s="78"/>
    </row>
    <row r="42" spans="1:20" x14ac:dyDescent="0.4">
      <c r="A42" s="76"/>
      <c r="B42" s="72">
        <v>20251013</v>
      </c>
      <c r="C42" s="39">
        <v>3.8683765573986319E-2</v>
      </c>
      <c r="G42" s="74">
        <v>98.564115024129265</v>
      </c>
      <c r="H42" s="74">
        <v>0.88965280756562937</v>
      </c>
      <c r="I42" s="73">
        <v>20251013</v>
      </c>
      <c r="J42" s="39">
        <v>4.8249265299246995E-2</v>
      </c>
      <c r="N42" s="74">
        <v>125.62316324811788</v>
      </c>
      <c r="O42" s="74">
        <v>0.88965280756562937</v>
      </c>
      <c r="P42" s="78"/>
    </row>
    <row r="43" spans="1:20" x14ac:dyDescent="0.4">
      <c r="A43" s="76"/>
      <c r="B43" s="72">
        <v>20260112</v>
      </c>
      <c r="C43" s="39">
        <v>3.9171958810403376E-2</v>
      </c>
      <c r="G43" s="74">
        <v>97.661595938265563</v>
      </c>
      <c r="H43" s="74">
        <v>0.88100775187273617</v>
      </c>
      <c r="I43" s="73">
        <v>20260112</v>
      </c>
      <c r="J43" s="39">
        <v>4.5193908395785409E-2</v>
      </c>
      <c r="N43" s="74">
        <v>117.98477098946394</v>
      </c>
      <c r="O43" s="74">
        <v>0.88100775187273617</v>
      </c>
      <c r="P43" s="78"/>
    </row>
    <row r="44" spans="1:20" x14ac:dyDescent="0.4">
      <c r="A44" s="76"/>
      <c r="B44" s="72">
        <v>20260410</v>
      </c>
      <c r="C44" s="39">
        <v>3.9218087869018002E-2</v>
      </c>
      <c r="G44" s="74">
        <v>96.70213447155092</v>
      </c>
      <c r="H44" s="74">
        <v>0.87274072328029861</v>
      </c>
      <c r="I44" s="73">
        <v>20260410</v>
      </c>
      <c r="J44" s="39">
        <v>4.4707572812351694E-2</v>
      </c>
      <c r="N44" s="74">
        <v>116.76893203087876</v>
      </c>
      <c r="O44" s="74">
        <v>0.87274072328029861</v>
      </c>
      <c r="P44" s="78"/>
    </row>
    <row r="45" spans="1:20" x14ac:dyDescent="0.4">
      <c r="A45" s="76"/>
      <c r="B45" s="72">
        <v>20260710</v>
      </c>
      <c r="C45" s="39">
        <v>3.9388912272248278E-2</v>
      </c>
      <c r="G45" s="74">
        <v>98.202493610263105</v>
      </c>
      <c r="H45" s="74">
        <v>0.86423839802059366</v>
      </c>
      <c r="I45" s="73">
        <v>20260710</v>
      </c>
      <c r="J45" s="39">
        <v>4.4320760233363031E-2</v>
      </c>
      <c r="N45" s="74">
        <v>115.80190058340774</v>
      </c>
      <c r="O45" s="74">
        <v>0.86423839802059366</v>
      </c>
      <c r="P45" s="78"/>
    </row>
    <row r="46" spans="1:20" x14ac:dyDescent="0.4">
      <c r="A46" s="76"/>
      <c r="B46" s="72">
        <v>20261013</v>
      </c>
      <c r="C46" s="39">
        <v>3.9433030084831913E-2</v>
      </c>
      <c r="G46" s="74">
        <v>102.63391391942524</v>
      </c>
      <c r="H46" s="74">
        <v>0.85547722234633694</v>
      </c>
      <c r="I46" s="73">
        <v>20261013</v>
      </c>
      <c r="J46" s="39">
        <v>4.3872883183854135E-2</v>
      </c>
      <c r="N46" s="74">
        <v>114.68220795963509</v>
      </c>
      <c r="O46" s="74">
        <v>0.85547722234633694</v>
      </c>
      <c r="P46" s="78"/>
    </row>
    <row r="47" spans="1:20" x14ac:dyDescent="0.4">
      <c r="A47" s="76"/>
      <c r="B47" s="72">
        <v>20270112</v>
      </c>
      <c r="C47" s="39">
        <v>3.9416374793677052E-2</v>
      </c>
      <c r="G47" s="74">
        <v>98.270961814373493</v>
      </c>
      <c r="H47" s="74">
        <v>0.84717329096995631</v>
      </c>
      <c r="I47" s="73">
        <v>20270112</v>
      </c>
      <c r="J47" s="39">
        <v>4.3449703978249397E-2</v>
      </c>
      <c r="N47" s="74">
        <v>113.62425994562234</v>
      </c>
      <c r="O47" s="74">
        <v>0.84717329096995631</v>
      </c>
      <c r="P47" s="78"/>
    </row>
    <row r="48" spans="1:20" x14ac:dyDescent="0.4">
      <c r="A48" s="76"/>
      <c r="B48" s="72">
        <v>20270412</v>
      </c>
      <c r="C48" s="39">
        <v>3.9432378761614727E-2</v>
      </c>
      <c r="G48" s="74">
        <v>95.069844685536737</v>
      </c>
      <c r="H48" s="74">
        <v>0.83905302848977004</v>
      </c>
      <c r="I48" s="73">
        <v>20270412</v>
      </c>
      <c r="J48" s="39">
        <v>4.300518930831574E-2</v>
      </c>
      <c r="N48" s="74">
        <v>112.51297327078892</v>
      </c>
      <c r="O48" s="74">
        <v>0.83905302848977004</v>
      </c>
      <c r="P48" s="78"/>
    </row>
    <row r="49" spans="1:16" x14ac:dyDescent="0.4">
      <c r="A49" s="76"/>
      <c r="B49" s="72">
        <v>20270712</v>
      </c>
      <c r="C49" s="39">
        <v>3.94295215895476E-2</v>
      </c>
      <c r="G49" s="74">
        <v>98.303738757501776</v>
      </c>
      <c r="H49" s="74">
        <v>0.83092978427257314</v>
      </c>
      <c r="I49" s="73">
        <v>20270712</v>
      </c>
      <c r="J49" s="39">
        <v>4.2514769987919511E-2</v>
      </c>
      <c r="N49" s="74">
        <v>111.28692496979892</v>
      </c>
      <c r="O49" s="74">
        <v>0.83092978427257314</v>
      </c>
      <c r="P49" s="78"/>
    </row>
    <row r="50" spans="1:16" x14ac:dyDescent="0.4">
      <c r="A50" s="76"/>
      <c r="B50" s="72">
        <v>20271012</v>
      </c>
      <c r="C50" s="39">
        <v>3.9434331384750575E-2</v>
      </c>
      <c r="G50" s="74">
        <v>101.55690822374146</v>
      </c>
      <c r="H50" s="74">
        <v>0.82279580194876578</v>
      </c>
      <c r="I50" s="73">
        <v>20271012</v>
      </c>
      <c r="J50" s="39">
        <v>4.2229327738708113E-2</v>
      </c>
      <c r="N50" s="74">
        <v>110.57331934677023</v>
      </c>
      <c r="O50" s="74">
        <v>0.82279580194876578</v>
      </c>
      <c r="P50" s="78"/>
    </row>
    <row r="51" spans="1:16" x14ac:dyDescent="0.4">
      <c r="A51" s="76"/>
      <c r="B51" s="72">
        <v>20280111</v>
      </c>
      <c r="C51" s="39">
        <v>3.9765750037897708E-2</v>
      </c>
      <c r="G51" s="74">
        <v>99.142006943800155</v>
      </c>
      <c r="H51" s="74">
        <v>0.81475917275132603</v>
      </c>
      <c r="I51" s="73">
        <v>20280111</v>
      </c>
      <c r="J51" s="39">
        <v>4.497956154744906E-2</v>
      </c>
      <c r="N51" s="74">
        <v>117.44890386862285</v>
      </c>
      <c r="O51" s="74">
        <v>0.81475917275132603</v>
      </c>
      <c r="P51" s="78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2024-01-01T08:55:41Z</dcterms:modified>
</cp:coreProperties>
</file>