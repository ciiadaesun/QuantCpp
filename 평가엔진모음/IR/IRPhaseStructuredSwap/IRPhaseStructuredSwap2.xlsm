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<sst xmlns="http://schemas.openxmlformats.org/spreadsheetml/2006/main" count="273" uniqueCount="118">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</sst>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3" zoomScale="90" zoomScaleNormal="90" workbookViewId="0">
      <selection activeCell="M16" sqref="M16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7" t="s">
        <v>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</row>
    <row r="3" spans="1:45" x14ac:dyDescent="0.4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</row>
    <row r="4" spans="1:45" x14ac:dyDescent="0.4">
      <c r="A4" s="9">
        <f>4</f>
        <v>4</v>
      </c>
      <c r="B4" s="108" t="s">
        <v>2</v>
      </c>
      <c r="C4" s="108"/>
      <c r="D4" s="109">
        <v>2</v>
      </c>
      <c r="E4" s="109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108" t="s">
        <v>3</v>
      </c>
      <c r="C6" s="108"/>
      <c r="D6" s="109">
        <v>1</v>
      </c>
      <c r="E6" s="109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108" t="s">
        <v>4</v>
      </c>
      <c r="C7" s="108"/>
      <c r="D7" s="109">
        <v>1</v>
      </c>
      <c r="E7" s="109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108" t="s">
        <v>1</v>
      </c>
      <c r="C8" s="108"/>
      <c r="D8" s="109">
        <v>3.2899999999999999E-2</v>
      </c>
      <c r="E8" s="109"/>
      <c r="G8" s="96"/>
      <c r="I8" s="2" t="s">
        <v>106</v>
      </c>
      <c r="J8" s="2" t="s">
        <v>107</v>
      </c>
      <c r="K8" s="2" t="s">
        <v>109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3.2899999999999999E-2</v>
      </c>
      <c r="J9" s="72">
        <v>0.01</v>
      </c>
      <c r="K9" s="72">
        <v>0.5</v>
      </c>
      <c r="Q9" s="102" t="s">
        <v>15</v>
      </c>
      <c r="R9" s="102"/>
      <c r="S9" s="4">
        <v>3</v>
      </c>
      <c r="V9" s="105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3" t="s">
        <v>9</v>
      </c>
      <c r="I10" s="103" t="s">
        <v>10</v>
      </c>
      <c r="J10" s="104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6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74">
        <v>1</v>
      </c>
      <c r="I11" s="75">
        <v>1.2316831945362695E-2</v>
      </c>
      <c r="J11" s="76">
        <v>6.4199670388870719E-3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74">
        <v>2</v>
      </c>
      <c r="I12" s="75">
        <v>1.185958877901647E-2</v>
      </c>
      <c r="J12" s="76">
        <v>5.8696469136811247E-3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10" t="s">
        <v>6</v>
      </c>
      <c r="E13" s="110"/>
      <c r="G13" s="96"/>
      <c r="H13" s="74">
        <v>3</v>
      </c>
      <c r="I13" s="75">
        <v>1.2166277325153791E-2</v>
      </c>
      <c r="J13" s="76">
        <v>5.0245429835267643E-3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10"/>
      <c r="E14" s="110"/>
      <c r="G14" s="96"/>
      <c r="H14" s="74">
        <v>4</v>
      </c>
      <c r="I14" s="75">
        <v>1.2122062999141167E-2</v>
      </c>
      <c r="J14" s="76">
        <v>3.8103072964281218E-3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10"/>
      <c r="E15" s="110"/>
      <c r="G15" s="96"/>
      <c r="H15" s="74">
        <v>5</v>
      </c>
      <c r="I15" s="75">
        <v>1.2757931624294627E-2</v>
      </c>
      <c r="J15" s="76">
        <v>4.5486509778841881E-3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3.61E-2</v>
      </c>
      <c r="G16" s="96"/>
      <c r="H16" s="74">
        <v>7</v>
      </c>
      <c r="I16" s="75">
        <v>1.2331517110068944E-2</v>
      </c>
      <c r="J16" s="76">
        <v>3.8895156191384533E-3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1">
        <v>45193.007592592592</v>
      </c>
      <c r="E17" s="111"/>
      <c r="G17" s="96"/>
      <c r="H17" s="74">
        <v>10</v>
      </c>
      <c r="I17" s="75">
        <v>1.1914736361434164E-2</v>
      </c>
      <c r="J17" s="76">
        <v>3.1742768641427215E-3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1">
        <v>45193.007592592592</v>
      </c>
      <c r="E18" s="111"/>
      <c r="G18" s="96"/>
      <c r="H18" s="74"/>
      <c r="I18" s="75"/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74"/>
      <c r="I19" s="75"/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74"/>
      <c r="I20" s="75"/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74"/>
      <c r="I21" s="75"/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8" t="s">
        <v>115</v>
      </c>
      <c r="C23" s="108"/>
      <c r="D23" s="109">
        <v>0</v>
      </c>
      <c r="E23" s="109"/>
      <c r="G23" s="96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8" t="s">
        <v>111</v>
      </c>
      <c r="C24" s="108"/>
      <c r="D24" s="109">
        <v>0</v>
      </c>
      <c r="E24" s="109"/>
      <c r="G24" s="96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8" t="s">
        <v>113</v>
      </c>
      <c r="C25" s="108"/>
      <c r="D25" s="109">
        <v>0.1</v>
      </c>
      <c r="E25" s="109"/>
      <c r="G25" s="96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8" t="s">
        <v>112</v>
      </c>
      <c r="C26" s="108"/>
      <c r="D26" s="109">
        <v>0.15</v>
      </c>
      <c r="E26" s="109"/>
      <c r="G26" s="96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108" t="s">
        <v>3</v>
      </c>
      <c r="C56" s="108"/>
      <c r="D56" s="109">
        <v>1</v>
      </c>
      <c r="E56" s="109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108" t="s">
        <v>4</v>
      </c>
      <c r="C57" s="108"/>
      <c r="D57" s="109">
        <v>1</v>
      </c>
      <c r="E57" s="109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108" t="s">
        <v>1</v>
      </c>
      <c r="C58" s="108"/>
      <c r="D58" s="109">
        <v>0.01</v>
      </c>
      <c r="E58" s="109"/>
      <c r="G58" s="96"/>
      <c r="I58" s="2" t="s">
        <v>106</v>
      </c>
      <c r="J58" s="2" t="s">
        <v>107</v>
      </c>
      <c r="K58" s="2" t="s">
        <v>109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2">
        <v>0.01</v>
      </c>
      <c r="K59" s="72">
        <v>0.9</v>
      </c>
      <c r="Q59" s="102" t="s">
        <v>15</v>
      </c>
      <c r="R59" s="102"/>
      <c r="S59" s="4">
        <v>3</v>
      </c>
      <c r="V59" s="105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3" t="s">
        <v>9</v>
      </c>
      <c r="I60" s="103" t="s">
        <v>10</v>
      </c>
      <c r="J60" s="104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6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74">
        <v>1</v>
      </c>
      <c r="I61" s="75">
        <v>1.3179794086105524E-2</v>
      </c>
      <c r="J61" s="76">
        <v>6.2951295494765146E-3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74">
        <v>2</v>
      </c>
      <c r="I62" s="75">
        <v>1.2003347093781683E-2</v>
      </c>
      <c r="J62" s="76">
        <v>6.4875888617879568E-3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10" t="s">
        <v>6</v>
      </c>
      <c r="E63" s="110"/>
      <c r="G63" s="96"/>
      <c r="H63" s="74">
        <v>3</v>
      </c>
      <c r="I63" s="75">
        <v>1.1763422778972925E-2</v>
      </c>
      <c r="J63" s="76">
        <v>5.7401620545591715E-3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10"/>
      <c r="E64" s="110"/>
      <c r="G64" s="96"/>
      <c r="H64" s="74">
        <v>4</v>
      </c>
      <c r="I64" s="75">
        <v>1.2245700586856338E-2</v>
      </c>
      <c r="J64" s="76">
        <v>4.1908013982093796E-3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10"/>
      <c r="E65" s="110"/>
      <c r="G65" s="96"/>
      <c r="H65" s="74">
        <v>5</v>
      </c>
      <c r="I65" s="75">
        <v>1.2995777704928289E-2</v>
      </c>
      <c r="J65" s="76">
        <v>5.8483018205641403E-3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6"/>
      <c r="H66" s="74">
        <v>7</v>
      </c>
      <c r="I66" s="75">
        <v>1.3388249104175196E-2</v>
      </c>
      <c r="J66" s="76">
        <v>5.0449530859286024E-3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1">
        <v>45193.007592592592</v>
      </c>
      <c r="E67" s="111"/>
      <c r="G67" s="96"/>
      <c r="H67" s="74">
        <v>10</v>
      </c>
      <c r="I67" s="75">
        <v>1.5966173861409468E-2</v>
      </c>
      <c r="J67" s="76">
        <v>4.250726545015294E-3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1">
        <v>45193.007592592592</v>
      </c>
      <c r="E68" s="111"/>
      <c r="G68" s="96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8" t="s">
        <v>115</v>
      </c>
      <c r="C73" s="108"/>
      <c r="D73" s="109">
        <v>0</v>
      </c>
      <c r="E73" s="109"/>
      <c r="G73" s="96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8" t="s">
        <v>111</v>
      </c>
      <c r="C74" s="108"/>
      <c r="D74" s="109">
        <v>1</v>
      </c>
      <c r="E74" s="109"/>
      <c r="G74" s="96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8" t="s">
        <v>113</v>
      </c>
      <c r="C75" s="108"/>
      <c r="D75" s="109">
        <v>-0.12</v>
      </c>
      <c r="E75" s="109"/>
      <c r="G75" s="96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8" t="s">
        <v>112</v>
      </c>
      <c r="C76" s="108"/>
      <c r="D76" s="109">
        <v>0.24</v>
      </c>
      <c r="E76" s="109"/>
      <c r="G76" s="96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108" t="s">
        <v>3</v>
      </c>
      <c r="C106" s="108"/>
      <c r="D106" s="109">
        <v>1</v>
      </c>
      <c r="E106" s="109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108" t="s">
        <v>4</v>
      </c>
      <c r="C107" s="108"/>
      <c r="D107" s="109">
        <v>1</v>
      </c>
      <c r="E107" s="109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108" t="s">
        <v>1</v>
      </c>
      <c r="C108" s="108"/>
      <c r="D108" s="109">
        <v>0.01</v>
      </c>
      <c r="E108" s="109"/>
      <c r="G108" s="96"/>
      <c r="I108" s="2" t="s">
        <v>106</v>
      </c>
      <c r="J108" s="2" t="s">
        <v>107</v>
      </c>
      <c r="K108" s="2" t="s">
        <v>109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2">
        <v>0.01</v>
      </c>
      <c r="K109" s="72">
        <v>0.9</v>
      </c>
      <c r="Q109" s="102" t="s">
        <v>15</v>
      </c>
      <c r="R109" s="102"/>
      <c r="S109" s="4">
        <v>3</v>
      </c>
      <c r="V109" s="105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3" t="s">
        <v>9</v>
      </c>
      <c r="I110" s="103" t="s">
        <v>10</v>
      </c>
      <c r="J110" s="104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6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10" t="s">
        <v>6</v>
      </c>
      <c r="E113" s="110"/>
      <c r="G113" s="96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10"/>
      <c r="E114" s="110"/>
      <c r="G114" s="96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10"/>
      <c r="E115" s="110"/>
      <c r="G115" s="96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6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1">
        <v>44931.461863425924</v>
      </c>
      <c r="E117" s="111"/>
      <c r="G117" s="96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1">
        <v>44931.461875000001</v>
      </c>
      <c r="E118" s="111"/>
      <c r="G118" s="96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8" t="s">
        <v>115</v>
      </c>
      <c r="C123" s="108"/>
      <c r="D123" s="109">
        <v>0</v>
      </c>
      <c r="E123" s="109"/>
      <c r="G123" s="96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8" t="s">
        <v>111</v>
      </c>
      <c r="C124" s="108"/>
      <c r="D124" s="109">
        <v>0</v>
      </c>
      <c r="E124" s="109"/>
      <c r="G124" s="96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8" t="s">
        <v>113</v>
      </c>
      <c r="C125" s="108"/>
      <c r="D125" s="109">
        <v>-0.1</v>
      </c>
      <c r="E125" s="109"/>
      <c r="G125" s="96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8" t="s">
        <v>112</v>
      </c>
      <c r="C126" s="108"/>
      <c r="D126" s="109">
        <v>0.15</v>
      </c>
      <c r="E126" s="109"/>
      <c r="G126" s="96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108" t="s">
        <v>3</v>
      </c>
      <c r="C156" s="108"/>
      <c r="D156" s="109">
        <v>1</v>
      </c>
      <c r="E156" s="109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108" t="s">
        <v>4</v>
      </c>
      <c r="C157" s="108"/>
      <c r="D157" s="109">
        <v>1</v>
      </c>
      <c r="E157" s="109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108" t="s">
        <v>1</v>
      </c>
      <c r="C158" s="108"/>
      <c r="D158" s="109">
        <v>0.01</v>
      </c>
      <c r="E158" s="109"/>
      <c r="G158" s="96"/>
      <c r="I158" s="2" t="s">
        <v>106</v>
      </c>
      <c r="J158" s="2" t="s">
        <v>107</v>
      </c>
      <c r="K158" s="2" t="s">
        <v>109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2">
        <v>0.01</v>
      </c>
      <c r="K159" s="72">
        <v>0.9</v>
      </c>
      <c r="Q159" s="102" t="s">
        <v>15</v>
      </c>
      <c r="R159" s="102"/>
      <c r="S159" s="4">
        <v>3</v>
      </c>
      <c r="V159" s="105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3" t="s">
        <v>9</v>
      </c>
      <c r="I160" s="103" t="s">
        <v>10</v>
      </c>
      <c r="J160" s="104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6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10" t="s">
        <v>6</v>
      </c>
      <c r="E163" s="110"/>
      <c r="G163" s="96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10"/>
      <c r="E164" s="110"/>
      <c r="G164" s="96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10"/>
      <c r="E165" s="110"/>
      <c r="G165" s="96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6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1">
        <v>44931.461875000001</v>
      </c>
      <c r="E167" s="111"/>
      <c r="G167" s="96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1">
        <v>44931.461875000001</v>
      </c>
      <c r="E168" s="111"/>
      <c r="G168" s="96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8" t="s">
        <v>115</v>
      </c>
      <c r="C173" s="108"/>
      <c r="D173" s="109">
        <v>0</v>
      </c>
      <c r="E173" s="109"/>
      <c r="G173" s="96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8" t="s">
        <v>111</v>
      </c>
      <c r="C174" s="108"/>
      <c r="D174" s="109">
        <v>0</v>
      </c>
      <c r="E174" s="109"/>
      <c r="G174" s="96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8" t="s">
        <v>113</v>
      </c>
      <c r="C175" s="108"/>
      <c r="D175" s="109">
        <v>-0.1</v>
      </c>
      <c r="E175" s="109"/>
      <c r="G175" s="96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8" t="s">
        <v>112</v>
      </c>
      <c r="C176" s="108"/>
      <c r="D176" s="109">
        <v>0.15</v>
      </c>
      <c r="E176" s="109"/>
      <c r="G176" s="96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1" t="s">
        <v>29</v>
      </c>
      <c r="C3" s="181"/>
      <c r="D3" s="184">
        <v>45177</v>
      </c>
      <c r="E3" s="179"/>
      <c r="F3" s="176" t="s">
        <v>31</v>
      </c>
      <c r="G3" s="176"/>
      <c r="H3" s="179">
        <v>0</v>
      </c>
      <c r="I3" s="179"/>
      <c r="J3" s="176" t="s">
        <v>67</v>
      </c>
      <c r="K3" s="176"/>
      <c r="L3" s="179">
        <v>30000000000</v>
      </c>
      <c r="M3" s="179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80" t="s">
        <v>46</v>
      </c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D5" s="180" t="s">
        <v>47</v>
      </c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</row>
    <row r="6" spans="1:57" ht="16.2" customHeight="1" x14ac:dyDescent="0.4">
      <c r="A6" s="34">
        <f t="shared" si="1"/>
        <v>6</v>
      </c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</row>
    <row r="7" spans="1:57" ht="16.2" customHeight="1" x14ac:dyDescent="0.4">
      <c r="A7" s="34">
        <f t="shared" si="1"/>
        <v>7</v>
      </c>
      <c r="B7" s="181" t="str">
        <f>IF(D7&gt;0,"레퍼런스금리 개수","기초금리는 1개 - 3개 입력가능")</f>
        <v>레퍼런스금리 개수</v>
      </c>
      <c r="C7" s="181"/>
      <c r="D7" s="178">
        <v>1</v>
      </c>
      <c r="E7" s="178"/>
      <c r="F7" s="182" t="s">
        <v>32</v>
      </c>
      <c r="G7" s="183"/>
      <c r="H7" s="179">
        <v>1</v>
      </c>
      <c r="I7" s="179"/>
      <c r="J7" s="176" t="s">
        <v>91</v>
      </c>
      <c r="K7" s="176"/>
      <c r="L7" s="179">
        <v>0</v>
      </c>
      <c r="M7" s="179"/>
      <c r="N7" s="35"/>
      <c r="O7" s="35"/>
      <c r="P7" s="35"/>
      <c r="Q7" s="35"/>
      <c r="R7" s="35"/>
      <c r="S7" s="35"/>
      <c r="T7" s="35"/>
      <c r="U7" s="35"/>
      <c r="AD7" s="181" t="str">
        <f>IF(AF7&gt;0,"레퍼런스금리 개수","기초금리는 1개 - 3개 입력가능")</f>
        <v>레퍼런스금리 개수</v>
      </c>
      <c r="AE7" s="181"/>
      <c r="AF7" s="178">
        <v>1</v>
      </c>
      <c r="AG7" s="178"/>
      <c r="AH7" s="182" t="s">
        <v>32</v>
      </c>
      <c r="AI7" s="183"/>
      <c r="AJ7" s="179">
        <v>0</v>
      </c>
      <c r="AK7" s="179"/>
      <c r="AL7" s="176" t="s">
        <v>91</v>
      </c>
      <c r="AM7" s="176"/>
      <c r="AN7" s="179">
        <v>0</v>
      </c>
      <c r="AO7" s="179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6" t="s">
        <v>50</v>
      </c>
      <c r="C8" s="176"/>
      <c r="D8" s="177">
        <v>1</v>
      </c>
      <c r="E8" s="178"/>
      <c r="F8" s="176" t="s">
        <v>51</v>
      </c>
      <c r="G8" s="176"/>
      <c r="H8" s="177">
        <v>1</v>
      </c>
      <c r="I8" s="178"/>
      <c r="J8" s="176" t="s">
        <v>42</v>
      </c>
      <c r="K8" s="176"/>
      <c r="L8" s="179">
        <v>0</v>
      </c>
      <c r="M8" s="179"/>
      <c r="N8" s="35"/>
      <c r="O8" s="35"/>
      <c r="P8" s="35"/>
      <c r="Q8" s="35"/>
      <c r="R8" s="35"/>
      <c r="S8" s="35"/>
      <c r="T8" s="35"/>
      <c r="U8" s="35"/>
      <c r="AD8" s="176" t="s">
        <v>50</v>
      </c>
      <c r="AE8" s="176"/>
      <c r="AF8" s="177">
        <v>1</v>
      </c>
      <c r="AG8" s="178"/>
      <c r="AH8" s="176" t="s">
        <v>51</v>
      </c>
      <c r="AI8" s="176"/>
      <c r="AJ8" s="177">
        <v>1</v>
      </c>
      <c r="AK8" s="178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1" t="str">
        <f>IF(D7&gt;=1,"기초금리1", "")</f>
        <v>기초금리1</v>
      </c>
      <c r="C10" s="174" t="str">
        <f>IF($D$7&gt;=1,"커브번호", "")</f>
        <v>커브번호</v>
      </c>
      <c r="D10" s="174"/>
      <c r="E10" s="139">
        <v>1</v>
      </c>
      <c r="F10" s="139"/>
      <c r="G10" s="65"/>
      <c r="H10" s="36"/>
      <c r="I10" s="152" t="str">
        <f>IF(OR(E11 = 0, E11 = 2, E11 = 4), "RefType = "&amp;E11&amp;" 이므로 Ref Swap 금리정보 사용안함", "사용")</f>
        <v>RefType = 0 이므로 Ref Swap 금리정보 사용안함</v>
      </c>
      <c r="J10" s="153"/>
      <c r="K10" s="153"/>
      <c r="L10" s="154"/>
      <c r="N10" s="168" t="s">
        <v>34</v>
      </c>
      <c r="O10" s="168"/>
      <c r="P10" s="168"/>
      <c r="Q10" s="168"/>
      <c r="R10" s="34"/>
      <c r="S10" s="34"/>
      <c r="T10" s="34"/>
      <c r="U10" s="34"/>
      <c r="W10" s="168" t="s">
        <v>52</v>
      </c>
      <c r="X10" s="168"/>
      <c r="Y10" s="168"/>
      <c r="AD10" s="142" t="str">
        <f>IF($AF$7&gt;=1,"기초금리1", "")</f>
        <v>기초금리1</v>
      </c>
      <c r="AE10" s="138" t="str">
        <f>IF($AF$7&gt;=1,"커브번호", "")</f>
        <v>커브번호</v>
      </c>
      <c r="AF10" s="138"/>
      <c r="AG10" s="139">
        <v>1</v>
      </c>
      <c r="AH10" s="139"/>
      <c r="AI10" s="65"/>
      <c r="AJ10" s="36"/>
      <c r="AK10" s="136" t="str">
        <f>IF(OR(AG11 = 0, AG11 = 2, AG11 = 4), "RefType = "&amp;AG11&amp;" 이므로 Ref Swap 금리정보 사용안함", "사용")</f>
        <v>사용</v>
      </c>
      <c r="AL10" s="136"/>
      <c r="AM10" s="136"/>
      <c r="AN10" s="137"/>
      <c r="AP10" s="168" t="s">
        <v>54</v>
      </c>
      <c r="AQ10" s="168"/>
      <c r="AR10" s="168"/>
      <c r="AS10" s="168"/>
      <c r="AT10" s="34"/>
      <c r="AU10" s="34"/>
      <c r="AV10" s="34"/>
      <c r="AW10" s="34"/>
      <c r="AY10" s="168" t="s">
        <v>53</v>
      </c>
      <c r="AZ10" s="168"/>
      <c r="BA10" s="168"/>
    </row>
    <row r="11" spans="1:57" ht="16.2" customHeight="1" x14ac:dyDescent="0.4">
      <c r="A11" s="34">
        <f t="shared" si="1"/>
        <v>11</v>
      </c>
      <c r="B11" s="171"/>
      <c r="C11" s="160" t="str">
        <f>IF($D$7&gt;=1,"Reference Rate Type", "")</f>
        <v>Reference Rate Type</v>
      </c>
      <c r="D11" s="161"/>
      <c r="E11" s="175">
        <v>0</v>
      </c>
      <c r="F11" s="188"/>
      <c r="G11" s="152" t="str">
        <f>IF(OR(E11 = 0, E11 = 2, E11 = 4), "", "Zero/Swap 레퍼런스금리정보")</f>
        <v/>
      </c>
      <c r="H11" s="153"/>
      <c r="I11" s="144" t="str">
        <f>IF(OR(E11 = 0, E11 = 2, E11 = 4), "", "연 지급횟수")</f>
        <v/>
      </c>
      <c r="J11" s="145"/>
      <c r="K11" s="131">
        <v>4</v>
      </c>
      <c r="L11" s="132"/>
      <c r="M11" s="34"/>
      <c r="N11" s="190" t="str">
        <f>IF(OR(E11 = 0, E11 = 2, E11 = 4), "ForwardStart", "ResetStart")</f>
        <v>ForwardStart</v>
      </c>
      <c r="O11" s="190" t="str">
        <f>IF(OR(E11 = 0, E11 = 2, E11 = 4), "ForwardEnd", "ResetEnd")</f>
        <v>ForwardEnd</v>
      </c>
      <c r="P11" s="133" t="s">
        <v>35</v>
      </c>
      <c r="Q11" s="133" t="s">
        <v>36</v>
      </c>
      <c r="R11" s="133" t="s">
        <v>37</v>
      </c>
      <c r="S11" s="133" t="s">
        <v>38</v>
      </c>
      <c r="T11" s="133" t="s">
        <v>116</v>
      </c>
      <c r="U11" s="133" t="s">
        <v>71</v>
      </c>
      <c r="W11" s="37" t="s">
        <v>43</v>
      </c>
      <c r="X11" s="156">
        <v>0</v>
      </c>
      <c r="Y11" s="156"/>
      <c r="AD11" s="143"/>
      <c r="AE11" s="127" t="str">
        <f>IF($AF$7&gt;=1,"Reference Rate Type", "")</f>
        <v>Reference Rate Type</v>
      </c>
      <c r="AF11" s="140"/>
      <c r="AG11" s="175">
        <v>1</v>
      </c>
      <c r="AH11" s="175"/>
      <c r="AI11" s="129" t="str">
        <f>IF(OR(AG11 = 0, AG11 = 2, AG11 = 4), "", "Zero/Swap 레퍼런스금리정보")</f>
        <v>Zero/Swap 레퍼런스금리정보</v>
      </c>
      <c r="AJ11" s="129"/>
      <c r="AK11" s="129" t="str">
        <f>IF(OR(AG11 = 0, AG11 = 2, AG11 = 4), "", "연 지급횟수")</f>
        <v>연 지급횟수</v>
      </c>
      <c r="AL11" s="130"/>
      <c r="AM11" s="131">
        <v>4</v>
      </c>
      <c r="AN11" s="132"/>
      <c r="AO11" s="34"/>
      <c r="AP11" s="133" t="str">
        <f>IF(OR(AG11 = 0, AG11 = 2, AG11 = 4), "ForwardStart", "ResetEnd")</f>
        <v>ResetEnd</v>
      </c>
      <c r="AQ11" s="133" t="str">
        <f>IF(OR(AG11 = 0, AG11 = 2, AG11 = 4), "ForwardEnd", "ResetEnd")</f>
        <v>ResetEnd</v>
      </c>
      <c r="AR11" s="133" t="s">
        <v>35</v>
      </c>
      <c r="AS11" s="133" t="s">
        <v>36</v>
      </c>
      <c r="AT11" s="133" t="s">
        <v>37</v>
      </c>
      <c r="AU11" s="133" t="s">
        <v>38</v>
      </c>
      <c r="AV11" s="133" t="s">
        <v>116</v>
      </c>
      <c r="AW11" s="133" t="s">
        <v>71</v>
      </c>
      <c r="AY11" s="37" t="s">
        <v>43</v>
      </c>
      <c r="AZ11" s="156">
        <v>0</v>
      </c>
      <c r="BA11" s="156"/>
    </row>
    <row r="12" spans="1:57" ht="16.2" customHeight="1" x14ac:dyDescent="0.4">
      <c r="A12" s="34">
        <f t="shared" si="1"/>
        <v>12</v>
      </c>
      <c r="B12" s="171"/>
      <c r="C12" s="160" t="str">
        <f>IF($D$7&gt;=1,"DayCount", "")</f>
        <v>DayCount</v>
      </c>
      <c r="D12" s="160"/>
      <c r="E12" s="118">
        <v>3</v>
      </c>
      <c r="F12" s="189"/>
      <c r="G12" s="185"/>
      <c r="H12" s="144"/>
      <c r="I12" s="144" t="str">
        <f>IF(OR(E11 = 0, E11 = 2, E11 = 4,E14=1), "", "만기")</f>
        <v/>
      </c>
      <c r="J12" s="145"/>
      <c r="K12" s="186">
        <v>10</v>
      </c>
      <c r="L12" s="187"/>
      <c r="N12" s="133"/>
      <c r="O12" s="133"/>
      <c r="P12" s="133"/>
      <c r="Q12" s="133"/>
      <c r="R12" s="133"/>
      <c r="S12" s="133"/>
      <c r="T12" s="133"/>
      <c r="U12" s="133"/>
      <c r="W12" s="37" t="s">
        <v>44</v>
      </c>
      <c r="X12" s="156">
        <v>0</v>
      </c>
      <c r="Y12" s="156"/>
      <c r="AD12" s="143"/>
      <c r="AE12" s="127" t="str">
        <f>IF($AF$7&gt;=1,"DayCount", "")</f>
        <v>DayCount</v>
      </c>
      <c r="AF12" s="127"/>
      <c r="AG12" s="118">
        <v>0</v>
      </c>
      <c r="AH12" s="118"/>
      <c r="AI12" s="129"/>
      <c r="AJ12" s="129"/>
      <c r="AK12" s="144" t="str">
        <f>IF(OR(AG11 = 0, AG11 = 2, AG11 = 4,AG14=1), "", "만기")</f>
        <v>만기</v>
      </c>
      <c r="AL12" s="145"/>
      <c r="AM12" s="146">
        <v>0.25</v>
      </c>
      <c r="AN12" s="147"/>
      <c r="AP12" s="133"/>
      <c r="AQ12" s="133"/>
      <c r="AR12" s="133"/>
      <c r="AS12" s="133"/>
      <c r="AT12" s="133"/>
      <c r="AU12" s="133"/>
      <c r="AV12" s="133"/>
      <c r="AW12" s="133"/>
      <c r="AY12" s="37" t="s">
        <v>44</v>
      </c>
      <c r="AZ12" s="156">
        <v>0</v>
      </c>
      <c r="BA12" s="156"/>
    </row>
    <row r="13" spans="1:57" ht="16.2" customHeight="1" x14ac:dyDescent="0.4">
      <c r="A13" s="34">
        <f t="shared" si="1"/>
        <v>13</v>
      </c>
      <c r="B13" s="171"/>
      <c r="C13" s="160" t="str">
        <f>IF($D$7&gt;=1,"금리결정조건Multiple", "")</f>
        <v>금리결정조건Multiple</v>
      </c>
      <c r="D13" s="161"/>
      <c r="E13" s="117">
        <v>1</v>
      </c>
      <c r="F13" s="173"/>
      <c r="G13" s="113" t="str">
        <f>IF(OR(E11 = 0, E11 = 2, E11 = 4), "", "ex) Zero Rate 5년 -&gt; 연 지급횟수= 0, 만기= 5 // CD91일 -&gt; 연 지급횟수= 4, 만기= 0.25")</f>
        <v/>
      </c>
      <c r="H13" s="113"/>
      <c r="I13" s="113"/>
      <c r="J13" s="113"/>
      <c r="K13" s="113"/>
      <c r="L13" s="114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56">
        <v>0</v>
      </c>
      <c r="Y13" s="156"/>
      <c r="AD13" s="143"/>
      <c r="AE13" s="127" t="str">
        <f>IF($AF$7&gt;=1,"금리결정조건Multiple", "")</f>
        <v>금리결정조건Multiple</v>
      </c>
      <c r="AF13" s="140"/>
      <c r="AG13" s="117">
        <v>1</v>
      </c>
      <c r="AH13" s="117"/>
      <c r="AI13" s="113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13"/>
      <c r="AK13" s="113"/>
      <c r="AL13" s="113"/>
      <c r="AM13" s="113"/>
      <c r="AN13" s="114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56">
        <v>0</v>
      </c>
      <c r="BA13" s="156"/>
    </row>
    <row r="14" spans="1:57" ht="16.2" customHeight="1" x14ac:dyDescent="0.4">
      <c r="A14" s="34">
        <f t="shared" si="1"/>
        <v>14</v>
      </c>
      <c r="B14" s="171"/>
      <c r="C14" s="159" t="str">
        <f>IF($D$7&gt;=1,"Power Spread Flag", "")</f>
        <v>Power Spread Flag</v>
      </c>
      <c r="D14" s="159"/>
      <c r="E14" s="118">
        <v>0</v>
      </c>
      <c r="F14" s="189"/>
      <c r="G14" s="166" t="str">
        <f>IF(E14&gt;0,"PowerSpreadFlag 1일때 입력","입력필요X")</f>
        <v>입력필요X</v>
      </c>
      <c r="H14" s="166"/>
      <c r="I14" s="166" t="str">
        <f>IF(E14&gt;0,"만기1","")</f>
        <v/>
      </c>
      <c r="J14" s="166"/>
      <c r="K14" s="120">
        <v>10</v>
      </c>
      <c r="L14" s="121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43"/>
      <c r="AE14" s="126" t="str">
        <f>IF($AF$7&gt;=1,"Power Spread Flag", "")</f>
        <v>Power Spread Flag</v>
      </c>
      <c r="AF14" s="126"/>
      <c r="AG14" s="118">
        <v>0</v>
      </c>
      <c r="AH14" s="118"/>
      <c r="AI14" s="119" t="str">
        <f>IF(AG14&gt;0,"PowerSpreadFlag 1일때 입력","입력필요X")</f>
        <v>입력필요X</v>
      </c>
      <c r="AJ14" s="119"/>
      <c r="AK14" s="119" t="str">
        <f>IF(AG14&gt;0,"만기1","")</f>
        <v/>
      </c>
      <c r="AL14" s="119"/>
      <c r="AM14" s="120">
        <v>10</v>
      </c>
      <c r="AN14" s="121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1" t="str">
        <f>IF($D$7&gt;0, "사용", "커브개수"&amp;"="&amp;$D$7&amp;"이므로 사용안함")</f>
        <v>사용</v>
      </c>
      <c r="C15" s="159" t="str">
        <f>IF($D$7&gt;=1,"기초금리 Range상한", "")</f>
        <v>기초금리 Range상한</v>
      </c>
      <c r="D15" s="159"/>
      <c r="E15" s="148">
        <v>10</v>
      </c>
      <c r="F15" s="169"/>
      <c r="G15" s="166"/>
      <c r="H15" s="166"/>
      <c r="I15" s="166" t="str">
        <f>IF(E14&gt;0,"만기2","")</f>
        <v/>
      </c>
      <c r="J15" s="166"/>
      <c r="K15" s="120">
        <v>5</v>
      </c>
      <c r="L15" s="121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43" t="str">
        <f>IF($AF$7&gt;0, "사용", "커브개수"&amp;"="&amp;$AF$7&amp;"이므로 사용안함")</f>
        <v>사용</v>
      </c>
      <c r="AE15" s="126" t="str">
        <f>IF($AF$7&gt;=1,"기초금리 Range상한", "")</f>
        <v>기초금리 Range상한</v>
      </c>
      <c r="AF15" s="126"/>
      <c r="AG15" s="148">
        <v>10</v>
      </c>
      <c r="AH15" s="148"/>
      <c r="AI15" s="119"/>
      <c r="AJ15" s="119"/>
      <c r="AK15" s="119" t="str">
        <f>IF(AG14&gt;0,"만기2","")</f>
        <v/>
      </c>
      <c r="AL15" s="119"/>
      <c r="AM15" s="120">
        <v>5</v>
      </c>
      <c r="AN15" s="121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1"/>
      <c r="C16" s="159" t="str">
        <f>IF($D$7&gt;=1,"기초금리 Range하한", "")</f>
        <v>기초금리 Range하한</v>
      </c>
      <c r="D16" s="160"/>
      <c r="E16" s="128">
        <v>-1</v>
      </c>
      <c r="F16" s="170"/>
      <c r="G16" s="172"/>
      <c r="H16" s="172"/>
      <c r="I16" s="167" t="str">
        <f>IF(E14&gt;0,"Spread1","")</f>
        <v/>
      </c>
      <c r="J16" s="167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43"/>
      <c r="AE16" s="126" t="str">
        <f>IF($AF$7&gt;=1,"기초금리 Range하한", "")</f>
        <v>기초금리 Range하한</v>
      </c>
      <c r="AF16" s="127"/>
      <c r="AG16" s="128">
        <v>-1</v>
      </c>
      <c r="AH16" s="128"/>
      <c r="AI16" s="125"/>
      <c r="AJ16" s="125"/>
      <c r="AK16" s="122" t="str">
        <f>IF(AG14&gt;0,"Spread1","")</f>
        <v/>
      </c>
      <c r="AL16" s="122"/>
      <c r="AM16" s="123" t="str">
        <f>IF(AG14&gt;0, AK14&amp;"-"&amp;AK15, "")</f>
        <v/>
      </c>
      <c r="AN16" s="124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9" t="str">
        <f>IF($D$7&gt;=1,"Payoff조건Multiple", "")</f>
        <v>Payoff조건Multiple</v>
      </c>
      <c r="D17" s="149"/>
      <c r="E17" s="134">
        <v>0</v>
      </c>
      <c r="F17" s="155"/>
      <c r="G17" s="115" t="str">
        <f>IF(E14&gt;0,"예시) 10년-5년 스왑: 연 지급횟수=4, 만기1=10, 만기2=5","")</f>
        <v/>
      </c>
      <c r="H17" s="115"/>
      <c r="I17" s="115"/>
      <c r="J17" s="115"/>
      <c r="K17" s="115"/>
      <c r="L17" s="116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35" t="str">
        <f>IF($AF$7&gt;=1,"Payoff조건Multiple", "")</f>
        <v>Payoff조건Multiple</v>
      </c>
      <c r="AF17" s="135"/>
      <c r="AG17" s="134">
        <v>1</v>
      </c>
      <c r="AH17" s="134"/>
      <c r="AI17" s="115" t="str">
        <f>IF(AG14&gt;0,"예시) 10년-5년 스왑: 연 지급횟수=4, 만기1=10, 만기2=5","")</f>
        <v/>
      </c>
      <c r="AJ17" s="115"/>
      <c r="AK17" s="115"/>
      <c r="AL17" s="115"/>
      <c r="AM17" s="115"/>
      <c r="AN17" s="116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1" t="str">
        <f>IF(D7&gt;=2,"기초금리2", "")</f>
        <v/>
      </c>
      <c r="C19" s="174" t="str">
        <f>IF($D$7&gt;=2,"커브번호", "")</f>
        <v/>
      </c>
      <c r="D19" s="174"/>
      <c r="E19" s="139">
        <v>2</v>
      </c>
      <c r="F19" s="139"/>
      <c r="G19" s="65"/>
      <c r="H19" s="36"/>
      <c r="I19" s="153" t="str">
        <f>IF(OR(E20 = 0, E20 = 2, E20 = 4), "RefType = "&amp;E20&amp;" 이므로 Ref Swap 금리정보 사용안함", "사용")</f>
        <v>RefType = 0 이므로 Ref Swap 금리정보 사용안함</v>
      </c>
      <c r="J19" s="153"/>
      <c r="K19" s="153"/>
      <c r="L19" s="154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42" t="str">
        <f>IF($AF$7&gt;=2,"기초금리2", "")</f>
        <v/>
      </c>
      <c r="AE19" s="138" t="str">
        <f>IF($AF$7&gt;=2,"커브번호", "")</f>
        <v/>
      </c>
      <c r="AF19" s="138"/>
      <c r="AG19" s="139">
        <v>2</v>
      </c>
      <c r="AH19" s="139"/>
      <c r="AI19" s="65"/>
      <c r="AJ19" s="36"/>
      <c r="AK19" s="136" t="str">
        <f>IF(OR(AG20 = 0, AG20 = 2, AG20 = 4), "RefType = "&amp;AG20&amp;" 이므로 Ref Swap 금리정보 사용안함", "사용")</f>
        <v>RefType = 0 이므로 Ref Swap 금리정보 사용안함</v>
      </c>
      <c r="AL19" s="136"/>
      <c r="AM19" s="136"/>
      <c r="AN19" s="137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1"/>
      <c r="C20" s="160" t="str">
        <f>IF($D$7&gt;=2,"Reference Rate Type", "")</f>
        <v/>
      </c>
      <c r="D20" s="161"/>
      <c r="E20" s="141">
        <v>0</v>
      </c>
      <c r="F20" s="141"/>
      <c r="G20" s="144" t="str">
        <f>IF(OR(E20 = 0, E20 = 2, E20 = 4), "", "Zero/Swap 레퍼런스금리정보")</f>
        <v/>
      </c>
      <c r="H20" s="144"/>
      <c r="I20" s="144" t="str">
        <f>IF(OR(E20 = 0, E20 = 2, E20 = 4), "", "연 지급횟수")</f>
        <v/>
      </c>
      <c r="J20" s="145"/>
      <c r="K20" s="131">
        <v>4</v>
      </c>
      <c r="L20" s="132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43"/>
      <c r="AE20" s="127" t="str">
        <f>IF($AF$7&gt;=2,"Reference Rate Type", "")</f>
        <v/>
      </c>
      <c r="AF20" s="140"/>
      <c r="AG20" s="141">
        <v>0</v>
      </c>
      <c r="AH20" s="141"/>
      <c r="AI20" s="129" t="str">
        <f>IF(OR(AG20 = 0, AG20 = 2, AG20 = 4), "", "Zero/Swap 레퍼런스금리정보")</f>
        <v/>
      </c>
      <c r="AJ20" s="129"/>
      <c r="AK20" s="129" t="str">
        <f>IF(OR(AG20 = 0, AG20 = 2, AG20 = 4), "", "연 지급횟수")</f>
        <v/>
      </c>
      <c r="AL20" s="130"/>
      <c r="AM20" s="131">
        <v>4</v>
      </c>
      <c r="AN20" s="132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1"/>
      <c r="C21" s="160" t="str">
        <f>IF($D$7&gt;=2,"DayCount", "")</f>
        <v/>
      </c>
      <c r="D21" s="160"/>
      <c r="E21" s="118">
        <v>0</v>
      </c>
      <c r="F21" s="118"/>
      <c r="G21" s="144"/>
      <c r="H21" s="144"/>
      <c r="I21" s="144" t="str">
        <f>IF(OR(E20 = 0, E20 = 2, E20 = 4,E23=1), "", "만기")</f>
        <v/>
      </c>
      <c r="J21" s="145"/>
      <c r="K21" s="146">
        <v>1</v>
      </c>
      <c r="L21" s="147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43"/>
      <c r="AE21" s="127" t="str">
        <f>IF($AF$7&gt;=2,"DayCount", "")</f>
        <v/>
      </c>
      <c r="AF21" s="127"/>
      <c r="AG21" s="118">
        <v>0</v>
      </c>
      <c r="AH21" s="118"/>
      <c r="AI21" s="129"/>
      <c r="AJ21" s="129"/>
      <c r="AK21" s="144" t="str">
        <f>IF(OR(AG20 = 0, AG20 = 2, AG20 = 4,AG23=1), "", "만기")</f>
        <v/>
      </c>
      <c r="AL21" s="145"/>
      <c r="AM21" s="146">
        <v>5</v>
      </c>
      <c r="AN21" s="147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1"/>
      <c r="C22" s="160" t="str">
        <f>IF($D$7&gt;=2,"금리결정조건Multiple", "")</f>
        <v/>
      </c>
      <c r="D22" s="161"/>
      <c r="E22" s="117">
        <v>1</v>
      </c>
      <c r="F22" s="117"/>
      <c r="G22" s="113" t="str">
        <f>IF(OR(E20 = 0, E20 = 2, E20 = 4), "", "ex) Zero Rate 5년 -&gt; 연 지급횟수= 0, 만기= 5 // CD91일 -&gt; 연 지급횟수= 4, 만기= 0.25")</f>
        <v/>
      </c>
      <c r="H22" s="113"/>
      <c r="I22" s="113"/>
      <c r="J22" s="113"/>
      <c r="K22" s="113"/>
      <c r="L22" s="114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43"/>
      <c r="AE22" s="127" t="str">
        <f>IF($AF$7&gt;=2,"금리결정조건Multiple", "")</f>
        <v/>
      </c>
      <c r="AF22" s="140"/>
      <c r="AG22" s="117">
        <v>1</v>
      </c>
      <c r="AH22" s="117"/>
      <c r="AI22" s="113" t="str">
        <f>IF(OR(AG20 = 0, AG20 = 2, AG20 = 4), "", "ex) Zero Rate 5년 -&gt; 연 지급횟수= 0, 만기= 5 // CD91일 -&gt; 연 지급횟수= 4, 만기= 0.25")</f>
        <v/>
      </c>
      <c r="AJ22" s="113"/>
      <c r="AK22" s="113"/>
      <c r="AL22" s="113"/>
      <c r="AM22" s="113"/>
      <c r="AN22" s="114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1"/>
      <c r="C23" s="159" t="str">
        <f>IF($D$7&gt;=2,"Power Spread Flag", "")</f>
        <v/>
      </c>
      <c r="D23" s="159"/>
      <c r="E23" s="118">
        <v>0</v>
      </c>
      <c r="F23" s="118"/>
      <c r="G23" s="166" t="str">
        <f>IF(E23&gt;0,"PowerSpreadFlag 1일때 입력","입력필요X")</f>
        <v>입력필요X</v>
      </c>
      <c r="H23" s="166"/>
      <c r="I23" s="166" t="str">
        <f>IF(E23&gt;0,"만기1","")</f>
        <v/>
      </c>
      <c r="J23" s="166"/>
      <c r="K23" s="120">
        <v>10</v>
      </c>
      <c r="L23" s="121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43"/>
      <c r="AE23" s="126" t="str">
        <f>IF($AF$7&gt;=2,"Power Spread Flag", "")</f>
        <v/>
      </c>
      <c r="AF23" s="126"/>
      <c r="AG23" s="118">
        <v>0</v>
      </c>
      <c r="AH23" s="118"/>
      <c r="AI23" s="119" t="str">
        <f>IF(AG23&gt;0,"PowerSpreadFlag 1일때 입력","입력필요X")</f>
        <v>입력필요X</v>
      </c>
      <c r="AJ23" s="119"/>
      <c r="AK23" s="119" t="str">
        <f>IF(AG23&gt;0,"만기1","")</f>
        <v/>
      </c>
      <c r="AL23" s="119"/>
      <c r="AM23" s="120">
        <v>10</v>
      </c>
      <c r="AN23" s="121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1" t="str">
        <f>IF($D$7&gt;1, "사용", "커브개수"&amp;"="&amp;$D$7&amp;"이므로 사용안함")</f>
        <v>커브개수=1이므로 사용안함</v>
      </c>
      <c r="C24" s="159" t="str">
        <f>IF($D$7&gt;=2,"기초금리 Range상한", "")</f>
        <v/>
      </c>
      <c r="D24" s="159"/>
      <c r="E24" s="148">
        <v>10</v>
      </c>
      <c r="F24" s="148"/>
      <c r="G24" s="166"/>
      <c r="H24" s="166"/>
      <c r="I24" s="166" t="str">
        <f>IF(E23&gt;0,"만기2","")</f>
        <v/>
      </c>
      <c r="J24" s="166"/>
      <c r="K24" s="120">
        <v>5</v>
      </c>
      <c r="L24" s="121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43" t="str">
        <f>IF($AF$7&gt;1, "사용", "커브개수"&amp;"="&amp;$AF$7&amp;"이므로 사용안함")</f>
        <v>커브개수=1이므로 사용안함</v>
      </c>
      <c r="AE24" s="126" t="str">
        <f>IF($AF$7&gt;=2,"기초금리 Range상한", "")</f>
        <v/>
      </c>
      <c r="AF24" s="126"/>
      <c r="AG24" s="148">
        <v>0.5</v>
      </c>
      <c r="AH24" s="148"/>
      <c r="AI24" s="119"/>
      <c r="AJ24" s="119"/>
      <c r="AK24" s="119" t="str">
        <f>IF(AG23&gt;0,"만기2","")</f>
        <v/>
      </c>
      <c r="AL24" s="119"/>
      <c r="AM24" s="120">
        <v>5</v>
      </c>
      <c r="AN24" s="121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1"/>
      <c r="C25" s="159" t="str">
        <f>IF($D$7&gt;=2,"기초금리 Range하한", "")</f>
        <v/>
      </c>
      <c r="D25" s="160"/>
      <c r="E25" s="128">
        <v>-1</v>
      </c>
      <c r="F25" s="128"/>
      <c r="G25" s="172"/>
      <c r="H25" s="172"/>
      <c r="I25" s="167" t="str">
        <f>IF(E23&gt;0,"Spread1","")</f>
        <v/>
      </c>
      <c r="J25" s="167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43"/>
      <c r="AE25" s="126" t="str">
        <f>IF($AF$7&gt;=2,"기초금리 Range하한", "")</f>
        <v/>
      </c>
      <c r="AF25" s="127"/>
      <c r="AG25" s="128">
        <v>-0.1</v>
      </c>
      <c r="AH25" s="128"/>
      <c r="AI25" s="125"/>
      <c r="AJ25" s="125"/>
      <c r="AK25" s="122" t="str">
        <f>IF(AG23&gt;0,"Spread1","")</f>
        <v/>
      </c>
      <c r="AL25" s="122"/>
      <c r="AM25" s="123" t="str">
        <f>IF(AG23&gt;0, AK23&amp;"-"&amp;AK24, "")</f>
        <v/>
      </c>
      <c r="AN25" s="124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9" t="str">
        <f>IF($D$7&gt;=2,"Payoff조건Multiple", "")</f>
        <v/>
      </c>
      <c r="D26" s="149"/>
      <c r="E26" s="134">
        <v>0</v>
      </c>
      <c r="F26" s="134"/>
      <c r="G26" s="115" t="str">
        <f>IF(E23&gt;0,"예시) 10년-5년 스왑: 연 지급횟수=4, 만기1=10, 만기2=5","")</f>
        <v/>
      </c>
      <c r="H26" s="115"/>
      <c r="I26" s="115"/>
      <c r="J26" s="115"/>
      <c r="K26" s="115"/>
      <c r="L26" s="116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35" t="str">
        <f>IF($AF$7&gt;=2,"Payoff조건Multiple", "")</f>
        <v/>
      </c>
      <c r="AF26" s="135"/>
      <c r="AG26" s="134">
        <v>0</v>
      </c>
      <c r="AH26" s="134"/>
      <c r="AI26" s="115" t="str">
        <f>IF(AG23&gt;0,"예시) 10년-5년 스왑: 연 지급횟수=4, 만기1=10, 만기2=5","")</f>
        <v/>
      </c>
      <c r="AJ26" s="115"/>
      <c r="AK26" s="115"/>
      <c r="AL26" s="115"/>
      <c r="AM26" s="115"/>
      <c r="AN26" s="116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1" t="str">
        <f>IF($D$7&gt;=3,"기초금리3", "")</f>
        <v/>
      </c>
      <c r="C28" s="174" t="str">
        <f>IF($D$7&gt;=3,"커브번호", "")</f>
        <v/>
      </c>
      <c r="D28" s="174"/>
      <c r="E28" s="139">
        <v>3</v>
      </c>
      <c r="F28" s="139"/>
      <c r="G28" s="65"/>
      <c r="H28" s="36"/>
      <c r="I28" s="153" t="str">
        <f>IF(OR(E29 = 0, E29 = 2, E29 = 4), "RefType = "&amp;E29&amp;" 이므로 Ref Swap 금리정보 사용안함", "사용")</f>
        <v>RefType = 0 이므로 Ref Swap 금리정보 사용안함</v>
      </c>
      <c r="J28" s="153"/>
      <c r="K28" s="153"/>
      <c r="L28" s="154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42" t="str">
        <f>IF($AF$7&gt;=3,"기초금리3", "")</f>
        <v/>
      </c>
      <c r="AE28" s="138" t="str">
        <f>IF($AF$7&gt;=3,"커브번호", "")</f>
        <v/>
      </c>
      <c r="AF28" s="138"/>
      <c r="AG28" s="139">
        <v>3</v>
      </c>
      <c r="AH28" s="139"/>
      <c r="AI28" s="65"/>
      <c r="AJ28" s="36"/>
      <c r="AK28" s="136" t="str">
        <f>IF(OR(AG29 = 0, AG29 = 2, AG29 = 4), "RefType = "&amp;AG29&amp;" 이므로 Ref Swap 금리정보 사용안함", "사용")</f>
        <v>RefType = 0 이므로 Ref Swap 금리정보 사용안함</v>
      </c>
      <c r="AL28" s="136"/>
      <c r="AM28" s="136"/>
      <c r="AN28" s="137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1"/>
      <c r="C29" s="160" t="str">
        <f>IF($D$7&gt;=3,"Reference Rate Type", "")</f>
        <v/>
      </c>
      <c r="D29" s="161"/>
      <c r="E29" s="141">
        <v>0</v>
      </c>
      <c r="F29" s="141"/>
      <c r="G29" s="144" t="str">
        <f>IF(OR(E29 = 0, E29 = 2, E29 = 4), "", "Zero/Swap 레퍼런스금리정보")</f>
        <v/>
      </c>
      <c r="H29" s="144"/>
      <c r="I29" s="144" t="str">
        <f>IF(OR(E29 = 0, E29 = 2, E29 = 4), "", "연 지급횟수")</f>
        <v/>
      </c>
      <c r="J29" s="145"/>
      <c r="K29" s="131">
        <v>4</v>
      </c>
      <c r="L29" s="132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43"/>
      <c r="AE29" s="127" t="str">
        <f>IF($AF$7&gt;=3,"Reference Rate Type", "")</f>
        <v/>
      </c>
      <c r="AF29" s="140"/>
      <c r="AG29" s="141">
        <v>0</v>
      </c>
      <c r="AH29" s="141"/>
      <c r="AI29" s="129" t="str">
        <f>IF(OR(AG29 = 0, AG29 = 2, AG29 = 4), "", "Zero/Swap 레퍼런스금리정보")</f>
        <v/>
      </c>
      <c r="AJ29" s="129"/>
      <c r="AK29" s="129" t="str">
        <f>IF(OR(AG29 = 0, AG29 = 2, AG29 = 4), "", "연 지급횟수")</f>
        <v/>
      </c>
      <c r="AL29" s="130"/>
      <c r="AM29" s="131">
        <v>4</v>
      </c>
      <c r="AN29" s="132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1"/>
      <c r="C30" s="160" t="str">
        <f>IF($D$7&gt;=3,"DayCount", "")</f>
        <v/>
      </c>
      <c r="D30" s="160"/>
      <c r="E30" s="118">
        <v>0</v>
      </c>
      <c r="F30" s="118"/>
      <c r="G30" s="144"/>
      <c r="H30" s="144"/>
      <c r="I30" s="144" t="str">
        <f>IF(OR(E29 = 0, E29 = 2, E29 = 4,E32=1), "", "만기")</f>
        <v/>
      </c>
      <c r="J30" s="145"/>
      <c r="K30" s="146">
        <v>5</v>
      </c>
      <c r="L30" s="147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43"/>
      <c r="AE30" s="127" t="str">
        <f>IF($AF$7&gt;=3,"DayCount", "")</f>
        <v/>
      </c>
      <c r="AF30" s="127"/>
      <c r="AG30" s="118">
        <v>0</v>
      </c>
      <c r="AH30" s="118"/>
      <c r="AI30" s="129"/>
      <c r="AJ30" s="129"/>
      <c r="AK30" s="144" t="str">
        <f>IF(OR(AG29 = 0, AG29 = 2, AG29 = 4,AG32=1), "", "만기")</f>
        <v/>
      </c>
      <c r="AL30" s="145"/>
      <c r="AM30" s="146">
        <v>5</v>
      </c>
      <c r="AN30" s="147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1"/>
      <c r="C31" s="160" t="str">
        <f>IF($D$7&gt;=3,"금리결정조건Multiple", "")</f>
        <v/>
      </c>
      <c r="D31" s="161"/>
      <c r="E31" s="117">
        <v>1</v>
      </c>
      <c r="F31" s="117"/>
      <c r="G31" s="113" t="str">
        <f>IF(OR(E29 = 0, E29 = 2, E29 = 4), "", "ex) Zero Rate 5년 -&gt; 연 지급횟수= 0, 만기= 5 // CD91일 -&gt; 연 지급횟수= 4, 만기= 0.25")</f>
        <v/>
      </c>
      <c r="H31" s="113"/>
      <c r="I31" s="113"/>
      <c r="J31" s="113"/>
      <c r="K31" s="113"/>
      <c r="L31" s="114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43"/>
      <c r="AE31" s="127" t="str">
        <f>IF($AF$7&gt;=3,"금리결정조건Multiple", "")</f>
        <v/>
      </c>
      <c r="AF31" s="140"/>
      <c r="AG31" s="117">
        <v>1</v>
      </c>
      <c r="AH31" s="117"/>
      <c r="AI31" s="113" t="str">
        <f>IF(OR(AG29 = 0, AG29 = 2, AG29 = 4), "", "ex) Zero Rate 5년 -&gt; 연 지급횟수= 0, 만기= 5 // CD91일 -&gt; 연 지급횟수= 4, 만기= 0.25")</f>
        <v/>
      </c>
      <c r="AJ31" s="113"/>
      <c r="AK31" s="113"/>
      <c r="AL31" s="113"/>
      <c r="AM31" s="113"/>
      <c r="AN31" s="114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1"/>
      <c r="C32" s="159" t="str">
        <f>IF($D$7&gt;=3,"Power Spread Flag", "")</f>
        <v/>
      </c>
      <c r="D32" s="159"/>
      <c r="E32" s="118">
        <v>0</v>
      </c>
      <c r="F32" s="118"/>
      <c r="G32" s="166" t="str">
        <f>IF(E32&gt;0,"PowerSpreadFlag 1일때 입력","입력필요X")</f>
        <v>입력필요X</v>
      </c>
      <c r="H32" s="166"/>
      <c r="I32" s="166" t="str">
        <f>IF(E32&gt;0,"만기1","")</f>
        <v/>
      </c>
      <c r="J32" s="166"/>
      <c r="K32" s="120">
        <v>10</v>
      </c>
      <c r="L32" s="121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43"/>
      <c r="AE32" s="126" t="str">
        <f>IF($AF$7&gt;=3,"Power Spread Flag", "")</f>
        <v/>
      </c>
      <c r="AF32" s="126"/>
      <c r="AG32" s="118">
        <v>0</v>
      </c>
      <c r="AH32" s="118"/>
      <c r="AI32" s="119" t="str">
        <f>IF(AG32&gt;0,"PowerSpreadFlag 1일때 입력","입력필요X")</f>
        <v>입력필요X</v>
      </c>
      <c r="AJ32" s="119"/>
      <c r="AK32" s="119" t="str">
        <f>IF(AG32&gt;0,"만기1","")</f>
        <v/>
      </c>
      <c r="AL32" s="119"/>
      <c r="AM32" s="120">
        <v>10</v>
      </c>
      <c r="AN32" s="121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1" t="str">
        <f>IF($D$7&gt;2, "사용", "커브개수"&amp;"="&amp;$D$7&amp;"이므로 사용안함")</f>
        <v>커브개수=1이므로 사용안함</v>
      </c>
      <c r="C33" s="159" t="str">
        <f>IF($D$7&gt;=3,"기초금리 Range상한", "")</f>
        <v/>
      </c>
      <c r="D33" s="159"/>
      <c r="E33" s="148">
        <v>0.5</v>
      </c>
      <c r="F33" s="148"/>
      <c r="G33" s="166"/>
      <c r="H33" s="166"/>
      <c r="I33" s="166" t="str">
        <f>IF(E32&gt;0,"만기2","")</f>
        <v/>
      </c>
      <c r="J33" s="166"/>
      <c r="K33" s="120">
        <v>5</v>
      </c>
      <c r="L33" s="121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43" t="str">
        <f>IF($AF$7&gt;2, "사용", "커브개수"&amp;"="&amp;$AF$7&amp;"이므로 사용안함")</f>
        <v>커브개수=1이므로 사용안함</v>
      </c>
      <c r="AE33" s="126" t="str">
        <f>IF($AF$7&gt;=3,"기초금리 Range상한", "")</f>
        <v/>
      </c>
      <c r="AF33" s="126"/>
      <c r="AG33" s="148">
        <v>0.5</v>
      </c>
      <c r="AH33" s="148"/>
      <c r="AI33" s="119"/>
      <c r="AJ33" s="119"/>
      <c r="AK33" s="119" t="str">
        <f>IF(AG32&gt;0,"만기2","")</f>
        <v/>
      </c>
      <c r="AL33" s="119"/>
      <c r="AM33" s="120">
        <v>5</v>
      </c>
      <c r="AN33" s="121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1"/>
      <c r="C34" s="159" t="str">
        <f>IF($D$7&gt;=3,"기초금리 Range하한", "")</f>
        <v/>
      </c>
      <c r="D34" s="160"/>
      <c r="E34" s="128">
        <v>-0.1</v>
      </c>
      <c r="F34" s="128"/>
      <c r="G34" s="172"/>
      <c r="H34" s="172"/>
      <c r="I34" s="167" t="str">
        <f>IF(E32&gt;0,"Spread1","")</f>
        <v/>
      </c>
      <c r="J34" s="167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43"/>
      <c r="AE34" s="126" t="str">
        <f>IF($AF$7&gt;=3,"기초금리 Range하한", "")</f>
        <v/>
      </c>
      <c r="AF34" s="127"/>
      <c r="AG34" s="128">
        <v>-0.1</v>
      </c>
      <c r="AH34" s="128"/>
      <c r="AI34" s="125"/>
      <c r="AJ34" s="125"/>
      <c r="AK34" s="122" t="str">
        <f>IF(AG32&gt;0,"Spread1","")</f>
        <v/>
      </c>
      <c r="AL34" s="122"/>
      <c r="AM34" s="123" t="str">
        <f>IF(AG32&gt;0, AK32&amp;"-"&amp;AK33, "")</f>
        <v/>
      </c>
      <c r="AN34" s="124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9" t="str">
        <f>IF($D$7&gt;=3,"Payoff조건Multiple", "")</f>
        <v/>
      </c>
      <c r="D35" s="149"/>
      <c r="E35" s="134">
        <v>0</v>
      </c>
      <c r="F35" s="134"/>
      <c r="G35" s="115" t="str">
        <f>IF(E32&gt;0,"예시) 10년-5년 스왑: 연 지급횟수=4, 만기1=10, 만기2=5","")</f>
        <v/>
      </c>
      <c r="H35" s="115"/>
      <c r="I35" s="115"/>
      <c r="J35" s="115"/>
      <c r="K35" s="115"/>
      <c r="L35" s="116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35" t="str">
        <f>IF($AF$7&gt;=3,"Payoff조건Multiple", "")</f>
        <v/>
      </c>
      <c r="AF35" s="135"/>
      <c r="AG35" s="134">
        <v>0</v>
      </c>
      <c r="AH35" s="134"/>
      <c r="AI35" s="115" t="str">
        <f>IF(AG32&gt;0,"예시) 10년-5년 스왑: 연 지급횟수=4, 만기1=10, 만기2=5","")</f>
        <v/>
      </c>
      <c r="AJ35" s="115"/>
      <c r="AK35" s="115"/>
      <c r="AL35" s="115"/>
      <c r="AM35" s="115"/>
      <c r="AN35" s="116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2" t="s">
        <v>93</v>
      </c>
      <c r="C37" s="138" t="s">
        <v>33</v>
      </c>
      <c r="D37" s="138"/>
      <c r="E37" s="200">
        <v>1</v>
      </c>
      <c r="F37" s="201"/>
      <c r="G37" s="35"/>
      <c r="H37" s="142" t="s">
        <v>48</v>
      </c>
      <c r="I37" s="162"/>
      <c r="J37" s="150">
        <v>0</v>
      </c>
      <c r="K37" s="150"/>
      <c r="L37" s="151"/>
      <c r="W37" s="41">
        <v>41262</v>
      </c>
      <c r="X37" s="41">
        <v>41262</v>
      </c>
      <c r="Y37" s="41">
        <v>41262</v>
      </c>
      <c r="AD37" s="162" t="s">
        <v>93</v>
      </c>
      <c r="AE37" s="138" t="s">
        <v>33</v>
      </c>
      <c r="AF37" s="138"/>
      <c r="AG37" s="200">
        <v>1</v>
      </c>
      <c r="AH37" s="201"/>
      <c r="AJ37" s="142" t="s">
        <v>48</v>
      </c>
      <c r="AK37" s="162"/>
      <c r="AL37" s="150">
        <v>0</v>
      </c>
      <c r="AM37" s="150"/>
      <c r="AN37" s="151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8"/>
      <c r="C38" s="135"/>
      <c r="D38" s="135"/>
      <c r="E38" s="202"/>
      <c r="F38" s="203"/>
      <c r="G38" s="35"/>
      <c r="H38" s="163" t="s">
        <v>49</v>
      </c>
      <c r="I38" s="164"/>
      <c r="J38" s="164"/>
      <c r="K38" s="164"/>
      <c r="L38" s="165"/>
      <c r="W38" s="41">
        <v>41265</v>
      </c>
      <c r="X38" s="41">
        <v>41265</v>
      </c>
      <c r="Y38" s="41">
        <v>41265</v>
      </c>
      <c r="AD38" s="198"/>
      <c r="AE38" s="135"/>
      <c r="AF38" s="135"/>
      <c r="AG38" s="202"/>
      <c r="AH38" s="203"/>
      <c r="AJ38" s="163" t="s">
        <v>49</v>
      </c>
      <c r="AK38" s="164"/>
      <c r="AL38" s="164"/>
      <c r="AM38" s="164"/>
      <c r="AN38" s="165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8"/>
      <c r="C39" s="199"/>
      <c r="D39" s="199"/>
      <c r="E39" s="199"/>
      <c r="F39" s="199"/>
      <c r="G39" s="35"/>
      <c r="H39" s="195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6"/>
      <c r="J39" s="196"/>
      <c r="K39" s="196"/>
      <c r="L39" s="197"/>
      <c r="W39" s="41">
        <v>41266</v>
      </c>
      <c r="X39" s="41">
        <v>41266</v>
      </c>
      <c r="Y39" s="41">
        <v>41266</v>
      </c>
      <c r="AD39" s="198"/>
      <c r="AE39" s="199"/>
      <c r="AF39" s="199"/>
      <c r="AG39" s="199"/>
      <c r="AH39" s="199"/>
      <c r="AJ39" s="192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3"/>
      <c r="AL39" s="193"/>
      <c r="AM39" s="193"/>
      <c r="AN39" s="194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2" t="s">
        <v>89</v>
      </c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8" t="s">
        <v>110</v>
      </c>
      <c r="C3" s="208"/>
      <c r="D3" s="209">
        <v>0</v>
      </c>
      <c r="E3" s="209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8" t="s">
        <v>55</v>
      </c>
      <c r="C4" s="208"/>
      <c r="D4" s="209">
        <v>10000</v>
      </c>
      <c r="E4" s="209"/>
      <c r="F4" s="13"/>
      <c r="G4" s="210" t="s">
        <v>73</v>
      </c>
      <c r="H4" s="211"/>
      <c r="I4" s="206">
        <v>11060170632.316141</v>
      </c>
      <c r="J4" s="207"/>
      <c r="K4" s="13"/>
      <c r="L4" s="63">
        <v>45202.813136574077</v>
      </c>
      <c r="M4" s="1" t="s">
        <v>5</v>
      </c>
      <c r="N4" s="110" t="s">
        <v>6</v>
      </c>
      <c r="O4" s="110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8" t="s">
        <v>30</v>
      </c>
      <c r="C5" s="208"/>
      <c r="D5" s="209">
        <v>0</v>
      </c>
      <c r="E5" s="209"/>
      <c r="F5" s="13"/>
      <c r="G5" s="210" t="s">
        <v>74</v>
      </c>
      <c r="H5" s="211"/>
      <c r="I5" s="206">
        <v>14142832716.015043</v>
      </c>
      <c r="J5" s="207"/>
      <c r="K5" s="94"/>
      <c r="L5" s="63">
        <v>45202.813136574077</v>
      </c>
      <c r="M5" s="13"/>
      <c r="N5" s="110"/>
      <c r="O5" s="110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8" t="s">
        <v>114</v>
      </c>
      <c r="C6" s="208"/>
      <c r="D6" s="209">
        <v>0</v>
      </c>
      <c r="E6" s="209"/>
      <c r="F6" s="13"/>
      <c r="G6" s="210" t="s">
        <v>105</v>
      </c>
      <c r="H6" s="211"/>
      <c r="I6" s="206">
        <v>-4929577272.5846615</v>
      </c>
      <c r="J6" s="207"/>
      <c r="K6" s="60"/>
      <c r="L6" s="23"/>
      <c r="M6" s="13"/>
      <c r="N6" s="110"/>
      <c r="O6" s="110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10" t="s">
        <v>88</v>
      </c>
      <c r="H7" s="211"/>
      <c r="I7" s="206">
        <v>1846915188.8857598</v>
      </c>
      <c r="J7" s="207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5" t="s">
        <v>61</v>
      </c>
      <c r="C10" s="205"/>
      <c r="D10" s="205"/>
      <c r="E10" s="205"/>
      <c r="F10" s="205"/>
      <c r="G10" s="205"/>
      <c r="H10" s="205"/>
      <c r="I10" s="205" t="s">
        <v>64</v>
      </c>
      <c r="J10" s="205"/>
      <c r="K10" s="205"/>
      <c r="L10" s="205"/>
      <c r="M10" s="205"/>
      <c r="N10" s="205"/>
      <c r="O10" s="205"/>
      <c r="P10" s="13"/>
      <c r="Q10" s="205" t="s">
        <v>97</v>
      </c>
      <c r="R10" s="205"/>
      <c r="S10" s="13"/>
      <c r="T10" s="13"/>
      <c r="U10" s="205" t="s">
        <v>98</v>
      </c>
      <c r="V10" s="205"/>
      <c r="W10" s="13"/>
      <c r="Y10" s="205" t="s">
        <v>99</v>
      </c>
      <c r="Z10" s="205"/>
      <c r="AA10" s="13"/>
      <c r="AB10" s="13"/>
      <c r="AC10" s="205" t="s">
        <v>100</v>
      </c>
      <c r="AD10" s="205"/>
      <c r="AE10" s="13"/>
      <c r="AF10" s="13"/>
      <c r="AG10" s="205" t="s">
        <v>101</v>
      </c>
      <c r="AH10" s="205"/>
      <c r="AI10" s="13"/>
      <c r="AJ10" s="13"/>
      <c r="AK10" s="205" t="s">
        <v>102</v>
      </c>
      <c r="AL10" s="205"/>
      <c r="AM10" s="13"/>
      <c r="AN10" s="13"/>
      <c r="AO10" s="205" t="s">
        <v>103</v>
      </c>
      <c r="AP10" s="205"/>
      <c r="AQ10" s="13"/>
      <c r="AR10" s="13"/>
      <c r="AS10" s="205" t="s">
        <v>104</v>
      </c>
      <c r="AT10" s="205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5" t="s">
        <v>96</v>
      </c>
      <c r="R13" s="205"/>
      <c r="S13" s="66"/>
      <c r="T13" s="13"/>
      <c r="U13" s="205" t="s">
        <v>96</v>
      </c>
      <c r="V13" s="205"/>
      <c r="W13" s="66"/>
      <c r="Y13" s="205" t="s">
        <v>96</v>
      </c>
      <c r="Z13" s="205"/>
      <c r="AA13" s="66"/>
      <c r="AB13" s="13"/>
      <c r="AC13" s="205" t="s">
        <v>96</v>
      </c>
      <c r="AD13" s="205"/>
      <c r="AE13" s="66"/>
      <c r="AF13" s="13"/>
      <c r="AG13" s="205" t="s">
        <v>96</v>
      </c>
      <c r="AH13" s="205"/>
      <c r="AI13" s="66"/>
      <c r="AJ13" s="13"/>
      <c r="AK13" s="205" t="s">
        <v>96</v>
      </c>
      <c r="AL13" s="205"/>
      <c r="AM13" s="66"/>
      <c r="AN13" s="13"/>
      <c r="AO13" s="205" t="s">
        <v>96</v>
      </c>
      <c r="AP13" s="205"/>
      <c r="AQ13" s="66"/>
      <c r="AR13" s="13"/>
      <c r="AS13" s="205" t="s">
        <v>96</v>
      </c>
      <c r="AT13" s="205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3.9833458382984896E-2</v>
      </c>
      <c r="F17" s="50"/>
      <c r="G17" s="51">
        <v>771000000</v>
      </c>
      <c r="H17" s="51">
        <v>0.96044982930052714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3.8817005368937507E-2</v>
      </c>
      <c r="F18" s="50"/>
      <c r="G18" s="51">
        <v>771000000</v>
      </c>
      <c r="H18" s="51">
        <v>0.92466796626416614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3.7823618434692577E-2</v>
      </c>
      <c r="F19" s="50"/>
      <c r="G19" s="51">
        <v>771000000</v>
      </c>
      <c r="H19" s="51">
        <v>0.89118941322836942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3.8303446755880322E-2</v>
      </c>
      <c r="F20" s="50"/>
      <c r="G20" s="52">
        <v>771000000</v>
      </c>
      <c r="H20" s="51">
        <v>0.85875105525784812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3.7612791296581197E-2</v>
      </c>
      <c r="F21" s="50"/>
      <c r="G21" s="52">
        <v>771000000</v>
      </c>
      <c r="H21" s="51">
        <v>0.82797128729759073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3.8175072955726377E-2</v>
      </c>
      <c r="F22" s="50"/>
      <c r="G22" s="52">
        <v>771000000</v>
      </c>
      <c r="H22" s="51">
        <v>0.79799564909760412</v>
      </c>
      <c r="I22" s="86">
        <v>20240320</v>
      </c>
      <c r="J22" s="49">
        <v>3.7530229507166404E-2</v>
      </c>
      <c r="M22" s="50"/>
      <c r="N22" s="52">
        <v>342409315.06850255</v>
      </c>
      <c r="O22" s="51">
        <v>0.97983013679152797</v>
      </c>
      <c r="P22" s="13"/>
      <c r="T22" s="13"/>
    </row>
    <row r="23" spans="1:20" x14ac:dyDescent="0.4">
      <c r="B23" s="86">
        <v>20300920</v>
      </c>
      <c r="C23" s="49">
        <v>3.8180719220285597E-2</v>
      </c>
      <c r="F23" s="50"/>
      <c r="G23" s="52">
        <v>771000000</v>
      </c>
      <c r="H23" s="51">
        <v>0.76918727988736035</v>
      </c>
      <c r="I23" s="86">
        <v>20240920</v>
      </c>
      <c r="J23" s="49">
        <v>4.0071810060412431E-2</v>
      </c>
      <c r="M23" s="50"/>
      <c r="N23" s="52">
        <v>346172054.79447496</v>
      </c>
      <c r="O23" s="51">
        <v>0.96039999087902506</v>
      </c>
      <c r="P23" s="13"/>
      <c r="T23" s="13"/>
    </row>
    <row r="24" spans="1:20" x14ac:dyDescent="0.4">
      <c r="B24" s="86">
        <v>20310920</v>
      </c>
      <c r="C24" s="49">
        <v>3.8719351295130967E-2</v>
      </c>
      <c r="F24" s="50"/>
      <c r="G24" s="52">
        <v>771000000</v>
      </c>
      <c r="H24" s="51">
        <v>0.74090195475409726</v>
      </c>
      <c r="I24" s="86">
        <v>20250320</v>
      </c>
      <c r="J24" s="49">
        <v>3.855761510683265E-2</v>
      </c>
      <c r="M24" s="50"/>
      <c r="N24" s="52">
        <v>340527945.20552433</v>
      </c>
      <c r="O24" s="51">
        <v>0.9424002852583151</v>
      </c>
      <c r="P24" s="13"/>
      <c r="T24" s="13"/>
    </row>
    <row r="25" spans="1:20" x14ac:dyDescent="0.4">
      <c r="B25" s="86">
        <v>20320920</v>
      </c>
      <c r="C25" s="49">
        <v>3.8852393334641064E-2</v>
      </c>
      <c r="F25" s="50"/>
      <c r="G25" s="52">
        <v>771000000</v>
      </c>
      <c r="H25" s="51">
        <v>0.71362208028857976</v>
      </c>
      <c r="I25" s="86">
        <v>20250920</v>
      </c>
      <c r="J25" s="49">
        <v>3.8246220468362825E-2</v>
      </c>
      <c r="M25" s="50"/>
      <c r="N25" s="52">
        <v>346172054.79447496</v>
      </c>
      <c r="O25" s="51">
        <v>0.92459344367517926</v>
      </c>
      <c r="P25" s="13"/>
      <c r="T25" s="13"/>
    </row>
    <row r="26" spans="1:20" x14ac:dyDescent="0.4">
      <c r="B26" s="86">
        <v>20330920</v>
      </c>
      <c r="C26" s="49">
        <v>3.8988666170296581E-2</v>
      </c>
      <c r="F26" s="50"/>
      <c r="G26" s="52">
        <v>771000000</v>
      </c>
      <c r="H26" s="51">
        <v>0.68743062053066006</v>
      </c>
      <c r="I26" s="86">
        <v>20260320</v>
      </c>
      <c r="J26" s="49">
        <v>3.7609878445799994E-2</v>
      </c>
      <c r="M26" s="50"/>
      <c r="N26" s="52">
        <v>340527945.20552433</v>
      </c>
      <c r="O26" s="51">
        <v>0.90775083934351863</v>
      </c>
      <c r="P26" s="13"/>
      <c r="T26" s="13"/>
    </row>
    <row r="27" spans="1:20" x14ac:dyDescent="0.4">
      <c r="B27" s="86">
        <v>20340920</v>
      </c>
      <c r="C27" s="49">
        <v>3.9267487079733293E-2</v>
      </c>
      <c r="F27" s="50"/>
      <c r="G27" s="52">
        <v>771000000</v>
      </c>
      <c r="H27" s="51">
        <v>0.66205858149682473</v>
      </c>
      <c r="I27" s="86">
        <v>20260920</v>
      </c>
      <c r="J27" s="49">
        <v>3.6886003531727857E-2</v>
      </c>
      <c r="M27" s="50"/>
      <c r="N27" s="52">
        <v>346172054.79447496</v>
      </c>
      <c r="O27" s="51">
        <v>0.89128235302489622</v>
      </c>
      <c r="P27" s="13"/>
      <c r="T27" s="13"/>
    </row>
    <row r="28" spans="1:20" x14ac:dyDescent="0.4">
      <c r="B28" s="86">
        <v>20350920</v>
      </c>
      <c r="C28" s="49">
        <v>3.9297784616872646E-2</v>
      </c>
      <c r="F28" s="50"/>
      <c r="G28" s="52">
        <v>771000000</v>
      </c>
      <c r="H28" s="51">
        <v>0.63758098883815995</v>
      </c>
      <c r="I28" s="86">
        <v>20270320</v>
      </c>
      <c r="J28" s="49">
        <v>3.776036712076776E-2</v>
      </c>
      <c r="M28" s="50"/>
      <c r="N28" s="52">
        <v>340527945.20552433</v>
      </c>
      <c r="O28" s="51">
        <v>0.87492115374516055</v>
      </c>
      <c r="P28" s="13"/>
      <c r="T28" s="13"/>
    </row>
    <row r="29" spans="1:20" x14ac:dyDescent="0.4">
      <c r="B29" s="86">
        <v>20360920</v>
      </c>
      <c r="C29" s="49">
        <v>3.8715452066246624E-2</v>
      </c>
      <c r="F29" s="50"/>
      <c r="G29" s="52">
        <v>771000000</v>
      </c>
      <c r="H29" s="51">
        <v>0.61428560792202314</v>
      </c>
      <c r="I29" s="86">
        <v>20270920</v>
      </c>
      <c r="J29" s="49">
        <v>3.7624110534635068E-2</v>
      </c>
      <c r="M29" s="50"/>
      <c r="N29" s="52">
        <v>346172054.79447496</v>
      </c>
      <c r="O29" s="51">
        <v>0.85870724462710057</v>
      </c>
      <c r="P29" s="13"/>
      <c r="T29" s="13"/>
    </row>
    <row r="30" spans="1:20" x14ac:dyDescent="0.4">
      <c r="A30" s="91"/>
      <c r="B30" s="86">
        <v>20370920</v>
      </c>
      <c r="C30" s="49">
        <v>3.8754574401329872E-2</v>
      </c>
      <c r="F30" s="50"/>
      <c r="G30" s="52">
        <v>771000000</v>
      </c>
      <c r="H30" s="51">
        <v>0.59189240776091034</v>
      </c>
      <c r="I30" s="86">
        <v>20280320</v>
      </c>
      <c r="J30" s="49">
        <v>3.7076048761448356E-2</v>
      </c>
      <c r="M30" s="50"/>
      <c r="N30" s="52">
        <v>342409315.06850255</v>
      </c>
      <c r="O30" s="51">
        <v>0.84320926491826576</v>
      </c>
      <c r="P30" s="92"/>
      <c r="T30" s="13"/>
    </row>
    <row r="31" spans="1:20" x14ac:dyDescent="0.4">
      <c r="A31" s="91"/>
      <c r="B31" s="86">
        <v>20380920</v>
      </c>
      <c r="C31" s="49">
        <v>3.8777984272021247E-2</v>
      </c>
      <c r="F31" s="50"/>
      <c r="G31" s="52">
        <v>771000000</v>
      </c>
      <c r="H31" s="51">
        <v>0.57034344058046682</v>
      </c>
      <c r="I31" s="86">
        <v>20280920</v>
      </c>
      <c r="J31" s="49">
        <v>3.677162285460385E-2</v>
      </c>
      <c r="M31" s="50"/>
      <c r="N31" s="52">
        <v>346172054.79447496</v>
      </c>
      <c r="O31" s="51">
        <v>0.82793233612755679</v>
      </c>
      <c r="P31" s="92"/>
      <c r="T31" s="13"/>
    </row>
    <row r="32" spans="1:20" x14ac:dyDescent="0.4">
      <c r="A32" s="91"/>
      <c r="B32" s="86">
        <v>20390920</v>
      </c>
      <c r="C32" s="49">
        <v>3.5924099887005095E-2</v>
      </c>
      <c r="F32" s="50"/>
      <c r="G32" s="52">
        <v>771000000</v>
      </c>
      <c r="H32" s="51">
        <v>0.55117740227192569</v>
      </c>
      <c r="I32" s="86">
        <v>20281220</v>
      </c>
      <c r="J32" s="49">
        <v>3.7472229674255772E-2</v>
      </c>
      <c r="M32" s="50"/>
      <c r="N32" s="52">
        <v>287751197.28964156</v>
      </c>
      <c r="O32" s="51">
        <v>0.82031425755159604</v>
      </c>
      <c r="P32" s="92"/>
      <c r="T32" s="13"/>
    </row>
    <row r="33" spans="1:20" x14ac:dyDescent="0.4">
      <c r="A33" s="91"/>
      <c r="B33" s="86">
        <v>20400920</v>
      </c>
      <c r="C33" s="49">
        <v>3.5552822044028459E-2</v>
      </c>
      <c r="F33" s="50"/>
      <c r="G33" s="52">
        <v>771000000</v>
      </c>
      <c r="H33" s="51">
        <v>0.53284620925106541</v>
      </c>
      <c r="I33" s="86">
        <v>20290320</v>
      </c>
      <c r="J33" s="49">
        <v>3.7506826897259024E-2</v>
      </c>
      <c r="M33" s="50"/>
      <c r="N33" s="52">
        <v>284845020.88383269</v>
      </c>
      <c r="O33" s="51">
        <v>0.81287048538652662</v>
      </c>
      <c r="P33" s="92"/>
      <c r="T33" s="13"/>
    </row>
    <row r="34" spans="1:20" x14ac:dyDescent="0.4">
      <c r="A34" s="91"/>
      <c r="B34" s="87">
        <v>20410920</v>
      </c>
      <c r="C34" s="49">
        <v>3.5144718965452328E-2</v>
      </c>
      <c r="G34" s="89">
        <v>771000000</v>
      </c>
      <c r="H34" s="89">
        <v>0.51539322280436528</v>
      </c>
      <c r="I34" s="88">
        <v>20290620</v>
      </c>
      <c r="J34" s="49">
        <v>3.7305792344322242E-2</v>
      </c>
      <c r="N34" s="89">
        <v>289654758.54884607</v>
      </c>
      <c r="O34" s="89">
        <v>0.80538942806331837</v>
      </c>
      <c r="P34" s="93"/>
    </row>
    <row r="35" spans="1:20" x14ac:dyDescent="0.4">
      <c r="A35" s="91"/>
      <c r="B35" s="87">
        <v>20420920</v>
      </c>
      <c r="C35" s="49">
        <v>3.4816275147353595E-2</v>
      </c>
      <c r="G35" s="89">
        <v>771000000</v>
      </c>
      <c r="H35" s="89">
        <v>0.49866859817816117</v>
      </c>
      <c r="I35" s="88">
        <v>20290920</v>
      </c>
      <c r="J35" s="49">
        <v>3.717539705815049E-2</v>
      </c>
      <c r="N35" s="89">
        <v>288668755.83697313</v>
      </c>
      <c r="O35" s="89">
        <v>0.79797259608905013</v>
      </c>
      <c r="P35" s="93"/>
    </row>
    <row r="36" spans="1:20" x14ac:dyDescent="0.4">
      <c r="A36" s="91"/>
      <c r="I36" s="88">
        <v>20291220</v>
      </c>
      <c r="J36" s="49">
        <v>3.739261334765203E-2</v>
      </c>
      <c r="N36" s="89">
        <v>287155710.79202598</v>
      </c>
      <c r="O36" s="89">
        <v>0.79063903965065718</v>
      </c>
      <c r="P36" s="93"/>
    </row>
    <row r="37" spans="1:20" x14ac:dyDescent="0.4">
      <c r="A37" s="91"/>
      <c r="I37" s="88">
        <v>20300320</v>
      </c>
      <c r="J37" s="49">
        <v>3.7398675411124328E-2</v>
      </c>
      <c r="N37" s="89">
        <v>284044996.1918776</v>
      </c>
      <c r="O37" s="89">
        <v>0.7834442847184524</v>
      </c>
      <c r="P37" s="93"/>
    </row>
    <row r="38" spans="1:20" x14ac:dyDescent="0.4">
      <c r="A38" s="91"/>
      <c r="I38" s="88">
        <v>20300620</v>
      </c>
      <c r="J38" s="49">
        <v>3.7351662091809006E-2</v>
      </c>
      <c r="N38" s="89">
        <v>290001609.24217123</v>
      </c>
      <c r="O38" s="89">
        <v>0.77617526553895777</v>
      </c>
      <c r="P38" s="93"/>
    </row>
    <row r="39" spans="1:20" x14ac:dyDescent="0.4">
      <c r="A39" s="91"/>
      <c r="I39" s="88">
        <v>20300920</v>
      </c>
      <c r="J39" s="49">
        <v>3.7453800923351689E-2</v>
      </c>
      <c r="N39" s="89">
        <v>290773946.70808262</v>
      </c>
      <c r="O39" s="89">
        <v>0.76894688358723262</v>
      </c>
      <c r="P39" s="93"/>
    </row>
    <row r="40" spans="1:20" x14ac:dyDescent="0.4">
      <c r="A40" s="91"/>
      <c r="I40" s="88">
        <v>20301220</v>
      </c>
      <c r="J40" s="49">
        <v>3.7852137483877377E-2</v>
      </c>
      <c r="N40" s="89">
        <v>290592699.53694654</v>
      </c>
      <c r="O40" s="89">
        <v>0.76180467229832316</v>
      </c>
      <c r="P40" s="93"/>
    </row>
    <row r="41" spans="1:20" x14ac:dyDescent="0.4">
      <c r="A41" s="91"/>
      <c r="I41" s="88">
        <v>20310320</v>
      </c>
      <c r="J41" s="49">
        <v>3.7971048849518046E-2</v>
      </c>
      <c r="N41" s="89">
        <v>288278991.48958433</v>
      </c>
      <c r="O41" s="89">
        <v>0.75479523542803728</v>
      </c>
      <c r="P41" s="93"/>
    </row>
    <row r="42" spans="1:20" x14ac:dyDescent="0.4">
      <c r="A42" s="91"/>
      <c r="I42" s="88">
        <v>20310620</v>
      </c>
      <c r="J42" s="49">
        <v>3.7959309146931026E-2</v>
      </c>
      <c r="N42" s="89">
        <v>294596419.85076809</v>
      </c>
      <c r="O42" s="89">
        <v>0.74772240408337221</v>
      </c>
      <c r="P42" s="93"/>
    </row>
    <row r="43" spans="1:20" x14ac:dyDescent="0.4">
      <c r="A43" s="91"/>
      <c r="I43" s="88">
        <v>20310920</v>
      </c>
      <c r="J43" s="49">
        <v>3.7950536467463672E-2</v>
      </c>
      <c r="N43" s="89">
        <v>294530083.97315168</v>
      </c>
      <c r="O43" s="89">
        <v>0.74071380510959839</v>
      </c>
      <c r="P43" s="93"/>
    </row>
    <row r="44" spans="1:20" x14ac:dyDescent="0.4">
      <c r="A44" s="91"/>
      <c r="I44" s="88">
        <v>20311220</v>
      </c>
      <c r="J44" s="49">
        <v>3.794888686224699E-2</v>
      </c>
      <c r="N44" s="89">
        <v>291316331.87379181</v>
      </c>
      <c r="O44" s="89">
        <v>0.7338447500290135</v>
      </c>
      <c r="P44" s="93"/>
    </row>
    <row r="45" spans="1:20" x14ac:dyDescent="0.4">
      <c r="A45" s="91"/>
      <c r="I45" s="88">
        <v>20320320</v>
      </c>
      <c r="J45" s="49">
        <v>3.7958190033218549E-2</v>
      </c>
      <c r="N45" s="89">
        <v>291385914.49503106</v>
      </c>
      <c r="O45" s="89">
        <v>0.72704448029578339</v>
      </c>
      <c r="P45" s="93"/>
    </row>
    <row r="46" spans="1:20" x14ac:dyDescent="0.4">
      <c r="A46" s="91"/>
      <c r="I46" s="88">
        <v>20320620</v>
      </c>
      <c r="J46" s="49">
        <v>3.7985610910531757E-2</v>
      </c>
      <c r="N46" s="89">
        <v>294795304.41936433</v>
      </c>
      <c r="O46" s="89">
        <v>0.72023217493461178</v>
      </c>
      <c r="P46" s="93"/>
    </row>
    <row r="47" spans="1:20" x14ac:dyDescent="0.4">
      <c r="A47" s="91"/>
      <c r="I47" s="88">
        <v>20320920</v>
      </c>
      <c r="J47" s="49">
        <v>3.8013753417140646E-2</v>
      </c>
      <c r="N47" s="89">
        <v>295008108.03098089</v>
      </c>
      <c r="O47" s="89">
        <v>0.71348116503478731</v>
      </c>
      <c r="P47" s="93"/>
    </row>
    <row r="48" spans="1:20" x14ac:dyDescent="0.4">
      <c r="A48" s="91"/>
      <c r="I48" s="88">
        <v>20321220</v>
      </c>
      <c r="J48" s="49">
        <v>3.804603057807987E-2</v>
      </c>
      <c r="N48" s="89">
        <v>292042913.63878947</v>
      </c>
      <c r="O48" s="89">
        <v>0.70686363350154391</v>
      </c>
      <c r="P48" s="93"/>
    </row>
    <row r="49" spans="1:16" x14ac:dyDescent="0.4">
      <c r="A49" s="91"/>
      <c r="I49" s="88">
        <v>20330320</v>
      </c>
      <c r="J49" s="49">
        <v>3.8118075823620513E-2</v>
      </c>
      <c r="N49" s="89">
        <v>289366588.28431678</v>
      </c>
      <c r="O49" s="89">
        <v>0.7003622261066319</v>
      </c>
      <c r="P49" s="93"/>
    </row>
    <row r="50" spans="1:16" x14ac:dyDescent="0.4">
      <c r="A50" s="91"/>
      <c r="I50" s="88">
        <v>20330620</v>
      </c>
      <c r="J50" s="49">
        <v>3.8075842917884004E-2</v>
      </c>
      <c r="N50" s="89">
        <v>295477606.72153354</v>
      </c>
      <c r="O50" s="89">
        <v>0.69379738052898932</v>
      </c>
      <c r="P50" s="93"/>
    </row>
    <row r="51" spans="1:16" x14ac:dyDescent="0.4">
      <c r="A51" s="91"/>
      <c r="I51" s="88">
        <v>20330920</v>
      </c>
      <c r="J51" s="49">
        <v>3.811314866654672E-2</v>
      </c>
      <c r="N51" s="89">
        <v>295759699.50594109</v>
      </c>
      <c r="O51" s="89">
        <v>0.68727887072985316</v>
      </c>
      <c r="P51" s="93"/>
    </row>
    <row r="52" spans="1:16" x14ac:dyDescent="0.4">
      <c r="I52" s="88">
        <v>20331220</v>
      </c>
      <c r="J52" s="49">
        <v>3.8270914663931219E-2</v>
      </c>
      <c r="N52" s="89">
        <v>293724923.37679952</v>
      </c>
      <c r="O52" s="89">
        <v>0.68086629115613007</v>
      </c>
    </row>
    <row r="53" spans="1:16" x14ac:dyDescent="0.4">
      <c r="I53" s="88">
        <v>20340320</v>
      </c>
      <c r="J53" s="49">
        <v>3.8296825181767108E-2</v>
      </c>
      <c r="N53" s="89">
        <v>290688843.81033313</v>
      </c>
      <c r="O53" s="89">
        <v>0.67456558723613791</v>
      </c>
    </row>
    <row r="54" spans="1:16" x14ac:dyDescent="0.4">
      <c r="I54" s="88">
        <v>20340620</v>
      </c>
      <c r="J54" s="49">
        <v>3.8391606004092825E-2</v>
      </c>
      <c r="N54" s="89">
        <v>297865294.71588105</v>
      </c>
      <c r="O54" s="89">
        <v>0.66817152473311325</v>
      </c>
    </row>
    <row r="55" spans="1:16" x14ac:dyDescent="0.4">
      <c r="I55" s="88">
        <v>20340920</v>
      </c>
      <c r="J55" s="49">
        <v>3.834983683107325E-2</v>
      </c>
      <c r="N55" s="89">
        <v>297549451.10619789</v>
      </c>
      <c r="O55" s="89">
        <v>0.66185789096344239</v>
      </c>
    </row>
    <row r="56" spans="1:16" x14ac:dyDescent="0.4">
      <c r="I56" s="88">
        <v>20341220</v>
      </c>
      <c r="J56" s="49">
        <v>3.8295113916426433E-2</v>
      </c>
      <c r="N56" s="89">
        <v>293905920.52559835</v>
      </c>
      <c r="O56" s="89">
        <v>0.65567021732622588</v>
      </c>
    </row>
    <row r="57" spans="1:16" x14ac:dyDescent="0.4">
      <c r="I57" s="88">
        <v>20350320</v>
      </c>
      <c r="J57" s="49">
        <v>3.8246854137817442E-2</v>
      </c>
      <c r="N57" s="89">
        <v>290319194.99207556</v>
      </c>
      <c r="O57" s="89">
        <v>0.64960351191599797</v>
      </c>
    </row>
    <row r="58" spans="1:16" x14ac:dyDescent="0.4">
      <c r="I58" s="88">
        <v>20350620</v>
      </c>
      <c r="J58" s="49">
        <v>3.8372990249065868E-2</v>
      </c>
      <c r="N58" s="89">
        <v>297724529.00663632</v>
      </c>
      <c r="O58" s="89">
        <v>0.64343140555991496</v>
      </c>
    </row>
    <row r="59" spans="1:16" x14ac:dyDescent="0.4">
      <c r="I59" s="88">
        <v>20350920</v>
      </c>
      <c r="J59" s="49">
        <v>3.831773909126121E-2</v>
      </c>
      <c r="N59" s="89">
        <v>297306739.42980969</v>
      </c>
      <c r="O59" s="89">
        <v>0.63734399978492662</v>
      </c>
    </row>
    <row r="60" spans="1:16" x14ac:dyDescent="0.4">
      <c r="I60" s="88">
        <v>20351220</v>
      </c>
      <c r="J60" s="49">
        <v>3.7722674297214882E-2</v>
      </c>
      <c r="N60" s="89">
        <v>289624385.83944333</v>
      </c>
      <c r="O60" s="89">
        <v>0.63147073082801564</v>
      </c>
    </row>
    <row r="61" spans="1:16" x14ac:dyDescent="0.4">
      <c r="I61" s="88">
        <v>20360320</v>
      </c>
      <c r="J61" s="49">
        <v>3.7785967655905299E-2</v>
      </c>
      <c r="N61" s="89">
        <v>290097785.48115432</v>
      </c>
      <c r="O61" s="89">
        <v>0.62563782777324128</v>
      </c>
    </row>
    <row r="62" spans="1:16" x14ac:dyDescent="0.4">
      <c r="I62" s="88">
        <v>20360620</v>
      </c>
      <c r="J62" s="49">
        <v>3.7883783773601507E-2</v>
      </c>
      <c r="N62" s="89">
        <v>294025323.87709689</v>
      </c>
      <c r="O62" s="89">
        <v>0.61979235084769135</v>
      </c>
    </row>
    <row r="63" spans="1:16" x14ac:dyDescent="0.4">
      <c r="I63" s="88">
        <v>20360920</v>
      </c>
      <c r="J63" s="49">
        <v>3.7757196233783472E-2</v>
      </c>
      <c r="N63" s="89">
        <v>293068113.9869653</v>
      </c>
      <c r="O63" s="89">
        <v>0.61403706948797587</v>
      </c>
    </row>
    <row r="64" spans="1:16" x14ac:dyDescent="0.4">
      <c r="I64" s="88">
        <v>20361220</v>
      </c>
      <c r="J64" s="49">
        <v>3.7743566494288693E-2</v>
      </c>
      <c r="N64" s="89">
        <v>289780648.02577502</v>
      </c>
      <c r="O64" s="89">
        <v>0.60838048140319589</v>
      </c>
    </row>
    <row r="65" spans="9:15" x14ac:dyDescent="0.4">
      <c r="I65" s="88">
        <v>20370320</v>
      </c>
      <c r="J65" s="49">
        <v>3.7802166025504479E-2</v>
      </c>
      <c r="N65" s="89">
        <v>287029721.28455275</v>
      </c>
      <c r="O65" s="89">
        <v>0.60282807205255773</v>
      </c>
    </row>
    <row r="66" spans="9:15" x14ac:dyDescent="0.4">
      <c r="I66" s="88">
        <v>20370620</v>
      </c>
      <c r="J66" s="49">
        <v>3.7830637068269883E-2</v>
      </c>
      <c r="N66" s="89">
        <v>293623447.42034566</v>
      </c>
      <c r="O66" s="89">
        <v>0.59721228127084425</v>
      </c>
    </row>
    <row r="67" spans="9:15" x14ac:dyDescent="0.4">
      <c r="I67" s="88">
        <v>20370920</v>
      </c>
      <c r="J67" s="49">
        <v>3.7886871262436665E-2</v>
      </c>
      <c r="N67" s="89">
        <v>294048670.3680141</v>
      </c>
      <c r="O67" s="89">
        <v>0.59164603874308863</v>
      </c>
    </row>
    <row r="68" spans="9:15" x14ac:dyDescent="0.4">
      <c r="I68" s="88">
        <v>20371220</v>
      </c>
      <c r="J68" s="49">
        <v>3.7845958967831814E-2</v>
      </c>
      <c r="N68" s="89">
        <v>290546487.6224125</v>
      </c>
      <c r="O68" s="89">
        <v>0.58620595665843078</v>
      </c>
    </row>
    <row r="69" spans="9:15" x14ac:dyDescent="0.4">
      <c r="I69" s="88">
        <v>20380320</v>
      </c>
      <c r="J69" s="49">
        <v>3.7788066025738795E-2</v>
      </c>
      <c r="N69" s="89">
        <v>286925419.91642386</v>
      </c>
      <c r="O69" s="89">
        <v>0.58087764585820478</v>
      </c>
    </row>
    <row r="70" spans="9:15" x14ac:dyDescent="0.4">
      <c r="I70" s="88">
        <v>20380620</v>
      </c>
      <c r="J70" s="49">
        <v>3.7920055600648962E-2</v>
      </c>
      <c r="N70" s="89">
        <v>294299598.51449579</v>
      </c>
      <c r="O70" s="89">
        <v>0.5754582649369856</v>
      </c>
    </row>
    <row r="71" spans="9:15" x14ac:dyDescent="0.4">
      <c r="I71" s="88">
        <v>20380920</v>
      </c>
      <c r="J71" s="49">
        <v>3.7629984192873854E-2</v>
      </c>
      <c r="N71" s="89">
        <v>292106181.84200472</v>
      </c>
      <c r="O71" s="89">
        <v>0.57014900119476797</v>
      </c>
    </row>
    <row r="72" spans="9:15" x14ac:dyDescent="0.4">
      <c r="I72" s="88">
        <v>20381220</v>
      </c>
      <c r="J72" s="49">
        <v>3.5098479847674467E-2</v>
      </c>
      <c r="N72" s="89">
        <v>269996849.27164841</v>
      </c>
      <c r="O72" s="89">
        <v>0.56531060529961941</v>
      </c>
    </row>
    <row r="73" spans="9:15" x14ac:dyDescent="0.4">
      <c r="I73" s="88">
        <v>20390320</v>
      </c>
      <c r="J73" s="49">
        <v>3.4952623737040618E-2</v>
      </c>
      <c r="N73" s="89">
        <v>265950915.31509599</v>
      </c>
      <c r="O73" s="89">
        <v>0.56057073615645714</v>
      </c>
    </row>
    <row r="74" spans="9:15" x14ac:dyDescent="0.4">
      <c r="I74" s="88">
        <v>20390620</v>
      </c>
      <c r="J74" s="49">
        <v>3.4758701504615838E-2</v>
      </c>
      <c r="N74" s="89">
        <v>270394564.80202645</v>
      </c>
      <c r="O74" s="89">
        <v>0.55578735470226603</v>
      </c>
    </row>
    <row r="75" spans="9:15" x14ac:dyDescent="0.4">
      <c r="I75" s="88">
        <v>20390920</v>
      </c>
      <c r="J75" s="49">
        <v>3.4773076979359087E-2</v>
      </c>
      <c r="N75" s="89">
        <v>270503267.02200371</v>
      </c>
      <c r="O75" s="89">
        <v>0.55102891325927039</v>
      </c>
    </row>
    <row r="76" spans="9:15" x14ac:dyDescent="0.4">
      <c r="I76" s="88">
        <v>20391220</v>
      </c>
      <c r="J76" s="49">
        <v>3.4711647577808015E-2</v>
      </c>
      <c r="N76" s="89">
        <v>267103555.85593447</v>
      </c>
      <c r="O76" s="89">
        <v>0.54638631776120528</v>
      </c>
    </row>
    <row r="77" spans="9:15" x14ac:dyDescent="0.4">
      <c r="I77" s="88">
        <v>20400320</v>
      </c>
      <c r="J77" s="49">
        <v>3.4586457597731872E-2</v>
      </c>
      <c r="N77" s="89">
        <v>266167203.40221453</v>
      </c>
      <c r="O77" s="89">
        <v>0.54180502887403392</v>
      </c>
    </row>
    <row r="78" spans="9:15" x14ac:dyDescent="0.4">
      <c r="I78" s="88">
        <v>20400620</v>
      </c>
      <c r="J78" s="49">
        <v>3.4477639341353492E-2</v>
      </c>
      <c r="N78" s="89">
        <v>268269272.82777053</v>
      </c>
      <c r="O78" s="89">
        <v>0.53722458485782032</v>
      </c>
    </row>
    <row r="79" spans="9:15" x14ac:dyDescent="0.4">
      <c r="I79" s="88">
        <v>20400920</v>
      </c>
      <c r="J79" s="49">
        <v>3.4392544658081524E-2</v>
      </c>
      <c r="N79" s="89">
        <v>267625817.14056146</v>
      </c>
      <c r="O79" s="89">
        <v>0.53269258207812753</v>
      </c>
    </row>
    <row r="80" spans="9:15" x14ac:dyDescent="0.4">
      <c r="I80" s="88">
        <v>20401220</v>
      </c>
      <c r="J80" s="49">
        <v>3.4295371332459031E-2</v>
      </c>
      <c r="N80" s="89">
        <v>263990037.63729531</v>
      </c>
      <c r="O80" s="89">
        <v>0.52826178179907324</v>
      </c>
    </row>
    <row r="81" spans="9:15" x14ac:dyDescent="0.4">
      <c r="I81" s="88">
        <v>20410320</v>
      </c>
      <c r="J81" s="49">
        <v>3.4199923665037484E-2</v>
      </c>
      <c r="N81" s="89">
        <v>260382996.97424936</v>
      </c>
      <c r="O81" s="89">
        <v>0.52392850578570693</v>
      </c>
    </row>
    <row r="82" spans="9:15" x14ac:dyDescent="0.4">
      <c r="I82" s="88">
        <v>20410620</v>
      </c>
      <c r="J82" s="49">
        <v>3.4072045908594667E-2</v>
      </c>
      <c r="N82" s="89">
        <v>265202319.74718198</v>
      </c>
      <c r="O82" s="89">
        <v>0.51955382922993865</v>
      </c>
    </row>
    <row r="83" spans="9:15" x14ac:dyDescent="0.4">
      <c r="I83" s="88">
        <v>20410920</v>
      </c>
      <c r="J83" s="49">
        <v>3.4042054358067224E-2</v>
      </c>
      <c r="N83" s="89">
        <v>264975534.32401317</v>
      </c>
      <c r="O83" s="89">
        <v>0.51521531388055031</v>
      </c>
    </row>
    <row r="84" spans="9:15" x14ac:dyDescent="0.4">
      <c r="I84" s="88">
        <v>20411220</v>
      </c>
      <c r="J84" s="49">
        <v>3.3959496626617597E-2</v>
      </c>
      <c r="N84" s="89">
        <v>261477878.87853563</v>
      </c>
      <c r="O84" s="89">
        <v>0.5109786805346388</v>
      </c>
    </row>
    <row r="85" spans="9:15" x14ac:dyDescent="0.4">
      <c r="I85" s="88">
        <v>20420320</v>
      </c>
      <c r="J85" s="49">
        <v>3.3788752655231923E-2</v>
      </c>
      <c r="N85" s="89">
        <v>257341457.99760681</v>
      </c>
      <c r="O85" s="89">
        <v>0.50684643179426714</v>
      </c>
    </row>
    <row r="86" spans="9:15" x14ac:dyDescent="0.4">
      <c r="I86" s="88">
        <v>20420620</v>
      </c>
      <c r="J86" s="49">
        <v>3.37537448843232E-2</v>
      </c>
      <c r="N86" s="89">
        <v>262795440.76912996</v>
      </c>
      <c r="O86" s="89">
        <v>0.50265282758200414</v>
      </c>
    </row>
    <row r="87" spans="9:15" x14ac:dyDescent="0.4">
      <c r="I87" s="88">
        <v>20420920</v>
      </c>
      <c r="J87" s="49">
        <v>3.3719692939589443E-2</v>
      </c>
      <c r="N87" s="89">
        <v>262537952.09114414</v>
      </c>
      <c r="O87" s="89">
        <v>0.49850587561926518</v>
      </c>
    </row>
    <row r="88" spans="9:15" x14ac:dyDescent="0.4">
      <c r="I88" s="88">
        <v>20421220</v>
      </c>
      <c r="J88" s="49">
        <v>3.3622292033866213E-2</v>
      </c>
      <c r="N88" s="89">
        <v>258955773.29439682</v>
      </c>
      <c r="O88" s="89">
        <v>0.49445730475913069</v>
      </c>
    </row>
    <row r="89" spans="9:15" x14ac:dyDescent="0.4">
      <c r="I89" s="88">
        <v>20430320</v>
      </c>
      <c r="J89" s="49">
        <v>3.3444838983611822E-2</v>
      </c>
      <c r="N89" s="89">
        <v>254797439.05685604</v>
      </c>
      <c r="O89" s="89">
        <v>0.49050762964075573</v>
      </c>
    </row>
    <row r="90" spans="9:15" x14ac:dyDescent="0.4">
      <c r="I90" s="88">
        <v>20430620</v>
      </c>
      <c r="J90" s="49">
        <v>3.3412630654676041E-2</v>
      </c>
      <c r="N90" s="89">
        <v>260216056.45727545</v>
      </c>
      <c r="O90" s="89">
        <v>0.48649778123950216</v>
      </c>
    </row>
    <row r="91" spans="9:15" x14ac:dyDescent="0.4">
      <c r="I91" s="88">
        <v>20430920</v>
      </c>
      <c r="J91" s="49">
        <v>3.3077615711712423E-2</v>
      </c>
      <c r="N91" s="89">
        <v>257682792.77897537</v>
      </c>
      <c r="O91" s="89">
        <v>0.48256676865964593</v>
      </c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2023-10-03T10:30:57Z</dcterms:modified>
</cp:coreProperties>
</file>