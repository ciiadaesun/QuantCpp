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Phas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" l="1"/>
  <c r="M11" i="1"/>
  <c r="AT92" i="2"/>
  <c r="AT91" i="2"/>
  <c r="AT90" i="2"/>
  <c r="AT89" i="2"/>
  <c r="AT88" i="2"/>
  <c r="AT87" i="2"/>
  <c r="AT86" i="2"/>
  <c r="AT85" i="2"/>
  <c r="AT84" i="2"/>
  <c r="AT83" i="2"/>
  <c r="AT82" i="2"/>
  <c r="AT81" i="2"/>
  <c r="AT80" i="2"/>
  <c r="AT79" i="2"/>
  <c r="AT78" i="2"/>
  <c r="AT77" i="2"/>
  <c r="AT76" i="2"/>
  <c r="AT75" i="2"/>
  <c r="AT74" i="2"/>
  <c r="AT73" i="2"/>
  <c r="AT72" i="2"/>
  <c r="AT71" i="2"/>
  <c r="AT70" i="2"/>
  <c r="AT69" i="2"/>
  <c r="AT68" i="2"/>
  <c r="AT67" i="2"/>
  <c r="AT66" i="2"/>
  <c r="AT65" i="2"/>
  <c r="AT64" i="2"/>
  <c r="AT63" i="2"/>
  <c r="AT62" i="2"/>
  <c r="AT61" i="2"/>
  <c r="AT60" i="2"/>
  <c r="AT59" i="2"/>
  <c r="AT58" i="2"/>
  <c r="AT57" i="2"/>
  <c r="AT56" i="2"/>
  <c r="AT55" i="2"/>
  <c r="AT54" i="2"/>
  <c r="AT53" i="2"/>
  <c r="O14" i="2"/>
  <c r="N15" i="2" s="1"/>
  <c r="O15" i="2" s="1"/>
  <c r="N16" i="2" s="1"/>
  <c r="O16" i="2" s="1"/>
  <c r="N17" i="2" s="1"/>
  <c r="O17" i="2" s="1"/>
  <c r="N18" i="2" s="1"/>
  <c r="O18" i="2" s="1"/>
  <c r="N19" i="2" s="1"/>
  <c r="O19" i="2" s="1"/>
  <c r="N20" i="2" s="1"/>
  <c r="O20" i="2" s="1"/>
  <c r="N21" i="2" s="1"/>
  <c r="O21" i="2" s="1"/>
  <c r="N22" i="2" s="1"/>
  <c r="O22" i="2" s="1"/>
  <c r="N23" i="2" s="1"/>
  <c r="O23" i="2" s="1"/>
  <c r="N24" i="2" s="1"/>
  <c r="O24" i="2" s="1"/>
  <c r="N25" i="2" s="1"/>
  <c r="O25" i="2" s="1"/>
  <c r="N26" i="2" s="1"/>
  <c r="O26" i="2" s="1"/>
  <c r="N27" i="2" s="1"/>
  <c r="O27" i="2" s="1"/>
  <c r="N28" i="2" s="1"/>
  <c r="O28" i="2" s="1"/>
  <c r="N29" i="2" s="1"/>
  <c r="O29" i="2" s="1"/>
  <c r="N30" i="2" s="1"/>
  <c r="O30" i="2" s="1"/>
  <c r="N31" i="2" s="1"/>
  <c r="O31" i="2" s="1"/>
  <c r="N32" i="2" s="1"/>
  <c r="O32" i="2" s="1"/>
  <c r="N33" i="2" s="1"/>
  <c r="O33" i="2" s="1"/>
  <c r="N34" i="2" s="1"/>
  <c r="O34" i="2" s="1"/>
  <c r="N35" i="2" s="1"/>
  <c r="O35" i="2" s="1"/>
  <c r="N36" i="2" s="1"/>
  <c r="O36" i="2" s="1"/>
  <c r="N14" i="2"/>
  <c r="O13" i="2"/>
  <c r="AE30" i="2" l="1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AT13" i="2" l="1"/>
  <c r="R13" i="2"/>
  <c r="AT14" i="2" l="1"/>
  <c r="N70" i="1"/>
  <c r="R14" i="2" l="1"/>
  <c r="A41" i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T15" i="2" l="1"/>
  <c r="Q191" i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R15" i="2" l="1"/>
  <c r="M1" i="3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T16" i="2" l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R16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T17" i="2" l="1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R17" i="2" l="1"/>
  <c r="AI29" i="2"/>
  <c r="AI20" i="2"/>
  <c r="AI11" i="2"/>
  <c r="G29" i="2"/>
  <c r="G20" i="2"/>
  <c r="G11" i="2"/>
  <c r="AT18" i="2" l="1"/>
  <c r="R18" i="2" l="1"/>
  <c r="AE31" i="2"/>
  <c r="AE22" i="2"/>
  <c r="AE13" i="2"/>
  <c r="C31" i="2"/>
  <c r="C22" i="2"/>
  <c r="C13" i="2"/>
  <c r="AT19" i="2" l="1"/>
  <c r="O11" i="2"/>
  <c r="AQ11" i="2"/>
  <c r="N11" i="2"/>
  <c r="AP11" i="2"/>
  <c r="R19" i="2" l="1"/>
  <c r="AJ39" i="2"/>
  <c r="H39" i="2"/>
  <c r="AT20" i="2" l="1"/>
  <c r="L11" i="3"/>
  <c r="K11" i="3"/>
  <c r="J11" i="3"/>
  <c r="E11" i="3"/>
  <c r="D11" i="3"/>
  <c r="C11" i="3"/>
  <c r="R20" i="2" l="1"/>
  <c r="Q1" i="4"/>
  <c r="R1" i="4" s="1"/>
  <c r="S1" i="4" s="1"/>
  <c r="T1" i="4" s="1"/>
  <c r="U1" i="4" s="1"/>
  <c r="V1" i="4" s="1"/>
  <c r="W1" i="4" s="1"/>
  <c r="AT21" i="2" l="1"/>
  <c r="C1" i="3"/>
  <c r="D1" i="3" s="1"/>
  <c r="E1" i="3" s="1"/>
  <c r="F1" i="3" s="1"/>
  <c r="G1" i="3" s="1"/>
  <c r="H1" i="3" s="1"/>
  <c r="I1" i="3" s="1"/>
  <c r="J1" i="3" s="1"/>
  <c r="K1" i="3" s="1"/>
  <c r="L1" i="3" s="1"/>
  <c r="B1" i="3"/>
  <c r="R21" i="2" l="1"/>
  <c r="E4" i="4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AT22" i="2" l="1"/>
  <c r="K25" i="2"/>
  <c r="K16" i="2"/>
  <c r="K34" i="2"/>
  <c r="R22" i="2" l="1"/>
  <c r="AT23" i="2" l="1"/>
  <c r="R23" i="2" l="1"/>
  <c r="AT24" i="2" l="1"/>
  <c r="R24" i="2" l="1"/>
  <c r="AT25" i="2" l="1"/>
  <c r="R25" i="2" l="1"/>
  <c r="AT26" i="2" l="1"/>
  <c r="R26" i="2" l="1"/>
  <c r="AT27" i="2" l="1"/>
  <c r="R27" i="2" l="1"/>
  <c r="AT28" i="2" l="1"/>
  <c r="R28" i="2" l="1"/>
  <c r="AT29" i="2" l="1"/>
  <c r="R29" i="2" l="1"/>
  <c r="AT30" i="2" l="1"/>
  <c r="R30" i="2" l="1"/>
  <c r="AT31" i="2" l="1"/>
  <c r="R31" i="2" l="1"/>
  <c r="AT32" i="2" l="1"/>
  <c r="R32" i="2" l="1"/>
  <c r="AT33" i="2" l="1"/>
  <c r="R33" i="2" l="1"/>
  <c r="AT34" i="2" l="1"/>
  <c r="R34" i="2" l="1"/>
  <c r="AT35" i="2" l="1"/>
  <c r="R35" i="2" l="1"/>
  <c r="AT36" i="2" l="1"/>
  <c r="R36" i="2" l="1"/>
  <c r="AT37" i="2" l="1"/>
  <c r="AT38" i="2" l="1"/>
  <c r="AT39" i="2" l="1"/>
  <c r="AT40" i="2" l="1"/>
  <c r="AT41" i="2" l="1"/>
  <c r="AT42" i="2" l="1"/>
  <c r="AT43" i="2" l="1"/>
  <c r="AT44" i="2" l="1"/>
  <c r="AT45" i="2" l="1"/>
  <c r="AT46" i="2" l="1"/>
  <c r="AT47" i="2" l="1"/>
  <c r="AT48" i="2" l="1"/>
  <c r="AT49" i="2" l="1"/>
  <c r="AT50" i="2" l="1"/>
  <c r="AT51" i="2" l="1"/>
  <c r="AT52" i="2" l="1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2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73" authorId="0" shapeId="0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  <comment ref="L46" authorId="0" shapeId="0">
      <text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미반영중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<sst xmlns="http://schemas.openxmlformats.org/spreadsheetml/2006/main" count="273" uniqueCount="118">
  <si>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</si>
  <si>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</si>
  <si>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</si>
  <si>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</si>
  <si>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</si>
  <si>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</si>
  <si>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</si>
  <si>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</si>
  <si>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</si>
  <si>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</si>
  <si>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</si>
  <si>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</si>
  <si>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</si>
  <si>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</si>
  <si>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</si>
  <si>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</si>
  <si>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</si>
  <si>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</si>
  <si>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</si>
  <si>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</si>
  <si>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</si>
  <si>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</si>
  <si>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</si>
  <si>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</si>
  <si>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</si>
  <si>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</si>
  <si>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</si>
  <si>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</si>
  <si>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</si>
  <si>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</si>
  <si>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</si>
  <si>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</si>
  <si>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</si>
  <si>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</si>
  <si>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</si>
  <si>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</si>
  <si>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</si>
  <si>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</si>
  <si>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</si>
  <si>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</si>
  <si>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</si>
  <si>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</si>
  <si>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</si>
  <si>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</si>
  <si>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</si>
  <si>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</si>
  <si>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</si>
  <si>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</si>
  <si>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</si>
  <si>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</si>
  <si>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</si>
  <si>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</si>
  <si>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</si>
  <si>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</si>
  <si>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</si>
  <si>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</si>
  <si>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</si>
  <si>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</si>
  <si>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</si>
  <si>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</si>
  <si>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</si>
  <si>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</si>
  <si>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</si>
  <si>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</si>
  <si>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</si>
  <si>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</si>
  <si>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</si>
  <si>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</si>
  <si>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</si>
  <si>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</si>
  <si>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</si>
  <si>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</si>
  <si>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</si>
  <si>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</si>
  <si>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</si>
  <si>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</si>
  <si>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</si>
  <si>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</si>
  <si>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</si>
  <si>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</si>
  <si>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</si>
  <si>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</si>
  <si>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</si>
  <si>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</si>
  <si>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</si>
  <si>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</si>
  <si>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</si>
  <si>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</si>
  <si>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</si>
  <si>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</si>
  <si>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</si>
  <si>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</si>
  <si>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</si>
  <si>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</si>
  <si>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</si>
  <si>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</si>
  <si>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</si>
  <si>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</si>
  <si>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</si>
  <si>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</si>
  <si>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</si>
  <si>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</si>
  <si>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</si>
  <si>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</si>
  <si>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</si>
  <si>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</si>
  <si>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</si>
  <si>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</si>
  <si>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</si>
  <si>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</si>
  <si>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</si>
  <si>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</si>
  <si>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</si>
  <si>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</si>
  <si>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</si>
  <si>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</si>
  <si>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</si>
  <si>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OptDatetoPayDate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</si>
</sst>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  <numFmt numFmtId="193" formatCode="#,##0.0000_ ;[Red]\-#,##0.000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12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0" fontId="8" fillId="23" borderId="10" xfId="0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187" fontId="11" fillId="17" borderId="0" xfId="1" applyNumberFormat="1" applyFont="1" applyFill="1" applyProtection="1">
      <alignment vertical="center"/>
      <protection locked="0"/>
    </xf>
    <xf numFmtId="177" fontId="6" fillId="24" borderId="10" xfId="0" applyNumberFormat="1" applyFont="1" applyFill="1" applyBorder="1" applyAlignment="1">
      <alignment vertical="center"/>
    </xf>
    <xf numFmtId="177" fontId="6" fillId="24" borderId="10" xfId="0" applyNumberFormat="1" applyFont="1" applyFill="1" applyBorder="1">
      <alignment vertical="center"/>
    </xf>
    <xf numFmtId="177" fontId="21" fillId="24" borderId="10" xfId="0" applyNumberFormat="1" applyFont="1" applyFill="1" applyBorder="1">
      <alignment vertical="center"/>
    </xf>
    <xf numFmtId="178" fontId="8" fillId="23" borderId="10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7" fontId="0" fillId="13" borderId="0" xfId="1" applyNumberFormat="1" applyFont="1" applyFill="1">
      <alignment vertical="center"/>
    </xf>
    <xf numFmtId="192" fontId="0" fillId="13" borderId="0" xfId="1" applyNumberFormat="1" applyFont="1" applyFill="1">
      <alignment vertical="center"/>
    </xf>
    <xf numFmtId="192" fontId="8" fillId="13" borderId="0" xfId="1" applyNumberFormat="1" applyFont="1" applyFill="1">
      <alignment vertical="center"/>
    </xf>
    <xf numFmtId="193" fontId="0" fillId="13" borderId="0" xfId="0" applyNumberFormat="1" applyFill="1">
      <alignment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3" fontId="8" fillId="23" borderId="20" xfId="2" applyNumberFormat="1" applyFont="1" applyFill="1" applyBorder="1" applyAlignment="1">
      <alignment horizontal="center" vertical="center"/>
    </xf>
    <xf numFmtId="193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topLeftCell="A3" zoomScale="90" zoomScaleNormal="90" workbookViewId="0">
      <selection activeCell="F26" sqref="F26"/>
    </sheetView>
  </sheetViews>
  <sheetFormatPr defaultColWidth="10.09765625" defaultRowHeight="15.6" x14ac:dyDescent="0.4"/>
  <cols>
    <col min="1" max="8" width="10.09765625" style="9"/>
    <col min="9" max="9" width="10.5" style="9" bestFit="1" customWidth="1"/>
    <col min="10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7" t="s">
        <v>0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</row>
    <row r="3" spans="1:45" x14ac:dyDescent="0.4">
      <c r="A3" s="107"/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  <c r="Y3" s="107"/>
      <c r="Z3" s="107"/>
    </row>
    <row r="4" spans="1:45" x14ac:dyDescent="0.4">
      <c r="A4" s="9">
        <f>4</f>
        <v>4</v>
      </c>
      <c r="B4" s="108" t="s">
        <v>2</v>
      </c>
      <c r="C4" s="108"/>
      <c r="D4" s="109">
        <v>2</v>
      </c>
      <c r="E4" s="109"/>
    </row>
    <row r="5" spans="1:45" x14ac:dyDescent="0.4">
      <c r="A5" s="9">
        <f>A4+1</f>
        <v>5</v>
      </c>
      <c r="G5" s="95" t="s">
        <v>22</v>
      </c>
      <c r="H5" s="97" t="s">
        <v>21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</row>
    <row r="6" spans="1:45" x14ac:dyDescent="0.4">
      <c r="A6" s="9">
        <f t="shared" ref="A6:A82" si="1">A5+1</f>
        <v>6</v>
      </c>
      <c r="B6" s="108" t="s">
        <v>3</v>
      </c>
      <c r="C6" s="108"/>
      <c r="D6" s="109">
        <v>1</v>
      </c>
      <c r="E6" s="109"/>
      <c r="G6" s="96"/>
      <c r="H6" s="98" t="s">
        <v>7</v>
      </c>
      <c r="I6" s="99"/>
      <c r="L6" s="102" t="s">
        <v>11</v>
      </c>
      <c r="M6" s="102"/>
      <c r="N6" s="102"/>
      <c r="Q6" s="102" t="s">
        <v>12</v>
      </c>
      <c r="R6" s="102"/>
      <c r="S6" s="102"/>
      <c r="V6" s="102" t="s">
        <v>13</v>
      </c>
      <c r="W6" s="102"/>
      <c r="X6" s="102"/>
    </row>
    <row r="7" spans="1:45" x14ac:dyDescent="0.4">
      <c r="A7" s="9">
        <f t="shared" si="1"/>
        <v>7</v>
      </c>
      <c r="B7" s="108" t="s">
        <v>4</v>
      </c>
      <c r="C7" s="108"/>
      <c r="D7" s="109">
        <v>1</v>
      </c>
      <c r="E7" s="109"/>
      <c r="G7" s="96"/>
      <c r="H7" s="100"/>
      <c r="I7" s="101"/>
      <c r="L7" s="102"/>
      <c r="M7" s="102"/>
      <c r="N7" s="102"/>
      <c r="Q7" s="102"/>
      <c r="R7" s="102"/>
      <c r="S7" s="102"/>
      <c r="V7" s="102"/>
      <c r="W7" s="102"/>
      <c r="X7" s="102"/>
    </row>
    <row r="8" spans="1:45" x14ac:dyDescent="0.4">
      <c r="A8" s="9">
        <f t="shared" si="1"/>
        <v>8</v>
      </c>
      <c r="B8" s="108" t="s">
        <v>1</v>
      </c>
      <c r="C8" s="108"/>
      <c r="D8" s="109">
        <v>3.2899999999999999E-2</v>
      </c>
      <c r="E8" s="109"/>
      <c r="G8" s="96"/>
      <c r="I8" s="2" t="s">
        <v>106</v>
      </c>
      <c r="J8" s="2" t="s">
        <v>107</v>
      </c>
      <c r="K8" s="2" t="s">
        <v>109</v>
      </c>
      <c r="V8" s="102" t="s">
        <v>14</v>
      </c>
      <c r="W8" s="102"/>
      <c r="X8" s="4">
        <v>3</v>
      </c>
    </row>
    <row r="9" spans="1:45" x14ac:dyDescent="0.4">
      <c r="A9" s="9">
        <f t="shared" si="1"/>
        <v>9</v>
      </c>
      <c r="G9" s="96"/>
      <c r="H9" s="2" t="s">
        <v>8</v>
      </c>
      <c r="I9" s="3">
        <v>3.2899999999999999E-2</v>
      </c>
      <c r="J9" s="72">
        <v>3.2899999999999999E-2</v>
      </c>
      <c r="K9" s="72">
        <v>0.5</v>
      </c>
      <c r="Q9" s="102" t="s">
        <v>15</v>
      </c>
      <c r="R9" s="102"/>
      <c r="S9" s="4">
        <v>3</v>
      </c>
      <c r="V9" s="105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6"/>
      <c r="H10" s="73" t="s">
        <v>9</v>
      </c>
      <c r="I10" s="103" t="s">
        <v>10</v>
      </c>
      <c r="J10" s="104"/>
      <c r="L10" s="77" t="s">
        <v>18</v>
      </c>
      <c r="M10" s="77" t="s">
        <v>19</v>
      </c>
      <c r="N10" s="73" t="s">
        <v>72</v>
      </c>
      <c r="Q10" s="77" t="s">
        <v>18</v>
      </c>
      <c r="R10" s="77" t="s">
        <v>19</v>
      </c>
      <c r="S10" s="73" t="s">
        <v>20</v>
      </c>
      <c r="V10" s="106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6"/>
      <c r="H11" s="74">
        <v>1</v>
      </c>
      <c r="I11" s="75">
        <v>1.2316831945362695E-2</v>
      </c>
      <c r="J11" s="76">
        <v>6.1810642808354877E-3</v>
      </c>
      <c r="K11" s="75">
        <v>1.038E-2</v>
      </c>
      <c r="L11" s="78">
        <v>1</v>
      </c>
      <c r="M11" s="79">
        <f>1/365</f>
        <v>2.7397260273972603E-3</v>
      </c>
      <c r="N11" s="80">
        <v>3.6018000000000001E-2</v>
      </c>
      <c r="O11" s="31"/>
      <c r="Q11" s="78">
        <v>1</v>
      </c>
      <c r="R11" s="79">
        <v>1</v>
      </c>
      <c r="S11" s="80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6"/>
      <c r="H12" s="74">
        <v>2</v>
      </c>
      <c r="I12" s="75">
        <v>1.185958877901647E-2</v>
      </c>
      <c r="J12" s="76">
        <v>5.657066218901061E-3</v>
      </c>
      <c r="K12" s="75">
        <v>1.086E-2</v>
      </c>
      <c r="L12" s="78">
        <f>L11+1</f>
        <v>2</v>
      </c>
      <c r="M12" s="79">
        <f>7/365</f>
        <v>1.9178082191780823E-2</v>
      </c>
      <c r="N12" s="80">
        <v>3.6025000000000001E-2</v>
      </c>
      <c r="O12" s="31"/>
      <c r="Q12" s="78">
        <f>Q11+1</f>
        <v>2</v>
      </c>
      <c r="R12" s="79">
        <v>1.5</v>
      </c>
      <c r="S12" s="80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10" t="s">
        <v>6</v>
      </c>
      <c r="E13" s="110"/>
      <c r="G13" s="96"/>
      <c r="H13" s="74">
        <v>3</v>
      </c>
      <c r="I13" s="75">
        <v>1.2166277325153791E-2</v>
      </c>
      <c r="J13" s="76">
        <v>4.9480838884940204E-3</v>
      </c>
      <c r="K13" s="75">
        <v>1.0919999999999999E-2</v>
      </c>
      <c r="L13" s="78">
        <f t="shared" ref="L13:L53" si="2">L12+1</f>
        <v>3</v>
      </c>
      <c r="M13" s="79">
        <v>0.25</v>
      </c>
      <c r="N13" s="80">
        <v>3.7109999999999997E-2</v>
      </c>
      <c r="O13" s="31"/>
      <c r="Q13" s="78">
        <f t="shared" ref="Q13:Q53" si="3">Q12+1</f>
        <v>3</v>
      </c>
      <c r="R13" s="79">
        <v>2</v>
      </c>
      <c r="S13" s="80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10"/>
      <c r="E14" s="110"/>
      <c r="G14" s="96"/>
      <c r="H14" s="74">
        <v>4</v>
      </c>
      <c r="I14" s="75">
        <v>1.2122062999141167E-2</v>
      </c>
      <c r="J14" s="76">
        <v>3.8408291595667908E-3</v>
      </c>
      <c r="K14" s="75">
        <v>1.039E-2</v>
      </c>
      <c r="L14" s="78">
        <f t="shared" si="2"/>
        <v>4</v>
      </c>
      <c r="M14" s="79">
        <v>0.5</v>
      </c>
      <c r="N14" s="80">
        <v>3.8309000000000003E-2</v>
      </c>
      <c r="O14" s="31"/>
      <c r="Q14" s="78">
        <f t="shared" si="3"/>
        <v>4</v>
      </c>
      <c r="R14" s="79">
        <v>2.5</v>
      </c>
      <c r="S14" s="80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10"/>
      <c r="E15" s="110"/>
      <c r="G15" s="96"/>
      <c r="H15" s="74">
        <v>5</v>
      </c>
      <c r="I15" s="75">
        <v>1.2757931624294627E-2</v>
      </c>
      <c r="J15" s="76">
        <v>4.5862073943558363E-3</v>
      </c>
      <c r="K15" s="75">
        <v>7.1700000000000002E-3</v>
      </c>
      <c r="L15" s="78">
        <f t="shared" si="2"/>
        <v>5</v>
      </c>
      <c r="M15" s="79">
        <v>0.75</v>
      </c>
      <c r="N15" s="80">
        <v>3.8809000000000003E-2</v>
      </c>
      <c r="O15" s="31"/>
      <c r="Q15" s="78">
        <f t="shared" si="3"/>
        <v>5</v>
      </c>
      <c r="R15" s="79">
        <v>3</v>
      </c>
      <c r="S15" s="80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108</v>
      </c>
      <c r="D16" s="84">
        <v>3.61E-2</v>
      </c>
      <c r="G16" s="96"/>
      <c r="H16" s="74">
        <v>7</v>
      </c>
      <c r="I16" s="75">
        <v>1.2331517110068944E-2</v>
      </c>
      <c r="J16" s="76">
        <v>4.0492088949958104E-3</v>
      </c>
      <c r="K16" s="75">
        <v>6.8999999999999999E-3</v>
      </c>
      <c r="L16" s="78">
        <f t="shared" si="2"/>
        <v>6</v>
      </c>
      <c r="M16" s="79">
        <v>1.02</v>
      </c>
      <c r="N16" s="80">
        <v>3.9007E-2</v>
      </c>
      <c r="O16" s="31"/>
      <c r="Q16" s="78">
        <f t="shared" si="3"/>
        <v>6</v>
      </c>
      <c r="R16" s="79">
        <v>4</v>
      </c>
      <c r="S16" s="80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11">
        <v>45209.003275462965</v>
      </c>
      <c r="E17" s="111"/>
      <c r="G17" s="96"/>
      <c r="H17" s="74">
        <v>10</v>
      </c>
      <c r="I17" s="75">
        <v>1.1914736361434164E-2</v>
      </c>
      <c r="J17" s="76">
        <v>3.3648919024629534E-3</v>
      </c>
      <c r="K17" s="75">
        <v>8.0599999999999995E-3</v>
      </c>
      <c r="L17" s="78">
        <f t="shared" si="2"/>
        <v>7</v>
      </c>
      <c r="M17" s="79">
        <v>1.5</v>
      </c>
      <c r="N17" s="80">
        <v>3.875E-2</v>
      </c>
      <c r="O17" s="31"/>
      <c r="Q17" s="78">
        <f t="shared" si="3"/>
        <v>7</v>
      </c>
      <c r="R17" s="79">
        <v>5</v>
      </c>
      <c r="S17" s="80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11">
        <v>45209.003275462965</v>
      </c>
      <c r="E18" s="111"/>
      <c r="G18" s="96"/>
      <c r="H18" s="74"/>
      <c r="I18" s="75"/>
      <c r="J18" s="76"/>
      <c r="K18" s="75">
        <v>7.1000000000000004E-3</v>
      </c>
      <c r="L18" s="78">
        <f t="shared" si="2"/>
        <v>8</v>
      </c>
      <c r="M18" s="79">
        <v>2.0099999999999998</v>
      </c>
      <c r="N18" s="80">
        <v>3.8503000000000003E-2</v>
      </c>
      <c r="O18" s="31"/>
      <c r="Q18" s="78">
        <f t="shared" si="3"/>
        <v>8</v>
      </c>
      <c r="R18" s="79">
        <v>7</v>
      </c>
      <c r="S18" s="80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6"/>
      <c r="H19" s="74"/>
      <c r="I19" s="75"/>
      <c r="J19" s="76"/>
      <c r="K19" s="75">
        <v>8.3499999999999998E-3</v>
      </c>
      <c r="L19" s="78">
        <f t="shared" si="2"/>
        <v>9</v>
      </c>
      <c r="M19" s="79">
        <v>3.01</v>
      </c>
      <c r="N19" s="80">
        <v>3.7914999999999997E-2</v>
      </c>
      <c r="O19" s="31"/>
      <c r="P19" s="31"/>
      <c r="Q19" s="78">
        <f t="shared" si="3"/>
        <v>9</v>
      </c>
      <c r="R19" s="79">
        <v>10</v>
      </c>
      <c r="S19" s="80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6"/>
      <c r="H20" s="74"/>
      <c r="I20" s="75"/>
      <c r="J20" s="76"/>
      <c r="K20" s="75">
        <v>7.4149999999999997E-3</v>
      </c>
      <c r="L20" s="78">
        <f t="shared" si="2"/>
        <v>10</v>
      </c>
      <c r="M20" s="79">
        <v>4.01</v>
      </c>
      <c r="N20" s="80">
        <v>3.7738000000000001E-2</v>
      </c>
      <c r="O20" s="31"/>
      <c r="Q20" s="78">
        <f t="shared" si="3"/>
        <v>10</v>
      </c>
      <c r="R20" s="79"/>
      <c r="S20" s="80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6"/>
      <c r="H21" s="74"/>
      <c r="I21" s="75"/>
      <c r="J21" s="76"/>
      <c r="K21" s="75">
        <v>6.3579999999999999E-3</v>
      </c>
      <c r="L21" s="78">
        <f t="shared" si="2"/>
        <v>11</v>
      </c>
      <c r="M21" s="79">
        <v>5.01</v>
      </c>
      <c r="N21" s="80">
        <v>3.7477000000000003E-2</v>
      </c>
      <c r="O21" s="31"/>
      <c r="Q21" s="78">
        <f t="shared" si="3"/>
        <v>11</v>
      </c>
      <c r="R21" s="79"/>
      <c r="S21" s="80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6"/>
      <c r="H22" s="74"/>
      <c r="I22" s="75"/>
      <c r="J22" s="76"/>
      <c r="L22" s="78">
        <f t="shared" si="2"/>
        <v>12</v>
      </c>
      <c r="M22" s="79">
        <v>6.01</v>
      </c>
      <c r="N22" s="80">
        <v>3.7376E-2</v>
      </c>
      <c r="O22" s="31"/>
      <c r="P22" s="31"/>
      <c r="Q22" s="78">
        <f t="shared" si="3"/>
        <v>12</v>
      </c>
      <c r="R22" s="79"/>
      <c r="S22" s="80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B23" s="108" t="s">
        <v>115</v>
      </c>
      <c r="C23" s="108"/>
      <c r="D23" s="109">
        <v>0</v>
      </c>
      <c r="E23" s="109"/>
      <c r="G23" s="96"/>
      <c r="H23" s="74"/>
      <c r="I23" s="75"/>
      <c r="J23" s="76"/>
      <c r="L23" s="78">
        <f t="shared" si="2"/>
        <v>13</v>
      </c>
      <c r="M23" s="79">
        <v>7.01</v>
      </c>
      <c r="N23" s="80">
        <v>3.7327410999999998E-2</v>
      </c>
      <c r="O23" s="31"/>
      <c r="Q23" s="78">
        <f t="shared" si="3"/>
        <v>13</v>
      </c>
      <c r="R23" s="79"/>
      <c r="S23" s="80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B24" s="108" t="s">
        <v>111</v>
      </c>
      <c r="C24" s="108"/>
      <c r="D24" s="109">
        <v>0</v>
      </c>
      <c r="E24" s="109"/>
      <c r="G24" s="96"/>
      <c r="H24" s="74"/>
      <c r="I24" s="75"/>
      <c r="J24" s="76"/>
      <c r="L24" s="78">
        <f t="shared" si="2"/>
        <v>14</v>
      </c>
      <c r="M24" s="79">
        <v>8.01</v>
      </c>
      <c r="N24" s="80">
        <v>3.73333369E-2</v>
      </c>
      <c r="Q24" s="78">
        <f t="shared" si="3"/>
        <v>14</v>
      </c>
      <c r="R24" s="79"/>
      <c r="S24" s="80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B25" s="108" t="s">
        <v>113</v>
      </c>
      <c r="C25" s="108"/>
      <c r="D25" s="109">
        <v>0.1</v>
      </c>
      <c r="E25" s="109"/>
      <c r="G25" s="96"/>
      <c r="H25" s="74"/>
      <c r="I25" s="75"/>
      <c r="J25" s="76"/>
      <c r="L25" s="78">
        <f t="shared" si="2"/>
        <v>15</v>
      </c>
      <c r="M25" s="79">
        <v>9.01</v>
      </c>
      <c r="N25" s="80">
        <v>3.7333797600000003E-2</v>
      </c>
      <c r="Q25" s="78">
        <f t="shared" si="3"/>
        <v>15</v>
      </c>
      <c r="R25" s="79"/>
      <c r="S25" s="80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B26" s="108" t="s">
        <v>112</v>
      </c>
      <c r="C26" s="108"/>
      <c r="D26" s="109">
        <v>0.15</v>
      </c>
      <c r="E26" s="109"/>
      <c r="G26" s="96"/>
      <c r="H26" s="74"/>
      <c r="I26" s="75"/>
      <c r="J26" s="76"/>
      <c r="L26" s="78">
        <f t="shared" si="2"/>
        <v>16</v>
      </c>
      <c r="M26" s="79">
        <v>10.01</v>
      </c>
      <c r="N26" s="80">
        <v>3.7341659999999999E-2</v>
      </c>
      <c r="Q26" s="78">
        <f t="shared" si="3"/>
        <v>16</v>
      </c>
      <c r="R26" s="79"/>
      <c r="S26" s="80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6"/>
      <c r="H27" s="74"/>
      <c r="I27" s="75"/>
      <c r="J27" s="76"/>
      <c r="L27" s="78">
        <f t="shared" si="2"/>
        <v>17</v>
      </c>
      <c r="M27" s="79">
        <v>12.01</v>
      </c>
      <c r="N27" s="80">
        <v>3.7407480999999999E-2</v>
      </c>
      <c r="Q27" s="78">
        <f t="shared" si="3"/>
        <v>17</v>
      </c>
      <c r="R27" s="79"/>
      <c r="S27" s="80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6"/>
      <c r="H28" s="74"/>
      <c r="I28" s="75"/>
      <c r="J28" s="76"/>
      <c r="L28" s="78">
        <f t="shared" si="2"/>
        <v>18</v>
      </c>
      <c r="M28" s="79">
        <v>15.01</v>
      </c>
      <c r="N28" s="80">
        <v>3.7347867E-2</v>
      </c>
      <c r="Q28" s="78">
        <f t="shared" si="3"/>
        <v>18</v>
      </c>
      <c r="R28" s="79"/>
      <c r="S28" s="80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6"/>
      <c r="H29" s="74"/>
      <c r="I29" s="75"/>
      <c r="J29" s="76"/>
      <c r="L29" s="78">
        <f t="shared" si="2"/>
        <v>19</v>
      </c>
      <c r="M29" s="81">
        <v>20.02</v>
      </c>
      <c r="N29" s="82">
        <v>3.6350498000000002E-2</v>
      </c>
      <c r="Q29" s="78">
        <f t="shared" si="3"/>
        <v>19</v>
      </c>
      <c r="R29" s="83"/>
      <c r="S29" s="82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6"/>
      <c r="H30" s="74"/>
      <c r="I30" s="75"/>
      <c r="J30" s="76"/>
      <c r="L30" s="78">
        <f t="shared" si="2"/>
        <v>20</v>
      </c>
      <c r="M30" s="81">
        <v>25.02</v>
      </c>
      <c r="N30" s="82">
        <v>3.4742453E-2</v>
      </c>
      <c r="Q30" s="78">
        <f t="shared" si="3"/>
        <v>20</v>
      </c>
      <c r="R30" s="83"/>
      <c r="S30" s="82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6"/>
      <c r="H31" s="74"/>
      <c r="I31" s="75"/>
      <c r="J31" s="76"/>
      <c r="L31" s="78">
        <f t="shared" si="2"/>
        <v>21</v>
      </c>
      <c r="M31" s="81">
        <v>30.03</v>
      </c>
      <c r="N31" s="82">
        <v>3.3855162000000001E-2</v>
      </c>
      <c r="Q31" s="78">
        <f t="shared" si="3"/>
        <v>21</v>
      </c>
      <c r="R31" s="83"/>
      <c r="S31" s="82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6"/>
      <c r="H32" s="74"/>
      <c r="I32" s="75"/>
      <c r="J32" s="76"/>
      <c r="L32" s="78">
        <f t="shared" si="2"/>
        <v>22</v>
      </c>
      <c r="M32" s="81"/>
      <c r="N32" s="82"/>
      <c r="Q32" s="78">
        <f t="shared" si="3"/>
        <v>22</v>
      </c>
      <c r="R32" s="83"/>
      <c r="S32" s="82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6"/>
      <c r="H33" s="74"/>
      <c r="I33" s="75"/>
      <c r="J33" s="76"/>
      <c r="L33" s="78">
        <f t="shared" si="2"/>
        <v>23</v>
      </c>
      <c r="M33" s="81"/>
      <c r="N33" s="82"/>
      <c r="Q33" s="78">
        <f t="shared" si="3"/>
        <v>23</v>
      </c>
      <c r="R33" s="83"/>
      <c r="S33" s="82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6"/>
      <c r="H34" s="74"/>
      <c r="I34" s="75"/>
      <c r="J34" s="76"/>
      <c r="L34" s="78">
        <f t="shared" si="2"/>
        <v>24</v>
      </c>
      <c r="M34" s="81"/>
      <c r="N34" s="82"/>
      <c r="Q34" s="78">
        <f t="shared" si="3"/>
        <v>24</v>
      </c>
      <c r="R34" s="83"/>
      <c r="S34" s="82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6"/>
      <c r="H35" s="74"/>
      <c r="I35" s="75"/>
      <c r="J35" s="76"/>
      <c r="L35" s="78">
        <f t="shared" si="2"/>
        <v>25</v>
      </c>
      <c r="M35" s="81"/>
      <c r="N35" s="82"/>
      <c r="Q35" s="78">
        <f t="shared" si="3"/>
        <v>25</v>
      </c>
      <c r="R35" s="83"/>
      <c r="S35" s="82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6"/>
      <c r="H36" s="74"/>
      <c r="I36" s="75"/>
      <c r="J36" s="76"/>
      <c r="L36" s="78">
        <f t="shared" si="2"/>
        <v>26</v>
      </c>
      <c r="M36" s="81"/>
      <c r="N36" s="82"/>
      <c r="Q36" s="78">
        <f t="shared" si="3"/>
        <v>26</v>
      </c>
      <c r="R36" s="83"/>
      <c r="S36" s="82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6"/>
      <c r="H37" s="74"/>
      <c r="I37" s="75"/>
      <c r="J37" s="76"/>
      <c r="L37" s="78">
        <f t="shared" si="2"/>
        <v>27</v>
      </c>
      <c r="M37" s="81"/>
      <c r="N37" s="82"/>
      <c r="Q37" s="78">
        <f t="shared" si="3"/>
        <v>27</v>
      </c>
      <c r="R37" s="83"/>
      <c r="S37" s="82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6"/>
      <c r="H38" s="74"/>
      <c r="I38" s="75"/>
      <c r="J38" s="76"/>
      <c r="L38" s="78">
        <f t="shared" si="2"/>
        <v>28</v>
      </c>
      <c r="M38" s="81"/>
      <c r="N38" s="82"/>
      <c r="Q38" s="78">
        <f t="shared" si="3"/>
        <v>28</v>
      </c>
      <c r="R38" s="83"/>
      <c r="S38" s="82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6"/>
      <c r="H39" s="74"/>
      <c r="I39" s="75"/>
      <c r="J39" s="76"/>
      <c r="L39" s="78">
        <f t="shared" si="2"/>
        <v>29</v>
      </c>
      <c r="M39" s="81"/>
      <c r="N39" s="82"/>
      <c r="Q39" s="78">
        <f t="shared" si="3"/>
        <v>29</v>
      </c>
      <c r="R39" s="83"/>
      <c r="S39" s="82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6"/>
      <c r="H40" s="74"/>
      <c r="I40" s="75"/>
      <c r="J40" s="76"/>
      <c r="L40" s="78">
        <f t="shared" si="2"/>
        <v>30</v>
      </c>
      <c r="M40" s="81"/>
      <c r="N40" s="82"/>
      <c r="Q40" s="78">
        <f t="shared" si="3"/>
        <v>30</v>
      </c>
      <c r="R40" s="83"/>
      <c r="S40" s="82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69"/>
      <c r="H41" s="74"/>
      <c r="I41" s="75"/>
      <c r="J41" s="76"/>
      <c r="L41" s="78">
        <f t="shared" si="2"/>
        <v>31</v>
      </c>
      <c r="M41" s="81"/>
      <c r="N41" s="82"/>
      <c r="Q41" s="78">
        <f t="shared" si="3"/>
        <v>31</v>
      </c>
      <c r="R41" s="83"/>
      <c r="S41" s="82"/>
      <c r="V41" s="70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</row>
    <row r="42" spans="1:40" x14ac:dyDescent="0.35">
      <c r="A42" s="9">
        <f t="shared" si="1"/>
        <v>42</v>
      </c>
      <c r="G42" s="69"/>
      <c r="H42" s="74"/>
      <c r="I42" s="75"/>
      <c r="J42" s="76"/>
      <c r="L42" s="78">
        <f t="shared" si="2"/>
        <v>32</v>
      </c>
      <c r="M42" s="81"/>
      <c r="N42" s="82"/>
      <c r="Q42" s="78">
        <f t="shared" si="3"/>
        <v>32</v>
      </c>
      <c r="R42" s="83"/>
      <c r="S42" s="82"/>
      <c r="V42" s="70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</row>
    <row r="43" spans="1:40" x14ac:dyDescent="0.35">
      <c r="A43" s="9">
        <f t="shared" si="1"/>
        <v>43</v>
      </c>
      <c r="G43" s="69"/>
      <c r="H43" s="74"/>
      <c r="I43" s="75"/>
      <c r="J43" s="76"/>
      <c r="L43" s="78">
        <f t="shared" si="2"/>
        <v>33</v>
      </c>
      <c r="M43" s="81"/>
      <c r="N43" s="82"/>
      <c r="Q43" s="78">
        <f t="shared" si="3"/>
        <v>33</v>
      </c>
      <c r="R43" s="83"/>
      <c r="S43" s="82"/>
      <c r="V43" s="70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</row>
    <row r="44" spans="1:40" x14ac:dyDescent="0.35">
      <c r="A44" s="9">
        <f t="shared" si="1"/>
        <v>44</v>
      </c>
      <c r="G44" s="69"/>
      <c r="H44" s="74"/>
      <c r="I44" s="75"/>
      <c r="J44" s="76"/>
      <c r="L44" s="78">
        <f t="shared" si="2"/>
        <v>34</v>
      </c>
      <c r="M44" s="81"/>
      <c r="N44" s="82"/>
      <c r="Q44" s="78">
        <f t="shared" si="3"/>
        <v>34</v>
      </c>
      <c r="R44" s="83"/>
      <c r="S44" s="82"/>
      <c r="V44" s="70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</row>
    <row r="45" spans="1:40" x14ac:dyDescent="0.35">
      <c r="A45" s="9">
        <f t="shared" si="1"/>
        <v>45</v>
      </c>
      <c r="G45" s="69"/>
      <c r="H45" s="74"/>
      <c r="I45" s="75"/>
      <c r="J45" s="76"/>
      <c r="L45" s="78">
        <f t="shared" si="2"/>
        <v>35</v>
      </c>
      <c r="M45" s="81"/>
      <c r="N45" s="82"/>
      <c r="Q45" s="78">
        <f t="shared" si="3"/>
        <v>35</v>
      </c>
      <c r="R45" s="83"/>
      <c r="S45" s="82"/>
      <c r="V45" s="70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</row>
    <row r="46" spans="1:40" x14ac:dyDescent="0.35">
      <c r="A46" s="9">
        <f t="shared" si="1"/>
        <v>46</v>
      </c>
      <c r="G46" s="69"/>
      <c r="H46" s="74"/>
      <c r="I46" s="75"/>
      <c r="J46" s="76"/>
      <c r="L46" s="78">
        <f t="shared" si="2"/>
        <v>36</v>
      </c>
      <c r="M46" s="81"/>
      <c r="N46" s="82"/>
      <c r="Q46" s="78">
        <f t="shared" si="3"/>
        <v>36</v>
      </c>
      <c r="R46" s="83"/>
      <c r="S46" s="82"/>
      <c r="V46" s="70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</row>
    <row r="47" spans="1:40" x14ac:dyDescent="0.35">
      <c r="A47" s="9">
        <f t="shared" si="1"/>
        <v>47</v>
      </c>
      <c r="G47" s="69"/>
      <c r="H47" s="74"/>
      <c r="I47" s="75"/>
      <c r="J47" s="76"/>
      <c r="L47" s="78">
        <f t="shared" si="2"/>
        <v>37</v>
      </c>
      <c r="M47" s="81"/>
      <c r="N47" s="82"/>
      <c r="Q47" s="78">
        <f t="shared" si="3"/>
        <v>37</v>
      </c>
      <c r="R47" s="83"/>
      <c r="S47" s="82"/>
      <c r="V47" s="70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</row>
    <row r="48" spans="1:40" x14ac:dyDescent="0.35">
      <c r="A48" s="9">
        <f t="shared" si="1"/>
        <v>48</v>
      </c>
      <c r="G48" s="69"/>
      <c r="H48" s="74"/>
      <c r="I48" s="75"/>
      <c r="J48" s="76"/>
      <c r="L48" s="78">
        <f t="shared" si="2"/>
        <v>38</v>
      </c>
      <c r="M48" s="81"/>
      <c r="N48" s="82"/>
      <c r="Q48" s="78">
        <f t="shared" si="3"/>
        <v>38</v>
      </c>
      <c r="R48" s="83"/>
      <c r="S48" s="82"/>
      <c r="V48" s="70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</row>
    <row r="49" spans="1:40" x14ac:dyDescent="0.35">
      <c r="A49" s="9">
        <f t="shared" si="1"/>
        <v>49</v>
      </c>
      <c r="G49" s="69"/>
      <c r="H49" s="74"/>
      <c r="I49" s="75"/>
      <c r="J49" s="76"/>
      <c r="L49" s="78">
        <f t="shared" si="2"/>
        <v>39</v>
      </c>
      <c r="M49" s="81"/>
      <c r="N49" s="82"/>
      <c r="Q49" s="78">
        <f t="shared" si="3"/>
        <v>39</v>
      </c>
      <c r="R49" s="83"/>
      <c r="S49" s="82"/>
      <c r="V49" s="70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</row>
    <row r="50" spans="1:40" x14ac:dyDescent="0.35">
      <c r="A50" s="9">
        <f t="shared" si="1"/>
        <v>50</v>
      </c>
      <c r="G50" s="69"/>
      <c r="H50" s="74"/>
      <c r="I50" s="75"/>
      <c r="J50" s="76"/>
      <c r="L50" s="78">
        <f t="shared" si="2"/>
        <v>40</v>
      </c>
      <c r="M50" s="81"/>
      <c r="N50" s="82"/>
      <c r="Q50" s="78">
        <f t="shared" si="3"/>
        <v>40</v>
      </c>
      <c r="R50" s="83"/>
      <c r="S50" s="82"/>
      <c r="V50" s="70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  <c r="AH50" s="71"/>
      <c r="AI50" s="71"/>
      <c r="AJ50" s="71"/>
      <c r="AK50" s="71"/>
      <c r="AL50" s="71"/>
      <c r="AM50" s="71"/>
      <c r="AN50" s="71"/>
    </row>
    <row r="51" spans="1:40" x14ac:dyDescent="0.35">
      <c r="A51" s="9">
        <f t="shared" si="1"/>
        <v>51</v>
      </c>
      <c r="G51" s="69"/>
      <c r="H51" s="74"/>
      <c r="I51" s="75"/>
      <c r="J51" s="76"/>
      <c r="L51" s="78">
        <f t="shared" si="2"/>
        <v>41</v>
      </c>
      <c r="M51" s="81"/>
      <c r="N51" s="82"/>
      <c r="Q51" s="78">
        <f t="shared" si="3"/>
        <v>41</v>
      </c>
      <c r="R51" s="83"/>
      <c r="S51" s="82"/>
      <c r="V51" s="70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</row>
    <row r="52" spans="1:40" x14ac:dyDescent="0.35">
      <c r="A52" s="9">
        <f t="shared" si="1"/>
        <v>52</v>
      </c>
      <c r="G52" s="69"/>
      <c r="H52" s="74"/>
      <c r="I52" s="75"/>
      <c r="J52" s="76"/>
      <c r="L52" s="78">
        <f t="shared" si="2"/>
        <v>42</v>
      </c>
      <c r="M52" s="81"/>
      <c r="N52" s="82"/>
      <c r="Q52" s="78">
        <f t="shared" si="3"/>
        <v>42</v>
      </c>
      <c r="R52" s="83"/>
      <c r="S52" s="82"/>
      <c r="V52" s="70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  <c r="AH52" s="71"/>
      <c r="AI52" s="71"/>
      <c r="AJ52" s="71"/>
      <c r="AK52" s="71"/>
      <c r="AL52" s="71"/>
      <c r="AM52" s="71"/>
      <c r="AN52" s="71"/>
    </row>
    <row r="53" spans="1:40" x14ac:dyDescent="0.35">
      <c r="A53" s="9">
        <f t="shared" si="1"/>
        <v>53</v>
      </c>
      <c r="G53" s="69"/>
      <c r="H53" s="74"/>
      <c r="I53" s="75"/>
      <c r="J53" s="76"/>
      <c r="L53" s="78">
        <f t="shared" si="2"/>
        <v>43</v>
      </c>
      <c r="M53" s="81"/>
      <c r="N53" s="82"/>
      <c r="Q53" s="78">
        <f t="shared" si="3"/>
        <v>43</v>
      </c>
      <c r="R53" s="83"/>
      <c r="S53" s="82"/>
      <c r="V53" s="70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  <c r="AH53" s="71"/>
      <c r="AI53" s="71"/>
      <c r="AJ53" s="71"/>
      <c r="AK53" s="71"/>
      <c r="AL53" s="71"/>
      <c r="AM53" s="71"/>
      <c r="AN53" s="71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5" t="s">
        <v>24</v>
      </c>
      <c r="H55" s="97" t="s">
        <v>23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</row>
    <row r="56" spans="1:40" x14ac:dyDescent="0.4">
      <c r="A56" s="9">
        <f t="shared" si="1"/>
        <v>56</v>
      </c>
      <c r="B56" s="108" t="s">
        <v>3</v>
      </c>
      <c r="C56" s="108"/>
      <c r="D56" s="109">
        <v>1</v>
      </c>
      <c r="E56" s="109"/>
      <c r="G56" s="96"/>
      <c r="H56" s="98" t="s">
        <v>7</v>
      </c>
      <c r="I56" s="99"/>
      <c r="L56" s="102" t="s">
        <v>11</v>
      </c>
      <c r="M56" s="102"/>
      <c r="N56" s="102"/>
      <c r="Q56" s="102" t="s">
        <v>12</v>
      </c>
      <c r="R56" s="102"/>
      <c r="S56" s="102"/>
      <c r="V56" s="102" t="s">
        <v>13</v>
      </c>
      <c r="W56" s="102"/>
      <c r="X56" s="102"/>
    </row>
    <row r="57" spans="1:40" x14ac:dyDescent="0.4">
      <c r="A57" s="9">
        <f t="shared" si="1"/>
        <v>57</v>
      </c>
      <c r="B57" s="108" t="s">
        <v>4</v>
      </c>
      <c r="C57" s="108"/>
      <c r="D57" s="109">
        <v>1</v>
      </c>
      <c r="E57" s="109"/>
      <c r="G57" s="96"/>
      <c r="H57" s="100"/>
      <c r="I57" s="101"/>
      <c r="L57" s="102"/>
      <c r="M57" s="102"/>
      <c r="N57" s="102"/>
      <c r="Q57" s="102"/>
      <c r="R57" s="102"/>
      <c r="S57" s="102"/>
      <c r="V57" s="102"/>
      <c r="W57" s="102"/>
      <c r="X57" s="102"/>
    </row>
    <row r="58" spans="1:40" x14ac:dyDescent="0.4">
      <c r="A58" s="9">
        <f t="shared" si="1"/>
        <v>58</v>
      </c>
      <c r="B58" s="108" t="s">
        <v>1</v>
      </c>
      <c r="C58" s="108"/>
      <c r="D58" s="109">
        <v>0.01</v>
      </c>
      <c r="E58" s="109"/>
      <c r="G58" s="96"/>
      <c r="I58" s="2" t="s">
        <v>106</v>
      </c>
      <c r="J58" s="2" t="s">
        <v>107</v>
      </c>
      <c r="K58" s="2" t="s">
        <v>109</v>
      </c>
      <c r="V58" s="102" t="s">
        <v>14</v>
      </c>
      <c r="W58" s="102"/>
      <c r="X58" s="4">
        <v>3</v>
      </c>
    </row>
    <row r="59" spans="1:40" x14ac:dyDescent="0.4">
      <c r="A59" s="9">
        <f t="shared" si="1"/>
        <v>59</v>
      </c>
      <c r="G59" s="96"/>
      <c r="H59" s="2" t="s">
        <v>8</v>
      </c>
      <c r="I59" s="3">
        <v>0.01</v>
      </c>
      <c r="J59" s="72">
        <v>0.01</v>
      </c>
      <c r="K59" s="72">
        <v>0.9</v>
      </c>
      <c r="Q59" s="102" t="s">
        <v>15</v>
      </c>
      <c r="R59" s="102"/>
      <c r="S59" s="4">
        <v>3</v>
      </c>
      <c r="V59" s="105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6"/>
      <c r="H60" s="73" t="s">
        <v>9</v>
      </c>
      <c r="I60" s="103" t="s">
        <v>10</v>
      </c>
      <c r="J60" s="104"/>
      <c r="L60" s="77" t="s">
        <v>18</v>
      </c>
      <c r="M60" s="77" t="s">
        <v>19</v>
      </c>
      <c r="N60" s="73" t="s">
        <v>72</v>
      </c>
      <c r="Q60" s="77" t="s">
        <v>18</v>
      </c>
      <c r="R60" s="77" t="s">
        <v>19</v>
      </c>
      <c r="S60" s="73" t="s">
        <v>20</v>
      </c>
      <c r="V60" s="106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6"/>
      <c r="H61" s="74">
        <v>1</v>
      </c>
      <c r="I61" s="75">
        <v>1.3179794086105524E-2</v>
      </c>
      <c r="J61" s="76">
        <v>6.2951295494765146E-3</v>
      </c>
      <c r="L61" s="78">
        <v>1</v>
      </c>
      <c r="M61" s="79">
        <v>0.25</v>
      </c>
      <c r="N61" s="80">
        <v>4.2140000000000004E-2</v>
      </c>
      <c r="O61" s="31"/>
      <c r="Q61" s="78">
        <v>1</v>
      </c>
      <c r="R61" s="79">
        <v>1</v>
      </c>
      <c r="S61" s="80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6"/>
      <c r="H62" s="74">
        <v>2</v>
      </c>
      <c r="I62" s="75">
        <v>1.2003347093781683E-2</v>
      </c>
      <c r="J62" s="76">
        <v>6.4875888617879568E-3</v>
      </c>
      <c r="L62" s="78">
        <f>L61+1</f>
        <v>2</v>
      </c>
      <c r="M62" s="79">
        <v>0.5</v>
      </c>
      <c r="N62" s="80">
        <v>4.5100000000000001E-2</v>
      </c>
      <c r="O62" s="31"/>
      <c r="Q62" s="78">
        <f>Q61+1</f>
        <v>2</v>
      </c>
      <c r="R62" s="79">
        <v>2</v>
      </c>
      <c r="S62" s="80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10" t="s">
        <v>6</v>
      </c>
      <c r="E63" s="110"/>
      <c r="G63" s="96"/>
      <c r="H63" s="74">
        <v>3</v>
      </c>
      <c r="I63" s="75">
        <v>1.1763422778972925E-2</v>
      </c>
      <c r="J63" s="76">
        <v>5.7401620545591715E-3</v>
      </c>
      <c r="L63" s="78">
        <f t="shared" ref="L63:L103" si="4">L62+1</f>
        <v>3</v>
      </c>
      <c r="M63" s="79">
        <v>1</v>
      </c>
      <c r="N63" s="80">
        <v>4.8210000000000003E-2</v>
      </c>
      <c r="O63" s="31"/>
      <c r="Q63" s="78">
        <f t="shared" ref="Q63:Q103" si="5">Q62+1</f>
        <v>3</v>
      </c>
      <c r="R63" s="79">
        <v>3</v>
      </c>
      <c r="S63" s="80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10"/>
      <c r="E64" s="110"/>
      <c r="G64" s="96"/>
      <c r="H64" s="74">
        <v>4</v>
      </c>
      <c r="I64" s="75">
        <v>1.2245700586856338E-2</v>
      </c>
      <c r="J64" s="76">
        <v>4.1908013982093796E-3</v>
      </c>
      <c r="L64" s="78">
        <f t="shared" si="4"/>
        <v>4</v>
      </c>
      <c r="M64" s="79">
        <v>2</v>
      </c>
      <c r="N64" s="80">
        <v>4.7410000000000001E-2</v>
      </c>
      <c r="O64" s="31"/>
      <c r="Q64" s="78">
        <f t="shared" si="5"/>
        <v>4</v>
      </c>
      <c r="R64" s="79">
        <v>4</v>
      </c>
      <c r="S64" s="80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10"/>
      <c r="E65" s="110"/>
      <c r="G65" s="96"/>
      <c r="H65" s="74">
        <v>5</v>
      </c>
      <c r="I65" s="75">
        <v>1.2995777704928289E-2</v>
      </c>
      <c r="J65" s="76">
        <v>5.8483018205641403E-3</v>
      </c>
      <c r="L65" s="78">
        <f t="shared" si="4"/>
        <v>5</v>
      </c>
      <c r="M65" s="79">
        <v>3</v>
      </c>
      <c r="N65" s="80">
        <v>4.727E-2</v>
      </c>
      <c r="O65" s="31"/>
      <c r="Q65" s="78">
        <f t="shared" si="5"/>
        <v>5</v>
      </c>
      <c r="R65" s="79">
        <v>5</v>
      </c>
      <c r="S65" s="80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108</v>
      </c>
      <c r="D66" s="84">
        <v>3.3799999999999997E-2</v>
      </c>
      <c r="G66" s="96"/>
      <c r="H66" s="74">
        <v>7</v>
      </c>
      <c r="I66" s="75">
        <v>1.3388249104175196E-2</v>
      </c>
      <c r="J66" s="76">
        <v>5.0449530859286024E-3</v>
      </c>
      <c r="L66" s="78">
        <f t="shared" si="4"/>
        <v>6</v>
      </c>
      <c r="M66" s="79">
        <v>5</v>
      </c>
      <c r="N66" s="80">
        <v>4.5089999999999998E-2</v>
      </c>
      <c r="O66" s="31"/>
      <c r="Q66" s="78">
        <f t="shared" si="5"/>
        <v>6</v>
      </c>
      <c r="R66" s="79">
        <v>7</v>
      </c>
      <c r="S66" s="80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11">
        <v>45209.003275462965</v>
      </c>
      <c r="E67" s="111"/>
      <c r="G67" s="96"/>
      <c r="H67" s="74">
        <v>10</v>
      </c>
      <c r="I67" s="75">
        <v>1.5966173861409468E-2</v>
      </c>
      <c r="J67" s="76">
        <v>4.250726545015294E-3</v>
      </c>
      <c r="L67" s="78">
        <f t="shared" si="4"/>
        <v>7</v>
      </c>
      <c r="M67" s="79">
        <v>7</v>
      </c>
      <c r="N67" s="80">
        <v>4.4120000000000006E-2</v>
      </c>
      <c r="O67" s="31"/>
      <c r="Q67" s="78">
        <f t="shared" si="5"/>
        <v>7</v>
      </c>
      <c r="R67" s="79">
        <v>10</v>
      </c>
      <c r="S67" s="80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11">
        <v>45209.003275462965</v>
      </c>
      <c r="E68" s="111"/>
      <c r="G68" s="96"/>
      <c r="H68" s="74"/>
      <c r="I68" s="75"/>
      <c r="J68" s="76"/>
      <c r="L68" s="78">
        <f t="shared" si="4"/>
        <v>8</v>
      </c>
      <c r="M68" s="79">
        <v>10</v>
      </c>
      <c r="N68" s="80">
        <v>4.2840000000000003E-2</v>
      </c>
      <c r="O68" s="31"/>
      <c r="Q68" s="78">
        <f t="shared" si="5"/>
        <v>8</v>
      </c>
      <c r="R68" s="79"/>
      <c r="S68" s="80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6"/>
      <c r="H69" s="74"/>
      <c r="I69" s="75"/>
      <c r="J69" s="76"/>
      <c r="L69" s="78">
        <f t="shared" si="4"/>
        <v>9</v>
      </c>
      <c r="M69" s="79">
        <v>20</v>
      </c>
      <c r="N69" s="80">
        <v>4.5839999999999999E-2</v>
      </c>
      <c r="O69" s="31"/>
      <c r="Q69" s="78">
        <f t="shared" si="5"/>
        <v>9</v>
      </c>
      <c r="R69" s="79"/>
      <c r="S69" s="80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6"/>
      <c r="H70" s="74"/>
      <c r="I70" s="75"/>
      <c r="J70" s="76"/>
      <c r="L70" s="78">
        <f t="shared" si="4"/>
        <v>10</v>
      </c>
      <c r="M70" s="79">
        <v>30</v>
      </c>
      <c r="N70" s="80">
        <f>N69+0.001</f>
        <v>4.684E-2</v>
      </c>
      <c r="O70" s="31"/>
      <c r="Q70" s="78">
        <f t="shared" si="5"/>
        <v>10</v>
      </c>
      <c r="R70" s="79"/>
      <c r="S70" s="80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6"/>
      <c r="H71" s="74"/>
      <c r="I71" s="75"/>
      <c r="J71" s="76"/>
      <c r="L71" s="78">
        <f t="shared" si="4"/>
        <v>11</v>
      </c>
      <c r="M71" s="79"/>
      <c r="N71" s="80"/>
      <c r="Q71" s="78">
        <f t="shared" si="5"/>
        <v>11</v>
      </c>
      <c r="R71" s="79"/>
      <c r="S71" s="80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6"/>
      <c r="H72" s="74"/>
      <c r="I72" s="75"/>
      <c r="J72" s="76"/>
      <c r="L72" s="78">
        <f t="shared" si="4"/>
        <v>12</v>
      </c>
      <c r="M72" s="79"/>
      <c r="N72" s="80"/>
      <c r="Q72" s="78">
        <f t="shared" si="5"/>
        <v>12</v>
      </c>
      <c r="R72" s="79"/>
      <c r="S72" s="80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B73" s="108" t="s">
        <v>115</v>
      </c>
      <c r="C73" s="108"/>
      <c r="D73" s="109">
        <v>0</v>
      </c>
      <c r="E73" s="109"/>
      <c r="G73" s="96"/>
      <c r="H73" s="74"/>
      <c r="I73" s="75"/>
      <c r="J73" s="76"/>
      <c r="L73" s="78">
        <f t="shared" si="4"/>
        <v>13</v>
      </c>
      <c r="M73" s="79"/>
      <c r="N73" s="80"/>
      <c r="Q73" s="78">
        <f t="shared" si="5"/>
        <v>13</v>
      </c>
      <c r="R73" s="79"/>
      <c r="S73" s="80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B74" s="108" t="s">
        <v>111</v>
      </c>
      <c r="C74" s="108"/>
      <c r="D74" s="109">
        <v>1</v>
      </c>
      <c r="E74" s="109"/>
      <c r="G74" s="96"/>
      <c r="H74" s="74"/>
      <c r="I74" s="75"/>
      <c r="J74" s="76"/>
      <c r="L74" s="78">
        <f t="shared" si="4"/>
        <v>14</v>
      </c>
      <c r="M74" s="79"/>
      <c r="N74" s="80"/>
      <c r="Q74" s="78">
        <f t="shared" si="5"/>
        <v>14</v>
      </c>
      <c r="R74" s="79"/>
      <c r="S74" s="80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B75" s="108" t="s">
        <v>113</v>
      </c>
      <c r="C75" s="108"/>
      <c r="D75" s="109">
        <v>-0.12</v>
      </c>
      <c r="E75" s="109"/>
      <c r="G75" s="96"/>
      <c r="H75" s="74"/>
      <c r="I75" s="75"/>
      <c r="J75" s="76"/>
      <c r="L75" s="78">
        <f t="shared" si="4"/>
        <v>15</v>
      </c>
      <c r="M75" s="79"/>
      <c r="N75" s="80"/>
      <c r="Q75" s="78">
        <f t="shared" si="5"/>
        <v>15</v>
      </c>
      <c r="R75" s="79"/>
      <c r="S75" s="80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B76" s="108" t="s">
        <v>112</v>
      </c>
      <c r="C76" s="108"/>
      <c r="D76" s="109">
        <v>0.24</v>
      </c>
      <c r="E76" s="109"/>
      <c r="G76" s="96"/>
      <c r="H76" s="74"/>
      <c r="I76" s="75"/>
      <c r="J76" s="76"/>
      <c r="L76" s="78">
        <f t="shared" si="4"/>
        <v>16</v>
      </c>
      <c r="M76" s="79"/>
      <c r="N76" s="80"/>
      <c r="Q76" s="78">
        <f t="shared" si="5"/>
        <v>16</v>
      </c>
      <c r="R76" s="79"/>
      <c r="S76" s="80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6"/>
      <c r="H77" s="74"/>
      <c r="I77" s="75"/>
      <c r="J77" s="76"/>
      <c r="L77" s="78">
        <f t="shared" si="4"/>
        <v>17</v>
      </c>
      <c r="M77" s="79"/>
      <c r="N77" s="80"/>
      <c r="Q77" s="78">
        <f t="shared" si="5"/>
        <v>17</v>
      </c>
      <c r="R77" s="79"/>
      <c r="S77" s="80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6"/>
      <c r="H78" s="74"/>
      <c r="I78" s="75"/>
      <c r="J78" s="76"/>
      <c r="L78" s="78">
        <f t="shared" si="4"/>
        <v>18</v>
      </c>
      <c r="M78" s="79"/>
      <c r="N78" s="80"/>
      <c r="Q78" s="78">
        <f t="shared" si="5"/>
        <v>18</v>
      </c>
      <c r="R78" s="79"/>
      <c r="S78" s="80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6"/>
      <c r="H79" s="74"/>
      <c r="I79" s="75"/>
      <c r="J79" s="76"/>
      <c r="L79" s="78">
        <f t="shared" si="4"/>
        <v>19</v>
      </c>
      <c r="M79" s="81"/>
      <c r="N79" s="82"/>
      <c r="Q79" s="78">
        <f t="shared" si="5"/>
        <v>19</v>
      </c>
      <c r="R79" s="83"/>
      <c r="S79" s="82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6"/>
      <c r="H80" s="74"/>
      <c r="I80" s="75"/>
      <c r="J80" s="76"/>
      <c r="L80" s="78">
        <f t="shared" si="4"/>
        <v>20</v>
      </c>
      <c r="M80" s="81"/>
      <c r="N80" s="82"/>
      <c r="Q80" s="78">
        <f t="shared" si="5"/>
        <v>20</v>
      </c>
      <c r="R80" s="83"/>
      <c r="S80" s="82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6"/>
      <c r="H81" s="74"/>
      <c r="I81" s="75"/>
      <c r="J81" s="76"/>
      <c r="L81" s="78">
        <f t="shared" si="4"/>
        <v>21</v>
      </c>
      <c r="M81" s="81"/>
      <c r="N81" s="82"/>
      <c r="Q81" s="78">
        <f t="shared" si="5"/>
        <v>21</v>
      </c>
      <c r="R81" s="83"/>
      <c r="S81" s="82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6"/>
      <c r="H82" s="74"/>
      <c r="I82" s="75"/>
      <c r="J82" s="76"/>
      <c r="L82" s="78">
        <f t="shared" si="4"/>
        <v>22</v>
      </c>
      <c r="M82" s="81"/>
      <c r="N82" s="82"/>
      <c r="Q82" s="78">
        <f t="shared" si="5"/>
        <v>22</v>
      </c>
      <c r="R82" s="83"/>
      <c r="S82" s="82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6"/>
      <c r="H83" s="74"/>
      <c r="I83" s="75"/>
      <c r="J83" s="76"/>
      <c r="L83" s="78">
        <f t="shared" si="4"/>
        <v>23</v>
      </c>
      <c r="M83" s="81"/>
      <c r="N83" s="82"/>
      <c r="Q83" s="78">
        <f t="shared" si="5"/>
        <v>23</v>
      </c>
      <c r="R83" s="83"/>
      <c r="S83" s="82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6"/>
      <c r="H84" s="74"/>
      <c r="I84" s="75"/>
      <c r="J84" s="76"/>
      <c r="L84" s="78">
        <f t="shared" si="4"/>
        <v>24</v>
      </c>
      <c r="M84" s="81"/>
      <c r="N84" s="82"/>
      <c r="Q84" s="78">
        <f t="shared" si="5"/>
        <v>24</v>
      </c>
      <c r="R84" s="83"/>
      <c r="S84" s="82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6"/>
      <c r="H85" s="74"/>
      <c r="I85" s="75"/>
      <c r="J85" s="76"/>
      <c r="L85" s="78">
        <f t="shared" si="4"/>
        <v>25</v>
      </c>
      <c r="M85" s="81"/>
      <c r="N85" s="82"/>
      <c r="Q85" s="78">
        <f t="shared" si="5"/>
        <v>25</v>
      </c>
      <c r="R85" s="83"/>
      <c r="S85" s="82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6"/>
      <c r="H86" s="74"/>
      <c r="I86" s="75"/>
      <c r="J86" s="76"/>
      <c r="L86" s="78">
        <f t="shared" si="4"/>
        <v>26</v>
      </c>
      <c r="M86" s="81"/>
      <c r="N86" s="82"/>
      <c r="Q86" s="78">
        <f t="shared" si="5"/>
        <v>26</v>
      </c>
      <c r="R86" s="83"/>
      <c r="S86" s="82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6"/>
      <c r="H87" s="74"/>
      <c r="I87" s="75"/>
      <c r="J87" s="76"/>
      <c r="L87" s="78">
        <f t="shared" si="4"/>
        <v>27</v>
      </c>
      <c r="M87" s="81"/>
      <c r="N87" s="82"/>
      <c r="Q87" s="78">
        <f t="shared" si="5"/>
        <v>27</v>
      </c>
      <c r="R87" s="83"/>
      <c r="S87" s="82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6"/>
      <c r="H88" s="74"/>
      <c r="I88" s="75"/>
      <c r="J88" s="76"/>
      <c r="L88" s="78">
        <f t="shared" si="4"/>
        <v>28</v>
      </c>
      <c r="M88" s="81"/>
      <c r="N88" s="82"/>
      <c r="Q88" s="78">
        <f t="shared" si="5"/>
        <v>28</v>
      </c>
      <c r="R88" s="83"/>
      <c r="S88" s="82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6"/>
      <c r="H89" s="74"/>
      <c r="I89" s="75"/>
      <c r="J89" s="76"/>
      <c r="L89" s="78">
        <f t="shared" si="4"/>
        <v>29</v>
      </c>
      <c r="M89" s="81"/>
      <c r="N89" s="82"/>
      <c r="Q89" s="78">
        <f t="shared" si="5"/>
        <v>29</v>
      </c>
      <c r="R89" s="83"/>
      <c r="S89" s="82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6"/>
      <c r="H90" s="74"/>
      <c r="I90" s="75"/>
      <c r="J90" s="76"/>
      <c r="L90" s="78">
        <f t="shared" si="4"/>
        <v>30</v>
      </c>
      <c r="M90" s="81"/>
      <c r="N90" s="82"/>
      <c r="Q90" s="78">
        <f t="shared" si="5"/>
        <v>30</v>
      </c>
      <c r="R90" s="83"/>
      <c r="S90" s="82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69"/>
      <c r="H91" s="74"/>
      <c r="I91" s="75"/>
      <c r="J91" s="76"/>
      <c r="L91" s="78">
        <f t="shared" si="4"/>
        <v>31</v>
      </c>
      <c r="M91" s="81"/>
      <c r="N91" s="82"/>
      <c r="Q91" s="78">
        <f t="shared" si="5"/>
        <v>31</v>
      </c>
      <c r="R91" s="83"/>
      <c r="S91" s="82"/>
      <c r="V91" s="70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</row>
    <row r="92" spans="1:40" x14ac:dyDescent="0.35">
      <c r="A92" s="9">
        <f t="shared" si="6"/>
        <v>92</v>
      </c>
      <c r="G92" s="69"/>
      <c r="H92" s="74"/>
      <c r="I92" s="75"/>
      <c r="J92" s="76"/>
      <c r="L92" s="78">
        <f t="shared" si="4"/>
        <v>32</v>
      </c>
      <c r="M92" s="81"/>
      <c r="N92" s="82"/>
      <c r="Q92" s="78">
        <f t="shared" si="5"/>
        <v>32</v>
      </c>
      <c r="R92" s="83"/>
      <c r="S92" s="82"/>
      <c r="V92" s="70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</row>
    <row r="93" spans="1:40" x14ac:dyDescent="0.35">
      <c r="A93" s="9">
        <f t="shared" si="6"/>
        <v>93</v>
      </c>
      <c r="G93" s="69"/>
      <c r="H93" s="74"/>
      <c r="I93" s="75"/>
      <c r="J93" s="76"/>
      <c r="L93" s="78">
        <f t="shared" si="4"/>
        <v>33</v>
      </c>
      <c r="M93" s="81"/>
      <c r="N93" s="82"/>
      <c r="Q93" s="78">
        <f t="shared" si="5"/>
        <v>33</v>
      </c>
      <c r="R93" s="83"/>
      <c r="S93" s="82"/>
      <c r="V93" s="70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</row>
    <row r="94" spans="1:40" x14ac:dyDescent="0.35">
      <c r="A94" s="9">
        <f t="shared" si="6"/>
        <v>94</v>
      </c>
      <c r="G94" s="69"/>
      <c r="H94" s="74"/>
      <c r="I94" s="75"/>
      <c r="J94" s="76"/>
      <c r="L94" s="78">
        <f t="shared" si="4"/>
        <v>34</v>
      </c>
      <c r="M94" s="81"/>
      <c r="N94" s="82"/>
      <c r="Q94" s="78">
        <f t="shared" si="5"/>
        <v>34</v>
      </c>
      <c r="R94" s="83"/>
      <c r="S94" s="82"/>
      <c r="V94" s="70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  <c r="AH94" s="71"/>
      <c r="AI94" s="71"/>
      <c r="AJ94" s="71"/>
      <c r="AK94" s="71"/>
      <c r="AL94" s="71"/>
      <c r="AM94" s="71"/>
      <c r="AN94" s="71"/>
    </row>
    <row r="95" spans="1:40" x14ac:dyDescent="0.35">
      <c r="A95" s="9">
        <f t="shared" si="6"/>
        <v>95</v>
      </c>
      <c r="G95" s="69"/>
      <c r="H95" s="74"/>
      <c r="I95" s="75"/>
      <c r="J95" s="76"/>
      <c r="L95" s="78">
        <f t="shared" si="4"/>
        <v>35</v>
      </c>
      <c r="M95" s="81"/>
      <c r="N95" s="82"/>
      <c r="Q95" s="78">
        <f t="shared" si="5"/>
        <v>35</v>
      </c>
      <c r="R95" s="83"/>
      <c r="S95" s="82"/>
      <c r="V95" s="70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  <c r="AH95" s="71"/>
      <c r="AI95" s="71"/>
      <c r="AJ95" s="71"/>
      <c r="AK95" s="71"/>
      <c r="AL95" s="71"/>
      <c r="AM95" s="71"/>
      <c r="AN95" s="71"/>
    </row>
    <row r="96" spans="1:40" x14ac:dyDescent="0.35">
      <c r="A96" s="9">
        <f t="shared" si="6"/>
        <v>96</v>
      </c>
      <c r="G96" s="69"/>
      <c r="H96" s="74"/>
      <c r="I96" s="75"/>
      <c r="J96" s="76"/>
      <c r="L96" s="78">
        <f t="shared" si="4"/>
        <v>36</v>
      </c>
      <c r="M96" s="81"/>
      <c r="N96" s="82"/>
      <c r="Q96" s="78">
        <f t="shared" si="5"/>
        <v>36</v>
      </c>
      <c r="R96" s="83"/>
      <c r="S96" s="82"/>
      <c r="V96" s="70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</row>
    <row r="97" spans="1:40" x14ac:dyDescent="0.35">
      <c r="A97" s="9">
        <f t="shared" si="6"/>
        <v>97</v>
      </c>
      <c r="G97" s="69"/>
      <c r="H97" s="74"/>
      <c r="I97" s="75"/>
      <c r="J97" s="76"/>
      <c r="L97" s="78">
        <f t="shared" si="4"/>
        <v>37</v>
      </c>
      <c r="M97" s="81"/>
      <c r="N97" s="82"/>
      <c r="Q97" s="78">
        <f t="shared" si="5"/>
        <v>37</v>
      </c>
      <c r="R97" s="83"/>
      <c r="S97" s="82"/>
      <c r="V97" s="70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/>
      <c r="AN97" s="71"/>
    </row>
    <row r="98" spans="1:40" x14ac:dyDescent="0.35">
      <c r="A98" s="9">
        <f t="shared" si="6"/>
        <v>98</v>
      </c>
      <c r="G98" s="69"/>
      <c r="H98" s="74"/>
      <c r="I98" s="75"/>
      <c r="J98" s="76"/>
      <c r="L98" s="78">
        <f t="shared" si="4"/>
        <v>38</v>
      </c>
      <c r="M98" s="81"/>
      <c r="N98" s="82"/>
      <c r="Q98" s="78">
        <f t="shared" si="5"/>
        <v>38</v>
      </c>
      <c r="R98" s="83"/>
      <c r="S98" s="82"/>
      <c r="V98" s="70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</row>
    <row r="99" spans="1:40" x14ac:dyDescent="0.35">
      <c r="A99" s="9">
        <f t="shared" si="6"/>
        <v>99</v>
      </c>
      <c r="G99" s="69"/>
      <c r="H99" s="74"/>
      <c r="I99" s="75"/>
      <c r="J99" s="76"/>
      <c r="L99" s="78">
        <f t="shared" si="4"/>
        <v>39</v>
      </c>
      <c r="M99" s="81"/>
      <c r="N99" s="82"/>
      <c r="Q99" s="78">
        <f t="shared" si="5"/>
        <v>39</v>
      </c>
      <c r="R99" s="83"/>
      <c r="S99" s="82"/>
      <c r="V99" s="70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/>
      <c r="AL99" s="71"/>
      <c r="AM99" s="71"/>
      <c r="AN99" s="71"/>
    </row>
    <row r="100" spans="1:40" x14ac:dyDescent="0.35">
      <c r="A100" s="9">
        <f t="shared" si="6"/>
        <v>100</v>
      </c>
      <c r="G100" s="69"/>
      <c r="H100" s="74"/>
      <c r="I100" s="75"/>
      <c r="J100" s="76"/>
      <c r="L100" s="78">
        <f t="shared" si="4"/>
        <v>40</v>
      </c>
      <c r="M100" s="81"/>
      <c r="N100" s="82"/>
      <c r="Q100" s="78">
        <f t="shared" si="5"/>
        <v>40</v>
      </c>
      <c r="R100" s="83"/>
      <c r="S100" s="82"/>
      <c r="V100" s="70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</row>
    <row r="101" spans="1:40" x14ac:dyDescent="0.35">
      <c r="A101" s="9">
        <f t="shared" si="6"/>
        <v>101</v>
      </c>
      <c r="G101" s="69"/>
      <c r="H101" s="74"/>
      <c r="I101" s="75"/>
      <c r="J101" s="76"/>
      <c r="L101" s="78">
        <f t="shared" si="4"/>
        <v>41</v>
      </c>
      <c r="M101" s="81"/>
      <c r="N101" s="82"/>
      <c r="Q101" s="78">
        <f t="shared" si="5"/>
        <v>41</v>
      </c>
      <c r="R101" s="83"/>
      <c r="S101" s="82"/>
      <c r="V101" s="70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71"/>
      <c r="AK101" s="71"/>
      <c r="AL101" s="71"/>
      <c r="AM101" s="71"/>
      <c r="AN101" s="71"/>
    </row>
    <row r="102" spans="1:40" x14ac:dyDescent="0.35">
      <c r="A102" s="9">
        <f t="shared" si="6"/>
        <v>102</v>
      </c>
      <c r="G102" s="69"/>
      <c r="H102" s="74"/>
      <c r="I102" s="75"/>
      <c r="J102" s="76"/>
      <c r="L102" s="78">
        <f t="shared" si="4"/>
        <v>42</v>
      </c>
      <c r="M102" s="81"/>
      <c r="N102" s="82"/>
      <c r="Q102" s="78">
        <f t="shared" si="5"/>
        <v>42</v>
      </c>
      <c r="R102" s="83"/>
      <c r="S102" s="82"/>
      <c r="V102" s="70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  <c r="AH102" s="71"/>
      <c r="AI102" s="71"/>
      <c r="AJ102" s="71"/>
      <c r="AK102" s="71"/>
      <c r="AL102" s="71"/>
      <c r="AM102" s="71"/>
      <c r="AN102" s="71"/>
    </row>
    <row r="103" spans="1:40" x14ac:dyDescent="0.35">
      <c r="A103" s="9">
        <f t="shared" si="6"/>
        <v>103</v>
      </c>
      <c r="G103" s="69"/>
      <c r="H103" s="74"/>
      <c r="I103" s="75"/>
      <c r="J103" s="76"/>
      <c r="L103" s="78">
        <f t="shared" si="4"/>
        <v>43</v>
      </c>
      <c r="M103" s="81"/>
      <c r="N103" s="82"/>
      <c r="Q103" s="78">
        <f t="shared" si="5"/>
        <v>43</v>
      </c>
      <c r="R103" s="83"/>
      <c r="S103" s="82"/>
      <c r="V103" s="70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5" t="s">
        <v>26</v>
      </c>
      <c r="H105" s="97" t="s">
        <v>25</v>
      </c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</row>
    <row r="106" spans="1:40" x14ac:dyDescent="0.4">
      <c r="A106" s="9">
        <f t="shared" si="6"/>
        <v>106</v>
      </c>
      <c r="B106" s="108" t="s">
        <v>3</v>
      </c>
      <c r="C106" s="108"/>
      <c r="D106" s="109">
        <v>1</v>
      </c>
      <c r="E106" s="109"/>
      <c r="G106" s="96"/>
      <c r="H106" s="98" t="s">
        <v>7</v>
      </c>
      <c r="I106" s="99"/>
      <c r="L106" s="102" t="s">
        <v>11</v>
      </c>
      <c r="M106" s="102"/>
      <c r="N106" s="102"/>
      <c r="Q106" s="102" t="s">
        <v>12</v>
      </c>
      <c r="R106" s="102"/>
      <c r="S106" s="102"/>
      <c r="V106" s="102" t="s">
        <v>13</v>
      </c>
      <c r="W106" s="102"/>
      <c r="X106" s="102"/>
    </row>
    <row r="107" spans="1:40" x14ac:dyDescent="0.4">
      <c r="A107" s="9">
        <f t="shared" si="6"/>
        <v>107</v>
      </c>
      <c r="B107" s="108" t="s">
        <v>4</v>
      </c>
      <c r="C107" s="108"/>
      <c r="D107" s="109">
        <v>1</v>
      </c>
      <c r="E107" s="109"/>
      <c r="G107" s="96"/>
      <c r="H107" s="100"/>
      <c r="I107" s="101"/>
      <c r="L107" s="102"/>
      <c r="M107" s="102"/>
      <c r="N107" s="102"/>
      <c r="Q107" s="102"/>
      <c r="R107" s="102"/>
      <c r="S107" s="102"/>
      <c r="V107" s="102"/>
      <c r="W107" s="102"/>
      <c r="X107" s="102"/>
    </row>
    <row r="108" spans="1:40" x14ac:dyDescent="0.4">
      <c r="A108" s="9">
        <f t="shared" si="6"/>
        <v>108</v>
      </c>
      <c r="B108" s="108" t="s">
        <v>1</v>
      </c>
      <c r="C108" s="108"/>
      <c r="D108" s="109">
        <v>0.01</v>
      </c>
      <c r="E108" s="109"/>
      <c r="G108" s="96"/>
      <c r="I108" s="2" t="s">
        <v>106</v>
      </c>
      <c r="J108" s="2" t="s">
        <v>107</v>
      </c>
      <c r="K108" s="2" t="s">
        <v>109</v>
      </c>
      <c r="V108" s="102" t="s">
        <v>14</v>
      </c>
      <c r="W108" s="102"/>
      <c r="X108" s="4">
        <v>3</v>
      </c>
    </row>
    <row r="109" spans="1:40" x14ac:dyDescent="0.4">
      <c r="A109" s="9">
        <f t="shared" si="6"/>
        <v>109</v>
      </c>
      <c r="G109" s="96"/>
      <c r="H109" s="2" t="s">
        <v>8</v>
      </c>
      <c r="I109" s="3">
        <v>0.01</v>
      </c>
      <c r="J109" s="72">
        <v>0.01</v>
      </c>
      <c r="K109" s="72">
        <v>0.9</v>
      </c>
      <c r="Q109" s="102" t="s">
        <v>15</v>
      </c>
      <c r="R109" s="102"/>
      <c r="S109" s="4">
        <v>3</v>
      </c>
      <c r="V109" s="105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6"/>
      <c r="H110" s="73" t="s">
        <v>9</v>
      </c>
      <c r="I110" s="103" t="s">
        <v>10</v>
      </c>
      <c r="J110" s="104"/>
      <c r="L110" s="77" t="s">
        <v>18</v>
      </c>
      <c r="M110" s="77" t="s">
        <v>19</v>
      </c>
      <c r="N110" s="73" t="s">
        <v>72</v>
      </c>
      <c r="Q110" s="77" t="s">
        <v>18</v>
      </c>
      <c r="R110" s="77" t="s">
        <v>19</v>
      </c>
      <c r="S110" s="73" t="s">
        <v>20</v>
      </c>
      <c r="V110" s="106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6"/>
      <c r="H111" s="74">
        <v>0.5</v>
      </c>
      <c r="I111" s="75">
        <v>2.8000000000000004E-3</v>
      </c>
      <c r="J111" s="76">
        <v>1.2999999999999999E-2</v>
      </c>
      <c r="L111" s="78">
        <v>1</v>
      </c>
      <c r="M111" s="79">
        <v>2.7397260273972603E-3</v>
      </c>
      <c r="N111" s="80">
        <v>9.2987051584846429E-3</v>
      </c>
      <c r="Q111" s="78">
        <v>1</v>
      </c>
      <c r="R111" s="79">
        <v>1</v>
      </c>
      <c r="S111" s="80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6"/>
      <c r="H112" s="74">
        <v>1</v>
      </c>
      <c r="I112" s="75">
        <v>3.2000000000000002E-3</v>
      </c>
      <c r="J112" s="76">
        <v>1.3600000000000001E-2</v>
      </c>
      <c r="L112" s="78">
        <f>L111+1</f>
        <v>2</v>
      </c>
      <c r="M112" s="79">
        <v>0.25</v>
      </c>
      <c r="N112" s="80">
        <v>1.0100494925245816E-2</v>
      </c>
      <c r="Q112" s="78">
        <f>Q111+1</f>
        <v>2</v>
      </c>
      <c r="R112" s="79">
        <v>2</v>
      </c>
      <c r="S112" s="80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10" t="s">
        <v>6</v>
      </c>
      <c r="E113" s="110"/>
      <c r="G113" s="96"/>
      <c r="H113" s="74">
        <v>1.5</v>
      </c>
      <c r="I113" s="75">
        <v>3.2000000000000002E-3</v>
      </c>
      <c r="J113" s="76">
        <v>1.2199999999999999E-2</v>
      </c>
      <c r="L113" s="78">
        <f t="shared" ref="L113:L140" si="7">L112+1</f>
        <v>3</v>
      </c>
      <c r="M113" s="79">
        <v>0.5</v>
      </c>
      <c r="N113" s="80">
        <v>1.0585744906933231E-2</v>
      </c>
      <c r="Q113" s="78">
        <f t="shared" ref="Q113:Q140" si="8">Q112+1</f>
        <v>3</v>
      </c>
      <c r="R113" s="79">
        <v>3</v>
      </c>
      <c r="S113" s="80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10"/>
      <c r="E114" s="110"/>
      <c r="G114" s="96"/>
      <c r="H114" s="74">
        <v>2</v>
      </c>
      <c r="I114" s="75">
        <v>3.2000000000000002E-3</v>
      </c>
      <c r="J114" s="76">
        <v>1.2199999999999999E-2</v>
      </c>
      <c r="L114" s="78">
        <f t="shared" si="7"/>
        <v>4</v>
      </c>
      <c r="M114" s="79">
        <v>1</v>
      </c>
      <c r="N114" s="80">
        <v>1.1364206149595617E-2</v>
      </c>
      <c r="Q114" s="78">
        <f t="shared" si="8"/>
        <v>4</v>
      </c>
      <c r="R114" s="79">
        <v>4</v>
      </c>
      <c r="S114" s="80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10"/>
      <c r="E115" s="110"/>
      <c r="G115" s="96"/>
      <c r="H115" s="74">
        <v>3</v>
      </c>
      <c r="I115" s="75">
        <v>3.0000000000000001E-3</v>
      </c>
      <c r="J115" s="76">
        <v>1.14E-2</v>
      </c>
      <c r="L115" s="78">
        <f t="shared" si="7"/>
        <v>5</v>
      </c>
      <c r="M115" s="79">
        <v>1.5</v>
      </c>
      <c r="N115" s="80">
        <v>1.1240699512420845E-2</v>
      </c>
      <c r="Q115" s="78">
        <f t="shared" si="8"/>
        <v>5</v>
      </c>
      <c r="R115" s="79">
        <v>5</v>
      </c>
      <c r="S115" s="80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108</v>
      </c>
      <c r="D116" s="84"/>
      <c r="G116" s="96"/>
      <c r="H116" s="74">
        <v>4</v>
      </c>
      <c r="I116" s="75">
        <v>3.2000000000000002E-3</v>
      </c>
      <c r="J116" s="76">
        <v>1.1800000000000001E-2</v>
      </c>
      <c r="L116" s="78">
        <f t="shared" si="7"/>
        <v>6</v>
      </c>
      <c r="M116" s="79">
        <v>2</v>
      </c>
      <c r="N116" s="80">
        <v>1.2560340009797765E-2</v>
      </c>
      <c r="Q116" s="78">
        <f t="shared" si="8"/>
        <v>6</v>
      </c>
      <c r="R116" s="79">
        <v>7</v>
      </c>
      <c r="S116" s="80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11">
        <v>44931.461863425924</v>
      </c>
      <c r="E117" s="111"/>
      <c r="G117" s="96"/>
      <c r="H117" s="74">
        <v>5</v>
      </c>
      <c r="I117" s="75">
        <v>3.2000000000000002E-3</v>
      </c>
      <c r="J117" s="76">
        <v>1.2799999999999999E-2</v>
      </c>
      <c r="L117" s="78">
        <f t="shared" si="7"/>
        <v>7</v>
      </c>
      <c r="M117" s="79">
        <v>3</v>
      </c>
      <c r="N117" s="80">
        <v>1.344051633469635E-2</v>
      </c>
      <c r="Q117" s="78">
        <f t="shared" si="8"/>
        <v>7</v>
      </c>
      <c r="R117" s="79">
        <v>10</v>
      </c>
      <c r="S117" s="80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11">
        <v>44931.461875000001</v>
      </c>
      <c r="E118" s="111"/>
      <c r="G118" s="96"/>
      <c r="H118" s="74">
        <v>7</v>
      </c>
      <c r="I118" s="75">
        <v>3.2000000000000002E-3</v>
      </c>
      <c r="J118" s="76">
        <v>1.1200000000000002E-2</v>
      </c>
      <c r="L118" s="78">
        <f t="shared" si="7"/>
        <v>8</v>
      </c>
      <c r="M118" s="79">
        <v>4</v>
      </c>
      <c r="N118" s="80">
        <v>1.5128217867816219E-2</v>
      </c>
      <c r="Q118" s="78">
        <f t="shared" si="8"/>
        <v>8</v>
      </c>
      <c r="R118" s="79"/>
      <c r="S118" s="80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6"/>
      <c r="H119" s="74">
        <v>10</v>
      </c>
      <c r="I119" s="75">
        <v>3.4000000000000002E-3</v>
      </c>
      <c r="J119" s="76">
        <v>1.1599999999999999E-2</v>
      </c>
      <c r="L119" s="78">
        <f t="shared" si="7"/>
        <v>9</v>
      </c>
      <c r="M119" s="79">
        <v>5</v>
      </c>
      <c r="N119" s="80">
        <v>1.6145008698489109E-2</v>
      </c>
      <c r="Q119" s="78">
        <f t="shared" si="8"/>
        <v>9</v>
      </c>
      <c r="R119" s="79"/>
      <c r="S119" s="80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6"/>
      <c r="H120" s="74"/>
      <c r="I120" s="75"/>
      <c r="J120" s="76"/>
      <c r="L120" s="78">
        <f t="shared" si="7"/>
        <v>10</v>
      </c>
      <c r="M120" s="79">
        <v>6</v>
      </c>
      <c r="N120" s="80">
        <v>1.6196912530765887E-2</v>
      </c>
      <c r="Q120" s="78">
        <f t="shared" si="8"/>
        <v>10</v>
      </c>
      <c r="R120" s="79"/>
      <c r="S120" s="80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6"/>
      <c r="H121" s="74"/>
      <c r="I121" s="75"/>
      <c r="J121" s="76"/>
      <c r="L121" s="78">
        <f t="shared" si="7"/>
        <v>11</v>
      </c>
      <c r="M121" s="79">
        <v>7</v>
      </c>
      <c r="N121" s="80">
        <v>1.7576413300879615E-2</v>
      </c>
      <c r="Q121" s="78">
        <f t="shared" si="8"/>
        <v>11</v>
      </c>
      <c r="R121" s="79"/>
      <c r="S121" s="80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6"/>
      <c r="H122" s="74"/>
      <c r="I122" s="75"/>
      <c r="J122" s="76"/>
      <c r="L122" s="78">
        <f t="shared" si="7"/>
        <v>12</v>
      </c>
      <c r="M122" s="79">
        <v>8</v>
      </c>
      <c r="N122" s="80">
        <v>1.7788002445556443E-2</v>
      </c>
      <c r="Q122" s="78">
        <f t="shared" si="8"/>
        <v>12</v>
      </c>
      <c r="R122" s="79"/>
      <c r="S122" s="80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B123" s="108" t="s">
        <v>115</v>
      </c>
      <c r="C123" s="108"/>
      <c r="D123" s="109">
        <v>0</v>
      </c>
      <c r="E123" s="109"/>
      <c r="G123" s="96"/>
      <c r="H123" s="74"/>
      <c r="I123" s="75"/>
      <c r="J123" s="76"/>
      <c r="L123" s="78">
        <f t="shared" si="7"/>
        <v>13</v>
      </c>
      <c r="M123" s="79">
        <v>9</v>
      </c>
      <c r="N123" s="80">
        <v>1.8387991814191845E-2</v>
      </c>
      <c r="Q123" s="78">
        <f t="shared" si="8"/>
        <v>13</v>
      </c>
      <c r="R123" s="79"/>
      <c r="S123" s="80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B124" s="108" t="s">
        <v>111</v>
      </c>
      <c r="C124" s="108"/>
      <c r="D124" s="109">
        <v>0</v>
      </c>
      <c r="E124" s="109"/>
      <c r="G124" s="96"/>
      <c r="H124" s="74"/>
      <c r="I124" s="75"/>
      <c r="J124" s="76"/>
      <c r="L124" s="78">
        <f t="shared" si="7"/>
        <v>14</v>
      </c>
      <c r="M124" s="79">
        <v>10</v>
      </c>
      <c r="N124" s="80">
        <v>1.8834234363904127E-2</v>
      </c>
      <c r="Q124" s="78">
        <f t="shared" si="8"/>
        <v>14</v>
      </c>
      <c r="R124" s="79"/>
      <c r="S124" s="80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B125" s="108" t="s">
        <v>113</v>
      </c>
      <c r="C125" s="108"/>
      <c r="D125" s="109">
        <v>-0.1</v>
      </c>
      <c r="E125" s="109"/>
      <c r="G125" s="96"/>
      <c r="H125" s="74"/>
      <c r="I125" s="75"/>
      <c r="J125" s="76"/>
      <c r="L125" s="78">
        <f t="shared" si="7"/>
        <v>15</v>
      </c>
      <c r="M125" s="79">
        <v>12</v>
      </c>
      <c r="N125" s="80">
        <v>1.8971011340666574E-2</v>
      </c>
      <c r="Q125" s="78">
        <f t="shared" si="8"/>
        <v>15</v>
      </c>
      <c r="R125" s="79"/>
      <c r="S125" s="80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B126" s="108" t="s">
        <v>112</v>
      </c>
      <c r="C126" s="108"/>
      <c r="D126" s="109">
        <v>0.15</v>
      </c>
      <c r="E126" s="109"/>
      <c r="G126" s="96"/>
      <c r="H126" s="74"/>
      <c r="I126" s="75"/>
      <c r="J126" s="76"/>
      <c r="L126" s="78">
        <f t="shared" si="7"/>
        <v>16</v>
      </c>
      <c r="M126" s="79">
        <v>15</v>
      </c>
      <c r="N126" s="80">
        <v>1.9495973300093089E-2</v>
      </c>
      <c r="Q126" s="78">
        <f t="shared" si="8"/>
        <v>16</v>
      </c>
      <c r="R126" s="79"/>
      <c r="S126" s="80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6"/>
      <c r="H127" s="74"/>
      <c r="I127" s="75"/>
      <c r="J127" s="76"/>
      <c r="L127" s="78">
        <f t="shared" si="7"/>
        <v>17</v>
      </c>
      <c r="M127" s="79">
        <v>20</v>
      </c>
      <c r="N127" s="80">
        <v>2.117680539084018E-2</v>
      </c>
      <c r="Q127" s="78">
        <f t="shared" si="8"/>
        <v>17</v>
      </c>
      <c r="R127" s="79"/>
      <c r="S127" s="80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6"/>
      <c r="H128" s="74"/>
      <c r="I128" s="75"/>
      <c r="J128" s="76"/>
      <c r="L128" s="78">
        <f t="shared" si="7"/>
        <v>18</v>
      </c>
      <c r="M128" s="79"/>
      <c r="N128" s="80"/>
      <c r="Q128" s="78">
        <f t="shared" si="8"/>
        <v>18</v>
      </c>
      <c r="R128" s="79"/>
      <c r="S128" s="80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6"/>
      <c r="H129" s="74"/>
      <c r="I129" s="75"/>
      <c r="J129" s="76"/>
      <c r="L129" s="78">
        <f t="shared" si="7"/>
        <v>19</v>
      </c>
      <c r="M129" s="81"/>
      <c r="N129" s="82"/>
      <c r="Q129" s="78">
        <f t="shared" si="8"/>
        <v>19</v>
      </c>
      <c r="R129" s="83"/>
      <c r="S129" s="82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6"/>
      <c r="H130" s="74"/>
      <c r="I130" s="75"/>
      <c r="J130" s="76"/>
      <c r="L130" s="78">
        <f t="shared" si="7"/>
        <v>20</v>
      </c>
      <c r="M130" s="81"/>
      <c r="N130" s="82"/>
      <c r="Q130" s="78">
        <f t="shared" si="8"/>
        <v>20</v>
      </c>
      <c r="R130" s="83"/>
      <c r="S130" s="82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6"/>
      <c r="H131" s="74"/>
      <c r="I131" s="75"/>
      <c r="J131" s="76"/>
      <c r="L131" s="78">
        <f t="shared" si="7"/>
        <v>21</v>
      </c>
      <c r="M131" s="81"/>
      <c r="N131" s="82"/>
      <c r="Q131" s="78">
        <f t="shared" si="8"/>
        <v>21</v>
      </c>
      <c r="R131" s="83"/>
      <c r="S131" s="82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6"/>
      <c r="H132" s="74"/>
      <c r="I132" s="75"/>
      <c r="J132" s="76"/>
      <c r="L132" s="78">
        <f t="shared" si="7"/>
        <v>22</v>
      </c>
      <c r="M132" s="81"/>
      <c r="N132" s="82"/>
      <c r="Q132" s="78">
        <f t="shared" si="8"/>
        <v>22</v>
      </c>
      <c r="R132" s="83"/>
      <c r="S132" s="82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6"/>
      <c r="H133" s="74"/>
      <c r="I133" s="75"/>
      <c r="J133" s="76"/>
      <c r="L133" s="78">
        <f t="shared" si="7"/>
        <v>23</v>
      </c>
      <c r="M133" s="81"/>
      <c r="N133" s="82"/>
      <c r="Q133" s="78">
        <f t="shared" si="8"/>
        <v>23</v>
      </c>
      <c r="R133" s="83"/>
      <c r="S133" s="82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6"/>
      <c r="H134" s="74"/>
      <c r="I134" s="75"/>
      <c r="J134" s="76"/>
      <c r="L134" s="78">
        <f t="shared" si="7"/>
        <v>24</v>
      </c>
      <c r="M134" s="81"/>
      <c r="N134" s="82"/>
      <c r="Q134" s="78">
        <f t="shared" si="8"/>
        <v>24</v>
      </c>
      <c r="R134" s="83"/>
      <c r="S134" s="82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6"/>
      <c r="H135" s="74"/>
      <c r="I135" s="75"/>
      <c r="J135" s="76"/>
      <c r="L135" s="78">
        <f t="shared" si="7"/>
        <v>25</v>
      </c>
      <c r="M135" s="81"/>
      <c r="N135" s="82"/>
      <c r="Q135" s="78">
        <f t="shared" si="8"/>
        <v>25</v>
      </c>
      <c r="R135" s="83"/>
      <c r="S135" s="82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6"/>
      <c r="H136" s="74"/>
      <c r="I136" s="75"/>
      <c r="J136" s="76"/>
      <c r="L136" s="78">
        <f t="shared" si="7"/>
        <v>26</v>
      </c>
      <c r="M136" s="81"/>
      <c r="N136" s="82"/>
      <c r="Q136" s="78">
        <f t="shared" si="8"/>
        <v>26</v>
      </c>
      <c r="R136" s="83"/>
      <c r="S136" s="82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6"/>
      <c r="H137" s="74"/>
      <c r="I137" s="75"/>
      <c r="J137" s="76"/>
      <c r="L137" s="78">
        <f t="shared" si="7"/>
        <v>27</v>
      </c>
      <c r="M137" s="81"/>
      <c r="N137" s="82"/>
      <c r="Q137" s="78">
        <f t="shared" si="8"/>
        <v>27</v>
      </c>
      <c r="R137" s="83"/>
      <c r="S137" s="82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6"/>
      <c r="H138" s="74"/>
      <c r="I138" s="75"/>
      <c r="J138" s="76"/>
      <c r="L138" s="78">
        <f t="shared" si="7"/>
        <v>28</v>
      </c>
      <c r="M138" s="81"/>
      <c r="N138" s="82"/>
      <c r="Q138" s="78">
        <f t="shared" si="8"/>
        <v>28</v>
      </c>
      <c r="R138" s="83"/>
      <c r="S138" s="82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6"/>
      <c r="H139" s="74"/>
      <c r="I139" s="75"/>
      <c r="J139" s="76"/>
      <c r="L139" s="78">
        <f t="shared" si="7"/>
        <v>29</v>
      </c>
      <c r="M139" s="81"/>
      <c r="N139" s="82"/>
      <c r="Q139" s="78">
        <f t="shared" si="8"/>
        <v>29</v>
      </c>
      <c r="R139" s="83"/>
      <c r="S139" s="82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6"/>
      <c r="H140" s="74"/>
      <c r="I140" s="75"/>
      <c r="J140" s="76"/>
      <c r="L140" s="78">
        <f t="shared" si="7"/>
        <v>30</v>
      </c>
      <c r="M140" s="81"/>
      <c r="N140" s="82"/>
      <c r="Q140" s="78">
        <f t="shared" si="8"/>
        <v>30</v>
      </c>
      <c r="R140" s="83"/>
      <c r="S140" s="82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69"/>
      <c r="H141" s="74"/>
      <c r="I141" s="75"/>
      <c r="J141" s="76"/>
      <c r="L141" s="78"/>
      <c r="M141" s="81"/>
      <c r="N141" s="82"/>
      <c r="Q141" s="78"/>
      <c r="R141" s="83"/>
      <c r="S141" s="82"/>
      <c r="V141" s="70"/>
      <c r="W141" s="71"/>
      <c r="X141" s="71"/>
      <c r="Y141" s="71"/>
      <c r="Z141" s="71"/>
      <c r="AA141" s="71"/>
      <c r="AB141" s="71"/>
      <c r="AC141" s="71"/>
      <c r="AD141" s="71"/>
      <c r="AE141" s="71"/>
      <c r="AF141" s="71"/>
      <c r="AG141" s="71"/>
      <c r="AH141" s="71"/>
      <c r="AI141" s="71"/>
      <c r="AJ141" s="71"/>
      <c r="AK141" s="71"/>
      <c r="AL141" s="71"/>
      <c r="AM141" s="71"/>
      <c r="AN141" s="71"/>
    </row>
    <row r="142" spans="1:40" x14ac:dyDescent="0.35">
      <c r="A142" s="9">
        <f t="shared" si="6"/>
        <v>142</v>
      </c>
      <c r="G142" s="69"/>
      <c r="H142" s="74"/>
      <c r="I142" s="75"/>
      <c r="J142" s="76"/>
      <c r="L142" s="78"/>
      <c r="M142" s="81"/>
      <c r="N142" s="82"/>
      <c r="Q142" s="78"/>
      <c r="R142" s="83"/>
      <c r="S142" s="82"/>
      <c r="V142" s="70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</row>
    <row r="143" spans="1:40" x14ac:dyDescent="0.35">
      <c r="A143" s="9">
        <f t="shared" si="6"/>
        <v>143</v>
      </c>
      <c r="G143" s="69"/>
      <c r="H143" s="74"/>
      <c r="I143" s="75"/>
      <c r="J143" s="76"/>
      <c r="L143" s="78"/>
      <c r="M143" s="81"/>
      <c r="N143" s="82"/>
      <c r="Q143" s="78"/>
      <c r="R143" s="83"/>
      <c r="S143" s="82"/>
      <c r="V143" s="70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/>
      <c r="AL143" s="71"/>
      <c r="AM143" s="71"/>
      <c r="AN143" s="71"/>
    </row>
    <row r="144" spans="1:40" x14ac:dyDescent="0.35">
      <c r="A144" s="9">
        <f t="shared" si="6"/>
        <v>144</v>
      </c>
      <c r="G144" s="69"/>
      <c r="H144" s="74"/>
      <c r="I144" s="75"/>
      <c r="J144" s="76"/>
      <c r="L144" s="78"/>
      <c r="M144" s="81"/>
      <c r="N144" s="82"/>
      <c r="Q144" s="78"/>
      <c r="R144" s="83"/>
      <c r="S144" s="82"/>
      <c r="V144" s="70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</row>
    <row r="145" spans="1:40" x14ac:dyDescent="0.35">
      <c r="A145" s="9">
        <f t="shared" si="6"/>
        <v>145</v>
      </c>
      <c r="G145" s="69"/>
      <c r="H145" s="74"/>
      <c r="I145" s="75"/>
      <c r="J145" s="76"/>
      <c r="L145" s="78"/>
      <c r="M145" s="81"/>
      <c r="N145" s="82"/>
      <c r="Q145" s="78"/>
      <c r="R145" s="83"/>
      <c r="S145" s="82"/>
      <c r="V145" s="70"/>
      <c r="W145" s="71"/>
      <c r="X145" s="71"/>
      <c r="Y145" s="71"/>
      <c r="Z145" s="71"/>
      <c r="AA145" s="71"/>
      <c r="AB145" s="71"/>
      <c r="AC145" s="71"/>
      <c r="AD145" s="71"/>
      <c r="AE145" s="71"/>
      <c r="AF145" s="71"/>
      <c r="AG145" s="71"/>
      <c r="AH145" s="71"/>
      <c r="AI145" s="71"/>
      <c r="AJ145" s="71"/>
      <c r="AK145" s="71"/>
      <c r="AL145" s="71"/>
      <c r="AM145" s="71"/>
      <c r="AN145" s="71"/>
    </row>
    <row r="146" spans="1:40" x14ac:dyDescent="0.35">
      <c r="A146" s="9">
        <f t="shared" si="6"/>
        <v>146</v>
      </c>
      <c r="G146" s="69"/>
      <c r="H146" s="74"/>
      <c r="I146" s="75"/>
      <c r="J146" s="76"/>
      <c r="L146" s="78"/>
      <c r="M146" s="81"/>
      <c r="N146" s="82"/>
      <c r="Q146" s="78"/>
      <c r="R146" s="83"/>
      <c r="S146" s="82"/>
      <c r="V146" s="70"/>
      <c r="W146" s="71"/>
      <c r="X146" s="71"/>
      <c r="Y146" s="71"/>
      <c r="Z146" s="71"/>
      <c r="AA146" s="71"/>
      <c r="AB146" s="71"/>
      <c r="AC146" s="71"/>
      <c r="AD146" s="71"/>
      <c r="AE146" s="71"/>
      <c r="AF146" s="71"/>
      <c r="AG146" s="71"/>
      <c r="AH146" s="71"/>
      <c r="AI146" s="71"/>
      <c r="AJ146" s="71"/>
      <c r="AK146" s="71"/>
      <c r="AL146" s="71"/>
      <c r="AM146" s="71"/>
      <c r="AN146" s="71"/>
    </row>
    <row r="147" spans="1:40" x14ac:dyDescent="0.35">
      <c r="A147" s="9">
        <f t="shared" ref="A147:A204" si="9">A146+1</f>
        <v>147</v>
      </c>
      <c r="G147" s="69"/>
      <c r="H147" s="74"/>
      <c r="I147" s="75"/>
      <c r="J147" s="76"/>
      <c r="L147" s="78"/>
      <c r="M147" s="81"/>
      <c r="N147" s="82"/>
      <c r="Q147" s="78"/>
      <c r="R147" s="83"/>
      <c r="S147" s="82"/>
      <c r="V147" s="70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/>
      <c r="AJ147" s="71"/>
      <c r="AK147" s="71"/>
      <c r="AL147" s="71"/>
      <c r="AM147" s="71"/>
      <c r="AN147" s="71"/>
    </row>
    <row r="148" spans="1:40" x14ac:dyDescent="0.35">
      <c r="A148" s="9">
        <f t="shared" si="9"/>
        <v>148</v>
      </c>
      <c r="G148" s="69"/>
      <c r="H148" s="74"/>
      <c r="I148" s="75"/>
      <c r="J148" s="76"/>
      <c r="L148" s="78"/>
      <c r="M148" s="81"/>
      <c r="N148" s="82"/>
      <c r="Q148" s="78"/>
      <c r="R148" s="83"/>
      <c r="S148" s="82"/>
      <c r="V148" s="70"/>
      <c r="W148" s="71"/>
      <c r="X148" s="71"/>
      <c r="Y148" s="71"/>
      <c r="Z148" s="71"/>
      <c r="AA148" s="71"/>
      <c r="AB148" s="71"/>
      <c r="AC148" s="71"/>
      <c r="AD148" s="71"/>
      <c r="AE148" s="71"/>
      <c r="AF148" s="71"/>
      <c r="AG148" s="71"/>
      <c r="AH148" s="71"/>
      <c r="AI148" s="71"/>
      <c r="AJ148" s="71"/>
      <c r="AK148" s="71"/>
      <c r="AL148" s="71"/>
      <c r="AM148" s="71"/>
      <c r="AN148" s="71"/>
    </row>
    <row r="149" spans="1:40" x14ac:dyDescent="0.35">
      <c r="A149" s="9">
        <f t="shared" si="9"/>
        <v>149</v>
      </c>
      <c r="G149" s="69"/>
      <c r="H149" s="74"/>
      <c r="I149" s="75"/>
      <c r="J149" s="76"/>
      <c r="L149" s="78"/>
      <c r="M149" s="81"/>
      <c r="N149" s="82"/>
      <c r="Q149" s="78"/>
      <c r="R149" s="83"/>
      <c r="S149" s="82"/>
      <c r="V149" s="70"/>
      <c r="W149" s="71"/>
      <c r="X149" s="71"/>
      <c r="Y149" s="71"/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/>
      <c r="AK149" s="71"/>
      <c r="AL149" s="71"/>
      <c r="AM149" s="71"/>
      <c r="AN149" s="71"/>
    </row>
    <row r="150" spans="1:40" x14ac:dyDescent="0.35">
      <c r="A150" s="9">
        <f t="shared" si="9"/>
        <v>150</v>
      </c>
      <c r="G150" s="69"/>
      <c r="H150" s="74"/>
      <c r="I150" s="75"/>
      <c r="J150" s="76"/>
      <c r="L150" s="78"/>
      <c r="M150" s="81"/>
      <c r="N150" s="82"/>
      <c r="Q150" s="78"/>
      <c r="R150" s="83"/>
      <c r="S150" s="82"/>
      <c r="V150" s="70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</row>
    <row r="151" spans="1:40" x14ac:dyDescent="0.35">
      <c r="A151" s="9">
        <f t="shared" si="9"/>
        <v>151</v>
      </c>
      <c r="G151" s="69"/>
      <c r="H151" s="74"/>
      <c r="I151" s="75"/>
      <c r="J151" s="76"/>
      <c r="L151" s="78"/>
      <c r="M151" s="81"/>
      <c r="N151" s="82"/>
      <c r="Q151" s="78"/>
      <c r="R151" s="83"/>
      <c r="S151" s="82"/>
      <c r="V151" s="70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</row>
    <row r="152" spans="1:40" x14ac:dyDescent="0.35">
      <c r="A152" s="9">
        <f t="shared" si="9"/>
        <v>152</v>
      </c>
      <c r="G152" s="69"/>
      <c r="H152" s="74"/>
      <c r="I152" s="75"/>
      <c r="J152" s="76"/>
      <c r="L152" s="78"/>
      <c r="M152" s="81"/>
      <c r="N152" s="82"/>
      <c r="Q152" s="78"/>
      <c r="R152" s="83"/>
      <c r="S152" s="82"/>
      <c r="V152" s="70"/>
      <c r="W152" s="71"/>
      <c r="X152" s="71"/>
      <c r="Y152" s="71"/>
      <c r="Z152" s="71"/>
      <c r="AA152" s="71"/>
      <c r="AB152" s="71"/>
      <c r="AC152" s="71"/>
      <c r="AD152" s="71"/>
      <c r="AE152" s="71"/>
      <c r="AF152" s="71"/>
      <c r="AG152" s="71"/>
      <c r="AH152" s="71"/>
      <c r="AI152" s="71"/>
      <c r="AJ152" s="71"/>
      <c r="AK152" s="71"/>
      <c r="AL152" s="71"/>
      <c r="AM152" s="71"/>
      <c r="AN152" s="71"/>
    </row>
    <row r="153" spans="1:40" x14ac:dyDescent="0.35">
      <c r="A153" s="9">
        <f t="shared" si="9"/>
        <v>153</v>
      </c>
      <c r="G153" s="69"/>
      <c r="H153" s="74"/>
      <c r="I153" s="75"/>
      <c r="J153" s="76"/>
      <c r="L153" s="78"/>
      <c r="M153" s="81"/>
      <c r="N153" s="82"/>
      <c r="Q153" s="78"/>
      <c r="R153" s="83"/>
      <c r="S153" s="82"/>
      <c r="V153" s="70"/>
      <c r="W153" s="71"/>
      <c r="X153" s="71"/>
      <c r="Y153" s="71"/>
      <c r="Z153" s="71"/>
      <c r="AA153" s="71"/>
      <c r="AB153" s="71"/>
      <c r="AC153" s="71"/>
      <c r="AD153" s="71"/>
      <c r="AE153" s="71"/>
      <c r="AF153" s="71"/>
      <c r="AG153" s="71"/>
      <c r="AH153" s="71"/>
      <c r="AI153" s="71"/>
      <c r="AJ153" s="71"/>
      <c r="AK153" s="71"/>
      <c r="AL153" s="71"/>
      <c r="AM153" s="71"/>
      <c r="AN153" s="71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5" t="s">
        <v>28</v>
      </c>
      <c r="H155" s="97" t="s">
        <v>27</v>
      </c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</row>
    <row r="156" spans="1:40" x14ac:dyDescent="0.4">
      <c r="A156" s="9">
        <f t="shared" si="9"/>
        <v>156</v>
      </c>
      <c r="B156" s="108" t="s">
        <v>3</v>
      </c>
      <c r="C156" s="108"/>
      <c r="D156" s="109">
        <v>1</v>
      </c>
      <c r="E156" s="109"/>
      <c r="G156" s="96"/>
      <c r="H156" s="98" t="s">
        <v>7</v>
      </c>
      <c r="I156" s="99"/>
      <c r="L156" s="102" t="s">
        <v>11</v>
      </c>
      <c r="M156" s="102"/>
      <c r="N156" s="102"/>
      <c r="Q156" s="102" t="s">
        <v>12</v>
      </c>
      <c r="R156" s="102"/>
      <c r="S156" s="102"/>
      <c r="V156" s="102" t="s">
        <v>13</v>
      </c>
      <c r="W156" s="102"/>
      <c r="X156" s="102"/>
    </row>
    <row r="157" spans="1:40" x14ac:dyDescent="0.4">
      <c r="A157" s="9">
        <f t="shared" si="9"/>
        <v>157</v>
      </c>
      <c r="B157" s="108" t="s">
        <v>4</v>
      </c>
      <c r="C157" s="108"/>
      <c r="D157" s="109">
        <v>1</v>
      </c>
      <c r="E157" s="109"/>
      <c r="G157" s="96"/>
      <c r="H157" s="100"/>
      <c r="I157" s="101"/>
      <c r="L157" s="102"/>
      <c r="M157" s="102"/>
      <c r="N157" s="102"/>
      <c r="Q157" s="102"/>
      <c r="R157" s="102"/>
      <c r="S157" s="102"/>
      <c r="V157" s="102"/>
      <c r="W157" s="102"/>
      <c r="X157" s="102"/>
    </row>
    <row r="158" spans="1:40" x14ac:dyDescent="0.4">
      <c r="A158" s="9">
        <f t="shared" si="9"/>
        <v>158</v>
      </c>
      <c r="B158" s="108" t="s">
        <v>1</v>
      </c>
      <c r="C158" s="108"/>
      <c r="D158" s="109">
        <v>0.01</v>
      </c>
      <c r="E158" s="109"/>
      <c r="G158" s="96"/>
      <c r="I158" s="2" t="s">
        <v>106</v>
      </c>
      <c r="J158" s="2" t="s">
        <v>107</v>
      </c>
      <c r="K158" s="2" t="s">
        <v>109</v>
      </c>
      <c r="V158" s="102" t="s">
        <v>14</v>
      </c>
      <c r="W158" s="102"/>
      <c r="X158" s="4">
        <v>3</v>
      </c>
    </row>
    <row r="159" spans="1:40" x14ac:dyDescent="0.4">
      <c r="A159" s="9">
        <f t="shared" si="9"/>
        <v>159</v>
      </c>
      <c r="G159" s="96"/>
      <c r="H159" s="2" t="s">
        <v>8</v>
      </c>
      <c r="I159" s="3">
        <v>0.01</v>
      </c>
      <c r="J159" s="72">
        <v>0.01</v>
      </c>
      <c r="K159" s="72">
        <v>0.9</v>
      </c>
      <c r="Q159" s="102" t="s">
        <v>15</v>
      </c>
      <c r="R159" s="102"/>
      <c r="S159" s="4">
        <v>3</v>
      </c>
      <c r="V159" s="105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6"/>
      <c r="H160" s="73" t="s">
        <v>9</v>
      </c>
      <c r="I160" s="103" t="s">
        <v>10</v>
      </c>
      <c r="J160" s="104"/>
      <c r="L160" s="77" t="s">
        <v>18</v>
      </c>
      <c r="M160" s="77" t="s">
        <v>19</v>
      </c>
      <c r="N160" s="73" t="s">
        <v>72</v>
      </c>
      <c r="Q160" s="77" t="s">
        <v>18</v>
      </c>
      <c r="R160" s="77" t="s">
        <v>19</v>
      </c>
      <c r="S160" s="73" t="s">
        <v>20</v>
      </c>
      <c r="V160" s="106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6"/>
      <c r="H161" s="74">
        <v>0.5</v>
      </c>
      <c r="I161" s="75">
        <v>3.0000000000000001E-3</v>
      </c>
      <c r="J161" s="76">
        <v>1.2999999999999999E-2</v>
      </c>
      <c r="L161" s="78">
        <v>1</v>
      </c>
      <c r="M161" s="79">
        <v>2.7397260273972603E-3</v>
      </c>
      <c r="N161" s="80">
        <v>1.0027029778086581E-2</v>
      </c>
      <c r="Q161" s="78">
        <v>1</v>
      </c>
      <c r="R161" s="79">
        <v>1</v>
      </c>
      <c r="S161" s="80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6"/>
      <c r="H162" s="74">
        <v>1</v>
      </c>
      <c r="I162" s="75">
        <v>3.2000000000000002E-3</v>
      </c>
      <c r="J162" s="76">
        <v>1.3600000000000001E-2</v>
      </c>
      <c r="L162" s="78">
        <f>L161+1</f>
        <v>2</v>
      </c>
      <c r="M162" s="79">
        <v>0.25</v>
      </c>
      <c r="N162" s="80">
        <v>1.1065709845408186E-2</v>
      </c>
      <c r="Q162" s="78">
        <f>Q161+1</f>
        <v>2</v>
      </c>
      <c r="R162" s="79">
        <v>2</v>
      </c>
      <c r="S162" s="80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10" t="s">
        <v>6</v>
      </c>
      <c r="E163" s="110"/>
      <c r="G163" s="96"/>
      <c r="H163" s="74">
        <v>1.5</v>
      </c>
      <c r="I163" s="75">
        <v>3.2000000000000002E-3</v>
      </c>
      <c r="J163" s="76">
        <v>1.2199999999999999E-2</v>
      </c>
      <c r="L163" s="78">
        <f t="shared" ref="L163:L203" si="10">L162+1</f>
        <v>3</v>
      </c>
      <c r="M163" s="79">
        <v>0.5</v>
      </c>
      <c r="N163" s="80">
        <v>1.1370283877900454E-2</v>
      </c>
      <c r="Q163" s="78">
        <f t="shared" ref="Q163:Q203" si="11">Q162+1</f>
        <v>3</v>
      </c>
      <c r="R163" s="79">
        <v>3</v>
      </c>
      <c r="S163" s="80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10"/>
      <c r="E164" s="110"/>
      <c r="G164" s="96"/>
      <c r="H164" s="74">
        <v>2</v>
      </c>
      <c r="I164" s="75">
        <v>3.4000000000000002E-3</v>
      </c>
      <c r="J164" s="76">
        <v>1.2199999999999999E-2</v>
      </c>
      <c r="L164" s="78">
        <f t="shared" si="10"/>
        <v>4</v>
      </c>
      <c r="M164" s="79">
        <v>1</v>
      </c>
      <c r="N164" s="80">
        <v>1.1758753303254273E-2</v>
      </c>
      <c r="Q164" s="78">
        <f t="shared" si="11"/>
        <v>4</v>
      </c>
      <c r="R164" s="79">
        <v>4</v>
      </c>
      <c r="S164" s="80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10"/>
      <c r="E165" s="110"/>
      <c r="G165" s="96"/>
      <c r="H165" s="74">
        <v>3</v>
      </c>
      <c r="I165" s="75">
        <v>3.0000000000000001E-3</v>
      </c>
      <c r="J165" s="76">
        <v>1.14E-2</v>
      </c>
      <c r="L165" s="78">
        <f t="shared" si="10"/>
        <v>5</v>
      </c>
      <c r="M165" s="79">
        <v>1.5</v>
      </c>
      <c r="N165" s="80">
        <v>1.1661190571769517E-2</v>
      </c>
      <c r="Q165" s="78">
        <f t="shared" si="11"/>
        <v>5</v>
      </c>
      <c r="R165" s="79">
        <v>5</v>
      </c>
      <c r="S165" s="80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108</v>
      </c>
      <c r="D166" s="84"/>
      <c r="G166" s="96"/>
      <c r="H166" s="74">
        <v>4</v>
      </c>
      <c r="I166" s="75">
        <v>3.6000000000000003E-3</v>
      </c>
      <c r="J166" s="76">
        <v>1.1800000000000001E-2</v>
      </c>
      <c r="L166" s="78">
        <f t="shared" si="10"/>
        <v>6</v>
      </c>
      <c r="M166" s="79">
        <v>2</v>
      </c>
      <c r="N166" s="80">
        <v>1.3153899088696243E-2</v>
      </c>
      <c r="Q166" s="78">
        <f t="shared" si="11"/>
        <v>6</v>
      </c>
      <c r="R166" s="79">
        <v>7</v>
      </c>
      <c r="S166" s="80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11">
        <v>44931.461875000001</v>
      </c>
      <c r="E167" s="111"/>
      <c r="G167" s="96"/>
      <c r="H167" s="74">
        <v>5</v>
      </c>
      <c r="I167" s="75">
        <v>3.6000000000000003E-3</v>
      </c>
      <c r="J167" s="76">
        <v>1.2799999999999999E-2</v>
      </c>
      <c r="L167" s="78">
        <f t="shared" si="10"/>
        <v>7</v>
      </c>
      <c r="M167" s="79">
        <v>3</v>
      </c>
      <c r="N167" s="80">
        <v>1.4038279155587861E-2</v>
      </c>
      <c r="Q167" s="78">
        <f t="shared" si="11"/>
        <v>7</v>
      </c>
      <c r="R167" s="79">
        <v>10</v>
      </c>
      <c r="S167" s="80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11">
        <v>44931.461875000001</v>
      </c>
      <c r="E168" s="111"/>
      <c r="G168" s="96"/>
      <c r="H168" s="74">
        <v>7</v>
      </c>
      <c r="I168" s="75">
        <v>3.2000000000000002E-3</v>
      </c>
      <c r="J168" s="76">
        <v>1.1200000000000002E-2</v>
      </c>
      <c r="L168" s="78">
        <f t="shared" si="10"/>
        <v>8</v>
      </c>
      <c r="M168" s="79">
        <v>4</v>
      </c>
      <c r="N168" s="80">
        <v>1.5228465405965569E-2</v>
      </c>
      <c r="Q168" s="78">
        <f t="shared" si="11"/>
        <v>8</v>
      </c>
      <c r="R168" s="79"/>
      <c r="S168" s="80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6"/>
      <c r="H169" s="74">
        <v>10</v>
      </c>
      <c r="I169" s="75">
        <v>3.2000000000000002E-3</v>
      </c>
      <c r="J169" s="76">
        <v>1.1599999999999999E-2</v>
      </c>
      <c r="L169" s="78">
        <f t="shared" si="10"/>
        <v>9</v>
      </c>
      <c r="M169" s="79">
        <v>5</v>
      </c>
      <c r="N169" s="80">
        <v>1.6590447672740104E-2</v>
      </c>
      <c r="Q169" s="78">
        <f t="shared" si="11"/>
        <v>9</v>
      </c>
      <c r="R169" s="79"/>
      <c r="S169" s="80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6"/>
      <c r="H170" s="74"/>
      <c r="I170" s="75"/>
      <c r="J170" s="76"/>
      <c r="L170" s="78">
        <f t="shared" si="10"/>
        <v>10</v>
      </c>
      <c r="M170" s="79">
        <v>6</v>
      </c>
      <c r="N170" s="80">
        <v>1.6691768173297903E-2</v>
      </c>
      <c r="Q170" s="78">
        <f t="shared" si="11"/>
        <v>10</v>
      </c>
      <c r="R170" s="79"/>
      <c r="S170" s="80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6"/>
      <c r="H171" s="74"/>
      <c r="I171" s="75"/>
      <c r="J171" s="76"/>
      <c r="L171" s="78">
        <f t="shared" si="10"/>
        <v>11</v>
      </c>
      <c r="M171" s="79">
        <v>7</v>
      </c>
      <c r="N171" s="80">
        <v>1.7631946842794257E-2</v>
      </c>
      <c r="Q171" s="78">
        <f t="shared" si="11"/>
        <v>11</v>
      </c>
      <c r="R171" s="79"/>
      <c r="S171" s="80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6"/>
      <c r="H172" s="74"/>
      <c r="I172" s="75"/>
      <c r="J172" s="76"/>
      <c r="L172" s="78">
        <f t="shared" si="10"/>
        <v>12</v>
      </c>
      <c r="M172" s="79">
        <v>8</v>
      </c>
      <c r="N172" s="80">
        <v>1.8396889713374068E-2</v>
      </c>
      <c r="Q172" s="78">
        <f t="shared" si="11"/>
        <v>12</v>
      </c>
      <c r="R172" s="79"/>
      <c r="S172" s="80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B173" s="108" t="s">
        <v>115</v>
      </c>
      <c r="C173" s="108"/>
      <c r="D173" s="109">
        <v>0</v>
      </c>
      <c r="E173" s="109"/>
      <c r="G173" s="96"/>
      <c r="H173" s="74"/>
      <c r="I173" s="75"/>
      <c r="J173" s="76"/>
      <c r="L173" s="78">
        <f t="shared" si="10"/>
        <v>13</v>
      </c>
      <c r="M173" s="79">
        <v>9</v>
      </c>
      <c r="N173" s="80">
        <v>1.8841970262082976E-2</v>
      </c>
      <c r="Q173" s="78">
        <f t="shared" si="11"/>
        <v>13</v>
      </c>
      <c r="R173" s="79"/>
      <c r="S173" s="80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B174" s="108" t="s">
        <v>111</v>
      </c>
      <c r="C174" s="108"/>
      <c r="D174" s="109">
        <v>0</v>
      </c>
      <c r="E174" s="109"/>
      <c r="G174" s="96"/>
      <c r="H174" s="74"/>
      <c r="I174" s="75"/>
      <c r="J174" s="76"/>
      <c r="L174" s="78">
        <f t="shared" si="10"/>
        <v>14</v>
      </c>
      <c r="M174" s="79">
        <v>10</v>
      </c>
      <c r="N174" s="80">
        <v>1.9635269154900388E-2</v>
      </c>
      <c r="Q174" s="78">
        <f t="shared" si="11"/>
        <v>14</v>
      </c>
      <c r="R174" s="79"/>
      <c r="S174" s="80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B175" s="108" t="s">
        <v>113</v>
      </c>
      <c r="C175" s="108"/>
      <c r="D175" s="109">
        <v>-0.1</v>
      </c>
      <c r="E175" s="109"/>
      <c r="G175" s="96"/>
      <c r="H175" s="74"/>
      <c r="I175" s="75"/>
      <c r="J175" s="76"/>
      <c r="L175" s="78">
        <f t="shared" si="10"/>
        <v>15</v>
      </c>
      <c r="M175" s="79">
        <v>12</v>
      </c>
      <c r="N175" s="80">
        <v>1.9609676088898114E-2</v>
      </c>
      <c r="Q175" s="78">
        <f t="shared" si="11"/>
        <v>15</v>
      </c>
      <c r="R175" s="79"/>
      <c r="S175" s="80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B176" s="108" t="s">
        <v>112</v>
      </c>
      <c r="C176" s="108"/>
      <c r="D176" s="109">
        <v>0.15</v>
      </c>
      <c r="E176" s="109"/>
      <c r="G176" s="96"/>
      <c r="H176" s="74"/>
      <c r="I176" s="75"/>
      <c r="J176" s="76"/>
      <c r="L176" s="78">
        <f t="shared" si="10"/>
        <v>16</v>
      </c>
      <c r="M176" s="79">
        <v>15</v>
      </c>
      <c r="N176" s="80">
        <v>2.0188153773473286E-2</v>
      </c>
      <c r="Q176" s="78">
        <f t="shared" si="11"/>
        <v>16</v>
      </c>
      <c r="R176" s="79"/>
      <c r="S176" s="80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6"/>
      <c r="H177" s="74"/>
      <c r="I177" s="75"/>
      <c r="J177" s="76"/>
      <c r="L177" s="78">
        <f t="shared" si="10"/>
        <v>17</v>
      </c>
      <c r="M177" s="79">
        <v>20</v>
      </c>
      <c r="N177" s="80">
        <v>2.1266724635835076E-2</v>
      </c>
      <c r="Q177" s="78">
        <f t="shared" si="11"/>
        <v>17</v>
      </c>
      <c r="R177" s="79"/>
      <c r="S177" s="80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6"/>
      <c r="H178" s="74"/>
      <c r="I178" s="75"/>
      <c r="J178" s="76"/>
      <c r="L178" s="78">
        <f t="shared" si="10"/>
        <v>18</v>
      </c>
      <c r="M178" s="79"/>
      <c r="N178" s="80"/>
      <c r="Q178" s="78">
        <f t="shared" si="11"/>
        <v>18</v>
      </c>
      <c r="R178" s="79"/>
      <c r="S178" s="80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6"/>
      <c r="H179" s="74"/>
      <c r="I179" s="75"/>
      <c r="J179" s="76"/>
      <c r="L179" s="78">
        <f t="shared" si="10"/>
        <v>19</v>
      </c>
      <c r="M179" s="81"/>
      <c r="N179" s="82"/>
      <c r="Q179" s="78">
        <f t="shared" si="11"/>
        <v>19</v>
      </c>
      <c r="R179" s="83"/>
      <c r="S179" s="82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6"/>
      <c r="H180" s="74"/>
      <c r="I180" s="75"/>
      <c r="J180" s="76"/>
      <c r="L180" s="78">
        <f t="shared" si="10"/>
        <v>20</v>
      </c>
      <c r="M180" s="81"/>
      <c r="N180" s="82"/>
      <c r="Q180" s="78">
        <f t="shared" si="11"/>
        <v>20</v>
      </c>
      <c r="R180" s="83"/>
      <c r="S180" s="82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6"/>
      <c r="H181" s="74"/>
      <c r="I181" s="75"/>
      <c r="J181" s="76"/>
      <c r="L181" s="78">
        <f t="shared" si="10"/>
        <v>21</v>
      </c>
      <c r="M181" s="81"/>
      <c r="N181" s="82"/>
      <c r="Q181" s="78">
        <f t="shared" si="11"/>
        <v>21</v>
      </c>
      <c r="R181" s="83"/>
      <c r="S181" s="82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6"/>
      <c r="H182" s="74"/>
      <c r="I182" s="75"/>
      <c r="J182" s="76"/>
      <c r="L182" s="78">
        <f t="shared" si="10"/>
        <v>22</v>
      </c>
      <c r="M182" s="81"/>
      <c r="N182" s="82"/>
      <c r="Q182" s="78">
        <f t="shared" si="11"/>
        <v>22</v>
      </c>
      <c r="R182" s="83"/>
      <c r="S182" s="82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6"/>
      <c r="H183" s="74"/>
      <c r="I183" s="75"/>
      <c r="J183" s="76"/>
      <c r="L183" s="78">
        <f t="shared" si="10"/>
        <v>23</v>
      </c>
      <c r="M183" s="81"/>
      <c r="N183" s="82"/>
      <c r="Q183" s="78">
        <f t="shared" si="11"/>
        <v>23</v>
      </c>
      <c r="R183" s="83"/>
      <c r="S183" s="82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6"/>
      <c r="H184" s="74"/>
      <c r="I184" s="75"/>
      <c r="J184" s="76"/>
      <c r="L184" s="78">
        <f t="shared" si="10"/>
        <v>24</v>
      </c>
      <c r="M184" s="81"/>
      <c r="N184" s="82"/>
      <c r="Q184" s="78">
        <f t="shared" si="11"/>
        <v>24</v>
      </c>
      <c r="R184" s="83"/>
      <c r="S184" s="82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6"/>
      <c r="H185" s="74"/>
      <c r="I185" s="75"/>
      <c r="J185" s="76"/>
      <c r="L185" s="78">
        <f t="shared" si="10"/>
        <v>25</v>
      </c>
      <c r="M185" s="81"/>
      <c r="N185" s="82"/>
      <c r="Q185" s="78">
        <f t="shared" si="11"/>
        <v>25</v>
      </c>
      <c r="R185" s="83"/>
      <c r="S185" s="82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6"/>
      <c r="H186" s="74"/>
      <c r="I186" s="75"/>
      <c r="J186" s="76"/>
      <c r="L186" s="78">
        <f t="shared" si="10"/>
        <v>26</v>
      </c>
      <c r="M186" s="81"/>
      <c r="N186" s="82"/>
      <c r="Q186" s="78">
        <f t="shared" si="11"/>
        <v>26</v>
      </c>
      <c r="R186" s="83"/>
      <c r="S186" s="82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6"/>
      <c r="H187" s="74"/>
      <c r="I187" s="75"/>
      <c r="J187" s="76"/>
      <c r="L187" s="78">
        <f t="shared" si="10"/>
        <v>27</v>
      </c>
      <c r="M187" s="81"/>
      <c r="N187" s="82"/>
      <c r="Q187" s="78">
        <f t="shared" si="11"/>
        <v>27</v>
      </c>
      <c r="R187" s="83"/>
      <c r="S187" s="82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6"/>
      <c r="H188" s="74"/>
      <c r="I188" s="75"/>
      <c r="J188" s="76"/>
      <c r="L188" s="78">
        <f t="shared" si="10"/>
        <v>28</v>
      </c>
      <c r="M188" s="81"/>
      <c r="N188" s="82"/>
      <c r="Q188" s="78">
        <f t="shared" si="11"/>
        <v>28</v>
      </c>
      <c r="R188" s="83"/>
      <c r="S188" s="82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6"/>
      <c r="H189" s="74"/>
      <c r="I189" s="75"/>
      <c r="J189" s="76"/>
      <c r="L189" s="78">
        <f t="shared" si="10"/>
        <v>29</v>
      </c>
      <c r="M189" s="81"/>
      <c r="N189" s="82"/>
      <c r="Q189" s="78">
        <f t="shared" si="11"/>
        <v>29</v>
      </c>
      <c r="R189" s="83"/>
      <c r="S189" s="82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6"/>
      <c r="H190" s="74"/>
      <c r="I190" s="75"/>
      <c r="J190" s="76"/>
      <c r="L190" s="78">
        <f t="shared" si="10"/>
        <v>30</v>
      </c>
      <c r="M190" s="81"/>
      <c r="N190" s="82"/>
      <c r="Q190" s="78">
        <f t="shared" si="11"/>
        <v>30</v>
      </c>
      <c r="R190" s="83"/>
      <c r="S190" s="82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69"/>
      <c r="H191" s="74"/>
      <c r="I191" s="75"/>
      <c r="J191" s="76"/>
      <c r="L191" s="78">
        <f t="shared" si="10"/>
        <v>31</v>
      </c>
      <c r="M191" s="81"/>
      <c r="N191" s="82"/>
      <c r="Q191" s="78">
        <f t="shared" si="11"/>
        <v>31</v>
      </c>
      <c r="R191" s="83"/>
      <c r="S191" s="82"/>
      <c r="V191" s="70"/>
      <c r="W191" s="71"/>
      <c r="X191" s="71"/>
      <c r="Y191" s="71"/>
      <c r="Z191" s="71"/>
      <c r="AA191" s="71"/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/>
      <c r="AM191" s="71"/>
      <c r="AN191" s="71"/>
    </row>
    <row r="192" spans="1:40" x14ac:dyDescent="0.35">
      <c r="A192" s="9">
        <f t="shared" si="9"/>
        <v>192</v>
      </c>
      <c r="G192" s="69"/>
      <c r="H192" s="74"/>
      <c r="I192" s="75"/>
      <c r="J192" s="76"/>
      <c r="L192" s="78">
        <f t="shared" si="10"/>
        <v>32</v>
      </c>
      <c r="M192" s="81"/>
      <c r="N192" s="82"/>
      <c r="Q192" s="78">
        <f t="shared" si="11"/>
        <v>32</v>
      </c>
      <c r="R192" s="83"/>
      <c r="S192" s="82"/>
      <c r="V192" s="70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</row>
    <row r="193" spans="1:40" x14ac:dyDescent="0.35">
      <c r="A193" s="9">
        <f t="shared" si="9"/>
        <v>193</v>
      </c>
      <c r="G193" s="69"/>
      <c r="H193" s="74"/>
      <c r="I193" s="75"/>
      <c r="J193" s="76"/>
      <c r="L193" s="78">
        <f t="shared" si="10"/>
        <v>33</v>
      </c>
      <c r="M193" s="81"/>
      <c r="N193" s="82"/>
      <c r="Q193" s="78">
        <f t="shared" si="11"/>
        <v>33</v>
      </c>
      <c r="R193" s="83"/>
      <c r="S193" s="82"/>
      <c r="V193" s="70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</row>
    <row r="194" spans="1:40" x14ac:dyDescent="0.35">
      <c r="A194" s="9">
        <f t="shared" si="9"/>
        <v>194</v>
      </c>
      <c r="G194" s="69"/>
      <c r="H194" s="74"/>
      <c r="I194" s="75"/>
      <c r="J194" s="76"/>
      <c r="L194" s="78">
        <f t="shared" si="10"/>
        <v>34</v>
      </c>
      <c r="M194" s="81"/>
      <c r="N194" s="82"/>
      <c r="Q194" s="78">
        <f t="shared" si="11"/>
        <v>34</v>
      </c>
      <c r="R194" s="83"/>
      <c r="S194" s="82"/>
      <c r="V194" s="70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</row>
    <row r="195" spans="1:40" x14ac:dyDescent="0.35">
      <c r="A195" s="9">
        <f t="shared" si="9"/>
        <v>195</v>
      </c>
      <c r="G195" s="69"/>
      <c r="H195" s="74"/>
      <c r="I195" s="75"/>
      <c r="J195" s="76"/>
      <c r="L195" s="78">
        <f t="shared" si="10"/>
        <v>35</v>
      </c>
      <c r="M195" s="81"/>
      <c r="N195" s="82"/>
      <c r="Q195" s="78">
        <f t="shared" si="11"/>
        <v>35</v>
      </c>
      <c r="R195" s="83"/>
      <c r="S195" s="82"/>
      <c r="V195" s="70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</row>
    <row r="196" spans="1:40" x14ac:dyDescent="0.35">
      <c r="A196" s="9">
        <f t="shared" si="9"/>
        <v>196</v>
      </c>
      <c r="G196" s="69"/>
      <c r="H196" s="74"/>
      <c r="I196" s="75"/>
      <c r="J196" s="76"/>
      <c r="L196" s="78">
        <f t="shared" si="10"/>
        <v>36</v>
      </c>
      <c r="M196" s="81"/>
      <c r="N196" s="82"/>
      <c r="Q196" s="78">
        <f t="shared" si="11"/>
        <v>36</v>
      </c>
      <c r="R196" s="83"/>
      <c r="S196" s="82"/>
      <c r="V196" s="70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</row>
    <row r="197" spans="1:40" x14ac:dyDescent="0.35">
      <c r="A197" s="9">
        <f t="shared" si="9"/>
        <v>197</v>
      </c>
      <c r="G197" s="69"/>
      <c r="H197" s="74"/>
      <c r="I197" s="75"/>
      <c r="J197" s="76"/>
      <c r="L197" s="78">
        <f t="shared" si="10"/>
        <v>37</v>
      </c>
      <c r="M197" s="81"/>
      <c r="N197" s="82"/>
      <c r="Q197" s="78">
        <f t="shared" si="11"/>
        <v>37</v>
      </c>
      <c r="R197" s="83"/>
      <c r="S197" s="82"/>
      <c r="V197" s="70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</row>
    <row r="198" spans="1:40" x14ac:dyDescent="0.35">
      <c r="A198" s="9">
        <f t="shared" si="9"/>
        <v>198</v>
      </c>
      <c r="G198" s="69"/>
      <c r="H198" s="74"/>
      <c r="I198" s="75"/>
      <c r="J198" s="76"/>
      <c r="L198" s="78">
        <f t="shared" si="10"/>
        <v>38</v>
      </c>
      <c r="M198" s="81"/>
      <c r="N198" s="82"/>
      <c r="Q198" s="78">
        <f t="shared" si="11"/>
        <v>38</v>
      </c>
      <c r="R198" s="83"/>
      <c r="S198" s="82"/>
      <c r="V198" s="70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</row>
    <row r="199" spans="1:40" x14ac:dyDescent="0.35">
      <c r="A199" s="9">
        <f t="shared" si="9"/>
        <v>199</v>
      </c>
      <c r="G199" s="69"/>
      <c r="H199" s="74"/>
      <c r="I199" s="75"/>
      <c r="J199" s="76"/>
      <c r="L199" s="78">
        <f t="shared" si="10"/>
        <v>39</v>
      </c>
      <c r="M199" s="81"/>
      <c r="N199" s="82"/>
      <c r="Q199" s="78">
        <f t="shared" si="11"/>
        <v>39</v>
      </c>
      <c r="R199" s="83"/>
      <c r="S199" s="82"/>
      <c r="V199" s="70"/>
      <c r="W199" s="71"/>
      <c r="X199" s="71"/>
      <c r="Y199" s="71"/>
      <c r="Z199" s="71"/>
      <c r="AA199" s="71"/>
      <c r="AB199" s="71"/>
      <c r="AC199" s="71"/>
      <c r="AD199" s="71"/>
      <c r="AE199" s="71"/>
      <c r="AF199" s="71"/>
      <c r="AG199" s="71"/>
      <c r="AH199" s="71"/>
      <c r="AI199" s="71"/>
      <c r="AJ199" s="71"/>
      <c r="AK199" s="71"/>
      <c r="AL199" s="71"/>
      <c r="AM199" s="71"/>
      <c r="AN199" s="71"/>
    </row>
    <row r="200" spans="1:40" x14ac:dyDescent="0.35">
      <c r="A200" s="9">
        <f t="shared" si="9"/>
        <v>200</v>
      </c>
      <c r="G200" s="69"/>
      <c r="H200" s="74"/>
      <c r="I200" s="75"/>
      <c r="J200" s="76"/>
      <c r="L200" s="78">
        <f t="shared" si="10"/>
        <v>40</v>
      </c>
      <c r="M200" s="81"/>
      <c r="N200" s="82"/>
      <c r="Q200" s="78">
        <f t="shared" si="11"/>
        <v>40</v>
      </c>
      <c r="R200" s="83"/>
      <c r="S200" s="82"/>
      <c r="V200" s="70"/>
      <c r="W200" s="71"/>
      <c r="X200" s="71"/>
      <c r="Y200" s="71"/>
      <c r="Z200" s="71"/>
      <c r="AA200" s="71"/>
      <c r="AB200" s="71"/>
      <c r="AC200" s="71"/>
      <c r="AD200" s="71"/>
      <c r="AE200" s="71"/>
      <c r="AF200" s="71"/>
      <c r="AG200" s="71"/>
      <c r="AH200" s="71"/>
      <c r="AI200" s="71"/>
      <c r="AJ200" s="71"/>
      <c r="AK200" s="71"/>
      <c r="AL200" s="71"/>
      <c r="AM200" s="71"/>
      <c r="AN200" s="71"/>
    </row>
    <row r="201" spans="1:40" x14ac:dyDescent="0.35">
      <c r="A201" s="9">
        <f t="shared" si="9"/>
        <v>201</v>
      </c>
      <c r="G201" s="69"/>
      <c r="H201" s="74"/>
      <c r="I201" s="75"/>
      <c r="J201" s="76"/>
      <c r="L201" s="78">
        <f t="shared" si="10"/>
        <v>41</v>
      </c>
      <c r="M201" s="81"/>
      <c r="N201" s="82"/>
      <c r="Q201" s="78">
        <f t="shared" si="11"/>
        <v>41</v>
      </c>
      <c r="R201" s="83"/>
      <c r="S201" s="82"/>
      <c r="V201" s="70"/>
      <c r="W201" s="71"/>
      <c r="X201" s="71"/>
      <c r="Y201" s="71"/>
      <c r="Z201" s="71"/>
      <c r="AA201" s="71"/>
      <c r="AB201" s="71"/>
      <c r="AC201" s="71"/>
      <c r="AD201" s="71"/>
      <c r="AE201" s="71"/>
      <c r="AF201" s="71"/>
      <c r="AG201" s="71"/>
      <c r="AH201" s="71"/>
      <c r="AI201" s="71"/>
      <c r="AJ201" s="71"/>
      <c r="AK201" s="71"/>
      <c r="AL201" s="71"/>
      <c r="AM201" s="71"/>
      <c r="AN201" s="71"/>
    </row>
    <row r="202" spans="1:40" x14ac:dyDescent="0.35">
      <c r="A202" s="9">
        <f t="shared" si="9"/>
        <v>202</v>
      </c>
      <c r="G202" s="69"/>
      <c r="H202" s="74"/>
      <c r="I202" s="75"/>
      <c r="J202" s="76"/>
      <c r="L202" s="78">
        <f t="shared" si="10"/>
        <v>42</v>
      </c>
      <c r="M202" s="81"/>
      <c r="N202" s="82"/>
      <c r="Q202" s="78">
        <f t="shared" si="11"/>
        <v>42</v>
      </c>
      <c r="R202" s="83"/>
      <c r="S202" s="82"/>
      <c r="V202" s="70"/>
      <c r="W202" s="71"/>
      <c r="X202" s="71"/>
      <c r="Y202" s="71"/>
      <c r="Z202" s="71"/>
      <c r="AA202" s="71"/>
      <c r="AB202" s="71"/>
      <c r="AC202" s="71"/>
      <c r="AD202" s="71"/>
      <c r="AE202" s="71"/>
      <c r="AF202" s="71"/>
      <c r="AG202" s="71"/>
      <c r="AH202" s="71"/>
      <c r="AI202" s="71"/>
      <c r="AJ202" s="71"/>
      <c r="AK202" s="71"/>
      <c r="AL202" s="71"/>
      <c r="AM202" s="71"/>
      <c r="AN202" s="71"/>
    </row>
    <row r="203" spans="1:40" x14ac:dyDescent="0.35">
      <c r="A203" s="9">
        <f t="shared" si="9"/>
        <v>203</v>
      </c>
      <c r="G203" s="69"/>
      <c r="H203" s="74"/>
      <c r="I203" s="75"/>
      <c r="J203" s="76"/>
      <c r="L203" s="78">
        <f t="shared" si="10"/>
        <v>43</v>
      </c>
      <c r="M203" s="81"/>
      <c r="N203" s="82"/>
      <c r="Q203" s="78">
        <f t="shared" si="11"/>
        <v>43</v>
      </c>
      <c r="R203" s="83"/>
      <c r="S203" s="82"/>
      <c r="V203" s="70"/>
      <c r="W203" s="71"/>
      <c r="X203" s="71"/>
      <c r="Y203" s="71"/>
      <c r="Z203" s="71"/>
      <c r="AA203" s="71"/>
      <c r="AB203" s="71"/>
      <c r="AC203" s="71"/>
      <c r="AD203" s="71"/>
      <c r="AE203" s="71"/>
      <c r="AF203" s="71"/>
      <c r="AG203" s="71"/>
      <c r="AH203" s="71"/>
      <c r="AI203" s="71"/>
      <c r="AJ203" s="71"/>
      <c r="AK203" s="71"/>
      <c r="AL203" s="71"/>
      <c r="AM203" s="71"/>
      <c r="AN203" s="71"/>
    </row>
    <row r="204" spans="1:40" x14ac:dyDescent="0.4">
      <c r="A204" s="9">
        <f t="shared" si="9"/>
        <v>204</v>
      </c>
    </row>
  </sheetData>
  <mergeCells count="111">
    <mergeCell ref="B23:C23"/>
    <mergeCell ref="D23:E23"/>
    <mergeCell ref="B73:C73"/>
    <mergeCell ref="D73:E73"/>
    <mergeCell ref="B123:C123"/>
    <mergeCell ref="D123:E123"/>
    <mergeCell ref="B173:C173"/>
    <mergeCell ref="D173:E173"/>
    <mergeCell ref="B176:C176"/>
    <mergeCell ref="D176:E176"/>
    <mergeCell ref="B126:C126"/>
    <mergeCell ref="D126:E126"/>
    <mergeCell ref="B174:C174"/>
    <mergeCell ref="D174:E174"/>
    <mergeCell ref="B175:C175"/>
    <mergeCell ref="D175:E175"/>
    <mergeCell ref="B76:C76"/>
    <mergeCell ref="D76:E76"/>
    <mergeCell ref="B124:C124"/>
    <mergeCell ref="D124:E124"/>
    <mergeCell ref="B125:C125"/>
    <mergeCell ref="D125:E125"/>
    <mergeCell ref="D167:E167"/>
    <mergeCell ref="D168:E168"/>
    <mergeCell ref="D163:E165"/>
    <mergeCell ref="B156:C156"/>
    <mergeCell ref="D156:E156"/>
    <mergeCell ref="B157:C157"/>
    <mergeCell ref="D157:E157"/>
    <mergeCell ref="B158:C158"/>
    <mergeCell ref="D158:E158"/>
    <mergeCell ref="B106:C106"/>
    <mergeCell ref="B74:C74"/>
    <mergeCell ref="D74:E74"/>
    <mergeCell ref="B75:C75"/>
    <mergeCell ref="D75:E75"/>
    <mergeCell ref="B107:C107"/>
    <mergeCell ref="B108:C108"/>
    <mergeCell ref="D24:E24"/>
    <mergeCell ref="B25:C25"/>
    <mergeCell ref="D25:E25"/>
    <mergeCell ref="B56:C56"/>
    <mergeCell ref="D56:E56"/>
    <mergeCell ref="B57:C57"/>
    <mergeCell ref="D57:E57"/>
    <mergeCell ref="B58:C58"/>
    <mergeCell ref="D58:E58"/>
    <mergeCell ref="D67:E67"/>
    <mergeCell ref="D68:E68"/>
    <mergeCell ref="D63:E65"/>
    <mergeCell ref="D113:E115"/>
    <mergeCell ref="V58:W58"/>
    <mergeCell ref="Q59:R59"/>
    <mergeCell ref="D26:E26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D106:E106"/>
    <mergeCell ref="Q109:R109"/>
    <mergeCell ref="D107:E107"/>
    <mergeCell ref="D108:E108"/>
    <mergeCell ref="V59:V60"/>
    <mergeCell ref="V109:V110"/>
    <mergeCell ref="I60:J60"/>
    <mergeCell ref="D117:E117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I10:J10"/>
    <mergeCell ref="B26:C26"/>
    <mergeCell ref="D17:E17"/>
    <mergeCell ref="D18:E18"/>
    <mergeCell ref="B24:C24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I110:J110"/>
    <mergeCell ref="I160:J160"/>
    <mergeCell ref="V159:V16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L46" sqref="L46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5"/>
    <col min="4" max="9" width="11.3984375" style="39"/>
    <col min="10" max="11" width="11.3984375" style="59"/>
    <col min="12" max="12" width="11.3984375" style="58"/>
    <col min="13" max="13" width="11.3984375" style="35"/>
    <col min="14" max="18" width="11.3984375" style="38"/>
    <col min="19" max="19" width="11.3984375" style="85"/>
    <col min="20" max="20" width="11.3984375" style="90"/>
    <col min="21" max="21" width="11.3984375" style="85"/>
    <col min="22" max="26" width="11.3984375" style="35"/>
    <col min="27" max="28" width="0" style="35" hidden="1" customWidth="1"/>
    <col min="29" max="41" width="11.3984375" style="35"/>
    <col min="42" max="46" width="11.3984375" style="38"/>
    <col min="47" max="47" width="11.3984375" style="85"/>
    <col min="48" max="48" width="11.3984375" style="90"/>
    <col min="49" max="49" width="11.3984375" style="85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81" t="s">
        <v>29</v>
      </c>
      <c r="C3" s="181"/>
      <c r="D3" s="184">
        <v>45177</v>
      </c>
      <c r="E3" s="179"/>
      <c r="F3" s="176" t="s">
        <v>31</v>
      </c>
      <c r="G3" s="176"/>
      <c r="H3" s="179">
        <v>0</v>
      </c>
      <c r="I3" s="179"/>
      <c r="J3" s="176" t="s">
        <v>67</v>
      </c>
      <c r="K3" s="176"/>
      <c r="L3" s="179">
        <v>30000000000</v>
      </c>
      <c r="M3" s="179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80" t="s">
        <v>46</v>
      </c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D5" s="180" t="s">
        <v>47</v>
      </c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</row>
    <row r="6" spans="1:57" ht="16.2" customHeight="1" x14ac:dyDescent="0.4">
      <c r="A6" s="34">
        <f t="shared" si="1"/>
        <v>6</v>
      </c>
      <c r="B6" s="180"/>
      <c r="C6" s="180"/>
      <c r="D6" s="180"/>
      <c r="E6" s="180"/>
      <c r="F6" s="180"/>
      <c r="G6" s="180"/>
      <c r="H6" s="180"/>
      <c r="I6" s="180"/>
      <c r="J6" s="180"/>
      <c r="K6" s="180"/>
      <c r="L6" s="180"/>
      <c r="M6" s="180"/>
      <c r="N6" s="180"/>
      <c r="O6" s="180"/>
      <c r="P6" s="180"/>
      <c r="Q6" s="180"/>
      <c r="R6" s="180"/>
      <c r="S6" s="180"/>
      <c r="T6" s="180"/>
      <c r="U6" s="180"/>
      <c r="V6" s="180"/>
      <c r="W6" s="180"/>
      <c r="X6" s="180"/>
      <c r="Y6" s="180"/>
      <c r="Z6" s="180"/>
      <c r="AD6" s="180"/>
      <c r="AE6" s="180"/>
      <c r="AF6" s="180"/>
      <c r="AG6" s="180"/>
      <c r="AH6" s="180"/>
      <c r="AI6" s="180"/>
      <c r="AJ6" s="180"/>
      <c r="AK6" s="180"/>
      <c r="AL6" s="180"/>
      <c r="AM6" s="180"/>
      <c r="AN6" s="180"/>
      <c r="AO6" s="180"/>
      <c r="AP6" s="180"/>
      <c r="AQ6" s="180"/>
      <c r="AR6" s="180"/>
      <c r="AS6" s="180"/>
      <c r="AT6" s="180"/>
      <c r="AU6" s="180"/>
      <c r="AV6" s="180"/>
      <c r="AW6" s="180"/>
      <c r="AX6" s="180"/>
      <c r="AY6" s="180"/>
      <c r="AZ6" s="180"/>
      <c r="BA6" s="180"/>
      <c r="BB6" s="180"/>
    </row>
    <row r="7" spans="1:57" ht="16.2" customHeight="1" x14ac:dyDescent="0.4">
      <c r="A7" s="34">
        <f t="shared" si="1"/>
        <v>7</v>
      </c>
      <c r="B7" s="181" t="str">
        <f>IF(D7&gt;0,"레퍼런스금리 개수","기초금리는 1개 - 3개 입력가능")</f>
        <v>레퍼런스금리 개수</v>
      </c>
      <c r="C7" s="181"/>
      <c r="D7" s="178">
        <v>1</v>
      </c>
      <c r="E7" s="178"/>
      <c r="F7" s="182" t="s">
        <v>32</v>
      </c>
      <c r="G7" s="183"/>
      <c r="H7" s="179">
        <v>1</v>
      </c>
      <c r="I7" s="179"/>
      <c r="J7" s="176" t="s">
        <v>91</v>
      </c>
      <c r="K7" s="176"/>
      <c r="L7" s="179">
        <v>0</v>
      </c>
      <c r="M7" s="179"/>
      <c r="N7" s="35"/>
      <c r="O7" s="35"/>
      <c r="P7" s="35"/>
      <c r="Q7" s="35"/>
      <c r="R7" s="35"/>
      <c r="S7" s="35"/>
      <c r="T7" s="35"/>
      <c r="U7" s="35"/>
      <c r="AD7" s="181" t="str">
        <f>IF(AF7&gt;0,"레퍼런스금리 개수","기초금리는 1개 - 3개 입력가능")</f>
        <v>레퍼런스금리 개수</v>
      </c>
      <c r="AE7" s="181"/>
      <c r="AF7" s="178">
        <v>1</v>
      </c>
      <c r="AG7" s="178"/>
      <c r="AH7" s="182" t="s">
        <v>32</v>
      </c>
      <c r="AI7" s="183"/>
      <c r="AJ7" s="179">
        <v>0</v>
      </c>
      <c r="AK7" s="179"/>
      <c r="AL7" s="176" t="s">
        <v>91</v>
      </c>
      <c r="AM7" s="176"/>
      <c r="AN7" s="179">
        <v>0</v>
      </c>
      <c r="AO7" s="179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6" t="s">
        <v>50</v>
      </c>
      <c r="C8" s="176"/>
      <c r="D8" s="177">
        <v>1</v>
      </c>
      <c r="E8" s="178"/>
      <c r="F8" s="176" t="s">
        <v>51</v>
      </c>
      <c r="G8" s="176"/>
      <c r="H8" s="177">
        <v>1</v>
      </c>
      <c r="I8" s="178"/>
      <c r="J8" s="176" t="s">
        <v>42</v>
      </c>
      <c r="K8" s="176"/>
      <c r="L8" s="179">
        <v>0</v>
      </c>
      <c r="M8" s="179"/>
      <c r="N8" s="35"/>
      <c r="O8" s="35"/>
      <c r="P8" s="35"/>
      <c r="Q8" s="35"/>
      <c r="R8" s="35"/>
      <c r="S8" s="35"/>
      <c r="T8" s="35"/>
      <c r="U8" s="35"/>
      <c r="AD8" s="176" t="s">
        <v>50</v>
      </c>
      <c r="AE8" s="176"/>
      <c r="AF8" s="177">
        <v>1</v>
      </c>
      <c r="AG8" s="178"/>
      <c r="AH8" s="176" t="s">
        <v>51</v>
      </c>
      <c r="AI8" s="176"/>
      <c r="AJ8" s="177">
        <v>1</v>
      </c>
      <c r="AK8" s="178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91" t="str">
        <f>IF(D7&gt;=1,"기초금리1", "")</f>
        <v>기초금리1</v>
      </c>
      <c r="C10" s="174" t="str">
        <f>IF($D$7&gt;=1,"커브번호", "")</f>
        <v>커브번호</v>
      </c>
      <c r="D10" s="174"/>
      <c r="E10" s="139">
        <v>1</v>
      </c>
      <c r="F10" s="139"/>
      <c r="G10" s="65"/>
      <c r="H10" s="36"/>
      <c r="I10" s="152" t="str">
        <f>IF(OR(E11 = 0, E11 = 2, E11 = 4), "RefType = "&amp;E11&amp;" 이므로 Ref Swap 금리정보 사용안함", "사용")</f>
        <v>RefType = 0 이므로 Ref Swap 금리정보 사용안함</v>
      </c>
      <c r="J10" s="153"/>
      <c r="K10" s="153"/>
      <c r="L10" s="154"/>
      <c r="N10" s="168" t="s">
        <v>34</v>
      </c>
      <c r="O10" s="168"/>
      <c r="P10" s="168"/>
      <c r="Q10" s="168"/>
      <c r="R10" s="34"/>
      <c r="S10" s="34"/>
      <c r="T10" s="34"/>
      <c r="U10" s="34"/>
      <c r="W10" s="168" t="s">
        <v>52</v>
      </c>
      <c r="X10" s="168"/>
      <c r="Y10" s="168"/>
      <c r="AD10" s="142" t="str">
        <f>IF($AF$7&gt;=1,"기초금리1", "")</f>
        <v>기초금리1</v>
      </c>
      <c r="AE10" s="138" t="str">
        <f>IF($AF$7&gt;=1,"커브번호", "")</f>
        <v>커브번호</v>
      </c>
      <c r="AF10" s="138"/>
      <c r="AG10" s="139">
        <v>1</v>
      </c>
      <c r="AH10" s="139"/>
      <c r="AI10" s="65"/>
      <c r="AJ10" s="36"/>
      <c r="AK10" s="136" t="str">
        <f>IF(OR(AG11 = 0, AG11 = 2, AG11 = 4), "RefType = "&amp;AG11&amp;" 이므로 Ref Swap 금리정보 사용안함", "사용")</f>
        <v>사용</v>
      </c>
      <c r="AL10" s="136"/>
      <c r="AM10" s="136"/>
      <c r="AN10" s="137"/>
      <c r="AP10" s="168" t="s">
        <v>54</v>
      </c>
      <c r="AQ10" s="168"/>
      <c r="AR10" s="168"/>
      <c r="AS10" s="168"/>
      <c r="AT10" s="34"/>
      <c r="AU10" s="34"/>
      <c r="AV10" s="34"/>
      <c r="AW10" s="34"/>
      <c r="AY10" s="168" t="s">
        <v>53</v>
      </c>
      <c r="AZ10" s="168"/>
      <c r="BA10" s="168"/>
    </row>
    <row r="11" spans="1:57" ht="16.2" customHeight="1" x14ac:dyDescent="0.4">
      <c r="A11" s="34">
        <f t="shared" si="1"/>
        <v>11</v>
      </c>
      <c r="B11" s="171"/>
      <c r="C11" s="160" t="str">
        <f>IF($D$7&gt;=1,"Reference Rate Type", "")</f>
        <v>Reference Rate Type</v>
      </c>
      <c r="D11" s="161"/>
      <c r="E11" s="175">
        <v>0</v>
      </c>
      <c r="F11" s="188"/>
      <c r="G11" s="152" t="str">
        <f>IF(OR(E11 = 0, E11 = 2, E11 = 4), "", "Zero/Swap 레퍼런스금리정보")</f>
        <v/>
      </c>
      <c r="H11" s="153"/>
      <c r="I11" s="144" t="str">
        <f>IF(OR(E11 = 0, E11 = 2, E11 = 4), "", "연 지급횟수")</f>
        <v/>
      </c>
      <c r="J11" s="145"/>
      <c r="K11" s="131">
        <v>4</v>
      </c>
      <c r="L11" s="132"/>
      <c r="M11" s="34"/>
      <c r="N11" s="190" t="str">
        <f>IF(OR(E11 = 0, E11 = 2, E11 = 4), "ForwardStart", "ResetStart")</f>
        <v>ForwardStart</v>
      </c>
      <c r="O11" s="190" t="str">
        <f>IF(OR(E11 = 0, E11 = 2, E11 = 4), "ForwardEnd", "ResetEnd")</f>
        <v>ForwardEnd</v>
      </c>
      <c r="P11" s="133" t="s">
        <v>35</v>
      </c>
      <c r="Q11" s="133" t="s">
        <v>36</v>
      </c>
      <c r="R11" s="133" t="s">
        <v>37</v>
      </c>
      <c r="S11" s="133" t="s">
        <v>38</v>
      </c>
      <c r="T11" s="133" t="s">
        <v>116</v>
      </c>
      <c r="U11" s="133" t="s">
        <v>71</v>
      </c>
      <c r="W11" s="37" t="s">
        <v>43</v>
      </c>
      <c r="X11" s="156">
        <v>0</v>
      </c>
      <c r="Y11" s="156"/>
      <c r="AD11" s="143"/>
      <c r="AE11" s="127" t="str">
        <f>IF($AF$7&gt;=1,"Reference Rate Type", "")</f>
        <v>Reference Rate Type</v>
      </c>
      <c r="AF11" s="140"/>
      <c r="AG11" s="175">
        <v>1</v>
      </c>
      <c r="AH11" s="175"/>
      <c r="AI11" s="129" t="str">
        <f>IF(OR(AG11 = 0, AG11 = 2, AG11 = 4), "", "Zero/Swap 레퍼런스금리정보")</f>
        <v>Zero/Swap 레퍼런스금리정보</v>
      </c>
      <c r="AJ11" s="129"/>
      <c r="AK11" s="129" t="str">
        <f>IF(OR(AG11 = 0, AG11 = 2, AG11 = 4), "", "연 지급횟수")</f>
        <v>연 지급횟수</v>
      </c>
      <c r="AL11" s="130"/>
      <c r="AM11" s="131">
        <v>4</v>
      </c>
      <c r="AN11" s="132"/>
      <c r="AO11" s="34"/>
      <c r="AP11" s="133" t="str">
        <f>IF(OR(AG11 = 0, AG11 = 2, AG11 = 4), "ForwardStart", "ResetEnd")</f>
        <v>ResetEnd</v>
      </c>
      <c r="AQ11" s="133" t="str">
        <f>IF(OR(AG11 = 0, AG11 = 2, AG11 = 4), "ForwardEnd", "ResetEnd")</f>
        <v>ResetEnd</v>
      </c>
      <c r="AR11" s="133" t="s">
        <v>35</v>
      </c>
      <c r="AS11" s="133" t="s">
        <v>36</v>
      </c>
      <c r="AT11" s="133" t="s">
        <v>37</v>
      </c>
      <c r="AU11" s="133" t="s">
        <v>38</v>
      </c>
      <c r="AV11" s="133" t="s">
        <v>116</v>
      </c>
      <c r="AW11" s="133" t="s">
        <v>71</v>
      </c>
      <c r="AY11" s="37" t="s">
        <v>43</v>
      </c>
      <c r="AZ11" s="156">
        <v>0</v>
      </c>
      <c r="BA11" s="156"/>
    </row>
    <row r="12" spans="1:57" ht="16.2" customHeight="1" x14ac:dyDescent="0.4">
      <c r="A12" s="34">
        <f t="shared" si="1"/>
        <v>12</v>
      </c>
      <c r="B12" s="171"/>
      <c r="C12" s="160" t="str">
        <f>IF($D$7&gt;=1,"DayCount", "")</f>
        <v>DayCount</v>
      </c>
      <c r="D12" s="160"/>
      <c r="E12" s="118">
        <v>3</v>
      </c>
      <c r="F12" s="189"/>
      <c r="G12" s="185"/>
      <c r="H12" s="144"/>
      <c r="I12" s="144" t="str">
        <f>IF(OR(E11 = 0, E11 = 2, E11 = 4,E14=1), "", "만기")</f>
        <v/>
      </c>
      <c r="J12" s="145"/>
      <c r="K12" s="186">
        <v>10</v>
      </c>
      <c r="L12" s="187"/>
      <c r="N12" s="133"/>
      <c r="O12" s="133"/>
      <c r="P12" s="133"/>
      <c r="Q12" s="133"/>
      <c r="R12" s="133"/>
      <c r="S12" s="133"/>
      <c r="T12" s="133"/>
      <c r="U12" s="133"/>
      <c r="W12" s="37" t="s">
        <v>44</v>
      </c>
      <c r="X12" s="156">
        <v>0</v>
      </c>
      <c r="Y12" s="156"/>
      <c r="AD12" s="143"/>
      <c r="AE12" s="127" t="str">
        <f>IF($AF$7&gt;=1,"DayCount", "")</f>
        <v>DayCount</v>
      </c>
      <c r="AF12" s="127"/>
      <c r="AG12" s="118">
        <v>0</v>
      </c>
      <c r="AH12" s="118"/>
      <c r="AI12" s="129"/>
      <c r="AJ12" s="129"/>
      <c r="AK12" s="144" t="str">
        <f>IF(OR(AG11 = 0, AG11 = 2, AG11 = 4,AG14=1), "", "만기")</f>
        <v>만기</v>
      </c>
      <c r="AL12" s="145"/>
      <c r="AM12" s="146">
        <v>0.25</v>
      </c>
      <c r="AN12" s="147"/>
      <c r="AP12" s="133"/>
      <c r="AQ12" s="133"/>
      <c r="AR12" s="133"/>
      <c r="AS12" s="133"/>
      <c r="AT12" s="133"/>
      <c r="AU12" s="133"/>
      <c r="AV12" s="133"/>
      <c r="AW12" s="133"/>
      <c r="AY12" s="37" t="s">
        <v>44</v>
      </c>
      <c r="AZ12" s="156">
        <v>0</v>
      </c>
      <c r="BA12" s="156"/>
    </row>
    <row r="13" spans="1:57" ht="16.2" customHeight="1" x14ac:dyDescent="0.4">
      <c r="A13" s="34">
        <f t="shared" si="1"/>
        <v>13</v>
      </c>
      <c r="B13" s="171"/>
      <c r="C13" s="160" t="str">
        <f>IF($D$7&gt;=1,"금리결정조건Multiple", "")</f>
        <v>금리결정조건Multiple</v>
      </c>
      <c r="D13" s="161"/>
      <c r="E13" s="117">
        <v>1</v>
      </c>
      <c r="F13" s="173"/>
      <c r="G13" s="113" t="str">
        <f>IF(OR(E11 = 0, E11 = 2, E11 = 4), "", "ex) Zero Rate 5년 -&gt; 연 지급횟수= 0, 만기= 5 // CD91일 -&gt; 연 지급횟수= 4, 만기= 0.25")</f>
        <v/>
      </c>
      <c r="H13" s="113"/>
      <c r="I13" s="113"/>
      <c r="J13" s="113"/>
      <c r="K13" s="113"/>
      <c r="L13" s="114"/>
      <c r="M13" s="34"/>
      <c r="N13" s="38">
        <v>43362</v>
      </c>
      <c r="O13" s="38">
        <f>EDATE(N13,12)</f>
        <v>43727</v>
      </c>
      <c r="P13" s="38">
        <v>43362</v>
      </c>
      <c r="Q13" s="38">
        <v>43727</v>
      </c>
      <c r="R13" s="38">
        <f>Q13+1</f>
        <v>43728</v>
      </c>
      <c r="S13" s="85">
        <v>2.5700000000000001E-2</v>
      </c>
      <c r="T13" s="90">
        <v>0</v>
      </c>
      <c r="W13" s="37" t="s">
        <v>45</v>
      </c>
      <c r="X13" s="156">
        <v>0</v>
      </c>
      <c r="Y13" s="156"/>
      <c r="AD13" s="143"/>
      <c r="AE13" s="127" t="str">
        <f>IF($AF$7&gt;=1,"금리결정조건Multiple", "")</f>
        <v>금리결정조건Multiple</v>
      </c>
      <c r="AF13" s="140"/>
      <c r="AG13" s="117">
        <v>1</v>
      </c>
      <c r="AH13" s="117"/>
      <c r="AI13" s="113" t="str">
        <f>IF(OR(AG11 = 0, AG11 = 2, AG11 = 4), "", "ex) Zero Rate 5년 -&gt; 연 지급횟수= 0, 만기= 5 // CD91일 -&gt; 연 지급횟수= 4, 만기= 0.25")</f>
        <v>ex) Zero Rate 5년 -&gt; 연 지급횟수= 0, 만기= 5 // CD91일 -&gt; 연 지급횟수= 4, 만기= 0.25</v>
      </c>
      <c r="AJ13" s="113"/>
      <c r="AK13" s="113"/>
      <c r="AL13" s="113"/>
      <c r="AM13" s="113"/>
      <c r="AN13" s="114"/>
      <c r="AO13" s="34"/>
      <c r="AP13" s="38">
        <v>43362</v>
      </c>
      <c r="AQ13" s="38">
        <v>43543</v>
      </c>
      <c r="AR13" s="38">
        <v>43362</v>
      </c>
      <c r="AS13" s="38">
        <v>43543</v>
      </c>
      <c r="AT13" s="38">
        <f>AS13+1</f>
        <v>43544</v>
      </c>
      <c r="AU13" s="85">
        <v>2.2890000000000001E-2</v>
      </c>
      <c r="AV13" s="90">
        <v>0</v>
      </c>
      <c r="AY13" s="37" t="s">
        <v>45</v>
      </c>
      <c r="AZ13" s="156">
        <v>0</v>
      </c>
      <c r="BA13" s="156"/>
    </row>
    <row r="14" spans="1:57" ht="16.2" customHeight="1" x14ac:dyDescent="0.4">
      <c r="A14" s="34">
        <f t="shared" si="1"/>
        <v>14</v>
      </c>
      <c r="B14" s="171"/>
      <c r="C14" s="159" t="str">
        <f>IF($D$7&gt;=1,"Power Spread Flag", "")</f>
        <v>Power Spread Flag</v>
      </c>
      <c r="D14" s="159"/>
      <c r="E14" s="118">
        <v>0</v>
      </c>
      <c r="F14" s="189"/>
      <c r="G14" s="166" t="str">
        <f>IF(E14&gt;0,"PowerSpreadFlag 1일때 입력","입력필요X")</f>
        <v>입력필요X</v>
      </c>
      <c r="H14" s="166"/>
      <c r="I14" s="166" t="str">
        <f>IF(E14&gt;0,"만기1","")</f>
        <v/>
      </c>
      <c r="J14" s="166"/>
      <c r="K14" s="120">
        <v>10</v>
      </c>
      <c r="L14" s="121"/>
      <c r="M14" s="34"/>
      <c r="N14" s="38">
        <f>O13</f>
        <v>43727</v>
      </c>
      <c r="O14" s="38">
        <f>EDATE(N14,12)</f>
        <v>44093</v>
      </c>
      <c r="P14" s="38">
        <v>43727</v>
      </c>
      <c r="Q14" s="38">
        <v>44093</v>
      </c>
      <c r="R14" s="38">
        <f>Q14+1</f>
        <v>44094</v>
      </c>
      <c r="S14" s="85">
        <v>2.5700000000000001E-2</v>
      </c>
      <c r="T14" s="90">
        <v>0</v>
      </c>
      <c r="W14" s="40" t="s">
        <v>39</v>
      </c>
      <c r="X14" s="40" t="s">
        <v>40</v>
      </c>
      <c r="Y14" s="40" t="s">
        <v>41</v>
      </c>
      <c r="AD14" s="143"/>
      <c r="AE14" s="126" t="str">
        <f>IF($AF$7&gt;=1,"Power Spread Flag", "")</f>
        <v>Power Spread Flag</v>
      </c>
      <c r="AF14" s="126"/>
      <c r="AG14" s="118">
        <v>0</v>
      </c>
      <c r="AH14" s="118"/>
      <c r="AI14" s="119" t="str">
        <f>IF(AG14&gt;0,"PowerSpreadFlag 1일때 입력","입력필요X")</f>
        <v>입력필요X</v>
      </c>
      <c r="AJ14" s="119"/>
      <c r="AK14" s="119" t="str">
        <f>IF(AG14&gt;0,"만기1","")</f>
        <v/>
      </c>
      <c r="AL14" s="119"/>
      <c r="AM14" s="120">
        <v>10</v>
      </c>
      <c r="AN14" s="121"/>
      <c r="AP14" s="38">
        <v>43543</v>
      </c>
      <c r="AQ14" s="38">
        <v>43727</v>
      </c>
      <c r="AR14" s="38">
        <v>43543</v>
      </c>
      <c r="AS14" s="38">
        <v>43727</v>
      </c>
      <c r="AT14" s="38">
        <f>AS14+1</f>
        <v>43728</v>
      </c>
      <c r="AU14" s="85">
        <v>2.2890000000000001E-2</v>
      </c>
      <c r="AV14" s="90">
        <v>0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71" t="str">
        <f>IF($D$7&gt;0, "사용", "커브개수"&amp;"="&amp;$D$7&amp;"이므로 사용안함")</f>
        <v>사용</v>
      </c>
      <c r="C15" s="159" t="str">
        <f>IF($D$7&gt;=1,"기초금리 Range상한", "")</f>
        <v>기초금리 Range상한</v>
      </c>
      <c r="D15" s="159"/>
      <c r="E15" s="148">
        <v>10</v>
      </c>
      <c r="F15" s="169"/>
      <c r="G15" s="166"/>
      <c r="H15" s="166"/>
      <c r="I15" s="166" t="str">
        <f>IF(E14&gt;0,"만기2","")</f>
        <v/>
      </c>
      <c r="J15" s="166"/>
      <c r="K15" s="120">
        <v>5</v>
      </c>
      <c r="L15" s="121"/>
      <c r="M15" s="34"/>
      <c r="N15" s="38">
        <f t="shared" ref="N15:N36" si="2">O14</f>
        <v>44093</v>
      </c>
      <c r="O15" s="38">
        <f t="shared" ref="O15:O36" si="3">EDATE(N15,12)</f>
        <v>44458</v>
      </c>
      <c r="P15" s="38">
        <v>44093</v>
      </c>
      <c r="Q15" s="38">
        <v>44458</v>
      </c>
      <c r="R15" s="38">
        <f t="shared" ref="R15:R36" si="4">Q15+1</f>
        <v>44459</v>
      </c>
      <c r="S15" s="85">
        <v>2.5700000000000001E-2</v>
      </c>
      <c r="T15" s="90">
        <v>0</v>
      </c>
      <c r="W15" s="41">
        <v>41188</v>
      </c>
      <c r="X15" s="41">
        <v>41188</v>
      </c>
      <c r="Y15" s="41">
        <v>41188</v>
      </c>
      <c r="AD15" s="143" t="str">
        <f>IF($AF$7&gt;0, "사용", "커브개수"&amp;"="&amp;$AF$7&amp;"이므로 사용안함")</f>
        <v>사용</v>
      </c>
      <c r="AE15" s="126" t="str">
        <f>IF($AF$7&gt;=1,"기초금리 Range상한", "")</f>
        <v>기초금리 Range상한</v>
      </c>
      <c r="AF15" s="126"/>
      <c r="AG15" s="148">
        <v>10</v>
      </c>
      <c r="AH15" s="148"/>
      <c r="AI15" s="119"/>
      <c r="AJ15" s="119"/>
      <c r="AK15" s="119" t="str">
        <f>IF(AG14&gt;0,"만기2","")</f>
        <v/>
      </c>
      <c r="AL15" s="119"/>
      <c r="AM15" s="120">
        <v>5</v>
      </c>
      <c r="AN15" s="121"/>
      <c r="AP15" s="38">
        <v>43727</v>
      </c>
      <c r="AQ15" s="38">
        <v>43909</v>
      </c>
      <c r="AR15" s="38">
        <v>43727</v>
      </c>
      <c r="AS15" s="38">
        <v>43909</v>
      </c>
      <c r="AT15" s="38">
        <f t="shared" ref="AT15:AT78" si="5">AS15+1</f>
        <v>43910</v>
      </c>
      <c r="AU15" s="85">
        <v>2.2890000000000001E-2</v>
      </c>
      <c r="AV15" s="90">
        <v>0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71"/>
      <c r="C16" s="159" t="str">
        <f>IF($D$7&gt;=1,"기초금리 Range하한", "")</f>
        <v>기초금리 Range하한</v>
      </c>
      <c r="D16" s="160"/>
      <c r="E16" s="128">
        <v>-1</v>
      </c>
      <c r="F16" s="170"/>
      <c r="G16" s="172"/>
      <c r="H16" s="172"/>
      <c r="I16" s="167" t="str">
        <f>IF(E14&gt;0,"Spread1","")</f>
        <v/>
      </c>
      <c r="J16" s="167"/>
      <c r="K16" s="157" t="str">
        <f>IF(E14&gt;0, I14&amp;"-"&amp;I15, "")</f>
        <v/>
      </c>
      <c r="L16" s="158"/>
      <c r="M16" s="34"/>
      <c r="N16" s="38">
        <f t="shared" si="2"/>
        <v>44458</v>
      </c>
      <c r="O16" s="38">
        <f t="shared" si="3"/>
        <v>44823</v>
      </c>
      <c r="P16" s="38">
        <v>44458</v>
      </c>
      <c r="Q16" s="38">
        <v>44823</v>
      </c>
      <c r="R16" s="38">
        <f t="shared" si="4"/>
        <v>44824</v>
      </c>
      <c r="S16" s="85">
        <v>2.5700000000000001E-2</v>
      </c>
      <c r="T16" s="90">
        <v>0</v>
      </c>
      <c r="W16" s="41">
        <v>41189</v>
      </c>
      <c r="X16" s="41">
        <v>41189</v>
      </c>
      <c r="Y16" s="41">
        <v>41189</v>
      </c>
      <c r="AD16" s="143"/>
      <c r="AE16" s="126" t="str">
        <f>IF($AF$7&gt;=1,"기초금리 Range하한", "")</f>
        <v>기초금리 Range하한</v>
      </c>
      <c r="AF16" s="127"/>
      <c r="AG16" s="128">
        <v>-1</v>
      </c>
      <c r="AH16" s="128"/>
      <c r="AI16" s="125"/>
      <c r="AJ16" s="125"/>
      <c r="AK16" s="122" t="str">
        <f>IF(AG14&gt;0,"Spread1","")</f>
        <v/>
      </c>
      <c r="AL16" s="122"/>
      <c r="AM16" s="123" t="str">
        <f>IF(AG14&gt;0, AK14&amp;"-"&amp;AK15, "")</f>
        <v/>
      </c>
      <c r="AN16" s="124"/>
      <c r="AO16" s="34"/>
      <c r="AP16" s="38">
        <v>43909</v>
      </c>
      <c r="AQ16" s="38">
        <v>44093</v>
      </c>
      <c r="AR16" s="38">
        <v>43909</v>
      </c>
      <c r="AS16" s="38">
        <v>44093</v>
      </c>
      <c r="AT16" s="38">
        <f t="shared" si="5"/>
        <v>44094</v>
      </c>
      <c r="AU16" s="85">
        <v>2.2890000000000001E-2</v>
      </c>
      <c r="AV16" s="90">
        <v>0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9" t="str">
        <f>IF($D$7&gt;=1,"Payoff조건Multiple", "")</f>
        <v>Payoff조건Multiple</v>
      </c>
      <c r="D17" s="149"/>
      <c r="E17" s="134">
        <v>0</v>
      </c>
      <c r="F17" s="155"/>
      <c r="G17" s="115" t="str">
        <f>IF(E14&gt;0,"예시) 10년-5년 스왑: 연 지급횟수=4, 만기1=10, 만기2=5","")</f>
        <v/>
      </c>
      <c r="H17" s="115"/>
      <c r="I17" s="115"/>
      <c r="J17" s="115"/>
      <c r="K17" s="115"/>
      <c r="L17" s="116"/>
      <c r="M17" s="34"/>
      <c r="N17" s="38">
        <f t="shared" si="2"/>
        <v>44823</v>
      </c>
      <c r="O17" s="38">
        <f t="shared" si="3"/>
        <v>45188</v>
      </c>
      <c r="P17" s="38">
        <v>44823</v>
      </c>
      <c r="Q17" s="38">
        <v>45188</v>
      </c>
      <c r="R17" s="38">
        <f t="shared" si="4"/>
        <v>45189</v>
      </c>
      <c r="S17" s="85">
        <v>2.5700000000000001E-2</v>
      </c>
      <c r="T17" s="90">
        <v>0</v>
      </c>
      <c r="W17" s="41">
        <v>41195</v>
      </c>
      <c r="X17" s="41">
        <v>41195</v>
      </c>
      <c r="Y17" s="41">
        <v>41195</v>
      </c>
      <c r="AD17" s="32"/>
      <c r="AE17" s="135" t="str">
        <f>IF($AF$7&gt;=1,"Payoff조건Multiple", "")</f>
        <v>Payoff조건Multiple</v>
      </c>
      <c r="AF17" s="135"/>
      <c r="AG17" s="134">
        <v>1</v>
      </c>
      <c r="AH17" s="134"/>
      <c r="AI17" s="115" t="str">
        <f>IF(AG14&gt;0,"예시) 10년-5년 스왑: 연 지급횟수=4, 만기1=10, 만기2=5","")</f>
        <v/>
      </c>
      <c r="AJ17" s="115"/>
      <c r="AK17" s="115"/>
      <c r="AL17" s="115"/>
      <c r="AM17" s="115"/>
      <c r="AN17" s="116"/>
      <c r="AO17" s="34"/>
      <c r="AP17" s="38">
        <v>44093</v>
      </c>
      <c r="AQ17" s="38">
        <v>44274</v>
      </c>
      <c r="AR17" s="38">
        <v>44093</v>
      </c>
      <c r="AS17" s="38">
        <v>44274</v>
      </c>
      <c r="AT17" s="38">
        <f t="shared" si="5"/>
        <v>44275</v>
      </c>
      <c r="AU17" s="85">
        <v>2.2890000000000001E-2</v>
      </c>
      <c r="AV17" s="90">
        <v>0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si="2"/>
        <v>45188</v>
      </c>
      <c r="O18" s="38">
        <f t="shared" si="3"/>
        <v>45554</v>
      </c>
      <c r="P18" s="38">
        <v>45188</v>
      </c>
      <c r="Q18" s="38">
        <v>45554</v>
      </c>
      <c r="R18" s="38">
        <f t="shared" si="4"/>
        <v>45555</v>
      </c>
      <c r="S18" s="85">
        <v>2.5700000000000001E-2</v>
      </c>
      <c r="T18" s="90">
        <v>0</v>
      </c>
      <c r="W18" s="41">
        <v>41196</v>
      </c>
      <c r="X18" s="41">
        <v>41196</v>
      </c>
      <c r="Y18" s="41">
        <v>41196</v>
      </c>
      <c r="AP18" s="38">
        <v>44274</v>
      </c>
      <c r="AQ18" s="38">
        <v>44458</v>
      </c>
      <c r="AR18" s="38">
        <v>44274</v>
      </c>
      <c r="AS18" s="38">
        <v>44458</v>
      </c>
      <c r="AT18" s="38">
        <f t="shared" si="5"/>
        <v>44459</v>
      </c>
      <c r="AU18" s="85">
        <v>2.2890000000000001E-2</v>
      </c>
      <c r="AV18" s="90">
        <v>0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91" t="str">
        <f>IF(D7&gt;=2,"기초금리2", "")</f>
        <v/>
      </c>
      <c r="C19" s="174" t="str">
        <f>IF($D$7&gt;=2,"커브번호", "")</f>
        <v/>
      </c>
      <c r="D19" s="174"/>
      <c r="E19" s="139">
        <v>2</v>
      </c>
      <c r="F19" s="139"/>
      <c r="G19" s="65"/>
      <c r="H19" s="36"/>
      <c r="I19" s="153" t="str">
        <f>IF(OR(E20 = 0, E20 = 2, E20 = 4), "RefType = "&amp;E20&amp;" 이므로 Ref Swap 금리정보 사용안함", "사용")</f>
        <v>RefType = 0 이므로 Ref Swap 금리정보 사용안함</v>
      </c>
      <c r="J19" s="153"/>
      <c r="K19" s="153"/>
      <c r="L19" s="154"/>
      <c r="M19" s="34"/>
      <c r="N19" s="38">
        <f t="shared" si="2"/>
        <v>45554</v>
      </c>
      <c r="O19" s="38">
        <f t="shared" si="3"/>
        <v>45919</v>
      </c>
      <c r="P19" s="38">
        <v>45554</v>
      </c>
      <c r="Q19" s="38">
        <v>45919</v>
      </c>
      <c r="R19" s="38">
        <f t="shared" si="4"/>
        <v>45920</v>
      </c>
      <c r="S19" s="85">
        <v>2.5700000000000001E-2</v>
      </c>
      <c r="T19" s="90">
        <v>0</v>
      </c>
      <c r="W19" s="41">
        <v>41202</v>
      </c>
      <c r="X19" s="41">
        <v>41202</v>
      </c>
      <c r="Y19" s="41">
        <v>41202</v>
      </c>
      <c r="AD19" s="142" t="str">
        <f>IF($AF$7&gt;=2,"기초금리2", "")</f>
        <v/>
      </c>
      <c r="AE19" s="138" t="str">
        <f>IF($AF$7&gt;=2,"커브번호", "")</f>
        <v/>
      </c>
      <c r="AF19" s="138"/>
      <c r="AG19" s="139">
        <v>2</v>
      </c>
      <c r="AH19" s="139"/>
      <c r="AI19" s="65"/>
      <c r="AJ19" s="36"/>
      <c r="AK19" s="136" t="str">
        <f>IF(OR(AG20 = 0, AG20 = 2, AG20 = 4), "RefType = "&amp;AG20&amp;" 이므로 Ref Swap 금리정보 사용안함", "사용")</f>
        <v>RefType = 0 이므로 Ref Swap 금리정보 사용안함</v>
      </c>
      <c r="AL19" s="136"/>
      <c r="AM19" s="136"/>
      <c r="AN19" s="137"/>
      <c r="AP19" s="38">
        <v>44458</v>
      </c>
      <c r="AQ19" s="38">
        <v>44639</v>
      </c>
      <c r="AR19" s="38">
        <v>44458</v>
      </c>
      <c r="AS19" s="38">
        <v>44639</v>
      </c>
      <c r="AT19" s="38">
        <f t="shared" si="5"/>
        <v>44640</v>
      </c>
      <c r="AU19" s="85">
        <v>2.2890000000000001E-2</v>
      </c>
      <c r="AV19" s="90">
        <v>0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71"/>
      <c r="C20" s="160" t="str">
        <f>IF($D$7&gt;=2,"Reference Rate Type", "")</f>
        <v/>
      </c>
      <c r="D20" s="161"/>
      <c r="E20" s="141">
        <v>0</v>
      </c>
      <c r="F20" s="141"/>
      <c r="G20" s="144" t="str">
        <f>IF(OR(E20 = 0, E20 = 2, E20 = 4), "", "Zero/Swap 레퍼런스금리정보")</f>
        <v/>
      </c>
      <c r="H20" s="144"/>
      <c r="I20" s="144" t="str">
        <f>IF(OR(E20 = 0, E20 = 2, E20 = 4), "", "연 지급횟수")</f>
        <v/>
      </c>
      <c r="J20" s="145"/>
      <c r="K20" s="131">
        <v>4</v>
      </c>
      <c r="L20" s="132"/>
      <c r="M20" s="34"/>
      <c r="N20" s="38">
        <f t="shared" si="2"/>
        <v>45919</v>
      </c>
      <c r="O20" s="38">
        <f t="shared" si="3"/>
        <v>46284</v>
      </c>
      <c r="P20" s="38">
        <v>45919</v>
      </c>
      <c r="Q20" s="38">
        <v>46284</v>
      </c>
      <c r="R20" s="38">
        <f t="shared" si="4"/>
        <v>46285</v>
      </c>
      <c r="S20" s="85">
        <v>2.5700000000000001E-2</v>
      </c>
      <c r="T20" s="90">
        <v>0</v>
      </c>
      <c r="W20" s="41">
        <v>41203</v>
      </c>
      <c r="X20" s="41">
        <v>41203</v>
      </c>
      <c r="Y20" s="41">
        <v>41203</v>
      </c>
      <c r="AD20" s="143"/>
      <c r="AE20" s="127" t="str">
        <f>IF($AF$7&gt;=2,"Reference Rate Type", "")</f>
        <v/>
      </c>
      <c r="AF20" s="140"/>
      <c r="AG20" s="141">
        <v>0</v>
      </c>
      <c r="AH20" s="141"/>
      <c r="AI20" s="129" t="str">
        <f>IF(OR(AG20 = 0, AG20 = 2, AG20 = 4), "", "Zero/Swap 레퍼런스금리정보")</f>
        <v/>
      </c>
      <c r="AJ20" s="129"/>
      <c r="AK20" s="129" t="str">
        <f>IF(OR(AG20 = 0, AG20 = 2, AG20 = 4), "", "연 지급횟수")</f>
        <v/>
      </c>
      <c r="AL20" s="130"/>
      <c r="AM20" s="131">
        <v>4</v>
      </c>
      <c r="AN20" s="132"/>
      <c r="AP20" s="38">
        <v>44639</v>
      </c>
      <c r="AQ20" s="38">
        <v>44823</v>
      </c>
      <c r="AR20" s="38">
        <v>44639</v>
      </c>
      <c r="AS20" s="38">
        <v>44823</v>
      </c>
      <c r="AT20" s="38">
        <f t="shared" si="5"/>
        <v>44824</v>
      </c>
      <c r="AU20" s="85">
        <v>2.2890000000000001E-2</v>
      </c>
      <c r="AV20" s="90">
        <v>0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71"/>
      <c r="C21" s="160" t="str">
        <f>IF($D$7&gt;=2,"DayCount", "")</f>
        <v/>
      </c>
      <c r="D21" s="160"/>
      <c r="E21" s="118">
        <v>0</v>
      </c>
      <c r="F21" s="118"/>
      <c r="G21" s="144"/>
      <c r="H21" s="144"/>
      <c r="I21" s="144" t="str">
        <f>IF(OR(E20 = 0, E20 = 2, E20 = 4,E23=1), "", "만기")</f>
        <v/>
      </c>
      <c r="J21" s="145"/>
      <c r="K21" s="146">
        <v>1</v>
      </c>
      <c r="L21" s="147"/>
      <c r="M21" s="34"/>
      <c r="N21" s="38">
        <f t="shared" si="2"/>
        <v>46284</v>
      </c>
      <c r="O21" s="38">
        <f t="shared" si="3"/>
        <v>46649</v>
      </c>
      <c r="P21" s="38">
        <v>46284</v>
      </c>
      <c r="Q21" s="38">
        <v>46649</v>
      </c>
      <c r="R21" s="38">
        <f t="shared" si="4"/>
        <v>46650</v>
      </c>
      <c r="S21" s="85">
        <v>2.5700000000000001E-2</v>
      </c>
      <c r="T21" s="90">
        <v>0</v>
      </c>
      <c r="W21" s="41">
        <v>41209</v>
      </c>
      <c r="X21" s="41">
        <v>41209</v>
      </c>
      <c r="Y21" s="41">
        <v>41209</v>
      </c>
      <c r="AD21" s="143"/>
      <c r="AE21" s="127" t="str">
        <f>IF($AF$7&gt;=2,"DayCount", "")</f>
        <v/>
      </c>
      <c r="AF21" s="127"/>
      <c r="AG21" s="118">
        <v>0</v>
      </c>
      <c r="AH21" s="118"/>
      <c r="AI21" s="129"/>
      <c r="AJ21" s="129"/>
      <c r="AK21" s="144" t="str">
        <f>IF(OR(AG20 = 0, AG20 = 2, AG20 = 4,AG23=1), "", "만기")</f>
        <v/>
      </c>
      <c r="AL21" s="145"/>
      <c r="AM21" s="146">
        <v>5</v>
      </c>
      <c r="AN21" s="147"/>
      <c r="AP21" s="38">
        <v>44823</v>
      </c>
      <c r="AQ21" s="38">
        <v>45004</v>
      </c>
      <c r="AR21" s="38">
        <v>44823</v>
      </c>
      <c r="AS21" s="38">
        <v>45004</v>
      </c>
      <c r="AT21" s="38">
        <f t="shared" si="5"/>
        <v>45005</v>
      </c>
      <c r="AU21" s="85">
        <v>2.2890000000000001E-2</v>
      </c>
      <c r="AV21" s="90">
        <v>0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71"/>
      <c r="C22" s="160" t="str">
        <f>IF($D$7&gt;=2,"금리결정조건Multiple", "")</f>
        <v/>
      </c>
      <c r="D22" s="161"/>
      <c r="E22" s="117">
        <v>1</v>
      </c>
      <c r="F22" s="117"/>
      <c r="G22" s="113" t="str">
        <f>IF(OR(E20 = 0, E20 = 2, E20 = 4), "", "ex) Zero Rate 5년 -&gt; 연 지급횟수= 0, 만기= 5 // CD91일 -&gt; 연 지급횟수= 4, 만기= 0.25")</f>
        <v/>
      </c>
      <c r="H22" s="113"/>
      <c r="I22" s="113"/>
      <c r="J22" s="113"/>
      <c r="K22" s="113"/>
      <c r="L22" s="114"/>
      <c r="M22" s="34"/>
      <c r="N22" s="38">
        <f t="shared" si="2"/>
        <v>46649</v>
      </c>
      <c r="O22" s="38">
        <f t="shared" si="3"/>
        <v>47015</v>
      </c>
      <c r="P22" s="38">
        <v>46649</v>
      </c>
      <c r="Q22" s="38">
        <v>47015</v>
      </c>
      <c r="R22" s="38">
        <f t="shared" si="4"/>
        <v>47016</v>
      </c>
      <c r="S22" s="85">
        <v>2.5700000000000001E-2</v>
      </c>
      <c r="T22" s="90">
        <v>0</v>
      </c>
      <c r="W22" s="41">
        <v>41210</v>
      </c>
      <c r="X22" s="41">
        <v>41210</v>
      </c>
      <c r="Y22" s="41">
        <v>41210</v>
      </c>
      <c r="AD22" s="143"/>
      <c r="AE22" s="127" t="str">
        <f>IF($AF$7&gt;=2,"금리결정조건Multiple", "")</f>
        <v/>
      </c>
      <c r="AF22" s="140"/>
      <c r="AG22" s="117">
        <v>1</v>
      </c>
      <c r="AH22" s="117"/>
      <c r="AI22" s="113" t="str">
        <f>IF(OR(AG20 = 0, AG20 = 2, AG20 = 4), "", "ex) Zero Rate 5년 -&gt; 연 지급횟수= 0, 만기= 5 // CD91일 -&gt; 연 지급횟수= 4, 만기= 0.25")</f>
        <v/>
      </c>
      <c r="AJ22" s="113"/>
      <c r="AK22" s="113"/>
      <c r="AL22" s="113"/>
      <c r="AM22" s="113"/>
      <c r="AN22" s="114"/>
      <c r="AP22" s="38">
        <v>45004</v>
      </c>
      <c r="AQ22" s="38">
        <v>45188</v>
      </c>
      <c r="AR22" s="38">
        <v>45004</v>
      </c>
      <c r="AS22" s="38">
        <v>45188</v>
      </c>
      <c r="AT22" s="38">
        <f t="shared" si="5"/>
        <v>45189</v>
      </c>
      <c r="AU22" s="85">
        <v>2.2890000000000001E-2</v>
      </c>
      <c r="AV22" s="90">
        <v>0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71"/>
      <c r="C23" s="159" t="str">
        <f>IF($D$7&gt;=2,"Power Spread Flag", "")</f>
        <v/>
      </c>
      <c r="D23" s="159"/>
      <c r="E23" s="118">
        <v>0</v>
      </c>
      <c r="F23" s="118"/>
      <c r="G23" s="166" t="str">
        <f>IF(E23&gt;0,"PowerSpreadFlag 1일때 입력","입력필요X")</f>
        <v>입력필요X</v>
      </c>
      <c r="H23" s="166"/>
      <c r="I23" s="166" t="str">
        <f>IF(E23&gt;0,"만기1","")</f>
        <v/>
      </c>
      <c r="J23" s="166"/>
      <c r="K23" s="120">
        <v>10</v>
      </c>
      <c r="L23" s="121"/>
      <c r="M23" s="34"/>
      <c r="N23" s="38">
        <f t="shared" si="2"/>
        <v>47015</v>
      </c>
      <c r="O23" s="38">
        <f t="shared" si="3"/>
        <v>47380</v>
      </c>
      <c r="P23" s="38">
        <v>47015</v>
      </c>
      <c r="Q23" s="38">
        <v>47380</v>
      </c>
      <c r="R23" s="38">
        <f t="shared" si="4"/>
        <v>47381</v>
      </c>
      <c r="S23" s="85">
        <v>2.5700000000000001E-2</v>
      </c>
      <c r="T23" s="90">
        <v>0</v>
      </c>
      <c r="W23" s="41">
        <v>41216</v>
      </c>
      <c r="X23" s="41">
        <v>41216</v>
      </c>
      <c r="Y23" s="41">
        <v>41216</v>
      </c>
      <c r="AD23" s="143"/>
      <c r="AE23" s="126" t="str">
        <f>IF($AF$7&gt;=2,"Power Spread Flag", "")</f>
        <v/>
      </c>
      <c r="AF23" s="126"/>
      <c r="AG23" s="118">
        <v>0</v>
      </c>
      <c r="AH23" s="118"/>
      <c r="AI23" s="119" t="str">
        <f>IF(AG23&gt;0,"PowerSpreadFlag 1일때 입력","입력필요X")</f>
        <v>입력필요X</v>
      </c>
      <c r="AJ23" s="119"/>
      <c r="AK23" s="119" t="str">
        <f>IF(AG23&gt;0,"만기1","")</f>
        <v/>
      </c>
      <c r="AL23" s="119"/>
      <c r="AM23" s="120">
        <v>10</v>
      </c>
      <c r="AN23" s="121"/>
      <c r="AP23" s="38">
        <v>45188</v>
      </c>
      <c r="AQ23" s="38">
        <v>45370</v>
      </c>
      <c r="AR23" s="38">
        <v>45188</v>
      </c>
      <c r="AS23" s="38">
        <v>45370</v>
      </c>
      <c r="AT23" s="38">
        <f t="shared" si="5"/>
        <v>45371</v>
      </c>
      <c r="AU23" s="85">
        <v>2.2890000000000001E-2</v>
      </c>
      <c r="AV23" s="90">
        <v>0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71" t="str">
        <f>IF($D$7&gt;1, "사용", "커브개수"&amp;"="&amp;$D$7&amp;"이므로 사용안함")</f>
        <v>커브개수=1이므로 사용안함</v>
      </c>
      <c r="C24" s="159" t="str">
        <f>IF($D$7&gt;=2,"기초금리 Range상한", "")</f>
        <v/>
      </c>
      <c r="D24" s="159"/>
      <c r="E24" s="148">
        <v>10</v>
      </c>
      <c r="F24" s="148"/>
      <c r="G24" s="166"/>
      <c r="H24" s="166"/>
      <c r="I24" s="166" t="str">
        <f>IF(E23&gt;0,"만기2","")</f>
        <v/>
      </c>
      <c r="J24" s="166"/>
      <c r="K24" s="120">
        <v>5</v>
      </c>
      <c r="L24" s="121"/>
      <c r="M24" s="34"/>
      <c r="N24" s="38">
        <f t="shared" si="2"/>
        <v>47380</v>
      </c>
      <c r="O24" s="38">
        <f t="shared" si="3"/>
        <v>47745</v>
      </c>
      <c r="P24" s="38">
        <v>47380</v>
      </c>
      <c r="Q24" s="38">
        <v>47745</v>
      </c>
      <c r="R24" s="38">
        <f t="shared" si="4"/>
        <v>47746</v>
      </c>
      <c r="S24" s="85">
        <v>2.5700000000000001E-2</v>
      </c>
      <c r="T24" s="90">
        <v>0</v>
      </c>
      <c r="W24" s="41">
        <v>41217</v>
      </c>
      <c r="X24" s="41">
        <v>41217</v>
      </c>
      <c r="Y24" s="41">
        <v>41217</v>
      </c>
      <c r="AD24" s="143" t="str">
        <f>IF($AF$7&gt;1, "사용", "커브개수"&amp;"="&amp;$AF$7&amp;"이므로 사용안함")</f>
        <v>커브개수=1이므로 사용안함</v>
      </c>
      <c r="AE24" s="126" t="str">
        <f>IF($AF$7&gt;=2,"기초금리 Range상한", "")</f>
        <v/>
      </c>
      <c r="AF24" s="126"/>
      <c r="AG24" s="148">
        <v>0.5</v>
      </c>
      <c r="AH24" s="148"/>
      <c r="AI24" s="119"/>
      <c r="AJ24" s="119"/>
      <c r="AK24" s="119" t="str">
        <f>IF(AG23&gt;0,"만기2","")</f>
        <v/>
      </c>
      <c r="AL24" s="119"/>
      <c r="AM24" s="120">
        <v>5</v>
      </c>
      <c r="AN24" s="121"/>
      <c r="AP24" s="38">
        <v>45370</v>
      </c>
      <c r="AQ24" s="38">
        <v>45554</v>
      </c>
      <c r="AR24" s="38">
        <v>45370</v>
      </c>
      <c r="AS24" s="38">
        <v>45554</v>
      </c>
      <c r="AT24" s="38">
        <f t="shared" si="5"/>
        <v>45555</v>
      </c>
      <c r="AU24" s="85">
        <v>2.2890000000000001E-2</v>
      </c>
      <c r="AV24" s="90">
        <v>0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71"/>
      <c r="C25" s="159" t="str">
        <f>IF($D$7&gt;=2,"기초금리 Range하한", "")</f>
        <v/>
      </c>
      <c r="D25" s="160"/>
      <c r="E25" s="128">
        <v>-1</v>
      </c>
      <c r="F25" s="128"/>
      <c r="G25" s="172"/>
      <c r="H25" s="172"/>
      <c r="I25" s="167" t="str">
        <f>IF(E23&gt;0,"Spread1","")</f>
        <v/>
      </c>
      <c r="J25" s="167"/>
      <c r="K25" s="157" t="str">
        <f>IF(E23&gt;0, I23&amp;"-"&amp;I24, "")</f>
        <v/>
      </c>
      <c r="L25" s="158"/>
      <c r="N25" s="38">
        <f t="shared" si="2"/>
        <v>47745</v>
      </c>
      <c r="O25" s="38">
        <f t="shared" si="3"/>
        <v>48110</v>
      </c>
      <c r="P25" s="38">
        <v>47745</v>
      </c>
      <c r="Q25" s="38">
        <v>48110</v>
      </c>
      <c r="R25" s="38">
        <f t="shared" si="4"/>
        <v>48111</v>
      </c>
      <c r="S25" s="85">
        <v>2.5700000000000001E-2</v>
      </c>
      <c r="T25" s="90">
        <v>0</v>
      </c>
      <c r="W25" s="41">
        <v>41223</v>
      </c>
      <c r="X25" s="41">
        <v>41223</v>
      </c>
      <c r="Y25" s="41">
        <v>41223</v>
      </c>
      <c r="AD25" s="143"/>
      <c r="AE25" s="126" t="str">
        <f>IF($AF$7&gt;=2,"기초금리 Range하한", "")</f>
        <v/>
      </c>
      <c r="AF25" s="127"/>
      <c r="AG25" s="128">
        <v>-0.1</v>
      </c>
      <c r="AH25" s="128"/>
      <c r="AI25" s="125"/>
      <c r="AJ25" s="125"/>
      <c r="AK25" s="122" t="str">
        <f>IF(AG23&gt;0,"Spread1","")</f>
        <v/>
      </c>
      <c r="AL25" s="122"/>
      <c r="AM25" s="123" t="str">
        <f>IF(AG23&gt;0, AK23&amp;"-"&amp;AK24, "")</f>
        <v/>
      </c>
      <c r="AN25" s="124"/>
      <c r="AP25" s="38">
        <v>45554</v>
      </c>
      <c r="AQ25" s="38">
        <v>45735</v>
      </c>
      <c r="AR25" s="38">
        <v>45554</v>
      </c>
      <c r="AS25" s="38">
        <v>45735</v>
      </c>
      <c r="AT25" s="38">
        <f t="shared" si="5"/>
        <v>45736</v>
      </c>
      <c r="AU25" s="85">
        <v>2.2890000000000001E-2</v>
      </c>
      <c r="AV25" s="90">
        <v>0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9" t="str">
        <f>IF($D$7&gt;=2,"Payoff조건Multiple", "")</f>
        <v/>
      </c>
      <c r="D26" s="149"/>
      <c r="E26" s="134">
        <v>0</v>
      </c>
      <c r="F26" s="134"/>
      <c r="G26" s="115" t="str">
        <f>IF(E23&gt;0,"예시) 10년-5년 스왑: 연 지급횟수=4, 만기1=10, 만기2=5","")</f>
        <v/>
      </c>
      <c r="H26" s="115"/>
      <c r="I26" s="115"/>
      <c r="J26" s="115"/>
      <c r="K26" s="115"/>
      <c r="L26" s="116"/>
      <c r="N26" s="38">
        <f t="shared" si="2"/>
        <v>48110</v>
      </c>
      <c r="O26" s="38">
        <f t="shared" si="3"/>
        <v>48476</v>
      </c>
      <c r="P26" s="38">
        <v>48110</v>
      </c>
      <c r="Q26" s="38">
        <v>48476</v>
      </c>
      <c r="R26" s="38">
        <f t="shared" si="4"/>
        <v>48477</v>
      </c>
      <c r="S26" s="85">
        <v>2.5700000000000001E-2</v>
      </c>
      <c r="T26" s="90">
        <v>0</v>
      </c>
      <c r="W26" s="41">
        <v>41224</v>
      </c>
      <c r="X26" s="41">
        <v>41224</v>
      </c>
      <c r="Y26" s="41">
        <v>41224</v>
      </c>
      <c r="AD26" s="32"/>
      <c r="AE26" s="135" t="str">
        <f>IF($AF$7&gt;=2,"Payoff조건Multiple", "")</f>
        <v/>
      </c>
      <c r="AF26" s="135"/>
      <c r="AG26" s="134">
        <v>0</v>
      </c>
      <c r="AH26" s="134"/>
      <c r="AI26" s="115" t="str">
        <f>IF(AG23&gt;0,"예시) 10년-5년 스왑: 연 지급횟수=4, 만기1=10, 만기2=5","")</f>
        <v/>
      </c>
      <c r="AJ26" s="115"/>
      <c r="AK26" s="115"/>
      <c r="AL26" s="115"/>
      <c r="AM26" s="115"/>
      <c r="AN26" s="116"/>
      <c r="AP26" s="38">
        <v>45735</v>
      </c>
      <c r="AQ26" s="38">
        <v>45919</v>
      </c>
      <c r="AR26" s="38">
        <v>45735</v>
      </c>
      <c r="AS26" s="38">
        <v>45919</v>
      </c>
      <c r="AT26" s="38">
        <f t="shared" si="5"/>
        <v>45920</v>
      </c>
      <c r="AU26" s="85">
        <v>2.2890000000000001E-2</v>
      </c>
      <c r="AV26" s="90">
        <v>0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2"/>
        <v>48476</v>
      </c>
      <c r="O27" s="38">
        <f t="shared" si="3"/>
        <v>48841</v>
      </c>
      <c r="P27" s="38">
        <v>48476</v>
      </c>
      <c r="Q27" s="38">
        <v>48841</v>
      </c>
      <c r="R27" s="38">
        <f t="shared" si="4"/>
        <v>48842</v>
      </c>
      <c r="S27" s="85">
        <v>2.5700000000000001E-2</v>
      </c>
      <c r="T27" s="90">
        <v>0</v>
      </c>
      <c r="W27" s="41">
        <v>41230</v>
      </c>
      <c r="X27" s="41">
        <v>41230</v>
      </c>
      <c r="Y27" s="41">
        <v>41230</v>
      </c>
      <c r="AP27" s="38">
        <v>45919</v>
      </c>
      <c r="AQ27" s="38">
        <v>46100</v>
      </c>
      <c r="AR27" s="38">
        <v>45919</v>
      </c>
      <c r="AS27" s="38">
        <v>46100</v>
      </c>
      <c r="AT27" s="38">
        <f t="shared" si="5"/>
        <v>46101</v>
      </c>
      <c r="AU27" s="85">
        <v>2.2890000000000001E-2</v>
      </c>
      <c r="AV27" s="90">
        <v>0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91" t="str">
        <f>IF($D$7&gt;=3,"기초금리3", "")</f>
        <v/>
      </c>
      <c r="C28" s="174" t="str">
        <f>IF($D$7&gt;=3,"커브번호", "")</f>
        <v/>
      </c>
      <c r="D28" s="174"/>
      <c r="E28" s="139">
        <v>3</v>
      </c>
      <c r="F28" s="139"/>
      <c r="G28" s="65"/>
      <c r="H28" s="36"/>
      <c r="I28" s="153" t="str">
        <f>IF(OR(E29 = 0, E29 = 2, E29 = 4), "RefType = "&amp;E29&amp;" 이므로 Ref Swap 금리정보 사용안함", "사용")</f>
        <v>RefType = 0 이므로 Ref Swap 금리정보 사용안함</v>
      </c>
      <c r="J28" s="153"/>
      <c r="K28" s="153"/>
      <c r="L28" s="154"/>
      <c r="N28" s="38">
        <f t="shared" si="2"/>
        <v>48841</v>
      </c>
      <c r="O28" s="38">
        <f t="shared" si="3"/>
        <v>49206</v>
      </c>
      <c r="P28" s="38">
        <v>48841</v>
      </c>
      <c r="Q28" s="38">
        <v>49206</v>
      </c>
      <c r="R28" s="38">
        <f t="shared" si="4"/>
        <v>49207</v>
      </c>
      <c r="S28" s="85">
        <v>2.5700000000000001E-2</v>
      </c>
      <c r="T28" s="90">
        <v>0</v>
      </c>
      <c r="W28" s="41">
        <v>41231</v>
      </c>
      <c r="X28" s="41">
        <v>41231</v>
      </c>
      <c r="Y28" s="41">
        <v>41231</v>
      </c>
      <c r="AD28" s="142" t="str">
        <f>IF($AF$7&gt;=3,"기초금리3", "")</f>
        <v/>
      </c>
      <c r="AE28" s="138" t="str">
        <f>IF($AF$7&gt;=3,"커브번호", "")</f>
        <v/>
      </c>
      <c r="AF28" s="138"/>
      <c r="AG28" s="139">
        <v>3</v>
      </c>
      <c r="AH28" s="139"/>
      <c r="AI28" s="65"/>
      <c r="AJ28" s="36"/>
      <c r="AK28" s="136" t="str">
        <f>IF(OR(AG29 = 0, AG29 = 2, AG29 = 4), "RefType = "&amp;AG29&amp;" 이므로 Ref Swap 금리정보 사용안함", "사용")</f>
        <v>RefType = 0 이므로 Ref Swap 금리정보 사용안함</v>
      </c>
      <c r="AL28" s="136"/>
      <c r="AM28" s="136"/>
      <c r="AN28" s="137"/>
      <c r="AP28" s="38">
        <v>46100</v>
      </c>
      <c r="AQ28" s="38">
        <v>46284</v>
      </c>
      <c r="AR28" s="38">
        <v>46100</v>
      </c>
      <c r="AS28" s="38">
        <v>46284</v>
      </c>
      <c r="AT28" s="38">
        <f t="shared" si="5"/>
        <v>46285</v>
      </c>
      <c r="AU28" s="85">
        <v>2.2890000000000001E-2</v>
      </c>
      <c r="AV28" s="90">
        <v>0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71"/>
      <c r="C29" s="160" t="str">
        <f>IF($D$7&gt;=3,"Reference Rate Type", "")</f>
        <v/>
      </c>
      <c r="D29" s="161"/>
      <c r="E29" s="141">
        <v>0</v>
      </c>
      <c r="F29" s="141"/>
      <c r="G29" s="144" t="str">
        <f>IF(OR(E29 = 0, E29 = 2, E29 = 4), "", "Zero/Swap 레퍼런스금리정보")</f>
        <v/>
      </c>
      <c r="H29" s="144"/>
      <c r="I29" s="144" t="str">
        <f>IF(OR(E29 = 0, E29 = 2, E29 = 4), "", "연 지급횟수")</f>
        <v/>
      </c>
      <c r="J29" s="145"/>
      <c r="K29" s="131">
        <v>4</v>
      </c>
      <c r="L29" s="132"/>
      <c r="N29" s="38">
        <f t="shared" si="2"/>
        <v>49206</v>
      </c>
      <c r="O29" s="38">
        <f t="shared" si="3"/>
        <v>49571</v>
      </c>
      <c r="P29" s="38">
        <v>49206</v>
      </c>
      <c r="Q29" s="38">
        <v>49571</v>
      </c>
      <c r="R29" s="38">
        <f t="shared" si="4"/>
        <v>49572</v>
      </c>
      <c r="S29" s="85">
        <v>2.5700000000000001E-2</v>
      </c>
      <c r="T29" s="90">
        <v>0</v>
      </c>
      <c r="W29" s="41">
        <v>41237</v>
      </c>
      <c r="X29" s="41">
        <v>41237</v>
      </c>
      <c r="Y29" s="41">
        <v>41237</v>
      </c>
      <c r="AD29" s="143"/>
      <c r="AE29" s="127" t="str">
        <f>IF($AF$7&gt;=3,"Reference Rate Type", "")</f>
        <v/>
      </c>
      <c r="AF29" s="140"/>
      <c r="AG29" s="141">
        <v>0</v>
      </c>
      <c r="AH29" s="141"/>
      <c r="AI29" s="129" t="str">
        <f>IF(OR(AG29 = 0, AG29 = 2, AG29 = 4), "", "Zero/Swap 레퍼런스금리정보")</f>
        <v/>
      </c>
      <c r="AJ29" s="129"/>
      <c r="AK29" s="129" t="str">
        <f>IF(OR(AG29 = 0, AG29 = 2, AG29 = 4), "", "연 지급횟수")</f>
        <v/>
      </c>
      <c r="AL29" s="130"/>
      <c r="AM29" s="131">
        <v>4</v>
      </c>
      <c r="AN29" s="132"/>
      <c r="AP29" s="38">
        <v>46284</v>
      </c>
      <c r="AQ29" s="38">
        <v>46465</v>
      </c>
      <c r="AR29" s="38">
        <v>46284</v>
      </c>
      <c r="AS29" s="38">
        <v>46465</v>
      </c>
      <c r="AT29" s="38">
        <f t="shared" si="5"/>
        <v>46466</v>
      </c>
      <c r="AU29" s="85">
        <v>2.2890000000000001E-2</v>
      </c>
      <c r="AV29" s="90">
        <v>0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71"/>
      <c r="C30" s="160" t="str">
        <f>IF($D$7&gt;=3,"DayCount", "")</f>
        <v/>
      </c>
      <c r="D30" s="160"/>
      <c r="E30" s="118">
        <v>0</v>
      </c>
      <c r="F30" s="118"/>
      <c r="G30" s="144"/>
      <c r="H30" s="144"/>
      <c r="I30" s="144" t="str">
        <f>IF(OR(E29 = 0, E29 = 2, E29 = 4,E32=1), "", "만기")</f>
        <v/>
      </c>
      <c r="J30" s="145"/>
      <c r="K30" s="146">
        <v>5</v>
      </c>
      <c r="L30" s="147"/>
      <c r="N30" s="38">
        <f t="shared" si="2"/>
        <v>49571</v>
      </c>
      <c r="O30" s="38">
        <f t="shared" si="3"/>
        <v>49937</v>
      </c>
      <c r="P30" s="38">
        <v>49571</v>
      </c>
      <c r="Q30" s="38">
        <v>49937</v>
      </c>
      <c r="R30" s="38">
        <f t="shared" si="4"/>
        <v>49938</v>
      </c>
      <c r="S30" s="85">
        <v>2.5700000000000001E-2</v>
      </c>
      <c r="T30" s="90">
        <v>0</v>
      </c>
      <c r="W30" s="41">
        <v>41238</v>
      </c>
      <c r="X30" s="41">
        <v>41238</v>
      </c>
      <c r="Y30" s="41">
        <v>41238</v>
      </c>
      <c r="AD30" s="143"/>
      <c r="AE30" s="127" t="str">
        <f>IF($AF$7&gt;=3,"DayCount", "")</f>
        <v/>
      </c>
      <c r="AF30" s="127"/>
      <c r="AG30" s="118">
        <v>0</v>
      </c>
      <c r="AH30" s="118"/>
      <c r="AI30" s="129"/>
      <c r="AJ30" s="129"/>
      <c r="AK30" s="144" t="str">
        <f>IF(OR(AG29 = 0, AG29 = 2, AG29 = 4,AG32=1), "", "만기")</f>
        <v/>
      </c>
      <c r="AL30" s="145"/>
      <c r="AM30" s="146">
        <v>5</v>
      </c>
      <c r="AN30" s="147"/>
      <c r="AP30" s="38">
        <v>46465</v>
      </c>
      <c r="AQ30" s="38">
        <v>46649</v>
      </c>
      <c r="AR30" s="38">
        <v>46465</v>
      </c>
      <c r="AS30" s="38">
        <v>46649</v>
      </c>
      <c r="AT30" s="38">
        <f t="shared" si="5"/>
        <v>46650</v>
      </c>
      <c r="AU30" s="85">
        <v>2.2890000000000001E-2</v>
      </c>
      <c r="AV30" s="90">
        <v>0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71"/>
      <c r="C31" s="160" t="str">
        <f>IF($D$7&gt;=3,"금리결정조건Multiple", "")</f>
        <v/>
      </c>
      <c r="D31" s="161"/>
      <c r="E31" s="117">
        <v>1</v>
      </c>
      <c r="F31" s="117"/>
      <c r="G31" s="113" t="str">
        <f>IF(OR(E29 = 0, E29 = 2, E29 = 4), "", "ex) Zero Rate 5년 -&gt; 연 지급횟수= 0, 만기= 5 // CD91일 -&gt; 연 지급횟수= 4, 만기= 0.25")</f>
        <v/>
      </c>
      <c r="H31" s="113"/>
      <c r="I31" s="113"/>
      <c r="J31" s="113"/>
      <c r="K31" s="113"/>
      <c r="L31" s="114"/>
      <c r="N31" s="38">
        <f t="shared" si="2"/>
        <v>49937</v>
      </c>
      <c r="O31" s="38">
        <f t="shared" si="3"/>
        <v>50302</v>
      </c>
      <c r="P31" s="38">
        <v>49937</v>
      </c>
      <c r="Q31" s="38">
        <v>50302</v>
      </c>
      <c r="R31" s="38">
        <f t="shared" si="4"/>
        <v>50303</v>
      </c>
      <c r="S31" s="85">
        <v>2.5700000000000001E-2</v>
      </c>
      <c r="T31" s="90">
        <v>0</v>
      </c>
      <c r="W31" s="41">
        <v>41244</v>
      </c>
      <c r="X31" s="41">
        <v>41244</v>
      </c>
      <c r="Y31" s="41">
        <v>41244</v>
      </c>
      <c r="AD31" s="143"/>
      <c r="AE31" s="127" t="str">
        <f>IF($AF$7&gt;=3,"금리결정조건Multiple", "")</f>
        <v/>
      </c>
      <c r="AF31" s="140"/>
      <c r="AG31" s="117">
        <v>1</v>
      </c>
      <c r="AH31" s="117"/>
      <c r="AI31" s="113" t="str">
        <f>IF(OR(AG29 = 0, AG29 = 2, AG29 = 4), "", "ex) Zero Rate 5년 -&gt; 연 지급횟수= 0, 만기= 5 // CD91일 -&gt; 연 지급횟수= 4, 만기= 0.25")</f>
        <v/>
      </c>
      <c r="AJ31" s="113"/>
      <c r="AK31" s="113"/>
      <c r="AL31" s="113"/>
      <c r="AM31" s="113"/>
      <c r="AN31" s="114"/>
      <c r="AP31" s="38">
        <v>46649</v>
      </c>
      <c r="AQ31" s="38">
        <v>46831</v>
      </c>
      <c r="AR31" s="38">
        <v>46649</v>
      </c>
      <c r="AS31" s="38">
        <v>46831</v>
      </c>
      <c r="AT31" s="38">
        <f t="shared" si="5"/>
        <v>46832</v>
      </c>
      <c r="AU31" s="85">
        <v>2.2890000000000001E-2</v>
      </c>
      <c r="AV31" s="90">
        <v>0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71"/>
      <c r="C32" s="159" t="str">
        <f>IF($D$7&gt;=3,"Power Spread Flag", "")</f>
        <v/>
      </c>
      <c r="D32" s="159"/>
      <c r="E32" s="118">
        <v>0</v>
      </c>
      <c r="F32" s="118"/>
      <c r="G32" s="166" t="str">
        <f>IF(E32&gt;0,"PowerSpreadFlag 1일때 입력","입력필요X")</f>
        <v>입력필요X</v>
      </c>
      <c r="H32" s="166"/>
      <c r="I32" s="166" t="str">
        <f>IF(E32&gt;0,"만기1","")</f>
        <v/>
      </c>
      <c r="J32" s="166"/>
      <c r="K32" s="120">
        <v>10</v>
      </c>
      <c r="L32" s="121"/>
      <c r="N32" s="38">
        <f t="shared" si="2"/>
        <v>50302</v>
      </c>
      <c r="O32" s="38">
        <f t="shared" si="3"/>
        <v>50667</v>
      </c>
      <c r="P32" s="38">
        <v>50302</v>
      </c>
      <c r="Q32" s="38">
        <v>50667</v>
      </c>
      <c r="R32" s="38">
        <f t="shared" si="4"/>
        <v>50668</v>
      </c>
      <c r="S32" s="85">
        <v>2.5700000000000001E-2</v>
      </c>
      <c r="T32" s="90">
        <v>0</v>
      </c>
      <c r="W32" s="41">
        <v>41245</v>
      </c>
      <c r="X32" s="41">
        <v>41245</v>
      </c>
      <c r="Y32" s="41">
        <v>41245</v>
      </c>
      <c r="AD32" s="143"/>
      <c r="AE32" s="126" t="str">
        <f>IF($AF$7&gt;=3,"Power Spread Flag", "")</f>
        <v/>
      </c>
      <c r="AF32" s="126"/>
      <c r="AG32" s="118">
        <v>0</v>
      </c>
      <c r="AH32" s="118"/>
      <c r="AI32" s="119" t="str">
        <f>IF(AG32&gt;0,"PowerSpreadFlag 1일때 입력","입력필요X")</f>
        <v>입력필요X</v>
      </c>
      <c r="AJ32" s="119"/>
      <c r="AK32" s="119" t="str">
        <f>IF(AG32&gt;0,"만기1","")</f>
        <v/>
      </c>
      <c r="AL32" s="119"/>
      <c r="AM32" s="120">
        <v>10</v>
      </c>
      <c r="AN32" s="121"/>
      <c r="AP32" s="38">
        <v>46831</v>
      </c>
      <c r="AQ32" s="38">
        <v>47015</v>
      </c>
      <c r="AR32" s="38">
        <v>46831</v>
      </c>
      <c r="AS32" s="38">
        <v>47015</v>
      </c>
      <c r="AT32" s="38">
        <f t="shared" si="5"/>
        <v>47016</v>
      </c>
      <c r="AU32" s="85">
        <v>2.2890000000000001E-2</v>
      </c>
      <c r="AV32" s="90">
        <v>0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71" t="str">
        <f>IF($D$7&gt;2, "사용", "커브개수"&amp;"="&amp;$D$7&amp;"이므로 사용안함")</f>
        <v>커브개수=1이므로 사용안함</v>
      </c>
      <c r="C33" s="159" t="str">
        <f>IF($D$7&gt;=3,"기초금리 Range상한", "")</f>
        <v/>
      </c>
      <c r="D33" s="159"/>
      <c r="E33" s="148">
        <v>0.5</v>
      </c>
      <c r="F33" s="148"/>
      <c r="G33" s="166"/>
      <c r="H33" s="166"/>
      <c r="I33" s="166" t="str">
        <f>IF(E32&gt;0,"만기2","")</f>
        <v/>
      </c>
      <c r="J33" s="166"/>
      <c r="K33" s="120">
        <v>5</v>
      </c>
      <c r="L33" s="121"/>
      <c r="N33" s="38">
        <f t="shared" si="2"/>
        <v>50667</v>
      </c>
      <c r="O33" s="38">
        <f t="shared" si="3"/>
        <v>51032</v>
      </c>
      <c r="P33" s="38">
        <v>50667</v>
      </c>
      <c r="Q33" s="38">
        <v>51032</v>
      </c>
      <c r="R33" s="38">
        <f t="shared" si="4"/>
        <v>51033</v>
      </c>
      <c r="S33" s="85">
        <v>2.5700000000000001E-2</v>
      </c>
      <c r="T33" s="90">
        <v>0</v>
      </c>
      <c r="W33" s="41">
        <v>41251</v>
      </c>
      <c r="X33" s="41">
        <v>41251</v>
      </c>
      <c r="Y33" s="41">
        <v>41251</v>
      </c>
      <c r="AD33" s="143" t="str">
        <f>IF($AF$7&gt;2, "사용", "커브개수"&amp;"="&amp;$AF$7&amp;"이므로 사용안함")</f>
        <v>커브개수=1이므로 사용안함</v>
      </c>
      <c r="AE33" s="126" t="str">
        <f>IF($AF$7&gt;=3,"기초금리 Range상한", "")</f>
        <v/>
      </c>
      <c r="AF33" s="126"/>
      <c r="AG33" s="148">
        <v>0.5</v>
      </c>
      <c r="AH33" s="148"/>
      <c r="AI33" s="119"/>
      <c r="AJ33" s="119"/>
      <c r="AK33" s="119" t="str">
        <f>IF(AG32&gt;0,"만기2","")</f>
        <v/>
      </c>
      <c r="AL33" s="119"/>
      <c r="AM33" s="120">
        <v>5</v>
      </c>
      <c r="AN33" s="121"/>
      <c r="AP33" s="38">
        <v>47015</v>
      </c>
      <c r="AQ33" s="38">
        <v>47106</v>
      </c>
      <c r="AR33" s="38">
        <v>47015</v>
      </c>
      <c r="AS33" s="38">
        <v>47106</v>
      </c>
      <c r="AT33" s="38">
        <f t="shared" si="5"/>
        <v>47107</v>
      </c>
      <c r="AU33" s="85">
        <v>1E-3</v>
      </c>
      <c r="AV33" s="90">
        <v>1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71"/>
      <c r="C34" s="159" t="str">
        <f>IF($D$7&gt;=3,"기초금리 Range하한", "")</f>
        <v/>
      </c>
      <c r="D34" s="160"/>
      <c r="E34" s="128">
        <v>-0.1</v>
      </c>
      <c r="F34" s="128"/>
      <c r="G34" s="172"/>
      <c r="H34" s="172"/>
      <c r="I34" s="167" t="str">
        <f>IF(E32&gt;0,"Spread1","")</f>
        <v/>
      </c>
      <c r="J34" s="167"/>
      <c r="K34" s="157" t="str">
        <f>IF(E32&gt;0, I32&amp;"-"&amp;I33, "")</f>
        <v/>
      </c>
      <c r="L34" s="158"/>
      <c r="N34" s="38">
        <f t="shared" si="2"/>
        <v>51032</v>
      </c>
      <c r="O34" s="38">
        <f t="shared" si="3"/>
        <v>51398</v>
      </c>
      <c r="P34" s="38">
        <v>51032</v>
      </c>
      <c r="Q34" s="38">
        <v>51398</v>
      </c>
      <c r="R34" s="38">
        <f t="shared" si="4"/>
        <v>51399</v>
      </c>
      <c r="S34" s="85">
        <v>2.5700000000000001E-2</v>
      </c>
      <c r="T34" s="90">
        <v>0</v>
      </c>
      <c r="W34" s="41">
        <v>41252</v>
      </c>
      <c r="X34" s="41">
        <v>41252</v>
      </c>
      <c r="Y34" s="41">
        <v>41252</v>
      </c>
      <c r="AD34" s="143"/>
      <c r="AE34" s="126" t="str">
        <f>IF($AF$7&gt;=3,"기초금리 Range하한", "")</f>
        <v/>
      </c>
      <c r="AF34" s="127"/>
      <c r="AG34" s="128">
        <v>-0.1</v>
      </c>
      <c r="AH34" s="128"/>
      <c r="AI34" s="125"/>
      <c r="AJ34" s="125"/>
      <c r="AK34" s="122" t="str">
        <f>IF(AG32&gt;0,"Spread1","")</f>
        <v/>
      </c>
      <c r="AL34" s="122"/>
      <c r="AM34" s="123" t="str">
        <f>IF(AG32&gt;0, AK32&amp;"-"&amp;AK33, "")</f>
        <v/>
      </c>
      <c r="AN34" s="124"/>
      <c r="AP34" s="38">
        <v>47106</v>
      </c>
      <c r="AQ34" s="38">
        <v>47196</v>
      </c>
      <c r="AR34" s="38">
        <v>47106</v>
      </c>
      <c r="AS34" s="38">
        <v>47196</v>
      </c>
      <c r="AT34" s="38">
        <f t="shared" si="5"/>
        <v>47197</v>
      </c>
      <c r="AU34" s="85">
        <v>1E-3</v>
      </c>
      <c r="AV34" s="90">
        <v>1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9" t="str">
        <f>IF($D$7&gt;=3,"Payoff조건Multiple", "")</f>
        <v/>
      </c>
      <c r="D35" s="149"/>
      <c r="E35" s="134">
        <v>0</v>
      </c>
      <c r="F35" s="134"/>
      <c r="G35" s="115" t="str">
        <f>IF(E32&gt;0,"예시) 10년-5년 스왑: 연 지급횟수=4, 만기1=10, 만기2=5","")</f>
        <v/>
      </c>
      <c r="H35" s="115"/>
      <c r="I35" s="115"/>
      <c r="J35" s="115"/>
      <c r="K35" s="115"/>
      <c r="L35" s="116"/>
      <c r="N35" s="38">
        <f t="shared" si="2"/>
        <v>51398</v>
      </c>
      <c r="O35" s="38">
        <f t="shared" si="3"/>
        <v>51763</v>
      </c>
      <c r="P35" s="38">
        <v>51398</v>
      </c>
      <c r="Q35" s="38">
        <v>51763</v>
      </c>
      <c r="R35" s="38">
        <f t="shared" si="4"/>
        <v>51764</v>
      </c>
      <c r="S35" s="85">
        <v>2.5700000000000001E-2</v>
      </c>
      <c r="T35" s="90">
        <v>0</v>
      </c>
      <c r="W35" s="41">
        <v>41258</v>
      </c>
      <c r="X35" s="41">
        <v>41258</v>
      </c>
      <c r="Y35" s="41">
        <v>41258</v>
      </c>
      <c r="AD35" s="32"/>
      <c r="AE35" s="135" t="str">
        <f>IF($AF$7&gt;=3,"Payoff조건Multiple", "")</f>
        <v/>
      </c>
      <c r="AF35" s="135"/>
      <c r="AG35" s="134">
        <v>0</v>
      </c>
      <c r="AH35" s="134"/>
      <c r="AI35" s="115" t="str">
        <f>IF(AG32&gt;0,"예시) 10년-5년 스왑: 연 지급횟수=4, 만기1=10, 만기2=5","")</f>
        <v/>
      </c>
      <c r="AJ35" s="115"/>
      <c r="AK35" s="115"/>
      <c r="AL35" s="115"/>
      <c r="AM35" s="115"/>
      <c r="AN35" s="116"/>
      <c r="AP35" s="38">
        <v>47196</v>
      </c>
      <c r="AQ35" s="38">
        <v>47288</v>
      </c>
      <c r="AR35" s="38">
        <v>47196</v>
      </c>
      <c r="AS35" s="38">
        <v>47288</v>
      </c>
      <c r="AT35" s="38">
        <f t="shared" si="5"/>
        <v>47289</v>
      </c>
      <c r="AU35" s="85">
        <v>1E-3</v>
      </c>
      <c r="AV35" s="90">
        <v>1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2"/>
        <v>51763</v>
      </c>
      <c r="O36" s="38">
        <f t="shared" si="3"/>
        <v>52128</v>
      </c>
      <c r="P36" s="38">
        <v>51763</v>
      </c>
      <c r="Q36" s="38">
        <v>52128</v>
      </c>
      <c r="R36" s="38">
        <f t="shared" si="4"/>
        <v>52129</v>
      </c>
      <c r="S36" s="85">
        <v>2.5700000000000001E-2</v>
      </c>
      <c r="T36" s="90">
        <v>0</v>
      </c>
      <c r="W36" s="41">
        <v>41259</v>
      </c>
      <c r="X36" s="41">
        <v>41259</v>
      </c>
      <c r="Y36" s="41">
        <v>41259</v>
      </c>
      <c r="AP36" s="38">
        <v>47288</v>
      </c>
      <c r="AQ36" s="38">
        <v>47380</v>
      </c>
      <c r="AR36" s="38">
        <v>47288</v>
      </c>
      <c r="AS36" s="38">
        <v>47380</v>
      </c>
      <c r="AT36" s="38">
        <f t="shared" si="5"/>
        <v>47381</v>
      </c>
      <c r="AU36" s="85">
        <v>1E-3</v>
      </c>
      <c r="AV36" s="90">
        <v>1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62" t="s">
        <v>93</v>
      </c>
      <c r="C37" s="138" t="s">
        <v>33</v>
      </c>
      <c r="D37" s="138"/>
      <c r="E37" s="200">
        <v>1</v>
      </c>
      <c r="F37" s="201"/>
      <c r="G37" s="35"/>
      <c r="H37" s="142" t="s">
        <v>48</v>
      </c>
      <c r="I37" s="162"/>
      <c r="J37" s="150">
        <v>0</v>
      </c>
      <c r="K37" s="150"/>
      <c r="L37" s="151"/>
      <c r="W37" s="41">
        <v>41262</v>
      </c>
      <c r="X37" s="41">
        <v>41262</v>
      </c>
      <c r="Y37" s="41">
        <v>41262</v>
      </c>
      <c r="AD37" s="162" t="s">
        <v>93</v>
      </c>
      <c r="AE37" s="138" t="s">
        <v>33</v>
      </c>
      <c r="AF37" s="138"/>
      <c r="AG37" s="200">
        <v>1</v>
      </c>
      <c r="AH37" s="201"/>
      <c r="AJ37" s="142" t="s">
        <v>48</v>
      </c>
      <c r="AK37" s="162"/>
      <c r="AL37" s="150">
        <v>0</v>
      </c>
      <c r="AM37" s="150"/>
      <c r="AN37" s="151"/>
      <c r="AP37" s="38">
        <v>47380</v>
      </c>
      <c r="AQ37" s="38">
        <v>47471</v>
      </c>
      <c r="AR37" s="38">
        <v>47380</v>
      </c>
      <c r="AS37" s="38">
        <v>47471</v>
      </c>
      <c r="AT37" s="38">
        <f t="shared" si="5"/>
        <v>47472</v>
      </c>
      <c r="AU37" s="85">
        <v>1E-3</v>
      </c>
      <c r="AV37" s="90">
        <v>1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8"/>
      <c r="C38" s="135"/>
      <c r="D38" s="135"/>
      <c r="E38" s="202"/>
      <c r="F38" s="203"/>
      <c r="G38" s="35"/>
      <c r="H38" s="163" t="s">
        <v>49</v>
      </c>
      <c r="I38" s="164"/>
      <c r="J38" s="164"/>
      <c r="K38" s="164"/>
      <c r="L38" s="165"/>
      <c r="W38" s="41">
        <v>41265</v>
      </c>
      <c r="X38" s="41">
        <v>41265</v>
      </c>
      <c r="Y38" s="41">
        <v>41265</v>
      </c>
      <c r="AD38" s="198"/>
      <c r="AE38" s="135"/>
      <c r="AF38" s="135"/>
      <c r="AG38" s="202"/>
      <c r="AH38" s="203"/>
      <c r="AJ38" s="163" t="s">
        <v>49</v>
      </c>
      <c r="AK38" s="164"/>
      <c r="AL38" s="164"/>
      <c r="AM38" s="164"/>
      <c r="AN38" s="165"/>
      <c r="AP38" s="38">
        <v>47471</v>
      </c>
      <c r="AQ38" s="38">
        <v>47561</v>
      </c>
      <c r="AR38" s="38">
        <v>47471</v>
      </c>
      <c r="AS38" s="38">
        <v>47561</v>
      </c>
      <c r="AT38" s="38">
        <f t="shared" si="5"/>
        <v>47562</v>
      </c>
      <c r="AU38" s="85">
        <v>1E-3</v>
      </c>
      <c r="AV38" s="90">
        <v>1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8"/>
      <c r="C39" s="199"/>
      <c r="D39" s="199"/>
      <c r="E39" s="199"/>
      <c r="F39" s="199"/>
      <c r="G39" s="35"/>
      <c r="H39" s="195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6"/>
      <c r="J39" s="196"/>
      <c r="K39" s="196"/>
      <c r="L39" s="197"/>
      <c r="W39" s="41">
        <v>41266</v>
      </c>
      <c r="X39" s="41">
        <v>41266</v>
      </c>
      <c r="Y39" s="41">
        <v>41266</v>
      </c>
      <c r="AD39" s="198"/>
      <c r="AE39" s="199"/>
      <c r="AF39" s="199"/>
      <c r="AG39" s="199"/>
      <c r="AH39" s="199"/>
      <c r="AJ39" s="192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93"/>
      <c r="AL39" s="193"/>
      <c r="AM39" s="193"/>
      <c r="AN39" s="194"/>
      <c r="AP39" s="38">
        <v>47561</v>
      </c>
      <c r="AQ39" s="38">
        <v>47653</v>
      </c>
      <c r="AR39" s="38">
        <v>47561</v>
      </c>
      <c r="AS39" s="38">
        <v>47653</v>
      </c>
      <c r="AT39" s="38">
        <f t="shared" si="5"/>
        <v>47654</v>
      </c>
      <c r="AU39" s="85">
        <v>1E-3</v>
      </c>
      <c r="AV39" s="90">
        <v>1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W40" s="41">
        <v>41268</v>
      </c>
      <c r="X40" s="41">
        <v>41268</v>
      </c>
      <c r="Y40" s="41">
        <v>41268</v>
      </c>
      <c r="AP40" s="38">
        <v>47653</v>
      </c>
      <c r="AQ40" s="38">
        <v>47745</v>
      </c>
      <c r="AR40" s="38">
        <v>47653</v>
      </c>
      <c r="AS40" s="38">
        <v>47745</v>
      </c>
      <c r="AT40" s="38">
        <f t="shared" si="5"/>
        <v>47746</v>
      </c>
      <c r="AU40" s="85">
        <v>1E-3</v>
      </c>
      <c r="AV40" s="90">
        <v>1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W41" s="41">
        <v>41272</v>
      </c>
      <c r="X41" s="41">
        <v>41272</v>
      </c>
      <c r="Y41" s="41">
        <v>41272</v>
      </c>
      <c r="AP41" s="38">
        <v>47745</v>
      </c>
      <c r="AQ41" s="38">
        <v>47836</v>
      </c>
      <c r="AR41" s="38">
        <v>47745</v>
      </c>
      <c r="AS41" s="38">
        <v>47836</v>
      </c>
      <c r="AT41" s="38">
        <f t="shared" si="5"/>
        <v>47837</v>
      </c>
      <c r="AU41" s="85">
        <v>1E-3</v>
      </c>
      <c r="AV41" s="90">
        <v>1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12" t="s">
        <v>89</v>
      </c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W42" s="41">
        <v>41273</v>
      </c>
      <c r="X42" s="41">
        <v>41273</v>
      </c>
      <c r="Y42" s="41">
        <v>41273</v>
      </c>
      <c r="AP42" s="38">
        <v>47836</v>
      </c>
      <c r="AQ42" s="38">
        <v>47926</v>
      </c>
      <c r="AR42" s="38">
        <v>47836</v>
      </c>
      <c r="AS42" s="38">
        <v>47926</v>
      </c>
      <c r="AT42" s="38">
        <f t="shared" si="5"/>
        <v>47927</v>
      </c>
      <c r="AU42" s="85">
        <v>1E-3</v>
      </c>
      <c r="AV42" s="90">
        <v>1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4" t="s">
        <v>78</v>
      </c>
      <c r="C43" s="54" t="s">
        <v>90</v>
      </c>
      <c r="D43" s="54" t="s">
        <v>79</v>
      </c>
      <c r="E43" s="54" t="s">
        <v>80</v>
      </c>
      <c r="F43" s="54" t="s">
        <v>81</v>
      </c>
      <c r="G43" s="54" t="s">
        <v>82</v>
      </c>
      <c r="H43" s="54" t="s">
        <v>83</v>
      </c>
      <c r="I43" s="54" t="s">
        <v>87</v>
      </c>
      <c r="J43" s="54" t="s">
        <v>84</v>
      </c>
      <c r="K43" s="54" t="s">
        <v>85</v>
      </c>
      <c r="L43" s="54" t="s">
        <v>86</v>
      </c>
      <c r="W43" s="41">
        <v>41275</v>
      </c>
      <c r="X43" s="41">
        <v>41275</v>
      </c>
      <c r="Y43" s="41">
        <v>41275</v>
      </c>
      <c r="AP43" s="38">
        <v>47926</v>
      </c>
      <c r="AQ43" s="38">
        <v>48018</v>
      </c>
      <c r="AR43" s="38">
        <v>47926</v>
      </c>
      <c r="AS43" s="38">
        <v>48018</v>
      </c>
      <c r="AT43" s="38">
        <f t="shared" si="5"/>
        <v>48019</v>
      </c>
      <c r="AU43" s="85">
        <v>1E-3</v>
      </c>
      <c r="AV43" s="90">
        <v>1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v>46994</v>
      </c>
      <c r="C44" s="55">
        <v>1</v>
      </c>
      <c r="D44" s="39">
        <v>1</v>
      </c>
      <c r="E44" s="39">
        <v>-1</v>
      </c>
      <c r="F44" s="39">
        <v>1</v>
      </c>
      <c r="G44" s="39">
        <v>-1</v>
      </c>
      <c r="H44" s="39">
        <v>1</v>
      </c>
      <c r="I44" s="39">
        <v>-1</v>
      </c>
      <c r="J44" s="56">
        <v>2</v>
      </c>
      <c r="K44" s="42">
        <v>0</v>
      </c>
      <c r="L44" s="42">
        <f>COUNT(B44:B1048576)</f>
        <v>3</v>
      </c>
      <c r="W44" s="41">
        <v>41279</v>
      </c>
      <c r="X44" s="41">
        <v>41279</v>
      </c>
      <c r="Y44" s="41">
        <v>41279</v>
      </c>
      <c r="AD44" s="57"/>
      <c r="AE44" s="57"/>
      <c r="AF44" s="57"/>
      <c r="AG44" s="57"/>
      <c r="AH44" s="57"/>
      <c r="AI44" s="57"/>
      <c r="AJ44" s="57"/>
      <c r="AK44" s="57"/>
      <c r="AL44" s="57"/>
      <c r="AP44" s="38">
        <v>48018</v>
      </c>
      <c r="AQ44" s="38">
        <v>48110</v>
      </c>
      <c r="AR44" s="38">
        <v>48018</v>
      </c>
      <c r="AS44" s="38">
        <v>48110</v>
      </c>
      <c r="AT44" s="38">
        <f t="shared" si="5"/>
        <v>48111</v>
      </c>
      <c r="AU44" s="85">
        <v>1E-3</v>
      </c>
      <c r="AV44" s="90">
        <v>1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v>48815</v>
      </c>
      <c r="C45" s="55">
        <v>1</v>
      </c>
      <c r="D45" s="39">
        <v>1</v>
      </c>
      <c r="E45" s="39">
        <v>-1</v>
      </c>
      <c r="F45" s="39">
        <v>1</v>
      </c>
      <c r="G45" s="39">
        <v>-1</v>
      </c>
      <c r="H45" s="39">
        <v>1</v>
      </c>
      <c r="I45" s="39">
        <v>-1</v>
      </c>
      <c r="W45" s="41">
        <v>41280</v>
      </c>
      <c r="X45" s="41">
        <v>41280</v>
      </c>
      <c r="Y45" s="41">
        <v>41280</v>
      </c>
      <c r="AP45" s="38">
        <v>48110</v>
      </c>
      <c r="AQ45" s="38">
        <v>48201</v>
      </c>
      <c r="AR45" s="38">
        <v>48110</v>
      </c>
      <c r="AS45" s="38">
        <v>48201</v>
      </c>
      <c r="AT45" s="38">
        <f t="shared" si="5"/>
        <v>48202</v>
      </c>
      <c r="AU45" s="85">
        <v>1E-3</v>
      </c>
      <c r="AV45" s="90">
        <v>1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v>50647</v>
      </c>
      <c r="C46" s="55">
        <v>1</v>
      </c>
      <c r="D46" s="39">
        <v>1</v>
      </c>
      <c r="E46" s="39">
        <v>-1</v>
      </c>
      <c r="F46" s="39">
        <v>1</v>
      </c>
      <c r="G46" s="39">
        <v>-1</v>
      </c>
      <c r="H46" s="39">
        <v>1</v>
      </c>
      <c r="I46" s="39">
        <v>-1</v>
      </c>
      <c r="L46" s="54" t="s">
        <v>117</v>
      </c>
      <c r="W46" s="41">
        <v>41286</v>
      </c>
      <c r="X46" s="41">
        <v>41286</v>
      </c>
      <c r="Y46" s="41">
        <v>41286</v>
      </c>
      <c r="AP46" s="38">
        <v>48201</v>
      </c>
      <c r="AQ46" s="38">
        <v>48292</v>
      </c>
      <c r="AR46" s="38">
        <v>48201</v>
      </c>
      <c r="AS46" s="38">
        <v>48292</v>
      </c>
      <c r="AT46" s="38">
        <f t="shared" si="5"/>
        <v>48293</v>
      </c>
      <c r="AU46" s="85">
        <v>1E-3</v>
      </c>
      <c r="AV46" s="90">
        <v>1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/>
      <c r="L47" s="42">
        <v>30</v>
      </c>
      <c r="W47" s="41">
        <v>41287</v>
      </c>
      <c r="X47" s="41">
        <v>41287</v>
      </c>
      <c r="Y47" s="41">
        <v>41287</v>
      </c>
      <c r="AP47" s="38">
        <v>48292</v>
      </c>
      <c r="AQ47" s="38">
        <v>48384</v>
      </c>
      <c r="AR47" s="38">
        <v>48292</v>
      </c>
      <c r="AS47" s="38">
        <v>48384</v>
      </c>
      <c r="AT47" s="38">
        <f t="shared" si="5"/>
        <v>48385</v>
      </c>
      <c r="AU47" s="85">
        <v>1E-3</v>
      </c>
      <c r="AV47" s="90">
        <v>1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/>
      <c r="W48" s="41">
        <v>41293</v>
      </c>
      <c r="X48" s="41">
        <v>41293</v>
      </c>
      <c r="Y48" s="41">
        <v>41293</v>
      </c>
      <c r="AP48" s="38">
        <v>48384</v>
      </c>
      <c r="AQ48" s="38">
        <v>48476</v>
      </c>
      <c r="AR48" s="38">
        <v>48384</v>
      </c>
      <c r="AS48" s="38">
        <v>48476</v>
      </c>
      <c r="AT48" s="38">
        <f t="shared" si="5"/>
        <v>48477</v>
      </c>
      <c r="AU48" s="85">
        <v>1E-3</v>
      </c>
      <c r="AV48" s="90">
        <v>1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/>
      <c r="W49" s="41">
        <v>41294</v>
      </c>
      <c r="X49" s="41">
        <v>41294</v>
      </c>
      <c r="Y49" s="41">
        <v>41294</v>
      </c>
      <c r="AP49" s="38">
        <v>48476</v>
      </c>
      <c r="AQ49" s="38">
        <v>48567</v>
      </c>
      <c r="AR49" s="38">
        <v>48476</v>
      </c>
      <c r="AS49" s="38">
        <v>48567</v>
      </c>
      <c r="AT49" s="38">
        <f t="shared" si="5"/>
        <v>48568</v>
      </c>
      <c r="AU49" s="85">
        <v>1E-3</v>
      </c>
      <c r="AV49" s="90">
        <v>1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/>
      <c r="W50" s="41">
        <v>41300</v>
      </c>
      <c r="X50" s="41">
        <v>41300</v>
      </c>
      <c r="Y50" s="41">
        <v>41300</v>
      </c>
      <c r="AP50" s="38">
        <v>48567</v>
      </c>
      <c r="AQ50" s="38">
        <v>48657</v>
      </c>
      <c r="AR50" s="38">
        <v>48567</v>
      </c>
      <c r="AS50" s="38">
        <v>48657</v>
      </c>
      <c r="AT50" s="38">
        <f t="shared" si="5"/>
        <v>48658</v>
      </c>
      <c r="AU50" s="85">
        <v>1E-3</v>
      </c>
      <c r="AV50" s="90">
        <v>1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/>
      <c r="W51" s="41">
        <v>41301</v>
      </c>
      <c r="X51" s="41">
        <v>41301</v>
      </c>
      <c r="Y51" s="41">
        <v>41301</v>
      </c>
      <c r="AP51" s="38">
        <v>48657</v>
      </c>
      <c r="AQ51" s="38">
        <v>48749</v>
      </c>
      <c r="AR51" s="38">
        <v>48657</v>
      </c>
      <c r="AS51" s="38">
        <v>48749</v>
      </c>
      <c r="AT51" s="38">
        <f t="shared" si="5"/>
        <v>48750</v>
      </c>
      <c r="AU51" s="85">
        <v>1E-3</v>
      </c>
      <c r="AV51" s="90">
        <v>1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/>
      <c r="W52" s="41">
        <v>41307</v>
      </c>
      <c r="X52" s="41">
        <v>41307</v>
      </c>
      <c r="Y52" s="41">
        <v>41307</v>
      </c>
      <c r="AP52" s="38">
        <v>48749</v>
      </c>
      <c r="AQ52" s="38">
        <v>48841</v>
      </c>
      <c r="AR52" s="38">
        <v>48749</v>
      </c>
      <c r="AS52" s="38">
        <v>48841</v>
      </c>
      <c r="AT52" s="38">
        <f t="shared" si="5"/>
        <v>48842</v>
      </c>
      <c r="AU52" s="85">
        <v>1E-3</v>
      </c>
      <c r="AV52" s="90">
        <v>1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/>
      <c r="W53" s="41">
        <v>41308</v>
      </c>
      <c r="X53" s="41">
        <v>41308</v>
      </c>
      <c r="Y53" s="41">
        <v>41308</v>
      </c>
      <c r="AP53" s="38">
        <v>48841</v>
      </c>
      <c r="AQ53" s="38">
        <v>48932</v>
      </c>
      <c r="AR53" s="38">
        <v>48841</v>
      </c>
      <c r="AS53" s="38">
        <v>48932</v>
      </c>
      <c r="AT53" s="38">
        <f t="shared" si="5"/>
        <v>48933</v>
      </c>
      <c r="AU53" s="85">
        <v>1E-3</v>
      </c>
      <c r="AV53" s="90">
        <v>1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/>
      <c r="W54" s="41">
        <v>41315</v>
      </c>
      <c r="X54" s="41">
        <v>41315</v>
      </c>
      <c r="Y54" s="41">
        <v>41315</v>
      </c>
      <c r="AP54" s="38">
        <v>48932</v>
      </c>
      <c r="AQ54" s="38">
        <v>49022</v>
      </c>
      <c r="AR54" s="38">
        <v>48932</v>
      </c>
      <c r="AS54" s="38">
        <v>49022</v>
      </c>
      <c r="AT54" s="38">
        <f t="shared" si="5"/>
        <v>49023</v>
      </c>
      <c r="AU54" s="85">
        <v>1E-3</v>
      </c>
      <c r="AV54" s="90">
        <v>1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/>
      <c r="W55" s="41">
        <v>41316</v>
      </c>
      <c r="X55" s="41">
        <v>41316</v>
      </c>
      <c r="Y55" s="41">
        <v>41316</v>
      </c>
      <c r="AP55" s="38">
        <v>49022</v>
      </c>
      <c r="AQ55" s="38">
        <v>49114</v>
      </c>
      <c r="AR55" s="38">
        <v>49022</v>
      </c>
      <c r="AS55" s="38">
        <v>49114</v>
      </c>
      <c r="AT55" s="38">
        <f t="shared" si="5"/>
        <v>49115</v>
      </c>
      <c r="AU55" s="85">
        <v>1E-3</v>
      </c>
      <c r="AV55" s="90">
        <v>1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/>
      <c r="W56" s="41">
        <v>41321</v>
      </c>
      <c r="X56" s="41">
        <v>41321</v>
      </c>
      <c r="Y56" s="41">
        <v>41321</v>
      </c>
      <c r="AP56" s="38">
        <v>49114</v>
      </c>
      <c r="AQ56" s="38">
        <v>49206</v>
      </c>
      <c r="AR56" s="38">
        <v>49114</v>
      </c>
      <c r="AS56" s="38">
        <v>49206</v>
      </c>
      <c r="AT56" s="38">
        <f t="shared" si="5"/>
        <v>49207</v>
      </c>
      <c r="AU56" s="85">
        <v>1E-3</v>
      </c>
      <c r="AV56" s="90">
        <v>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/>
      <c r="W57" s="41">
        <v>41322</v>
      </c>
      <c r="X57" s="41">
        <v>41322</v>
      </c>
      <c r="Y57" s="41">
        <v>41322</v>
      </c>
      <c r="AP57" s="38">
        <v>49206</v>
      </c>
      <c r="AQ57" s="38">
        <v>49297</v>
      </c>
      <c r="AR57" s="38">
        <v>49206</v>
      </c>
      <c r="AS57" s="38">
        <v>49297</v>
      </c>
      <c r="AT57" s="38">
        <f t="shared" si="5"/>
        <v>49298</v>
      </c>
      <c r="AU57" s="85">
        <v>1E-3</v>
      </c>
      <c r="AV57" s="90">
        <v>1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/>
      <c r="W58" s="41">
        <v>41328</v>
      </c>
      <c r="X58" s="41">
        <v>41328</v>
      </c>
      <c r="Y58" s="41">
        <v>41328</v>
      </c>
      <c r="AP58" s="38">
        <v>49297</v>
      </c>
      <c r="AQ58" s="38">
        <v>49387</v>
      </c>
      <c r="AR58" s="38">
        <v>49297</v>
      </c>
      <c r="AS58" s="38">
        <v>49387</v>
      </c>
      <c r="AT58" s="38">
        <f t="shared" si="5"/>
        <v>49388</v>
      </c>
      <c r="AU58" s="85">
        <v>1E-3</v>
      </c>
      <c r="AV58" s="90">
        <v>1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/>
      <c r="W59" s="41">
        <v>41329</v>
      </c>
      <c r="X59" s="41">
        <v>41329</v>
      </c>
      <c r="Y59" s="41">
        <v>41329</v>
      </c>
      <c r="AP59" s="38">
        <v>49387</v>
      </c>
      <c r="AQ59" s="38">
        <v>49479</v>
      </c>
      <c r="AR59" s="38">
        <v>49387</v>
      </c>
      <c r="AS59" s="38">
        <v>49479</v>
      </c>
      <c r="AT59" s="38">
        <f t="shared" si="5"/>
        <v>49480</v>
      </c>
      <c r="AU59" s="85">
        <v>1E-3</v>
      </c>
      <c r="AV59" s="90">
        <v>1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/>
      <c r="W60" s="41">
        <v>41334</v>
      </c>
      <c r="X60" s="41">
        <v>41334</v>
      </c>
      <c r="Y60" s="41">
        <v>41334</v>
      </c>
      <c r="AP60" s="38">
        <v>49479</v>
      </c>
      <c r="AQ60" s="38">
        <v>49571</v>
      </c>
      <c r="AR60" s="38">
        <v>49479</v>
      </c>
      <c r="AS60" s="38">
        <v>49571</v>
      </c>
      <c r="AT60" s="38">
        <f t="shared" si="5"/>
        <v>49572</v>
      </c>
      <c r="AU60" s="85">
        <v>1E-3</v>
      </c>
      <c r="AV60" s="90">
        <v>1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/>
      <c r="W61" s="41">
        <v>41335</v>
      </c>
      <c r="X61" s="41">
        <v>41335</v>
      </c>
      <c r="Y61" s="41">
        <v>41335</v>
      </c>
      <c r="AP61" s="38">
        <v>49571</v>
      </c>
      <c r="AQ61" s="38">
        <v>49662</v>
      </c>
      <c r="AR61" s="38">
        <v>49571</v>
      </c>
      <c r="AS61" s="38">
        <v>49662</v>
      </c>
      <c r="AT61" s="38">
        <f t="shared" si="5"/>
        <v>49663</v>
      </c>
      <c r="AU61" s="85">
        <v>1E-3</v>
      </c>
      <c r="AV61" s="90">
        <v>1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/>
      <c r="W62" s="41">
        <v>41336</v>
      </c>
      <c r="X62" s="41">
        <v>41336</v>
      </c>
      <c r="Y62" s="41">
        <v>41336</v>
      </c>
      <c r="AP62" s="38">
        <v>49662</v>
      </c>
      <c r="AQ62" s="38">
        <v>49753</v>
      </c>
      <c r="AR62" s="38">
        <v>49662</v>
      </c>
      <c r="AS62" s="38">
        <v>49753</v>
      </c>
      <c r="AT62" s="38">
        <f t="shared" si="5"/>
        <v>49754</v>
      </c>
      <c r="AU62" s="85">
        <v>1E-3</v>
      </c>
      <c r="AV62" s="90">
        <v>1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/>
      <c r="W63" s="41">
        <v>41342</v>
      </c>
      <c r="X63" s="41">
        <v>41342</v>
      </c>
      <c r="Y63" s="41">
        <v>41342</v>
      </c>
      <c r="AP63" s="38">
        <v>49753</v>
      </c>
      <c r="AQ63" s="38">
        <v>49845</v>
      </c>
      <c r="AR63" s="38">
        <v>49753</v>
      </c>
      <c r="AS63" s="38">
        <v>49845</v>
      </c>
      <c r="AT63" s="38">
        <f t="shared" si="5"/>
        <v>49846</v>
      </c>
      <c r="AU63" s="85">
        <v>1E-3</v>
      </c>
      <c r="AV63" s="90">
        <v>1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/>
      <c r="W64" s="41">
        <v>41343</v>
      </c>
      <c r="X64" s="41">
        <v>41343</v>
      </c>
      <c r="Y64" s="41">
        <v>41343</v>
      </c>
      <c r="AP64" s="38">
        <v>49845</v>
      </c>
      <c r="AQ64" s="38">
        <v>49937</v>
      </c>
      <c r="AR64" s="38">
        <v>49845</v>
      </c>
      <c r="AS64" s="38">
        <v>49937</v>
      </c>
      <c r="AT64" s="38">
        <f t="shared" si="5"/>
        <v>49938</v>
      </c>
      <c r="AU64" s="85">
        <v>1E-3</v>
      </c>
      <c r="AV64" s="90">
        <v>1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/>
      <c r="W65" s="41">
        <v>41349</v>
      </c>
      <c r="X65" s="41">
        <v>41349</v>
      </c>
      <c r="Y65" s="41">
        <v>41349</v>
      </c>
      <c r="AP65" s="38">
        <v>49937</v>
      </c>
      <c r="AQ65" s="38">
        <v>50028</v>
      </c>
      <c r="AR65" s="38">
        <v>49937</v>
      </c>
      <c r="AS65" s="38">
        <v>50028</v>
      </c>
      <c r="AT65" s="38">
        <f t="shared" si="5"/>
        <v>50029</v>
      </c>
      <c r="AU65" s="85">
        <v>1E-3</v>
      </c>
      <c r="AV65" s="90">
        <v>1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/>
      <c r="W66" s="41">
        <v>41350</v>
      </c>
      <c r="X66" s="41">
        <v>41350</v>
      </c>
      <c r="Y66" s="41">
        <v>41350</v>
      </c>
      <c r="AP66" s="38">
        <v>50028</v>
      </c>
      <c r="AQ66" s="38">
        <v>50118</v>
      </c>
      <c r="AR66" s="38">
        <v>50028</v>
      </c>
      <c r="AS66" s="38">
        <v>50118</v>
      </c>
      <c r="AT66" s="38">
        <f t="shared" si="5"/>
        <v>50119</v>
      </c>
      <c r="AU66" s="85">
        <v>1E-3</v>
      </c>
      <c r="AV66" s="90">
        <v>1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/>
      <c r="W67" s="41">
        <v>41356</v>
      </c>
      <c r="X67" s="41">
        <v>41356</v>
      </c>
      <c r="Y67" s="41">
        <v>41356</v>
      </c>
      <c r="AP67" s="38">
        <v>50118</v>
      </c>
      <c r="AQ67" s="38">
        <v>50210</v>
      </c>
      <c r="AR67" s="38">
        <v>50118</v>
      </c>
      <c r="AS67" s="38">
        <v>50210</v>
      </c>
      <c r="AT67" s="38">
        <f t="shared" si="5"/>
        <v>50211</v>
      </c>
      <c r="AU67" s="85">
        <v>1E-3</v>
      </c>
      <c r="AV67" s="90">
        <v>1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/>
      <c r="W68" s="41">
        <v>41357</v>
      </c>
      <c r="X68" s="41">
        <v>41357</v>
      </c>
      <c r="Y68" s="41">
        <v>41357</v>
      </c>
      <c r="AP68" s="38">
        <v>50210</v>
      </c>
      <c r="AQ68" s="38">
        <v>50302</v>
      </c>
      <c r="AR68" s="38">
        <v>50210</v>
      </c>
      <c r="AS68" s="38">
        <v>50302</v>
      </c>
      <c r="AT68" s="38">
        <f t="shared" si="5"/>
        <v>50303</v>
      </c>
      <c r="AU68" s="85">
        <v>1E-3</v>
      </c>
      <c r="AV68" s="90">
        <v>1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/>
      <c r="W69" s="41">
        <v>41363</v>
      </c>
      <c r="X69" s="41">
        <v>41363</v>
      </c>
      <c r="Y69" s="41">
        <v>41363</v>
      </c>
      <c r="AP69" s="38">
        <v>50302</v>
      </c>
      <c r="AQ69" s="38">
        <v>50393</v>
      </c>
      <c r="AR69" s="38">
        <v>50302</v>
      </c>
      <c r="AS69" s="38">
        <v>50393</v>
      </c>
      <c r="AT69" s="38">
        <f t="shared" si="5"/>
        <v>50394</v>
      </c>
      <c r="AU69" s="85">
        <v>1E-3</v>
      </c>
      <c r="AV69" s="90">
        <v>1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/>
      <c r="W70" s="41">
        <v>41364</v>
      </c>
      <c r="X70" s="41">
        <v>41364</v>
      </c>
      <c r="Y70" s="41">
        <v>41364</v>
      </c>
      <c r="AP70" s="38">
        <v>50393</v>
      </c>
      <c r="AQ70" s="38">
        <v>50483</v>
      </c>
      <c r="AR70" s="38">
        <v>50393</v>
      </c>
      <c r="AS70" s="38">
        <v>50483</v>
      </c>
      <c r="AT70" s="38">
        <f t="shared" si="5"/>
        <v>50484</v>
      </c>
      <c r="AU70" s="85">
        <v>1E-3</v>
      </c>
      <c r="AV70" s="90">
        <v>1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/>
      <c r="W71" s="41">
        <v>41370</v>
      </c>
      <c r="X71" s="41">
        <v>41370</v>
      </c>
      <c r="Y71" s="41">
        <v>41370</v>
      </c>
      <c r="AP71" s="38">
        <v>50483</v>
      </c>
      <c r="AQ71" s="38">
        <v>50575</v>
      </c>
      <c r="AR71" s="38">
        <v>50483</v>
      </c>
      <c r="AS71" s="38">
        <v>50575</v>
      </c>
      <c r="AT71" s="38">
        <f t="shared" si="5"/>
        <v>50576</v>
      </c>
      <c r="AU71" s="85">
        <v>1E-3</v>
      </c>
      <c r="AV71" s="90">
        <v>1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/>
      <c r="W72" s="41">
        <v>41371</v>
      </c>
      <c r="X72" s="41">
        <v>41371</v>
      </c>
      <c r="Y72" s="41">
        <v>41371</v>
      </c>
      <c r="AP72" s="38">
        <v>50575</v>
      </c>
      <c r="AQ72" s="38">
        <v>50667</v>
      </c>
      <c r="AR72" s="38">
        <v>50575</v>
      </c>
      <c r="AS72" s="38">
        <v>50667</v>
      </c>
      <c r="AT72" s="38">
        <f t="shared" si="5"/>
        <v>50668</v>
      </c>
      <c r="AU72" s="85">
        <v>1E-3</v>
      </c>
      <c r="AV72" s="90">
        <v>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/>
      <c r="W73" s="41">
        <v>41377</v>
      </c>
      <c r="X73" s="41">
        <v>41377</v>
      </c>
      <c r="Y73" s="41">
        <v>41377</v>
      </c>
      <c r="AP73" s="38">
        <v>50667</v>
      </c>
      <c r="AQ73" s="38">
        <v>50758</v>
      </c>
      <c r="AR73" s="38">
        <v>50667</v>
      </c>
      <c r="AS73" s="38">
        <v>50758</v>
      </c>
      <c r="AT73" s="38">
        <f t="shared" si="5"/>
        <v>50759</v>
      </c>
      <c r="AU73" s="85">
        <v>1E-3</v>
      </c>
      <c r="AV73" s="90">
        <v>1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/>
      <c r="W74" s="41">
        <v>41378</v>
      </c>
      <c r="X74" s="41">
        <v>41378</v>
      </c>
      <c r="Y74" s="41">
        <v>41378</v>
      </c>
      <c r="AP74" s="38">
        <v>50758</v>
      </c>
      <c r="AQ74" s="38">
        <v>50848</v>
      </c>
      <c r="AR74" s="38">
        <v>50758</v>
      </c>
      <c r="AS74" s="38">
        <v>50848</v>
      </c>
      <c r="AT74" s="38">
        <f t="shared" si="5"/>
        <v>50849</v>
      </c>
      <c r="AU74" s="85">
        <v>1E-3</v>
      </c>
      <c r="AV74" s="90">
        <v>1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/>
      <c r="W75" s="41">
        <v>41384</v>
      </c>
      <c r="X75" s="41">
        <v>41384</v>
      </c>
      <c r="Y75" s="41">
        <v>41384</v>
      </c>
      <c r="AP75" s="38">
        <v>50848</v>
      </c>
      <c r="AQ75" s="38">
        <v>50940</v>
      </c>
      <c r="AR75" s="38">
        <v>50848</v>
      </c>
      <c r="AS75" s="38">
        <v>50940</v>
      </c>
      <c r="AT75" s="38">
        <f t="shared" si="5"/>
        <v>50941</v>
      </c>
      <c r="AU75" s="85">
        <v>1E-3</v>
      </c>
      <c r="AV75" s="90">
        <v>1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/>
      <c r="W76" s="41">
        <v>41385</v>
      </c>
      <c r="X76" s="41">
        <v>41385</v>
      </c>
      <c r="Y76" s="41">
        <v>41385</v>
      </c>
      <c r="AP76" s="38">
        <v>50940</v>
      </c>
      <c r="AQ76" s="38">
        <v>51032</v>
      </c>
      <c r="AR76" s="38">
        <v>50940</v>
      </c>
      <c r="AS76" s="38">
        <v>51032</v>
      </c>
      <c r="AT76" s="38">
        <f t="shared" si="5"/>
        <v>51033</v>
      </c>
      <c r="AU76" s="85">
        <v>1E-3</v>
      </c>
      <c r="AV76" s="90">
        <v>1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/>
      <c r="W77" s="41">
        <v>41391</v>
      </c>
      <c r="X77" s="41">
        <v>41391</v>
      </c>
      <c r="Y77" s="41">
        <v>41391</v>
      </c>
      <c r="AP77" s="38">
        <v>51032</v>
      </c>
      <c r="AQ77" s="38">
        <v>51123</v>
      </c>
      <c r="AR77" s="38">
        <v>51032</v>
      </c>
      <c r="AS77" s="38">
        <v>51123</v>
      </c>
      <c r="AT77" s="38">
        <f t="shared" si="5"/>
        <v>51124</v>
      </c>
      <c r="AU77" s="85">
        <v>1E-3</v>
      </c>
      <c r="AV77" s="90">
        <v>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/>
      <c r="W78" s="41">
        <v>41392</v>
      </c>
      <c r="X78" s="41">
        <v>41392</v>
      </c>
      <c r="Y78" s="41">
        <v>41392</v>
      </c>
      <c r="AP78" s="38">
        <v>51123</v>
      </c>
      <c r="AQ78" s="38">
        <v>51214</v>
      </c>
      <c r="AR78" s="38">
        <v>51123</v>
      </c>
      <c r="AS78" s="38">
        <v>51214</v>
      </c>
      <c r="AT78" s="38">
        <f t="shared" si="5"/>
        <v>51215</v>
      </c>
      <c r="AU78" s="85">
        <v>1E-3</v>
      </c>
      <c r="AV78" s="90">
        <v>1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/>
      <c r="W79" s="41">
        <v>41395</v>
      </c>
      <c r="X79" s="41">
        <v>41395</v>
      </c>
      <c r="Y79" s="41">
        <v>41395</v>
      </c>
      <c r="AP79" s="38">
        <v>51214</v>
      </c>
      <c r="AQ79" s="38">
        <v>51306</v>
      </c>
      <c r="AR79" s="38">
        <v>51214</v>
      </c>
      <c r="AS79" s="38">
        <v>51306</v>
      </c>
      <c r="AT79" s="38">
        <f t="shared" ref="AT79:AT92" si="6">AS79+1</f>
        <v>51307</v>
      </c>
      <c r="AU79" s="85">
        <v>1E-3</v>
      </c>
      <c r="AV79" s="90">
        <v>1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/>
      <c r="W80" s="41">
        <v>41398</v>
      </c>
      <c r="X80" s="41">
        <v>41398</v>
      </c>
      <c r="Y80" s="41">
        <v>41398</v>
      </c>
      <c r="AP80" s="38">
        <v>51306</v>
      </c>
      <c r="AQ80" s="38">
        <v>51398</v>
      </c>
      <c r="AR80" s="38">
        <v>51306</v>
      </c>
      <c r="AS80" s="38">
        <v>51398</v>
      </c>
      <c r="AT80" s="38">
        <f t="shared" si="6"/>
        <v>51399</v>
      </c>
      <c r="AU80" s="85">
        <v>1E-3</v>
      </c>
      <c r="AV80" s="90">
        <v>1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/>
      <c r="W81" s="41">
        <v>41399</v>
      </c>
      <c r="X81" s="41">
        <v>41399</v>
      </c>
      <c r="Y81" s="41">
        <v>41399</v>
      </c>
      <c r="AP81" s="38">
        <v>51398</v>
      </c>
      <c r="AQ81" s="38">
        <v>51489</v>
      </c>
      <c r="AR81" s="38">
        <v>51398</v>
      </c>
      <c r="AS81" s="38">
        <v>51489</v>
      </c>
      <c r="AT81" s="38">
        <f t="shared" si="6"/>
        <v>51490</v>
      </c>
      <c r="AU81" s="85">
        <v>1E-3</v>
      </c>
      <c r="AV81" s="90">
        <v>1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/>
      <c r="W82" s="41">
        <v>41405</v>
      </c>
      <c r="X82" s="41">
        <v>41405</v>
      </c>
      <c r="Y82" s="41">
        <v>41405</v>
      </c>
      <c r="AP82" s="38">
        <v>51489</v>
      </c>
      <c r="AQ82" s="38">
        <v>51579</v>
      </c>
      <c r="AR82" s="38">
        <v>51489</v>
      </c>
      <c r="AS82" s="38">
        <v>51579</v>
      </c>
      <c r="AT82" s="38">
        <f t="shared" si="6"/>
        <v>51580</v>
      </c>
      <c r="AU82" s="85">
        <v>1E-3</v>
      </c>
      <c r="AV82" s="90">
        <v>1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/>
      <c r="W83" s="41">
        <v>41406</v>
      </c>
      <c r="X83" s="41">
        <v>41406</v>
      </c>
      <c r="Y83" s="41">
        <v>41406</v>
      </c>
      <c r="AP83" s="38">
        <v>51579</v>
      </c>
      <c r="AQ83" s="38">
        <v>51671</v>
      </c>
      <c r="AR83" s="38">
        <v>51579</v>
      </c>
      <c r="AS83" s="38">
        <v>51671</v>
      </c>
      <c r="AT83" s="38">
        <f t="shared" si="6"/>
        <v>51672</v>
      </c>
      <c r="AU83" s="85">
        <v>1E-3</v>
      </c>
      <c r="AV83" s="90">
        <v>1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P84" s="38">
        <v>51671</v>
      </c>
      <c r="AQ84" s="38">
        <v>51763</v>
      </c>
      <c r="AR84" s="38">
        <v>51671</v>
      </c>
      <c r="AS84" s="38">
        <v>51763</v>
      </c>
      <c r="AT84" s="38">
        <f t="shared" si="6"/>
        <v>51764</v>
      </c>
      <c r="AU84" s="85">
        <v>1E-3</v>
      </c>
      <c r="AV84" s="90">
        <v>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P85" s="38">
        <v>51763</v>
      </c>
      <c r="AQ85" s="38">
        <v>51854</v>
      </c>
      <c r="AR85" s="38">
        <v>51763</v>
      </c>
      <c r="AS85" s="38">
        <v>51854</v>
      </c>
      <c r="AT85" s="38">
        <f t="shared" si="6"/>
        <v>51855</v>
      </c>
      <c r="AU85" s="85">
        <v>1E-3</v>
      </c>
      <c r="AV85" s="90">
        <v>1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P86" s="38">
        <v>51854</v>
      </c>
      <c r="AQ86" s="38">
        <v>51944</v>
      </c>
      <c r="AR86" s="38">
        <v>51854</v>
      </c>
      <c r="AS86" s="38">
        <v>51944</v>
      </c>
      <c r="AT86" s="38">
        <f t="shared" si="6"/>
        <v>51945</v>
      </c>
      <c r="AU86" s="85">
        <v>1E-3</v>
      </c>
      <c r="AV86" s="90">
        <v>1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P87" s="38">
        <v>51944</v>
      </c>
      <c r="AQ87" s="38">
        <v>52036</v>
      </c>
      <c r="AR87" s="38">
        <v>51944</v>
      </c>
      <c r="AS87" s="38">
        <v>52036</v>
      </c>
      <c r="AT87" s="38">
        <f t="shared" si="6"/>
        <v>52037</v>
      </c>
      <c r="AU87" s="85">
        <v>1E-3</v>
      </c>
      <c r="AV87" s="90">
        <v>1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P88" s="38">
        <v>52036</v>
      </c>
      <c r="AQ88" s="38">
        <v>52128</v>
      </c>
      <c r="AR88" s="38">
        <v>52036</v>
      </c>
      <c r="AS88" s="38">
        <v>52128</v>
      </c>
      <c r="AT88" s="38">
        <f t="shared" si="6"/>
        <v>52129</v>
      </c>
      <c r="AU88" s="85">
        <v>1E-3</v>
      </c>
      <c r="AV88" s="90">
        <v>1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P89" s="38">
        <v>52128</v>
      </c>
      <c r="AQ89" s="38">
        <v>52219</v>
      </c>
      <c r="AR89" s="38">
        <v>52128</v>
      </c>
      <c r="AS89" s="38">
        <v>52219</v>
      </c>
      <c r="AT89" s="38">
        <f t="shared" si="6"/>
        <v>52220</v>
      </c>
      <c r="AU89" s="85">
        <v>1E-3</v>
      </c>
      <c r="AV89" s="90">
        <v>1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P90" s="38">
        <v>52219</v>
      </c>
      <c r="AQ90" s="38">
        <v>52309</v>
      </c>
      <c r="AR90" s="38">
        <v>52219</v>
      </c>
      <c r="AS90" s="38">
        <v>52309</v>
      </c>
      <c r="AT90" s="38">
        <f t="shared" si="6"/>
        <v>52310</v>
      </c>
      <c r="AU90" s="85">
        <v>1E-3</v>
      </c>
      <c r="AV90" s="90">
        <v>1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P91" s="38">
        <v>52309</v>
      </c>
      <c r="AQ91" s="38">
        <v>52401</v>
      </c>
      <c r="AR91" s="38">
        <v>52309</v>
      </c>
      <c r="AS91" s="38">
        <v>52401</v>
      </c>
      <c r="AT91" s="38">
        <f t="shared" si="6"/>
        <v>52402</v>
      </c>
      <c r="AU91" s="85">
        <v>1E-3</v>
      </c>
      <c r="AV91" s="90">
        <v>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P92" s="38">
        <v>52401</v>
      </c>
      <c r="AQ92" s="38">
        <v>52493</v>
      </c>
      <c r="AR92" s="38">
        <v>52401</v>
      </c>
      <c r="AS92" s="38">
        <v>52493</v>
      </c>
      <c r="AT92" s="38">
        <f t="shared" si="6"/>
        <v>52494</v>
      </c>
      <c r="AU92" s="85">
        <v>1E-3</v>
      </c>
      <c r="AV92" s="90">
        <v>1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L4" sqref="L4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10.8984375" style="27" bestFit="1" customWidth="1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3" bestFit="1" customWidth="1"/>
    <col min="17" max="17" width="9.8984375" style="44"/>
    <col min="18" max="18" width="10.8984375" style="43" bestFit="1" customWidth="1"/>
    <col min="19" max="19" width="9.8984375" style="44"/>
    <col min="20" max="20" width="10.8984375" style="43" bestFit="1" customWidth="1"/>
    <col min="21" max="21" width="9.8984375" style="44"/>
    <col min="22" max="22" width="9.8984375" style="43"/>
    <col min="23" max="23" width="9.8984375" style="44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4" t="s">
        <v>56</v>
      </c>
      <c r="B3" s="204"/>
      <c r="C3" s="204"/>
      <c r="D3" s="204"/>
      <c r="E3" s="204"/>
      <c r="G3" s="204" t="s">
        <v>76</v>
      </c>
      <c r="H3" s="204"/>
      <c r="I3" s="204"/>
      <c r="J3" s="204"/>
      <c r="K3" s="204"/>
      <c r="L3" s="13"/>
      <c r="M3" s="13"/>
      <c r="N3" s="13"/>
      <c r="P3" s="204" t="s">
        <v>77</v>
      </c>
      <c r="Q3" s="204"/>
      <c r="R3" s="204"/>
      <c r="S3" s="204"/>
      <c r="T3" s="204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44792</v>
      </c>
      <c r="H5" s="29">
        <v>3.04E-2</v>
      </c>
      <c r="I5" s="24">
        <v>44792</v>
      </c>
      <c r="J5" s="29">
        <f>커브정보!N61</f>
        <v>4.2140000000000004E-2</v>
      </c>
      <c r="K5" s="24">
        <v>44792</v>
      </c>
      <c r="L5" s="29">
        <v>1.0999999999999999E-2</v>
      </c>
      <c r="M5" s="26"/>
      <c r="N5" s="29"/>
      <c r="P5" s="24">
        <v>44792</v>
      </c>
      <c r="Q5" s="29">
        <v>3.9140000000000001E-2</v>
      </c>
      <c r="R5" s="24">
        <v>44792</v>
      </c>
      <c r="S5" s="29">
        <v>3.9140000000000001E-2</v>
      </c>
      <c r="T5" s="24">
        <v>44792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44793</v>
      </c>
      <c r="H6" s="29">
        <f>H5</f>
        <v>3.04E-2</v>
      </c>
      <c r="I6" s="24">
        <f>I5+1</f>
        <v>44793</v>
      </c>
      <c r="J6" s="29">
        <f>J5</f>
        <v>4.2140000000000004E-2</v>
      </c>
      <c r="K6" s="24">
        <f>K5+1</f>
        <v>44793</v>
      </c>
      <c r="L6" s="29">
        <v>1.0999999999999999E-2</v>
      </c>
      <c r="M6" s="26"/>
      <c r="N6" s="29"/>
      <c r="P6" s="24">
        <f>P5+1</f>
        <v>44793</v>
      </c>
      <c r="Q6" s="29">
        <v>3.9140000000000001E-2</v>
      </c>
      <c r="R6" s="24">
        <f>R5+1</f>
        <v>44793</v>
      </c>
      <c r="S6" s="29">
        <v>3.9140000000000001E-2</v>
      </c>
      <c r="T6" s="24">
        <f>T5+1</f>
        <v>44793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44794</v>
      </c>
      <c r="H7" s="29">
        <f t="shared" ref="H7:H70" si="9">H6</f>
        <v>3.04E-2</v>
      </c>
      <c r="I7" s="24">
        <f t="shared" ref="I7:K70" si="10">I6+1</f>
        <v>44794</v>
      </c>
      <c r="J7" s="29">
        <f t="shared" ref="J7:J70" si="11">J6</f>
        <v>4.2140000000000004E-2</v>
      </c>
      <c r="K7" s="24">
        <f t="shared" si="10"/>
        <v>44794</v>
      </c>
      <c r="L7" s="29">
        <v>1.0999999999999999E-2</v>
      </c>
      <c r="M7" s="26"/>
      <c r="N7" s="29"/>
      <c r="P7" s="24">
        <f t="shared" ref="P7" si="12">P6+1</f>
        <v>44794</v>
      </c>
      <c r="Q7" s="29">
        <v>3.9140000000000001E-2</v>
      </c>
      <c r="R7" s="24">
        <f t="shared" ref="R7" si="13">R6+1</f>
        <v>44794</v>
      </c>
      <c r="S7" s="29">
        <v>3.9140000000000001E-2</v>
      </c>
      <c r="T7" s="24">
        <f t="shared" ref="T7" si="14">T6+1</f>
        <v>44794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44795</v>
      </c>
      <c r="H8" s="29">
        <f t="shared" si="9"/>
        <v>3.04E-2</v>
      </c>
      <c r="I8" s="24">
        <f t="shared" si="10"/>
        <v>44795</v>
      </c>
      <c r="J8" s="29">
        <f t="shared" si="11"/>
        <v>4.2140000000000004E-2</v>
      </c>
      <c r="K8" s="24">
        <f t="shared" si="10"/>
        <v>44795</v>
      </c>
      <c r="L8" s="29">
        <v>1.0999999999999999E-2</v>
      </c>
      <c r="M8" s="26"/>
      <c r="N8" s="29"/>
      <c r="P8" s="24">
        <f t="shared" ref="P8" si="15">P7+1</f>
        <v>44795</v>
      </c>
      <c r="Q8" s="29">
        <v>3.9140000000000001E-2</v>
      </c>
      <c r="R8" s="24">
        <f t="shared" ref="R8" si="16">R7+1</f>
        <v>44795</v>
      </c>
      <c r="S8" s="29">
        <v>3.9140000000000001E-2</v>
      </c>
      <c r="T8" s="24">
        <f t="shared" ref="T8" si="17">T7+1</f>
        <v>44795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44796</v>
      </c>
      <c r="H9" s="29">
        <f t="shared" si="9"/>
        <v>3.04E-2</v>
      </c>
      <c r="I9" s="24">
        <f t="shared" si="10"/>
        <v>44796</v>
      </c>
      <c r="J9" s="29">
        <f t="shared" si="11"/>
        <v>4.2140000000000004E-2</v>
      </c>
      <c r="K9" s="24">
        <f t="shared" si="10"/>
        <v>44796</v>
      </c>
      <c r="L9" s="29">
        <v>1.0999999999999999E-2</v>
      </c>
      <c r="N9" s="29"/>
      <c r="P9" s="24">
        <f t="shared" ref="P9" si="18">P8+1</f>
        <v>44796</v>
      </c>
      <c r="Q9" s="29">
        <v>3.9140000000000001E-2</v>
      </c>
      <c r="R9" s="24">
        <f t="shared" ref="R9" si="19">R8+1</f>
        <v>44796</v>
      </c>
      <c r="S9" s="29">
        <v>3.9140000000000001E-2</v>
      </c>
      <c r="T9" s="24">
        <f t="shared" ref="T9" si="20">T8+1</f>
        <v>44796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44797</v>
      </c>
      <c r="H10" s="29">
        <f t="shared" si="9"/>
        <v>3.04E-2</v>
      </c>
      <c r="I10" s="24">
        <f t="shared" si="10"/>
        <v>44797</v>
      </c>
      <c r="J10" s="29">
        <f t="shared" si="11"/>
        <v>4.2140000000000004E-2</v>
      </c>
      <c r="K10" s="24">
        <f t="shared" si="10"/>
        <v>44797</v>
      </c>
      <c r="L10" s="29">
        <v>1.0999999999999999E-2</v>
      </c>
      <c r="N10" s="29"/>
      <c r="P10" s="24">
        <f t="shared" ref="P10" si="21">P9+1</f>
        <v>44797</v>
      </c>
      <c r="Q10" s="29">
        <v>3.9140000000000001E-2</v>
      </c>
      <c r="R10" s="24">
        <f t="shared" ref="R10" si="22">R9+1</f>
        <v>44797</v>
      </c>
      <c r="S10" s="29">
        <v>3.9140000000000001E-2</v>
      </c>
      <c r="T10" s="24">
        <f t="shared" ref="T10" si="23">T9+1</f>
        <v>44797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44798</v>
      </c>
      <c r="H11" s="29">
        <f t="shared" si="9"/>
        <v>3.04E-2</v>
      </c>
      <c r="I11" s="24">
        <f t="shared" si="10"/>
        <v>44798</v>
      </c>
      <c r="J11" s="29">
        <f t="shared" si="11"/>
        <v>4.2140000000000004E-2</v>
      </c>
      <c r="K11" s="24">
        <f t="shared" si="10"/>
        <v>44798</v>
      </c>
      <c r="L11" s="29">
        <v>1.0999999999999999E-2</v>
      </c>
      <c r="N11" s="29"/>
      <c r="P11" s="24">
        <f t="shared" ref="P11" si="24">P10+1</f>
        <v>44798</v>
      </c>
      <c r="Q11" s="29">
        <v>3.9140000000000001E-2</v>
      </c>
      <c r="R11" s="24">
        <f t="shared" ref="R11" si="25">R10+1</f>
        <v>44798</v>
      </c>
      <c r="S11" s="29">
        <v>3.9140000000000001E-2</v>
      </c>
      <c r="T11" s="24">
        <f t="shared" ref="T11" si="26">T10+1</f>
        <v>44798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44799</v>
      </c>
      <c r="H12" s="29">
        <f t="shared" si="9"/>
        <v>3.04E-2</v>
      </c>
      <c r="I12" s="24">
        <f t="shared" si="10"/>
        <v>44799</v>
      </c>
      <c r="J12" s="29">
        <f t="shared" si="11"/>
        <v>4.2140000000000004E-2</v>
      </c>
      <c r="K12" s="24">
        <f t="shared" si="10"/>
        <v>44799</v>
      </c>
      <c r="L12" s="29">
        <v>1.0999999999999999E-2</v>
      </c>
      <c r="N12" s="29"/>
      <c r="P12" s="24">
        <f t="shared" ref="P12" si="27">P11+1</f>
        <v>44799</v>
      </c>
      <c r="Q12" s="29">
        <v>3.9140000000000001E-2</v>
      </c>
      <c r="R12" s="24">
        <f t="shared" ref="R12" si="28">R11+1</f>
        <v>44799</v>
      </c>
      <c r="S12" s="29">
        <v>3.9140000000000001E-2</v>
      </c>
      <c r="T12" s="24">
        <f t="shared" ref="T12" si="29">T11+1</f>
        <v>44799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44800</v>
      </c>
      <c r="H13" s="29">
        <f t="shared" si="9"/>
        <v>3.04E-2</v>
      </c>
      <c r="I13" s="24">
        <f t="shared" si="10"/>
        <v>44800</v>
      </c>
      <c r="J13" s="29">
        <f t="shared" si="11"/>
        <v>4.2140000000000004E-2</v>
      </c>
      <c r="K13" s="24">
        <f t="shared" si="10"/>
        <v>44800</v>
      </c>
      <c r="L13" s="29">
        <v>1.0999999999999999E-2</v>
      </c>
      <c r="N13" s="29"/>
      <c r="P13" s="24">
        <f t="shared" ref="P13" si="30">P12+1</f>
        <v>44800</v>
      </c>
      <c r="Q13" s="29">
        <v>3.9140000000000001E-2</v>
      </c>
      <c r="R13" s="24">
        <f t="shared" ref="R13" si="31">R12+1</f>
        <v>44800</v>
      </c>
      <c r="S13" s="29">
        <v>3.9140000000000001E-2</v>
      </c>
      <c r="T13" s="24">
        <f t="shared" ref="T13" si="32">T12+1</f>
        <v>44800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44801</v>
      </c>
      <c r="H14" s="29">
        <f t="shared" si="9"/>
        <v>3.04E-2</v>
      </c>
      <c r="I14" s="24">
        <f t="shared" si="10"/>
        <v>44801</v>
      </c>
      <c r="J14" s="29">
        <f t="shared" si="11"/>
        <v>4.2140000000000004E-2</v>
      </c>
      <c r="K14" s="24">
        <f t="shared" si="10"/>
        <v>44801</v>
      </c>
      <c r="L14" s="29">
        <v>1.0999999999999999E-2</v>
      </c>
      <c r="P14" s="24">
        <f t="shared" ref="P14" si="33">P13+1</f>
        <v>44801</v>
      </c>
      <c r="Q14" s="29">
        <v>3.9140000000000001E-2</v>
      </c>
      <c r="R14" s="24">
        <f t="shared" ref="R14" si="34">R13+1</f>
        <v>44801</v>
      </c>
      <c r="S14" s="29">
        <v>3.9140000000000001E-2</v>
      </c>
      <c r="T14" s="24">
        <f t="shared" ref="T14" si="35">T13+1</f>
        <v>44801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44802</v>
      </c>
      <c r="H15" s="29">
        <f t="shared" si="9"/>
        <v>3.04E-2</v>
      </c>
      <c r="I15" s="24">
        <f t="shared" si="10"/>
        <v>44802</v>
      </c>
      <c r="J15" s="29">
        <f t="shared" si="11"/>
        <v>4.2140000000000004E-2</v>
      </c>
      <c r="K15" s="24">
        <f t="shared" si="10"/>
        <v>44802</v>
      </c>
      <c r="L15" s="29">
        <v>1.0999999999999999E-2</v>
      </c>
      <c r="P15" s="24">
        <f t="shared" ref="P15" si="36">P14+1</f>
        <v>44802</v>
      </c>
      <c r="Q15" s="29">
        <v>3.9140000000000001E-2</v>
      </c>
      <c r="R15" s="24">
        <f t="shared" ref="R15" si="37">R14+1</f>
        <v>44802</v>
      </c>
      <c r="S15" s="29">
        <v>3.9140000000000001E-2</v>
      </c>
      <c r="T15" s="24">
        <f t="shared" ref="T15" si="38">T14+1</f>
        <v>44802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44803</v>
      </c>
      <c r="H16" s="29">
        <f t="shared" si="9"/>
        <v>3.04E-2</v>
      </c>
      <c r="I16" s="24">
        <f t="shared" si="10"/>
        <v>44803</v>
      </c>
      <c r="J16" s="29">
        <f t="shared" si="11"/>
        <v>4.2140000000000004E-2</v>
      </c>
      <c r="K16" s="24">
        <f t="shared" si="10"/>
        <v>44803</v>
      </c>
      <c r="L16" s="29">
        <v>1.0999999999999999E-2</v>
      </c>
      <c r="P16" s="24">
        <f t="shared" ref="P16" si="39">P15+1</f>
        <v>44803</v>
      </c>
      <c r="Q16" s="29">
        <v>3.9140000000000001E-2</v>
      </c>
      <c r="R16" s="24">
        <f t="shared" ref="R16" si="40">R15+1</f>
        <v>44803</v>
      </c>
      <c r="S16" s="29">
        <v>3.9140000000000001E-2</v>
      </c>
      <c r="T16" s="24">
        <f t="shared" ref="T16" si="41">T15+1</f>
        <v>44803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44804</v>
      </c>
      <c r="H17" s="29">
        <f t="shared" si="9"/>
        <v>3.04E-2</v>
      </c>
      <c r="I17" s="24">
        <f t="shared" si="10"/>
        <v>44804</v>
      </c>
      <c r="J17" s="29">
        <f t="shared" si="11"/>
        <v>4.2140000000000004E-2</v>
      </c>
      <c r="K17" s="24">
        <f t="shared" si="10"/>
        <v>44804</v>
      </c>
      <c r="L17" s="29">
        <v>1.0999999999999999E-2</v>
      </c>
      <c r="P17" s="24">
        <f t="shared" ref="P17" si="42">P16+1</f>
        <v>44804</v>
      </c>
      <c r="Q17" s="29">
        <v>3.9140000000000001E-2</v>
      </c>
      <c r="R17" s="24">
        <f t="shared" ref="R17" si="43">R16+1</f>
        <v>44804</v>
      </c>
      <c r="S17" s="29">
        <v>3.9140000000000001E-2</v>
      </c>
      <c r="T17" s="24">
        <f t="shared" ref="T17" si="44">T16+1</f>
        <v>44804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44805</v>
      </c>
      <c r="H18" s="29">
        <f t="shared" si="9"/>
        <v>3.04E-2</v>
      </c>
      <c r="I18" s="24">
        <f t="shared" si="10"/>
        <v>44805</v>
      </c>
      <c r="J18" s="29">
        <f t="shared" si="11"/>
        <v>4.2140000000000004E-2</v>
      </c>
      <c r="K18" s="24">
        <f t="shared" si="10"/>
        <v>44805</v>
      </c>
      <c r="L18" s="29">
        <v>1.0999999999999999E-2</v>
      </c>
      <c r="P18" s="24">
        <f t="shared" ref="P18" si="45">P17+1</f>
        <v>44805</v>
      </c>
      <c r="Q18" s="29">
        <v>3.9140000000000001E-2</v>
      </c>
      <c r="R18" s="24">
        <f t="shared" ref="R18" si="46">R17+1</f>
        <v>44805</v>
      </c>
      <c r="S18" s="29">
        <v>3.9140000000000001E-2</v>
      </c>
      <c r="T18" s="24">
        <f t="shared" ref="T18" si="47">T17+1</f>
        <v>44805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44806</v>
      </c>
      <c r="H19" s="29">
        <f t="shared" si="9"/>
        <v>3.04E-2</v>
      </c>
      <c r="I19" s="24">
        <f t="shared" si="10"/>
        <v>44806</v>
      </c>
      <c r="J19" s="29">
        <f t="shared" si="11"/>
        <v>4.2140000000000004E-2</v>
      </c>
      <c r="K19" s="24">
        <f t="shared" si="10"/>
        <v>44806</v>
      </c>
      <c r="L19" s="29">
        <v>1.0999999999999999E-2</v>
      </c>
      <c r="P19" s="24">
        <f t="shared" ref="P19" si="48">P18+1</f>
        <v>44806</v>
      </c>
      <c r="Q19" s="29">
        <v>3.9140000000000001E-2</v>
      </c>
      <c r="R19" s="24">
        <f t="shared" ref="R19" si="49">R18+1</f>
        <v>44806</v>
      </c>
      <c r="S19" s="29">
        <v>3.9140000000000001E-2</v>
      </c>
      <c r="T19" s="24">
        <f t="shared" ref="T19" si="50">T18+1</f>
        <v>44806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44807</v>
      </c>
      <c r="H20" s="29">
        <f t="shared" si="9"/>
        <v>3.04E-2</v>
      </c>
      <c r="I20" s="24">
        <f t="shared" si="10"/>
        <v>44807</v>
      </c>
      <c r="J20" s="29">
        <f t="shared" si="11"/>
        <v>4.2140000000000004E-2</v>
      </c>
      <c r="K20" s="24">
        <f t="shared" si="10"/>
        <v>44807</v>
      </c>
      <c r="L20" s="29">
        <v>1.0999999999999999E-2</v>
      </c>
      <c r="P20" s="24">
        <f t="shared" ref="P20" si="51">P19+1</f>
        <v>44807</v>
      </c>
      <c r="Q20" s="29">
        <v>3.9140000000000001E-2</v>
      </c>
      <c r="R20" s="24">
        <f t="shared" ref="R20" si="52">R19+1</f>
        <v>44807</v>
      </c>
      <c r="S20" s="29">
        <v>3.9140000000000001E-2</v>
      </c>
      <c r="T20" s="24">
        <f t="shared" ref="T20" si="53">T19+1</f>
        <v>44807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44808</v>
      </c>
      <c r="H21" s="29">
        <f t="shared" si="9"/>
        <v>3.04E-2</v>
      </c>
      <c r="I21" s="24">
        <f t="shared" si="10"/>
        <v>44808</v>
      </c>
      <c r="J21" s="29">
        <f t="shared" si="11"/>
        <v>4.2140000000000004E-2</v>
      </c>
      <c r="K21" s="24">
        <f t="shared" si="10"/>
        <v>44808</v>
      </c>
      <c r="L21" s="29">
        <v>1.0999999999999999E-2</v>
      </c>
      <c r="P21" s="24">
        <f t="shared" ref="P21" si="54">P20+1</f>
        <v>44808</v>
      </c>
      <c r="Q21" s="29">
        <v>3.9140000000000001E-2</v>
      </c>
      <c r="R21" s="24">
        <f t="shared" ref="R21" si="55">R20+1</f>
        <v>44808</v>
      </c>
      <c r="S21" s="29">
        <v>3.9140000000000001E-2</v>
      </c>
      <c r="T21" s="24">
        <f t="shared" ref="T21" si="56">T20+1</f>
        <v>44808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44809</v>
      </c>
      <c r="H22" s="29">
        <f t="shared" si="9"/>
        <v>3.04E-2</v>
      </c>
      <c r="I22" s="24">
        <f t="shared" si="10"/>
        <v>44809</v>
      </c>
      <c r="J22" s="29">
        <f t="shared" si="11"/>
        <v>4.2140000000000004E-2</v>
      </c>
      <c r="K22" s="24">
        <f t="shared" si="10"/>
        <v>44809</v>
      </c>
      <c r="L22" s="29">
        <v>1.0999999999999999E-2</v>
      </c>
      <c r="P22" s="24">
        <f t="shared" ref="P22" si="57">P21+1</f>
        <v>44809</v>
      </c>
      <c r="Q22" s="29">
        <v>3.9140000000000001E-2</v>
      </c>
      <c r="R22" s="24">
        <f t="shared" ref="R22" si="58">R21+1</f>
        <v>44809</v>
      </c>
      <c r="S22" s="29">
        <v>3.9140000000000001E-2</v>
      </c>
      <c r="T22" s="24">
        <f t="shared" ref="T22" si="59">T21+1</f>
        <v>44809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44810</v>
      </c>
      <c r="H23" s="29">
        <f t="shared" si="9"/>
        <v>3.04E-2</v>
      </c>
      <c r="I23" s="24">
        <f t="shared" si="10"/>
        <v>44810</v>
      </c>
      <c r="J23" s="29">
        <f t="shared" si="11"/>
        <v>4.2140000000000004E-2</v>
      </c>
      <c r="K23" s="24">
        <f t="shared" si="10"/>
        <v>44810</v>
      </c>
      <c r="L23" s="29">
        <v>1.0999999999999999E-2</v>
      </c>
      <c r="P23" s="24">
        <f t="shared" ref="P23" si="60">P22+1</f>
        <v>44810</v>
      </c>
      <c r="Q23" s="29">
        <v>3.9140000000000001E-2</v>
      </c>
      <c r="R23" s="24">
        <f t="shared" ref="R23" si="61">R22+1</f>
        <v>44810</v>
      </c>
      <c r="S23" s="29">
        <v>3.9140000000000001E-2</v>
      </c>
      <c r="T23" s="24">
        <f t="shared" ref="T23" si="62">T22+1</f>
        <v>44810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44811</v>
      </c>
      <c r="H24" s="29">
        <f t="shared" si="9"/>
        <v>3.04E-2</v>
      </c>
      <c r="I24" s="24">
        <f t="shared" si="10"/>
        <v>44811</v>
      </c>
      <c r="J24" s="29">
        <f t="shared" si="11"/>
        <v>4.2140000000000004E-2</v>
      </c>
      <c r="K24" s="24">
        <f t="shared" si="10"/>
        <v>44811</v>
      </c>
      <c r="L24" s="29">
        <v>1.0999999999999999E-2</v>
      </c>
      <c r="P24" s="24">
        <f t="shared" ref="P24" si="63">P23+1</f>
        <v>44811</v>
      </c>
      <c r="Q24" s="29">
        <v>3.9140000000000001E-2</v>
      </c>
      <c r="R24" s="24">
        <f t="shared" ref="R24" si="64">R23+1</f>
        <v>44811</v>
      </c>
      <c r="S24" s="29">
        <v>3.9140000000000001E-2</v>
      </c>
      <c r="T24" s="24">
        <f t="shared" ref="T24" si="65">T23+1</f>
        <v>44811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44812</v>
      </c>
      <c r="H25" s="29">
        <f t="shared" si="9"/>
        <v>3.04E-2</v>
      </c>
      <c r="I25" s="24">
        <f t="shared" si="10"/>
        <v>44812</v>
      </c>
      <c r="J25" s="29">
        <f t="shared" si="11"/>
        <v>4.2140000000000004E-2</v>
      </c>
      <c r="K25" s="24">
        <f t="shared" si="10"/>
        <v>44812</v>
      </c>
      <c r="L25" s="29">
        <v>1.0999999999999999E-2</v>
      </c>
      <c r="P25" s="24">
        <f t="shared" ref="P25" si="66">P24+1</f>
        <v>44812</v>
      </c>
      <c r="Q25" s="29">
        <v>3.9140000000000001E-2</v>
      </c>
      <c r="R25" s="24">
        <f t="shared" ref="R25" si="67">R24+1</f>
        <v>44812</v>
      </c>
      <c r="S25" s="29">
        <v>3.9140000000000001E-2</v>
      </c>
      <c r="T25" s="24">
        <f t="shared" ref="T25" si="68">T24+1</f>
        <v>44812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44813</v>
      </c>
      <c r="H26" s="29">
        <f t="shared" si="9"/>
        <v>3.04E-2</v>
      </c>
      <c r="I26" s="24">
        <f t="shared" si="10"/>
        <v>44813</v>
      </c>
      <c r="J26" s="29">
        <f t="shared" si="11"/>
        <v>4.2140000000000004E-2</v>
      </c>
      <c r="K26" s="24">
        <f t="shared" si="10"/>
        <v>44813</v>
      </c>
      <c r="L26" s="29">
        <v>1.0999999999999999E-2</v>
      </c>
      <c r="P26" s="24">
        <f t="shared" ref="P26" si="69">P25+1</f>
        <v>44813</v>
      </c>
      <c r="Q26" s="29">
        <v>3.9140000000000001E-2</v>
      </c>
      <c r="R26" s="24">
        <f t="shared" ref="R26" si="70">R25+1</f>
        <v>44813</v>
      </c>
      <c r="S26" s="29">
        <v>3.9140000000000001E-2</v>
      </c>
      <c r="T26" s="24">
        <f t="shared" ref="T26" si="71">T25+1</f>
        <v>44813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44814</v>
      </c>
      <c r="H27" s="29">
        <f t="shared" si="9"/>
        <v>3.04E-2</v>
      </c>
      <c r="I27" s="24">
        <f t="shared" si="10"/>
        <v>44814</v>
      </c>
      <c r="J27" s="29">
        <f t="shared" si="11"/>
        <v>4.2140000000000004E-2</v>
      </c>
      <c r="K27" s="24">
        <f t="shared" si="10"/>
        <v>44814</v>
      </c>
      <c r="L27" s="29">
        <v>1.0999999999999999E-2</v>
      </c>
      <c r="P27" s="24">
        <f t="shared" ref="P27" si="72">P26+1</f>
        <v>44814</v>
      </c>
      <c r="Q27" s="29">
        <v>3.9140000000000001E-2</v>
      </c>
      <c r="R27" s="24">
        <f t="shared" ref="R27" si="73">R26+1</f>
        <v>44814</v>
      </c>
      <c r="S27" s="29">
        <v>3.9140000000000001E-2</v>
      </c>
      <c r="T27" s="24">
        <f t="shared" ref="T27" si="74">T26+1</f>
        <v>44814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44815</v>
      </c>
      <c r="H28" s="29">
        <f t="shared" si="9"/>
        <v>3.04E-2</v>
      </c>
      <c r="I28" s="24">
        <f t="shared" si="10"/>
        <v>44815</v>
      </c>
      <c r="J28" s="29">
        <f t="shared" si="11"/>
        <v>4.2140000000000004E-2</v>
      </c>
      <c r="K28" s="24">
        <f t="shared" si="10"/>
        <v>44815</v>
      </c>
      <c r="L28" s="29">
        <v>1.0999999999999999E-2</v>
      </c>
      <c r="P28" s="24">
        <f t="shared" ref="P28" si="75">P27+1</f>
        <v>44815</v>
      </c>
      <c r="Q28" s="29">
        <v>3.9140000000000001E-2</v>
      </c>
      <c r="R28" s="24">
        <f t="shared" ref="R28" si="76">R27+1</f>
        <v>44815</v>
      </c>
      <c r="S28" s="29">
        <v>3.9140000000000001E-2</v>
      </c>
      <c r="T28" s="24">
        <f t="shared" ref="T28" si="77">T27+1</f>
        <v>44815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44816</v>
      </c>
      <c r="H29" s="29">
        <f t="shared" si="9"/>
        <v>3.04E-2</v>
      </c>
      <c r="I29" s="24">
        <f t="shared" si="10"/>
        <v>44816</v>
      </c>
      <c r="J29" s="29">
        <f t="shared" si="11"/>
        <v>4.2140000000000004E-2</v>
      </c>
      <c r="K29" s="24">
        <f t="shared" si="10"/>
        <v>44816</v>
      </c>
      <c r="L29" s="29">
        <v>1.0999999999999999E-2</v>
      </c>
      <c r="P29" s="24">
        <f t="shared" ref="P29" si="78">P28+1</f>
        <v>44816</v>
      </c>
      <c r="Q29" s="29">
        <v>3.9140000000000001E-2</v>
      </c>
      <c r="R29" s="24">
        <f t="shared" ref="R29" si="79">R28+1</f>
        <v>44816</v>
      </c>
      <c r="S29" s="29">
        <v>3.9140000000000001E-2</v>
      </c>
      <c r="T29" s="24">
        <f t="shared" ref="T29" si="80">T28+1</f>
        <v>44816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44817</v>
      </c>
      <c r="H30" s="29">
        <f t="shared" si="9"/>
        <v>3.04E-2</v>
      </c>
      <c r="I30" s="24">
        <f t="shared" si="10"/>
        <v>44817</v>
      </c>
      <c r="J30" s="29">
        <f t="shared" si="11"/>
        <v>4.2140000000000004E-2</v>
      </c>
      <c r="K30" s="24">
        <f t="shared" si="10"/>
        <v>44817</v>
      </c>
      <c r="L30" s="29">
        <v>1.0999999999999999E-2</v>
      </c>
      <c r="P30" s="24">
        <f t="shared" ref="P30" si="81">P29+1</f>
        <v>44817</v>
      </c>
      <c r="Q30" s="29">
        <v>3.9140000000000001E-2</v>
      </c>
      <c r="R30" s="24">
        <f t="shared" ref="R30" si="82">R29+1</f>
        <v>44817</v>
      </c>
      <c r="S30" s="29">
        <v>3.9140000000000001E-2</v>
      </c>
      <c r="T30" s="24">
        <f t="shared" ref="T30" si="83">T29+1</f>
        <v>44817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44818</v>
      </c>
      <c r="H31" s="29">
        <f t="shared" si="9"/>
        <v>3.04E-2</v>
      </c>
      <c r="I31" s="24">
        <f t="shared" si="10"/>
        <v>44818</v>
      </c>
      <c r="J31" s="29">
        <f t="shared" si="11"/>
        <v>4.2140000000000004E-2</v>
      </c>
      <c r="K31" s="24">
        <f t="shared" si="10"/>
        <v>44818</v>
      </c>
      <c r="L31" s="29">
        <v>1.0999999999999999E-2</v>
      </c>
      <c r="P31" s="24">
        <f t="shared" ref="P31" si="84">P30+1</f>
        <v>44818</v>
      </c>
      <c r="Q31" s="29">
        <v>3.9140000000000001E-2</v>
      </c>
      <c r="R31" s="24">
        <f t="shared" ref="R31" si="85">R30+1</f>
        <v>44818</v>
      </c>
      <c r="S31" s="29">
        <v>3.9140000000000001E-2</v>
      </c>
      <c r="T31" s="24">
        <f t="shared" ref="T31" si="86">T30+1</f>
        <v>44818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44819</v>
      </c>
      <c r="H32" s="29">
        <f t="shared" si="9"/>
        <v>3.04E-2</v>
      </c>
      <c r="I32" s="24">
        <f t="shared" si="10"/>
        <v>44819</v>
      </c>
      <c r="J32" s="29">
        <f t="shared" si="11"/>
        <v>4.2140000000000004E-2</v>
      </c>
      <c r="K32" s="24">
        <f t="shared" si="10"/>
        <v>44819</v>
      </c>
      <c r="L32" s="29">
        <v>1.0999999999999999E-2</v>
      </c>
      <c r="P32" s="24">
        <f t="shared" ref="P32" si="87">P31+1</f>
        <v>44819</v>
      </c>
      <c r="Q32" s="29">
        <v>3.9140000000000001E-2</v>
      </c>
      <c r="R32" s="24">
        <f t="shared" ref="R32" si="88">R31+1</f>
        <v>44819</v>
      </c>
      <c r="S32" s="29">
        <v>3.9140000000000001E-2</v>
      </c>
      <c r="T32" s="24">
        <f t="shared" ref="T32" si="89">T31+1</f>
        <v>44819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44820</v>
      </c>
      <c r="H33" s="29">
        <f t="shared" si="9"/>
        <v>3.04E-2</v>
      </c>
      <c r="I33" s="24">
        <f t="shared" si="10"/>
        <v>44820</v>
      </c>
      <c r="J33" s="29">
        <f t="shared" si="11"/>
        <v>4.2140000000000004E-2</v>
      </c>
      <c r="K33" s="24">
        <f t="shared" si="10"/>
        <v>44820</v>
      </c>
      <c r="L33" s="29">
        <v>1.0999999999999999E-2</v>
      </c>
      <c r="P33" s="24">
        <f t="shared" ref="P33" si="90">P32+1</f>
        <v>44820</v>
      </c>
      <c r="Q33" s="29">
        <v>3.9140000000000001E-2</v>
      </c>
      <c r="R33" s="24">
        <f t="shared" ref="R33" si="91">R32+1</f>
        <v>44820</v>
      </c>
      <c r="S33" s="29">
        <v>3.9140000000000001E-2</v>
      </c>
      <c r="T33" s="24">
        <f t="shared" ref="T33" si="92">T32+1</f>
        <v>44820</v>
      </c>
      <c r="U33" s="29">
        <v>1.0999999999999999E-2</v>
      </c>
    </row>
    <row r="34" spans="7:21" ht="18" customHeight="1" x14ac:dyDescent="0.4">
      <c r="G34" s="24">
        <f t="shared" si="8"/>
        <v>44821</v>
      </c>
      <c r="H34" s="29">
        <f t="shared" si="9"/>
        <v>3.04E-2</v>
      </c>
      <c r="I34" s="24">
        <f t="shared" si="10"/>
        <v>44821</v>
      </c>
      <c r="J34" s="29">
        <f t="shared" si="11"/>
        <v>4.2140000000000004E-2</v>
      </c>
      <c r="K34" s="24">
        <f t="shared" si="10"/>
        <v>44821</v>
      </c>
      <c r="L34" s="29">
        <v>1.0999999999999999E-2</v>
      </c>
      <c r="P34" s="24">
        <f t="shared" ref="P34" si="93">P33+1</f>
        <v>44821</v>
      </c>
      <c r="Q34" s="29">
        <v>3.9140000000000001E-2</v>
      </c>
      <c r="R34" s="24">
        <f t="shared" ref="R34" si="94">R33+1</f>
        <v>44821</v>
      </c>
      <c r="S34" s="29">
        <v>3.9140000000000001E-2</v>
      </c>
      <c r="T34" s="24">
        <f t="shared" ref="T34" si="95">T33+1</f>
        <v>44821</v>
      </c>
      <c r="U34" s="29">
        <v>1.0999999999999999E-2</v>
      </c>
    </row>
    <row r="35" spans="7:21" ht="18" customHeight="1" x14ac:dyDescent="0.4">
      <c r="G35" s="24">
        <f t="shared" si="8"/>
        <v>44822</v>
      </c>
      <c r="H35" s="29">
        <f t="shared" si="9"/>
        <v>3.04E-2</v>
      </c>
      <c r="I35" s="24">
        <f t="shared" si="10"/>
        <v>44822</v>
      </c>
      <c r="J35" s="29">
        <f t="shared" si="11"/>
        <v>4.2140000000000004E-2</v>
      </c>
      <c r="K35" s="24">
        <f t="shared" si="10"/>
        <v>44822</v>
      </c>
      <c r="L35" s="29">
        <v>1.0999999999999999E-2</v>
      </c>
      <c r="P35" s="24">
        <f t="shared" ref="P35" si="96">P34+1</f>
        <v>44822</v>
      </c>
      <c r="Q35" s="29">
        <v>3.9140000000000001E-2</v>
      </c>
      <c r="R35" s="24">
        <f t="shared" ref="R35" si="97">R34+1</f>
        <v>44822</v>
      </c>
      <c r="S35" s="29">
        <v>3.9140000000000001E-2</v>
      </c>
      <c r="T35" s="24">
        <f t="shared" ref="T35" si="98">T34+1</f>
        <v>44822</v>
      </c>
      <c r="U35" s="29">
        <v>1.0999999999999999E-2</v>
      </c>
    </row>
    <row r="36" spans="7:21" ht="18" customHeight="1" x14ac:dyDescent="0.4">
      <c r="G36" s="24">
        <f t="shared" si="8"/>
        <v>44823</v>
      </c>
      <c r="H36" s="29">
        <f t="shared" si="9"/>
        <v>3.04E-2</v>
      </c>
      <c r="I36" s="24">
        <f t="shared" si="10"/>
        <v>44823</v>
      </c>
      <c r="J36" s="29">
        <f t="shared" si="11"/>
        <v>4.2140000000000004E-2</v>
      </c>
      <c r="K36" s="24">
        <f t="shared" si="10"/>
        <v>44823</v>
      </c>
      <c r="L36" s="29">
        <v>1.0999999999999999E-2</v>
      </c>
      <c r="P36" s="24">
        <f t="shared" ref="P36" si="99">P35+1</f>
        <v>44823</v>
      </c>
      <c r="Q36" s="29">
        <v>3.9140000000000001E-2</v>
      </c>
      <c r="R36" s="24">
        <f t="shared" ref="R36" si="100">R35+1</f>
        <v>44823</v>
      </c>
      <c r="S36" s="29">
        <v>3.9140000000000001E-2</v>
      </c>
      <c r="T36" s="24">
        <f t="shared" ref="T36" si="101">T35+1</f>
        <v>44823</v>
      </c>
      <c r="U36" s="29">
        <v>1.0999999999999999E-2</v>
      </c>
    </row>
    <row r="37" spans="7:21" ht="18" customHeight="1" x14ac:dyDescent="0.4">
      <c r="G37" s="24">
        <f t="shared" si="8"/>
        <v>44824</v>
      </c>
      <c r="H37" s="29">
        <f t="shared" si="9"/>
        <v>3.04E-2</v>
      </c>
      <c r="I37" s="24">
        <f t="shared" si="10"/>
        <v>44824</v>
      </c>
      <c r="J37" s="29">
        <f t="shared" si="11"/>
        <v>4.2140000000000004E-2</v>
      </c>
      <c r="K37" s="24">
        <f t="shared" si="10"/>
        <v>44824</v>
      </c>
      <c r="L37" s="29">
        <v>1.0999999999999999E-2</v>
      </c>
      <c r="P37" s="24">
        <f t="shared" ref="P37" si="102">P36+1</f>
        <v>44824</v>
      </c>
      <c r="Q37" s="29">
        <v>3.9140000000000001E-2</v>
      </c>
      <c r="R37" s="24">
        <f t="shared" ref="R37" si="103">R36+1</f>
        <v>44824</v>
      </c>
      <c r="S37" s="29">
        <v>3.9140000000000001E-2</v>
      </c>
      <c r="T37" s="24">
        <f t="shared" ref="T37" si="104">T36+1</f>
        <v>44824</v>
      </c>
      <c r="U37" s="29">
        <v>1.0999999999999999E-2</v>
      </c>
    </row>
    <row r="38" spans="7:21" ht="18" customHeight="1" x14ac:dyDescent="0.4">
      <c r="G38" s="24">
        <f t="shared" si="8"/>
        <v>44825</v>
      </c>
      <c r="H38" s="29">
        <f t="shared" si="9"/>
        <v>3.04E-2</v>
      </c>
      <c r="I38" s="24">
        <f t="shared" si="10"/>
        <v>44825</v>
      </c>
      <c r="J38" s="29">
        <f t="shared" si="11"/>
        <v>4.2140000000000004E-2</v>
      </c>
      <c r="K38" s="24">
        <f t="shared" si="10"/>
        <v>44825</v>
      </c>
      <c r="L38" s="29">
        <v>1.0999999999999999E-2</v>
      </c>
      <c r="P38" s="24">
        <f t="shared" ref="P38" si="105">P37+1</f>
        <v>44825</v>
      </c>
      <c r="Q38" s="29">
        <v>3.9140000000000001E-2</v>
      </c>
      <c r="R38" s="24">
        <f t="shared" ref="R38" si="106">R37+1</f>
        <v>44825</v>
      </c>
      <c r="S38" s="29">
        <v>3.9140000000000001E-2</v>
      </c>
      <c r="T38" s="24">
        <f t="shared" ref="T38" si="107">T37+1</f>
        <v>44825</v>
      </c>
      <c r="U38" s="29">
        <v>1.0999999999999999E-2</v>
      </c>
    </row>
    <row r="39" spans="7:21" ht="18" customHeight="1" x14ac:dyDescent="0.4">
      <c r="G39" s="24">
        <f t="shared" si="8"/>
        <v>44826</v>
      </c>
      <c r="H39" s="29">
        <f t="shared" si="9"/>
        <v>3.04E-2</v>
      </c>
      <c r="I39" s="24">
        <f t="shared" si="10"/>
        <v>44826</v>
      </c>
      <c r="J39" s="29">
        <f t="shared" si="11"/>
        <v>4.2140000000000004E-2</v>
      </c>
      <c r="K39" s="24">
        <f t="shared" si="10"/>
        <v>44826</v>
      </c>
      <c r="L39" s="29">
        <v>1.0999999999999999E-2</v>
      </c>
      <c r="P39" s="24">
        <f t="shared" ref="P39" si="108">P38+1</f>
        <v>44826</v>
      </c>
      <c r="Q39" s="29">
        <v>3.9140000000000001E-2</v>
      </c>
      <c r="R39" s="24">
        <f t="shared" ref="R39" si="109">R38+1</f>
        <v>44826</v>
      </c>
      <c r="S39" s="29">
        <v>3.9140000000000001E-2</v>
      </c>
      <c r="T39" s="24">
        <f t="shared" ref="T39" si="110">T38+1</f>
        <v>44826</v>
      </c>
      <c r="U39" s="29">
        <v>1.0999999999999999E-2</v>
      </c>
    </row>
    <row r="40" spans="7:21" ht="18" customHeight="1" x14ac:dyDescent="0.4">
      <c r="G40" s="24">
        <f t="shared" si="8"/>
        <v>44827</v>
      </c>
      <c r="H40" s="29">
        <f t="shared" si="9"/>
        <v>3.04E-2</v>
      </c>
      <c r="I40" s="24">
        <f t="shared" si="10"/>
        <v>44827</v>
      </c>
      <c r="J40" s="29">
        <f t="shared" si="11"/>
        <v>4.2140000000000004E-2</v>
      </c>
      <c r="K40" s="24">
        <f t="shared" si="10"/>
        <v>44827</v>
      </c>
      <c r="L40" s="29">
        <v>1.0999999999999999E-2</v>
      </c>
      <c r="P40" s="24">
        <f t="shared" ref="P40" si="111">P39+1</f>
        <v>44827</v>
      </c>
      <c r="Q40" s="29">
        <v>3.9140000000000001E-2</v>
      </c>
      <c r="R40" s="24">
        <f t="shared" ref="R40" si="112">R39+1</f>
        <v>44827</v>
      </c>
      <c r="S40" s="29">
        <v>3.9140000000000001E-2</v>
      </c>
      <c r="T40" s="24">
        <f t="shared" ref="T40" si="113">T39+1</f>
        <v>44827</v>
      </c>
      <c r="U40" s="29">
        <v>1.0999999999999999E-2</v>
      </c>
    </row>
    <row r="41" spans="7:21" ht="18" customHeight="1" x14ac:dyDescent="0.4">
      <c r="G41" s="24">
        <f t="shared" si="8"/>
        <v>44828</v>
      </c>
      <c r="H41" s="29">
        <f t="shared" si="9"/>
        <v>3.04E-2</v>
      </c>
      <c r="I41" s="24">
        <f t="shared" si="10"/>
        <v>44828</v>
      </c>
      <c r="J41" s="29">
        <f t="shared" si="11"/>
        <v>4.2140000000000004E-2</v>
      </c>
      <c r="K41" s="24">
        <f t="shared" si="10"/>
        <v>44828</v>
      </c>
      <c r="L41" s="29">
        <v>1.0999999999999999E-2</v>
      </c>
      <c r="P41" s="24">
        <f t="shared" ref="P41" si="114">P40+1</f>
        <v>44828</v>
      </c>
      <c r="Q41" s="29">
        <v>3.9140000000000001E-2</v>
      </c>
      <c r="R41" s="24">
        <f t="shared" ref="R41" si="115">R40+1</f>
        <v>44828</v>
      </c>
      <c r="S41" s="29">
        <v>3.9140000000000001E-2</v>
      </c>
      <c r="T41" s="24">
        <f t="shared" ref="T41" si="116">T40+1</f>
        <v>44828</v>
      </c>
      <c r="U41" s="29">
        <v>1.0999999999999999E-2</v>
      </c>
    </row>
    <row r="42" spans="7:21" ht="18" customHeight="1" x14ac:dyDescent="0.4">
      <c r="G42" s="24">
        <f t="shared" si="8"/>
        <v>44829</v>
      </c>
      <c r="H42" s="29">
        <f t="shared" si="9"/>
        <v>3.04E-2</v>
      </c>
      <c r="I42" s="24">
        <f t="shared" si="10"/>
        <v>44829</v>
      </c>
      <c r="J42" s="29">
        <f t="shared" si="11"/>
        <v>4.2140000000000004E-2</v>
      </c>
      <c r="K42" s="24">
        <f t="shared" si="10"/>
        <v>44829</v>
      </c>
      <c r="L42" s="29">
        <v>1.0999999999999999E-2</v>
      </c>
      <c r="P42" s="24">
        <f t="shared" ref="P42" si="117">P41+1</f>
        <v>44829</v>
      </c>
      <c r="Q42" s="29">
        <v>3.9140000000000001E-2</v>
      </c>
      <c r="R42" s="24">
        <f t="shared" ref="R42" si="118">R41+1</f>
        <v>44829</v>
      </c>
      <c r="S42" s="29">
        <v>3.9140000000000001E-2</v>
      </c>
      <c r="T42" s="24">
        <f t="shared" ref="T42" si="119">T41+1</f>
        <v>44829</v>
      </c>
      <c r="U42" s="29">
        <v>1.0999999999999999E-2</v>
      </c>
    </row>
    <row r="43" spans="7:21" ht="18" customHeight="1" x14ac:dyDescent="0.4">
      <c r="G43" s="24">
        <f t="shared" si="8"/>
        <v>44830</v>
      </c>
      <c r="H43" s="29">
        <f t="shared" si="9"/>
        <v>3.04E-2</v>
      </c>
      <c r="I43" s="24">
        <f t="shared" si="10"/>
        <v>44830</v>
      </c>
      <c r="J43" s="29">
        <f t="shared" si="11"/>
        <v>4.2140000000000004E-2</v>
      </c>
      <c r="K43" s="24">
        <f t="shared" si="10"/>
        <v>44830</v>
      </c>
      <c r="L43" s="29">
        <v>1.0999999999999999E-2</v>
      </c>
      <c r="P43" s="24">
        <f t="shared" ref="P43" si="120">P42+1</f>
        <v>44830</v>
      </c>
      <c r="Q43" s="29">
        <v>3.9140000000000001E-2</v>
      </c>
      <c r="R43" s="24">
        <f t="shared" ref="R43" si="121">R42+1</f>
        <v>44830</v>
      </c>
      <c r="S43" s="29">
        <v>3.9140000000000001E-2</v>
      </c>
      <c r="T43" s="24">
        <f t="shared" ref="T43" si="122">T42+1</f>
        <v>44830</v>
      </c>
      <c r="U43" s="29">
        <v>1.0999999999999999E-2</v>
      </c>
    </row>
    <row r="44" spans="7:21" ht="18" customHeight="1" x14ac:dyDescent="0.4">
      <c r="G44" s="24">
        <f t="shared" si="8"/>
        <v>44831</v>
      </c>
      <c r="H44" s="29">
        <f t="shared" si="9"/>
        <v>3.04E-2</v>
      </c>
      <c r="I44" s="24">
        <f t="shared" si="10"/>
        <v>44831</v>
      </c>
      <c r="J44" s="29">
        <f t="shared" si="11"/>
        <v>4.2140000000000004E-2</v>
      </c>
      <c r="K44" s="24">
        <f t="shared" si="10"/>
        <v>44831</v>
      </c>
      <c r="L44" s="29">
        <v>1.0999999999999999E-2</v>
      </c>
      <c r="P44" s="24">
        <f t="shared" ref="P44" si="123">P43+1</f>
        <v>44831</v>
      </c>
      <c r="Q44" s="29">
        <v>3.9140000000000001E-2</v>
      </c>
      <c r="R44" s="24">
        <f t="shared" ref="R44" si="124">R43+1</f>
        <v>44831</v>
      </c>
      <c r="S44" s="29">
        <v>3.9140000000000001E-2</v>
      </c>
      <c r="T44" s="24">
        <f t="shared" ref="T44" si="125">T43+1</f>
        <v>44831</v>
      </c>
      <c r="U44" s="29">
        <v>1.0999999999999999E-2</v>
      </c>
    </row>
    <row r="45" spans="7:21" ht="18" customHeight="1" x14ac:dyDescent="0.4">
      <c r="G45" s="24">
        <f t="shared" si="8"/>
        <v>44832</v>
      </c>
      <c r="H45" s="29">
        <f t="shared" si="9"/>
        <v>3.04E-2</v>
      </c>
      <c r="I45" s="24">
        <f t="shared" si="10"/>
        <v>44832</v>
      </c>
      <c r="J45" s="29">
        <f t="shared" si="11"/>
        <v>4.2140000000000004E-2</v>
      </c>
      <c r="K45" s="24">
        <f t="shared" si="10"/>
        <v>44832</v>
      </c>
      <c r="L45" s="29">
        <v>1.0999999999999999E-2</v>
      </c>
      <c r="P45" s="24">
        <f t="shared" ref="P45" si="126">P44+1</f>
        <v>44832</v>
      </c>
      <c r="Q45" s="29">
        <v>3.9140000000000001E-2</v>
      </c>
      <c r="R45" s="24">
        <f t="shared" ref="R45" si="127">R44+1</f>
        <v>44832</v>
      </c>
      <c r="S45" s="29">
        <v>3.9140000000000001E-2</v>
      </c>
      <c r="T45" s="24">
        <f t="shared" ref="T45" si="128">T44+1</f>
        <v>44832</v>
      </c>
      <c r="U45" s="29">
        <v>1.0999999999999999E-2</v>
      </c>
    </row>
    <row r="46" spans="7:21" ht="18" customHeight="1" x14ac:dyDescent="0.4">
      <c r="G46" s="24">
        <f t="shared" si="8"/>
        <v>44833</v>
      </c>
      <c r="H46" s="29">
        <f t="shared" si="9"/>
        <v>3.04E-2</v>
      </c>
      <c r="I46" s="24">
        <f t="shared" si="10"/>
        <v>44833</v>
      </c>
      <c r="J46" s="29">
        <f t="shared" si="11"/>
        <v>4.2140000000000004E-2</v>
      </c>
      <c r="K46" s="24">
        <f t="shared" si="10"/>
        <v>44833</v>
      </c>
      <c r="L46" s="29">
        <v>1.0999999999999999E-2</v>
      </c>
      <c r="P46" s="24">
        <f t="shared" ref="P46" si="129">P45+1</f>
        <v>44833</v>
      </c>
      <c r="Q46" s="29">
        <v>3.9140000000000001E-2</v>
      </c>
      <c r="R46" s="24">
        <f t="shared" ref="R46" si="130">R45+1</f>
        <v>44833</v>
      </c>
      <c r="S46" s="29">
        <v>3.9140000000000001E-2</v>
      </c>
      <c r="T46" s="24">
        <f t="shared" ref="T46" si="131">T45+1</f>
        <v>44833</v>
      </c>
      <c r="U46" s="29">
        <v>1.0999999999999999E-2</v>
      </c>
    </row>
    <row r="47" spans="7:21" ht="18" customHeight="1" x14ac:dyDescent="0.4">
      <c r="G47" s="24">
        <f t="shared" si="8"/>
        <v>44834</v>
      </c>
      <c r="H47" s="29">
        <f t="shared" si="9"/>
        <v>3.04E-2</v>
      </c>
      <c r="I47" s="24">
        <f t="shared" si="10"/>
        <v>44834</v>
      </c>
      <c r="J47" s="29">
        <f t="shared" si="11"/>
        <v>4.2140000000000004E-2</v>
      </c>
      <c r="K47" s="24">
        <f t="shared" si="10"/>
        <v>44834</v>
      </c>
      <c r="L47" s="29">
        <v>1.0999999999999999E-2</v>
      </c>
      <c r="P47" s="24">
        <f t="shared" ref="P47" si="132">P46+1</f>
        <v>44834</v>
      </c>
      <c r="Q47" s="29">
        <v>3.9140000000000001E-2</v>
      </c>
      <c r="R47" s="24">
        <f t="shared" ref="R47" si="133">R46+1</f>
        <v>44834</v>
      </c>
      <c r="S47" s="29">
        <v>3.9140000000000001E-2</v>
      </c>
      <c r="T47" s="24">
        <f t="shared" ref="T47" si="134">T46+1</f>
        <v>44834</v>
      </c>
      <c r="U47" s="29">
        <v>1.0999999999999999E-2</v>
      </c>
    </row>
    <row r="48" spans="7:21" ht="18" customHeight="1" x14ac:dyDescent="0.4">
      <c r="G48" s="24">
        <f t="shared" si="8"/>
        <v>44835</v>
      </c>
      <c r="H48" s="29">
        <f t="shared" si="9"/>
        <v>3.04E-2</v>
      </c>
      <c r="I48" s="24">
        <f t="shared" si="10"/>
        <v>44835</v>
      </c>
      <c r="J48" s="29">
        <f t="shared" si="11"/>
        <v>4.2140000000000004E-2</v>
      </c>
      <c r="K48" s="24">
        <f t="shared" si="10"/>
        <v>44835</v>
      </c>
      <c r="L48" s="29">
        <v>1.0999999999999999E-2</v>
      </c>
      <c r="P48" s="24">
        <f t="shared" ref="P48" si="135">P47+1</f>
        <v>44835</v>
      </c>
      <c r="Q48" s="29">
        <v>3.9140000000000001E-2</v>
      </c>
      <c r="R48" s="24">
        <f t="shared" ref="R48" si="136">R47+1</f>
        <v>44835</v>
      </c>
      <c r="S48" s="29">
        <v>3.9140000000000001E-2</v>
      </c>
      <c r="T48" s="24">
        <f t="shared" ref="T48" si="137">T47+1</f>
        <v>44835</v>
      </c>
      <c r="U48" s="29">
        <v>1.0999999999999999E-2</v>
      </c>
    </row>
    <row r="49" spans="7:21" ht="18" customHeight="1" x14ac:dyDescent="0.4">
      <c r="G49" s="24">
        <f t="shared" si="8"/>
        <v>44836</v>
      </c>
      <c r="H49" s="29">
        <f t="shared" si="9"/>
        <v>3.04E-2</v>
      </c>
      <c r="I49" s="24">
        <f t="shared" si="10"/>
        <v>44836</v>
      </c>
      <c r="J49" s="29">
        <f t="shared" si="11"/>
        <v>4.2140000000000004E-2</v>
      </c>
      <c r="K49" s="24">
        <f t="shared" si="10"/>
        <v>44836</v>
      </c>
      <c r="L49" s="29">
        <v>1.0999999999999999E-2</v>
      </c>
      <c r="P49" s="24">
        <f t="shared" ref="P49" si="138">P48+1</f>
        <v>44836</v>
      </c>
      <c r="Q49" s="29">
        <v>3.9140000000000001E-2</v>
      </c>
      <c r="R49" s="24">
        <f t="shared" ref="R49" si="139">R48+1</f>
        <v>44836</v>
      </c>
      <c r="S49" s="29">
        <v>3.9140000000000001E-2</v>
      </c>
      <c r="T49" s="24">
        <f t="shared" ref="T49" si="140">T48+1</f>
        <v>44836</v>
      </c>
      <c r="U49" s="29">
        <v>1.0999999999999999E-2</v>
      </c>
    </row>
    <row r="50" spans="7:21" ht="18" customHeight="1" x14ac:dyDescent="0.4">
      <c r="G50" s="24">
        <f t="shared" si="8"/>
        <v>44837</v>
      </c>
      <c r="H50" s="29">
        <f t="shared" si="9"/>
        <v>3.04E-2</v>
      </c>
      <c r="I50" s="24">
        <f t="shared" si="10"/>
        <v>44837</v>
      </c>
      <c r="J50" s="29">
        <f t="shared" si="11"/>
        <v>4.2140000000000004E-2</v>
      </c>
      <c r="K50" s="24">
        <f t="shared" si="10"/>
        <v>44837</v>
      </c>
      <c r="L50" s="29">
        <v>1.0999999999999999E-2</v>
      </c>
      <c r="P50" s="24">
        <f t="shared" ref="P50" si="141">P49+1</f>
        <v>44837</v>
      </c>
      <c r="Q50" s="29">
        <v>3.9140000000000001E-2</v>
      </c>
      <c r="R50" s="24">
        <f t="shared" ref="R50" si="142">R49+1</f>
        <v>44837</v>
      </c>
      <c r="S50" s="29">
        <v>3.9140000000000001E-2</v>
      </c>
      <c r="T50" s="24">
        <f t="shared" ref="T50" si="143">T49+1</f>
        <v>44837</v>
      </c>
      <c r="U50" s="29">
        <v>1.0999999999999999E-2</v>
      </c>
    </row>
    <row r="51" spans="7:21" ht="18" customHeight="1" x14ac:dyDescent="0.4">
      <c r="G51" s="24">
        <f t="shared" si="8"/>
        <v>44838</v>
      </c>
      <c r="H51" s="29">
        <f t="shared" si="9"/>
        <v>3.04E-2</v>
      </c>
      <c r="I51" s="24">
        <f t="shared" si="10"/>
        <v>44838</v>
      </c>
      <c r="J51" s="29">
        <f t="shared" si="11"/>
        <v>4.2140000000000004E-2</v>
      </c>
      <c r="K51" s="24">
        <f t="shared" si="10"/>
        <v>44838</v>
      </c>
      <c r="L51" s="29">
        <v>1.0999999999999999E-2</v>
      </c>
      <c r="P51" s="24">
        <f t="shared" ref="P51" si="144">P50+1</f>
        <v>44838</v>
      </c>
      <c r="Q51" s="29">
        <v>3.9140000000000001E-2</v>
      </c>
      <c r="R51" s="24">
        <f t="shared" ref="R51" si="145">R50+1</f>
        <v>44838</v>
      </c>
      <c r="S51" s="29">
        <v>3.9140000000000001E-2</v>
      </c>
      <c r="T51" s="24">
        <f t="shared" ref="T51" si="146">T50+1</f>
        <v>44838</v>
      </c>
      <c r="U51" s="29">
        <v>1.0999999999999999E-2</v>
      </c>
    </row>
    <row r="52" spans="7:21" ht="18" customHeight="1" x14ac:dyDescent="0.4">
      <c r="G52" s="24">
        <f t="shared" si="8"/>
        <v>44839</v>
      </c>
      <c r="H52" s="29">
        <f t="shared" si="9"/>
        <v>3.04E-2</v>
      </c>
      <c r="I52" s="24">
        <f t="shared" si="10"/>
        <v>44839</v>
      </c>
      <c r="J52" s="29">
        <f t="shared" si="11"/>
        <v>4.2140000000000004E-2</v>
      </c>
      <c r="K52" s="24">
        <f t="shared" si="10"/>
        <v>44839</v>
      </c>
      <c r="L52" s="29">
        <v>1.0999999999999999E-2</v>
      </c>
      <c r="P52" s="24">
        <f t="shared" ref="P52" si="147">P51+1</f>
        <v>44839</v>
      </c>
      <c r="Q52" s="29">
        <v>3.9140000000000001E-2</v>
      </c>
      <c r="R52" s="24">
        <f t="shared" ref="R52" si="148">R51+1</f>
        <v>44839</v>
      </c>
      <c r="S52" s="29">
        <v>3.9140000000000001E-2</v>
      </c>
      <c r="T52" s="24">
        <f t="shared" ref="T52" si="149">T51+1</f>
        <v>44839</v>
      </c>
      <c r="U52" s="29">
        <v>1.0999999999999999E-2</v>
      </c>
    </row>
    <row r="53" spans="7:21" ht="18" customHeight="1" x14ac:dyDescent="0.4">
      <c r="G53" s="24">
        <f t="shared" si="8"/>
        <v>44840</v>
      </c>
      <c r="H53" s="29">
        <f t="shared" si="9"/>
        <v>3.04E-2</v>
      </c>
      <c r="I53" s="24">
        <f t="shared" si="10"/>
        <v>44840</v>
      </c>
      <c r="J53" s="29">
        <f t="shared" si="11"/>
        <v>4.2140000000000004E-2</v>
      </c>
      <c r="K53" s="24">
        <f t="shared" si="10"/>
        <v>44840</v>
      </c>
      <c r="L53" s="29">
        <v>1.0999999999999999E-2</v>
      </c>
      <c r="P53" s="24">
        <f t="shared" ref="P53" si="150">P52+1</f>
        <v>44840</v>
      </c>
      <c r="Q53" s="29">
        <v>3.9140000000000001E-2</v>
      </c>
      <c r="R53" s="24">
        <f t="shared" ref="R53" si="151">R52+1</f>
        <v>44840</v>
      </c>
      <c r="S53" s="29">
        <v>3.9140000000000001E-2</v>
      </c>
      <c r="T53" s="24">
        <f t="shared" ref="T53" si="152">T52+1</f>
        <v>44840</v>
      </c>
      <c r="U53" s="29">
        <v>1.0999999999999999E-2</v>
      </c>
    </row>
    <row r="54" spans="7:21" ht="18" customHeight="1" x14ac:dyDescent="0.4">
      <c r="G54" s="24">
        <f t="shared" si="8"/>
        <v>44841</v>
      </c>
      <c r="H54" s="29">
        <f t="shared" si="9"/>
        <v>3.04E-2</v>
      </c>
      <c r="I54" s="24">
        <f t="shared" si="10"/>
        <v>44841</v>
      </c>
      <c r="J54" s="29">
        <f t="shared" si="11"/>
        <v>4.2140000000000004E-2</v>
      </c>
      <c r="K54" s="24">
        <f t="shared" si="10"/>
        <v>44841</v>
      </c>
      <c r="L54" s="29">
        <v>1.0999999999999999E-2</v>
      </c>
      <c r="P54" s="24">
        <f t="shared" ref="P54" si="153">P53+1</f>
        <v>44841</v>
      </c>
      <c r="Q54" s="29">
        <v>3.9140000000000001E-2</v>
      </c>
      <c r="R54" s="24">
        <f t="shared" ref="R54" si="154">R53+1</f>
        <v>44841</v>
      </c>
      <c r="S54" s="29">
        <v>3.9140000000000001E-2</v>
      </c>
      <c r="T54" s="24">
        <f t="shared" ref="T54" si="155">T53+1</f>
        <v>44841</v>
      </c>
      <c r="U54" s="29">
        <v>1.0999999999999999E-2</v>
      </c>
    </row>
    <row r="55" spans="7:21" ht="18" customHeight="1" x14ac:dyDescent="0.4">
      <c r="G55" s="24">
        <f t="shared" si="8"/>
        <v>44842</v>
      </c>
      <c r="H55" s="29">
        <f t="shared" si="9"/>
        <v>3.04E-2</v>
      </c>
      <c r="I55" s="24">
        <f t="shared" si="10"/>
        <v>44842</v>
      </c>
      <c r="J55" s="29">
        <f t="shared" si="11"/>
        <v>4.2140000000000004E-2</v>
      </c>
      <c r="K55" s="24">
        <f t="shared" si="10"/>
        <v>44842</v>
      </c>
      <c r="L55" s="29">
        <v>1.0999999999999999E-2</v>
      </c>
      <c r="P55" s="24">
        <f t="shared" ref="P55" si="156">P54+1</f>
        <v>44842</v>
      </c>
      <c r="Q55" s="29">
        <v>3.9140000000000001E-2</v>
      </c>
      <c r="R55" s="24">
        <f t="shared" ref="R55" si="157">R54+1</f>
        <v>44842</v>
      </c>
      <c r="S55" s="29">
        <v>3.9140000000000001E-2</v>
      </c>
      <c r="T55" s="24">
        <f t="shared" ref="T55" si="158">T54+1</f>
        <v>44842</v>
      </c>
      <c r="U55" s="29">
        <v>1.0999999999999999E-2</v>
      </c>
    </row>
    <row r="56" spans="7:21" ht="18" customHeight="1" x14ac:dyDescent="0.4">
      <c r="G56" s="24">
        <f t="shared" si="8"/>
        <v>44843</v>
      </c>
      <c r="H56" s="29">
        <f t="shared" si="9"/>
        <v>3.04E-2</v>
      </c>
      <c r="I56" s="24">
        <f t="shared" si="10"/>
        <v>44843</v>
      </c>
      <c r="J56" s="29">
        <f t="shared" si="11"/>
        <v>4.2140000000000004E-2</v>
      </c>
      <c r="K56" s="24">
        <f t="shared" si="10"/>
        <v>44843</v>
      </c>
      <c r="L56" s="29">
        <v>1.0999999999999999E-2</v>
      </c>
      <c r="P56" s="24">
        <f t="shared" ref="P56" si="159">P55+1</f>
        <v>44843</v>
      </c>
      <c r="Q56" s="29">
        <v>3.9140000000000001E-2</v>
      </c>
      <c r="R56" s="24">
        <f t="shared" ref="R56" si="160">R55+1</f>
        <v>44843</v>
      </c>
      <c r="S56" s="29">
        <v>3.9140000000000001E-2</v>
      </c>
      <c r="T56" s="24">
        <f t="shared" ref="T56" si="161">T55+1</f>
        <v>44843</v>
      </c>
      <c r="U56" s="29">
        <v>1.0999999999999999E-2</v>
      </c>
    </row>
    <row r="57" spans="7:21" ht="18" customHeight="1" x14ac:dyDescent="0.4">
      <c r="G57" s="24">
        <f t="shared" si="8"/>
        <v>44844</v>
      </c>
      <c r="H57" s="29">
        <f t="shared" si="9"/>
        <v>3.04E-2</v>
      </c>
      <c r="I57" s="24">
        <f t="shared" si="10"/>
        <v>44844</v>
      </c>
      <c r="J57" s="29">
        <f t="shared" si="11"/>
        <v>4.2140000000000004E-2</v>
      </c>
      <c r="K57" s="24">
        <f t="shared" si="10"/>
        <v>44844</v>
      </c>
      <c r="L57" s="29">
        <v>1.0999999999999999E-2</v>
      </c>
      <c r="P57" s="24">
        <f t="shared" ref="P57" si="162">P56+1</f>
        <v>44844</v>
      </c>
      <c r="Q57" s="29">
        <v>3.9140000000000001E-2</v>
      </c>
      <c r="R57" s="24">
        <f t="shared" ref="R57" si="163">R56+1</f>
        <v>44844</v>
      </c>
      <c r="S57" s="29">
        <v>3.9140000000000001E-2</v>
      </c>
      <c r="T57" s="24">
        <f t="shared" ref="T57" si="164">T56+1</f>
        <v>44844</v>
      </c>
      <c r="U57" s="29">
        <v>1.0999999999999999E-2</v>
      </c>
    </row>
    <row r="58" spans="7:21" ht="18" customHeight="1" x14ac:dyDescent="0.4">
      <c r="G58" s="24">
        <f t="shared" si="8"/>
        <v>44845</v>
      </c>
      <c r="H58" s="29">
        <f t="shared" si="9"/>
        <v>3.04E-2</v>
      </c>
      <c r="I58" s="24">
        <f t="shared" si="10"/>
        <v>44845</v>
      </c>
      <c r="J58" s="29">
        <f t="shared" si="11"/>
        <v>4.2140000000000004E-2</v>
      </c>
      <c r="K58" s="24">
        <f t="shared" si="10"/>
        <v>44845</v>
      </c>
      <c r="L58" s="29">
        <v>1.0999999999999999E-2</v>
      </c>
      <c r="P58" s="24">
        <f t="shared" ref="P58" si="165">P57+1</f>
        <v>44845</v>
      </c>
      <c r="Q58" s="29">
        <v>3.9140000000000001E-2</v>
      </c>
      <c r="R58" s="24">
        <f t="shared" ref="R58" si="166">R57+1</f>
        <v>44845</v>
      </c>
      <c r="S58" s="29">
        <v>3.9140000000000001E-2</v>
      </c>
      <c r="T58" s="24">
        <f t="shared" ref="T58" si="167">T57+1</f>
        <v>44845</v>
      </c>
      <c r="U58" s="29">
        <v>1.0999999999999999E-2</v>
      </c>
    </row>
    <row r="59" spans="7:21" ht="18" customHeight="1" x14ac:dyDescent="0.4">
      <c r="G59" s="24">
        <f t="shared" si="8"/>
        <v>44846</v>
      </c>
      <c r="H59" s="29">
        <f t="shared" si="9"/>
        <v>3.04E-2</v>
      </c>
      <c r="I59" s="24">
        <f t="shared" si="10"/>
        <v>44846</v>
      </c>
      <c r="J59" s="29">
        <f t="shared" si="11"/>
        <v>4.2140000000000004E-2</v>
      </c>
      <c r="K59" s="24">
        <f t="shared" si="10"/>
        <v>44846</v>
      </c>
      <c r="L59" s="29">
        <v>1.0999999999999999E-2</v>
      </c>
      <c r="P59" s="24">
        <f t="shared" ref="P59" si="168">P58+1</f>
        <v>44846</v>
      </c>
      <c r="Q59" s="29">
        <v>3.9140000000000001E-2</v>
      </c>
      <c r="R59" s="24">
        <f t="shared" ref="R59" si="169">R58+1</f>
        <v>44846</v>
      </c>
      <c r="S59" s="29">
        <v>3.9140000000000001E-2</v>
      </c>
      <c r="T59" s="24">
        <f t="shared" ref="T59" si="170">T58+1</f>
        <v>44846</v>
      </c>
      <c r="U59" s="29">
        <v>1.0999999999999999E-2</v>
      </c>
    </row>
    <row r="60" spans="7:21" ht="18" customHeight="1" x14ac:dyDescent="0.4">
      <c r="G60" s="24">
        <f t="shared" si="8"/>
        <v>44847</v>
      </c>
      <c r="H60" s="29">
        <f t="shared" si="9"/>
        <v>3.04E-2</v>
      </c>
      <c r="I60" s="24">
        <f t="shared" si="10"/>
        <v>44847</v>
      </c>
      <c r="J60" s="29">
        <f t="shared" si="11"/>
        <v>4.2140000000000004E-2</v>
      </c>
      <c r="K60" s="24">
        <f t="shared" si="10"/>
        <v>44847</v>
      </c>
      <c r="L60" s="29">
        <v>1.0999999999999999E-2</v>
      </c>
      <c r="P60" s="24">
        <f t="shared" ref="P60" si="171">P59+1</f>
        <v>44847</v>
      </c>
      <c r="Q60" s="29">
        <v>3.9140000000000001E-2</v>
      </c>
      <c r="R60" s="24">
        <f t="shared" ref="R60" si="172">R59+1</f>
        <v>44847</v>
      </c>
      <c r="S60" s="29">
        <v>3.9140000000000001E-2</v>
      </c>
      <c r="T60" s="24">
        <f t="shared" ref="T60" si="173">T59+1</f>
        <v>44847</v>
      </c>
      <c r="U60" s="29">
        <v>1.0999999999999999E-2</v>
      </c>
    </row>
    <row r="61" spans="7:21" ht="18" customHeight="1" x14ac:dyDescent="0.4">
      <c r="G61" s="24">
        <f t="shared" si="8"/>
        <v>44848</v>
      </c>
      <c r="H61" s="29">
        <f t="shared" si="9"/>
        <v>3.04E-2</v>
      </c>
      <c r="I61" s="24">
        <f t="shared" si="10"/>
        <v>44848</v>
      </c>
      <c r="J61" s="29">
        <f t="shared" si="11"/>
        <v>4.2140000000000004E-2</v>
      </c>
      <c r="K61" s="24">
        <f t="shared" si="10"/>
        <v>44848</v>
      </c>
      <c r="L61" s="29">
        <v>1.0999999999999999E-2</v>
      </c>
      <c r="P61" s="24">
        <f t="shared" ref="P61" si="174">P60+1</f>
        <v>44848</v>
      </c>
      <c r="Q61" s="29">
        <v>3.9140000000000001E-2</v>
      </c>
      <c r="R61" s="24">
        <f t="shared" ref="R61" si="175">R60+1</f>
        <v>44848</v>
      </c>
      <c r="S61" s="29">
        <v>3.9140000000000001E-2</v>
      </c>
      <c r="T61" s="24">
        <f t="shared" ref="T61" si="176">T60+1</f>
        <v>44848</v>
      </c>
      <c r="U61" s="29">
        <v>1.0999999999999999E-2</v>
      </c>
    </row>
    <row r="62" spans="7:21" ht="18" customHeight="1" x14ac:dyDescent="0.4">
      <c r="G62" s="24">
        <f t="shared" si="8"/>
        <v>44849</v>
      </c>
      <c r="H62" s="29">
        <f t="shared" si="9"/>
        <v>3.04E-2</v>
      </c>
      <c r="I62" s="24">
        <f t="shared" si="10"/>
        <v>44849</v>
      </c>
      <c r="J62" s="29">
        <f t="shared" si="11"/>
        <v>4.2140000000000004E-2</v>
      </c>
      <c r="K62" s="24">
        <f t="shared" si="10"/>
        <v>44849</v>
      </c>
      <c r="L62" s="29">
        <v>1.0999999999999999E-2</v>
      </c>
      <c r="P62" s="24">
        <f t="shared" ref="P62" si="177">P61+1</f>
        <v>44849</v>
      </c>
      <c r="Q62" s="29">
        <v>3.9140000000000001E-2</v>
      </c>
      <c r="R62" s="24">
        <f t="shared" ref="R62" si="178">R61+1</f>
        <v>44849</v>
      </c>
      <c r="S62" s="29">
        <v>3.9140000000000001E-2</v>
      </c>
      <c r="T62" s="24">
        <f t="shared" ref="T62" si="179">T61+1</f>
        <v>44849</v>
      </c>
      <c r="U62" s="29">
        <v>1.0999999999999999E-2</v>
      </c>
    </row>
    <row r="63" spans="7:21" ht="18" customHeight="1" x14ac:dyDescent="0.4">
      <c r="G63" s="24">
        <f t="shared" si="8"/>
        <v>44850</v>
      </c>
      <c r="H63" s="29">
        <f t="shared" si="9"/>
        <v>3.04E-2</v>
      </c>
      <c r="I63" s="24">
        <f t="shared" si="10"/>
        <v>44850</v>
      </c>
      <c r="J63" s="29">
        <f t="shared" si="11"/>
        <v>4.2140000000000004E-2</v>
      </c>
      <c r="K63" s="24">
        <f t="shared" si="10"/>
        <v>44850</v>
      </c>
      <c r="L63" s="29">
        <v>1.0999999999999999E-2</v>
      </c>
      <c r="P63" s="24">
        <f t="shared" ref="P63" si="180">P62+1</f>
        <v>44850</v>
      </c>
      <c r="Q63" s="29">
        <v>3.9140000000000001E-2</v>
      </c>
      <c r="R63" s="24">
        <f t="shared" ref="R63" si="181">R62+1</f>
        <v>44850</v>
      </c>
      <c r="S63" s="29">
        <v>3.9140000000000001E-2</v>
      </c>
      <c r="T63" s="24">
        <f t="shared" ref="T63" si="182">T62+1</f>
        <v>44850</v>
      </c>
      <c r="U63" s="29">
        <v>1.0999999999999999E-2</v>
      </c>
    </row>
    <row r="64" spans="7:21" ht="18" customHeight="1" x14ac:dyDescent="0.4">
      <c r="G64" s="24">
        <f t="shared" si="8"/>
        <v>44851</v>
      </c>
      <c r="H64" s="29">
        <f t="shared" si="9"/>
        <v>3.04E-2</v>
      </c>
      <c r="I64" s="24">
        <f t="shared" si="10"/>
        <v>44851</v>
      </c>
      <c r="J64" s="29">
        <f t="shared" si="11"/>
        <v>4.2140000000000004E-2</v>
      </c>
      <c r="K64" s="24">
        <f t="shared" si="10"/>
        <v>44851</v>
      </c>
      <c r="L64" s="29">
        <v>1.0999999999999999E-2</v>
      </c>
      <c r="P64" s="24">
        <f t="shared" ref="P64" si="183">P63+1</f>
        <v>44851</v>
      </c>
      <c r="Q64" s="29">
        <v>3.9140000000000001E-2</v>
      </c>
      <c r="R64" s="24">
        <f t="shared" ref="R64" si="184">R63+1</f>
        <v>44851</v>
      </c>
      <c r="S64" s="29">
        <v>3.9140000000000001E-2</v>
      </c>
      <c r="T64" s="24">
        <f t="shared" ref="T64" si="185">T63+1</f>
        <v>44851</v>
      </c>
      <c r="U64" s="29">
        <v>1.0999999999999999E-2</v>
      </c>
    </row>
    <row r="65" spans="7:21" ht="18" customHeight="1" x14ac:dyDescent="0.4">
      <c r="G65" s="24">
        <f t="shared" si="8"/>
        <v>44852</v>
      </c>
      <c r="H65" s="29">
        <f t="shared" si="9"/>
        <v>3.04E-2</v>
      </c>
      <c r="I65" s="24">
        <f t="shared" si="10"/>
        <v>44852</v>
      </c>
      <c r="J65" s="29">
        <f t="shared" si="11"/>
        <v>4.2140000000000004E-2</v>
      </c>
      <c r="K65" s="24">
        <f t="shared" si="10"/>
        <v>44852</v>
      </c>
      <c r="L65" s="29">
        <v>1.0999999999999999E-2</v>
      </c>
      <c r="P65" s="24">
        <f t="shared" ref="P65" si="186">P64+1</f>
        <v>44852</v>
      </c>
      <c r="Q65" s="29">
        <v>3.9140000000000001E-2</v>
      </c>
      <c r="R65" s="24">
        <f t="shared" ref="R65" si="187">R64+1</f>
        <v>44852</v>
      </c>
      <c r="S65" s="29">
        <v>3.9140000000000001E-2</v>
      </c>
      <c r="T65" s="24">
        <f t="shared" ref="T65" si="188">T64+1</f>
        <v>44852</v>
      </c>
      <c r="U65" s="29">
        <v>1.0999999999999999E-2</v>
      </c>
    </row>
    <row r="66" spans="7:21" ht="18" customHeight="1" x14ac:dyDescent="0.4">
      <c r="G66" s="24">
        <f t="shared" si="8"/>
        <v>44853</v>
      </c>
      <c r="H66" s="29">
        <f t="shared" si="9"/>
        <v>3.04E-2</v>
      </c>
      <c r="I66" s="24">
        <f t="shared" si="10"/>
        <v>44853</v>
      </c>
      <c r="J66" s="29">
        <f t="shared" si="11"/>
        <v>4.2140000000000004E-2</v>
      </c>
      <c r="K66" s="24">
        <f t="shared" si="10"/>
        <v>44853</v>
      </c>
      <c r="L66" s="29">
        <v>1.0999999999999999E-2</v>
      </c>
      <c r="P66" s="24">
        <f t="shared" ref="P66" si="189">P65+1</f>
        <v>44853</v>
      </c>
      <c r="Q66" s="29">
        <v>3.9140000000000001E-2</v>
      </c>
      <c r="R66" s="24">
        <f t="shared" ref="R66" si="190">R65+1</f>
        <v>44853</v>
      </c>
      <c r="S66" s="29">
        <v>3.9140000000000001E-2</v>
      </c>
      <c r="T66" s="24">
        <f t="shared" ref="T66" si="191">T65+1</f>
        <v>44853</v>
      </c>
      <c r="U66" s="29">
        <v>1.0999999999999999E-2</v>
      </c>
    </row>
    <row r="67" spans="7:21" ht="18" customHeight="1" x14ac:dyDescent="0.4">
      <c r="G67" s="24">
        <f t="shared" si="8"/>
        <v>44854</v>
      </c>
      <c r="H67" s="29">
        <f t="shared" si="9"/>
        <v>3.04E-2</v>
      </c>
      <c r="I67" s="24">
        <f t="shared" si="10"/>
        <v>44854</v>
      </c>
      <c r="J67" s="29">
        <f t="shared" si="11"/>
        <v>4.2140000000000004E-2</v>
      </c>
      <c r="K67" s="24">
        <f t="shared" si="10"/>
        <v>44854</v>
      </c>
      <c r="L67" s="29">
        <v>1.0999999999999999E-2</v>
      </c>
      <c r="P67" s="24">
        <f t="shared" ref="P67" si="192">P66+1</f>
        <v>44854</v>
      </c>
      <c r="Q67" s="29">
        <v>3.9140000000000001E-2</v>
      </c>
      <c r="R67" s="24">
        <f t="shared" ref="R67" si="193">R66+1</f>
        <v>44854</v>
      </c>
      <c r="S67" s="29">
        <v>3.9140000000000001E-2</v>
      </c>
      <c r="T67" s="24">
        <f t="shared" ref="T67" si="194">T66+1</f>
        <v>44854</v>
      </c>
      <c r="U67" s="29">
        <v>1.0999999999999999E-2</v>
      </c>
    </row>
    <row r="68" spans="7:21" ht="18" customHeight="1" x14ac:dyDescent="0.4">
      <c r="G68" s="24">
        <f t="shared" si="8"/>
        <v>44855</v>
      </c>
      <c r="H68" s="29">
        <f t="shared" si="9"/>
        <v>3.04E-2</v>
      </c>
      <c r="I68" s="24">
        <f t="shared" si="10"/>
        <v>44855</v>
      </c>
      <c r="J68" s="29">
        <f t="shared" si="11"/>
        <v>4.2140000000000004E-2</v>
      </c>
      <c r="K68" s="24">
        <f t="shared" si="10"/>
        <v>44855</v>
      </c>
      <c r="L68" s="29">
        <v>1.0999999999999999E-2</v>
      </c>
      <c r="P68" s="24">
        <f t="shared" ref="P68" si="195">P67+1</f>
        <v>44855</v>
      </c>
      <c r="Q68" s="29">
        <v>3.9140000000000001E-2</v>
      </c>
      <c r="R68" s="24">
        <f t="shared" ref="R68" si="196">R67+1</f>
        <v>44855</v>
      </c>
      <c r="S68" s="29">
        <v>3.9140000000000001E-2</v>
      </c>
      <c r="T68" s="24">
        <f t="shared" ref="T68" si="197">T67+1</f>
        <v>44855</v>
      </c>
      <c r="U68" s="29">
        <v>1.0999999999999999E-2</v>
      </c>
    </row>
    <row r="69" spans="7:21" ht="18" customHeight="1" x14ac:dyDescent="0.4">
      <c r="G69" s="24">
        <f t="shared" si="8"/>
        <v>44856</v>
      </c>
      <c r="H69" s="29">
        <f t="shared" si="9"/>
        <v>3.04E-2</v>
      </c>
      <c r="I69" s="24">
        <f t="shared" si="10"/>
        <v>44856</v>
      </c>
      <c r="J69" s="29">
        <f t="shared" si="11"/>
        <v>4.2140000000000004E-2</v>
      </c>
      <c r="K69" s="24">
        <f t="shared" si="10"/>
        <v>44856</v>
      </c>
      <c r="L69" s="29">
        <v>1.0999999999999999E-2</v>
      </c>
      <c r="P69" s="24">
        <f t="shared" ref="P69" si="198">P68+1</f>
        <v>44856</v>
      </c>
      <c r="Q69" s="29">
        <v>3.9140000000000001E-2</v>
      </c>
      <c r="R69" s="24">
        <f t="shared" ref="R69" si="199">R68+1</f>
        <v>44856</v>
      </c>
      <c r="S69" s="29">
        <v>3.9140000000000001E-2</v>
      </c>
      <c r="T69" s="24">
        <f t="shared" ref="T69" si="200">T68+1</f>
        <v>44856</v>
      </c>
      <c r="U69" s="29">
        <v>1.0999999999999999E-2</v>
      </c>
    </row>
    <row r="70" spans="7:21" ht="18" customHeight="1" x14ac:dyDescent="0.4">
      <c r="G70" s="24">
        <f t="shared" si="8"/>
        <v>44857</v>
      </c>
      <c r="H70" s="29">
        <f t="shared" si="9"/>
        <v>3.04E-2</v>
      </c>
      <c r="I70" s="24">
        <f t="shared" si="10"/>
        <v>44857</v>
      </c>
      <c r="J70" s="29">
        <f t="shared" si="11"/>
        <v>4.2140000000000004E-2</v>
      </c>
      <c r="K70" s="24">
        <f t="shared" si="10"/>
        <v>44857</v>
      </c>
      <c r="L70" s="29">
        <v>1.0999999999999999E-2</v>
      </c>
      <c r="P70" s="24">
        <f t="shared" ref="P70" si="201">P69+1</f>
        <v>44857</v>
      </c>
      <c r="Q70" s="29">
        <v>3.9140000000000001E-2</v>
      </c>
      <c r="R70" s="24">
        <f t="shared" ref="R70" si="202">R69+1</f>
        <v>44857</v>
      </c>
      <c r="S70" s="29">
        <v>3.9140000000000001E-2</v>
      </c>
      <c r="T70" s="24">
        <f t="shared" ref="T70" si="203">T69+1</f>
        <v>44857</v>
      </c>
      <c r="U70" s="29">
        <v>1.0999999999999999E-2</v>
      </c>
    </row>
    <row r="71" spans="7:21" ht="18" customHeight="1" x14ac:dyDescent="0.4">
      <c r="G71" s="24">
        <f t="shared" ref="G71:G134" si="204">G70+1</f>
        <v>44858</v>
      </c>
      <c r="H71" s="29">
        <f t="shared" ref="H71:H134" si="205">H70</f>
        <v>3.04E-2</v>
      </c>
      <c r="I71" s="24">
        <f t="shared" ref="I71:K134" si="206">I70+1</f>
        <v>44858</v>
      </c>
      <c r="J71" s="29">
        <f t="shared" ref="J71:J134" si="207">J70</f>
        <v>4.2140000000000004E-2</v>
      </c>
      <c r="K71" s="24">
        <f t="shared" si="206"/>
        <v>44858</v>
      </c>
      <c r="L71" s="29">
        <v>1.0999999999999999E-2</v>
      </c>
      <c r="P71" s="24">
        <f t="shared" ref="P71" si="208">P70+1</f>
        <v>44858</v>
      </c>
      <c r="Q71" s="29">
        <v>3.9140000000000001E-2</v>
      </c>
      <c r="R71" s="24">
        <f t="shared" ref="R71" si="209">R70+1</f>
        <v>44858</v>
      </c>
      <c r="S71" s="29">
        <v>3.9140000000000001E-2</v>
      </c>
      <c r="T71" s="24">
        <f t="shared" ref="T71" si="210">T70+1</f>
        <v>44858</v>
      </c>
      <c r="U71" s="29">
        <v>1.0999999999999999E-2</v>
      </c>
    </row>
    <row r="72" spans="7:21" ht="18" customHeight="1" x14ac:dyDescent="0.4">
      <c r="G72" s="24">
        <f t="shared" si="204"/>
        <v>44859</v>
      </c>
      <c r="H72" s="29">
        <f t="shared" si="205"/>
        <v>3.04E-2</v>
      </c>
      <c r="I72" s="24">
        <f t="shared" si="206"/>
        <v>44859</v>
      </c>
      <c r="J72" s="29">
        <f t="shared" si="207"/>
        <v>4.2140000000000004E-2</v>
      </c>
      <c r="K72" s="24">
        <f t="shared" si="206"/>
        <v>44859</v>
      </c>
      <c r="L72" s="29">
        <v>1.0999999999999999E-2</v>
      </c>
      <c r="P72" s="24">
        <f t="shared" ref="P72" si="211">P71+1</f>
        <v>44859</v>
      </c>
      <c r="Q72" s="29">
        <v>3.9140000000000001E-2</v>
      </c>
      <c r="R72" s="24">
        <f t="shared" ref="R72" si="212">R71+1</f>
        <v>44859</v>
      </c>
      <c r="S72" s="29">
        <v>3.9140000000000001E-2</v>
      </c>
      <c r="T72" s="24">
        <f t="shared" ref="T72" si="213">T71+1</f>
        <v>44859</v>
      </c>
      <c r="U72" s="29">
        <v>1.0999999999999999E-2</v>
      </c>
    </row>
    <row r="73" spans="7:21" ht="18" customHeight="1" x14ac:dyDescent="0.4">
      <c r="G73" s="24">
        <f t="shared" si="204"/>
        <v>44860</v>
      </c>
      <c r="H73" s="29">
        <f t="shared" si="205"/>
        <v>3.04E-2</v>
      </c>
      <c r="I73" s="24">
        <f t="shared" si="206"/>
        <v>44860</v>
      </c>
      <c r="J73" s="29">
        <f t="shared" si="207"/>
        <v>4.2140000000000004E-2</v>
      </c>
      <c r="K73" s="24">
        <f t="shared" si="206"/>
        <v>44860</v>
      </c>
      <c r="L73" s="29">
        <v>1.0999999999999999E-2</v>
      </c>
      <c r="P73" s="24">
        <f t="shared" ref="P73" si="214">P72+1</f>
        <v>44860</v>
      </c>
      <c r="Q73" s="29">
        <v>3.9140000000000001E-2</v>
      </c>
      <c r="R73" s="24">
        <f t="shared" ref="R73" si="215">R72+1</f>
        <v>44860</v>
      </c>
      <c r="S73" s="29">
        <v>3.9140000000000001E-2</v>
      </c>
      <c r="T73" s="24">
        <f t="shared" ref="T73" si="216">T72+1</f>
        <v>44860</v>
      </c>
      <c r="U73" s="29">
        <v>1.0999999999999999E-2</v>
      </c>
    </row>
    <row r="74" spans="7:21" ht="18" customHeight="1" x14ac:dyDescent="0.4">
      <c r="G74" s="24">
        <f t="shared" si="204"/>
        <v>44861</v>
      </c>
      <c r="H74" s="29">
        <f t="shared" si="205"/>
        <v>3.04E-2</v>
      </c>
      <c r="I74" s="24">
        <f t="shared" si="206"/>
        <v>44861</v>
      </c>
      <c r="J74" s="29">
        <f t="shared" si="207"/>
        <v>4.2140000000000004E-2</v>
      </c>
      <c r="K74" s="24">
        <f t="shared" si="206"/>
        <v>44861</v>
      </c>
      <c r="L74" s="29">
        <v>1.0999999999999999E-2</v>
      </c>
      <c r="P74" s="24">
        <f t="shared" ref="P74" si="217">P73+1</f>
        <v>44861</v>
      </c>
      <c r="Q74" s="29">
        <v>3.9140000000000001E-2</v>
      </c>
      <c r="R74" s="24">
        <f t="shared" ref="R74" si="218">R73+1</f>
        <v>44861</v>
      </c>
      <c r="S74" s="29">
        <v>3.9140000000000001E-2</v>
      </c>
      <c r="T74" s="24">
        <f t="shared" ref="T74" si="219">T73+1</f>
        <v>44861</v>
      </c>
      <c r="U74" s="29">
        <v>1.0999999999999999E-2</v>
      </c>
    </row>
    <row r="75" spans="7:21" ht="18" customHeight="1" x14ac:dyDescent="0.4">
      <c r="G75" s="24">
        <f t="shared" si="204"/>
        <v>44862</v>
      </c>
      <c r="H75" s="29">
        <f t="shared" si="205"/>
        <v>3.04E-2</v>
      </c>
      <c r="I75" s="24">
        <f t="shared" si="206"/>
        <v>44862</v>
      </c>
      <c r="J75" s="29">
        <f t="shared" si="207"/>
        <v>4.2140000000000004E-2</v>
      </c>
      <c r="K75" s="24">
        <f t="shared" si="206"/>
        <v>44862</v>
      </c>
      <c r="L75" s="29">
        <v>1.0999999999999999E-2</v>
      </c>
      <c r="P75" s="24">
        <f t="shared" ref="P75" si="220">P74+1</f>
        <v>44862</v>
      </c>
      <c r="Q75" s="29">
        <v>3.9140000000000001E-2</v>
      </c>
      <c r="R75" s="24">
        <f t="shared" ref="R75" si="221">R74+1</f>
        <v>44862</v>
      </c>
      <c r="S75" s="29">
        <v>3.9140000000000001E-2</v>
      </c>
      <c r="T75" s="24">
        <f t="shared" ref="T75" si="222">T74+1</f>
        <v>44862</v>
      </c>
      <c r="U75" s="29">
        <v>1.0999999999999999E-2</v>
      </c>
    </row>
    <row r="76" spans="7:21" ht="18" customHeight="1" x14ac:dyDescent="0.4">
      <c r="G76" s="24">
        <f t="shared" si="204"/>
        <v>44863</v>
      </c>
      <c r="H76" s="29">
        <f t="shared" si="205"/>
        <v>3.04E-2</v>
      </c>
      <c r="I76" s="24">
        <f t="shared" si="206"/>
        <v>44863</v>
      </c>
      <c r="J76" s="29">
        <f t="shared" si="207"/>
        <v>4.2140000000000004E-2</v>
      </c>
      <c r="K76" s="24">
        <f t="shared" si="206"/>
        <v>44863</v>
      </c>
      <c r="L76" s="29">
        <v>1.0999999999999999E-2</v>
      </c>
      <c r="P76" s="24">
        <f t="shared" ref="P76" si="223">P75+1</f>
        <v>44863</v>
      </c>
      <c r="Q76" s="29">
        <v>3.9140000000000001E-2</v>
      </c>
      <c r="R76" s="24">
        <f t="shared" ref="R76" si="224">R75+1</f>
        <v>44863</v>
      </c>
      <c r="S76" s="29">
        <v>3.9140000000000001E-2</v>
      </c>
      <c r="T76" s="24">
        <f t="shared" ref="T76" si="225">T75+1</f>
        <v>44863</v>
      </c>
      <c r="U76" s="29">
        <v>1.0999999999999999E-2</v>
      </c>
    </row>
    <row r="77" spans="7:21" ht="18" customHeight="1" x14ac:dyDescent="0.4">
      <c r="G77" s="24">
        <f t="shared" si="204"/>
        <v>44864</v>
      </c>
      <c r="H77" s="29">
        <f t="shared" si="205"/>
        <v>3.04E-2</v>
      </c>
      <c r="I77" s="24">
        <f t="shared" si="206"/>
        <v>44864</v>
      </c>
      <c r="J77" s="29">
        <f t="shared" si="207"/>
        <v>4.2140000000000004E-2</v>
      </c>
      <c r="K77" s="24">
        <f t="shared" si="206"/>
        <v>44864</v>
      </c>
      <c r="L77" s="29">
        <v>1.0999999999999999E-2</v>
      </c>
      <c r="P77" s="24">
        <f t="shared" ref="P77" si="226">P76+1</f>
        <v>44864</v>
      </c>
      <c r="Q77" s="29">
        <v>3.9140000000000001E-2</v>
      </c>
      <c r="R77" s="24">
        <f t="shared" ref="R77" si="227">R76+1</f>
        <v>44864</v>
      </c>
      <c r="S77" s="29">
        <v>3.9140000000000001E-2</v>
      </c>
      <c r="T77" s="24">
        <f t="shared" ref="T77" si="228">T76+1</f>
        <v>44864</v>
      </c>
      <c r="U77" s="29">
        <v>1.0999999999999999E-2</v>
      </c>
    </row>
    <row r="78" spans="7:21" ht="18" customHeight="1" x14ac:dyDescent="0.4">
      <c r="G78" s="24">
        <f t="shared" si="204"/>
        <v>44865</v>
      </c>
      <c r="H78" s="29">
        <f t="shared" si="205"/>
        <v>3.04E-2</v>
      </c>
      <c r="I78" s="24">
        <f t="shared" si="206"/>
        <v>44865</v>
      </c>
      <c r="J78" s="29">
        <f t="shared" si="207"/>
        <v>4.2140000000000004E-2</v>
      </c>
      <c r="K78" s="24">
        <f t="shared" si="206"/>
        <v>44865</v>
      </c>
      <c r="L78" s="29">
        <v>1.0999999999999999E-2</v>
      </c>
      <c r="P78" s="24">
        <f t="shared" ref="P78" si="229">P77+1</f>
        <v>44865</v>
      </c>
      <c r="Q78" s="29">
        <v>3.9140000000000001E-2</v>
      </c>
      <c r="R78" s="24">
        <f t="shared" ref="R78" si="230">R77+1</f>
        <v>44865</v>
      </c>
      <c r="S78" s="29">
        <v>3.9140000000000001E-2</v>
      </c>
      <c r="T78" s="24">
        <f t="shared" ref="T78" si="231">T77+1</f>
        <v>44865</v>
      </c>
      <c r="U78" s="29">
        <v>1.0999999999999999E-2</v>
      </c>
    </row>
    <row r="79" spans="7:21" ht="18" customHeight="1" x14ac:dyDescent="0.4">
      <c r="G79" s="24">
        <f t="shared" si="204"/>
        <v>44866</v>
      </c>
      <c r="H79" s="29">
        <f t="shared" si="205"/>
        <v>3.04E-2</v>
      </c>
      <c r="I79" s="24">
        <f t="shared" si="206"/>
        <v>44866</v>
      </c>
      <c r="J79" s="29">
        <f t="shared" si="207"/>
        <v>4.2140000000000004E-2</v>
      </c>
      <c r="K79" s="24">
        <f t="shared" si="206"/>
        <v>44866</v>
      </c>
      <c r="L79" s="29">
        <v>1.0999999999999999E-2</v>
      </c>
      <c r="P79" s="24">
        <f t="shared" ref="P79" si="232">P78+1</f>
        <v>44866</v>
      </c>
      <c r="Q79" s="29">
        <v>3.9140000000000001E-2</v>
      </c>
      <c r="R79" s="24">
        <f t="shared" ref="R79" si="233">R78+1</f>
        <v>44866</v>
      </c>
      <c r="S79" s="29">
        <v>3.9140000000000001E-2</v>
      </c>
      <c r="T79" s="24">
        <f t="shared" ref="T79" si="234">T78+1</f>
        <v>44866</v>
      </c>
      <c r="U79" s="29">
        <v>1.0999999999999999E-2</v>
      </c>
    </row>
    <row r="80" spans="7:21" ht="18" customHeight="1" x14ac:dyDescent="0.4">
      <c r="G80" s="24">
        <f t="shared" si="204"/>
        <v>44867</v>
      </c>
      <c r="H80" s="29">
        <f t="shared" si="205"/>
        <v>3.04E-2</v>
      </c>
      <c r="I80" s="24">
        <f t="shared" si="206"/>
        <v>44867</v>
      </c>
      <c r="J80" s="29">
        <f t="shared" si="207"/>
        <v>4.2140000000000004E-2</v>
      </c>
      <c r="K80" s="24">
        <f t="shared" si="206"/>
        <v>44867</v>
      </c>
      <c r="L80" s="29">
        <v>1.0999999999999999E-2</v>
      </c>
      <c r="P80" s="24">
        <f t="shared" ref="P80" si="235">P79+1</f>
        <v>44867</v>
      </c>
      <c r="Q80" s="29">
        <v>3.9140000000000001E-2</v>
      </c>
      <c r="R80" s="24">
        <f t="shared" ref="R80" si="236">R79+1</f>
        <v>44867</v>
      </c>
      <c r="S80" s="29">
        <v>3.9140000000000001E-2</v>
      </c>
      <c r="T80" s="24">
        <f t="shared" ref="T80" si="237">T79+1</f>
        <v>44867</v>
      </c>
      <c r="U80" s="29">
        <v>1.0999999999999999E-2</v>
      </c>
    </row>
    <row r="81" spans="7:21" ht="18" customHeight="1" x14ac:dyDescent="0.4">
      <c r="G81" s="24">
        <f t="shared" si="204"/>
        <v>44868</v>
      </c>
      <c r="H81" s="29">
        <f t="shared" si="205"/>
        <v>3.04E-2</v>
      </c>
      <c r="I81" s="24">
        <f t="shared" si="206"/>
        <v>44868</v>
      </c>
      <c r="J81" s="29">
        <f t="shared" si="207"/>
        <v>4.2140000000000004E-2</v>
      </c>
      <c r="K81" s="24">
        <f t="shared" si="206"/>
        <v>44868</v>
      </c>
      <c r="L81" s="29">
        <v>1.0999999999999999E-2</v>
      </c>
      <c r="P81" s="24">
        <f t="shared" ref="P81" si="238">P80+1</f>
        <v>44868</v>
      </c>
      <c r="Q81" s="29">
        <v>3.9140000000000001E-2</v>
      </c>
      <c r="R81" s="24">
        <f t="shared" ref="R81" si="239">R80+1</f>
        <v>44868</v>
      </c>
      <c r="S81" s="29">
        <v>3.9140000000000001E-2</v>
      </c>
      <c r="T81" s="24">
        <f t="shared" ref="T81" si="240">T80+1</f>
        <v>44868</v>
      </c>
      <c r="U81" s="29">
        <v>1.0999999999999999E-2</v>
      </c>
    </row>
    <row r="82" spans="7:21" ht="18" customHeight="1" x14ac:dyDescent="0.4">
      <c r="G82" s="24">
        <f t="shared" si="204"/>
        <v>44869</v>
      </c>
      <c r="H82" s="29">
        <f t="shared" si="205"/>
        <v>3.04E-2</v>
      </c>
      <c r="I82" s="24">
        <f t="shared" si="206"/>
        <v>44869</v>
      </c>
      <c r="J82" s="29">
        <f t="shared" si="207"/>
        <v>4.2140000000000004E-2</v>
      </c>
      <c r="K82" s="24">
        <f t="shared" si="206"/>
        <v>44869</v>
      </c>
      <c r="L82" s="29">
        <v>1.0999999999999999E-2</v>
      </c>
      <c r="P82" s="24">
        <f t="shared" ref="P82" si="241">P81+1</f>
        <v>44869</v>
      </c>
      <c r="Q82" s="29">
        <v>3.9140000000000001E-2</v>
      </c>
      <c r="R82" s="24">
        <f t="shared" ref="R82" si="242">R81+1</f>
        <v>44869</v>
      </c>
      <c r="S82" s="29">
        <v>3.9140000000000001E-2</v>
      </c>
      <c r="T82" s="24">
        <f t="shared" ref="T82" si="243">T81+1</f>
        <v>44869</v>
      </c>
      <c r="U82" s="29">
        <v>1.0999999999999999E-2</v>
      </c>
    </row>
    <row r="83" spans="7:21" ht="18" customHeight="1" x14ac:dyDescent="0.4">
      <c r="G83" s="24">
        <f t="shared" si="204"/>
        <v>44870</v>
      </c>
      <c r="H83" s="29">
        <f t="shared" si="205"/>
        <v>3.04E-2</v>
      </c>
      <c r="I83" s="24">
        <f t="shared" si="206"/>
        <v>44870</v>
      </c>
      <c r="J83" s="29">
        <f t="shared" si="207"/>
        <v>4.2140000000000004E-2</v>
      </c>
      <c r="K83" s="24">
        <f t="shared" si="206"/>
        <v>44870</v>
      </c>
      <c r="L83" s="29">
        <v>1.0999999999999999E-2</v>
      </c>
      <c r="P83" s="24">
        <f t="shared" ref="P83" si="244">P82+1</f>
        <v>44870</v>
      </c>
      <c r="Q83" s="29">
        <v>3.9140000000000001E-2</v>
      </c>
      <c r="R83" s="24">
        <f t="shared" ref="R83" si="245">R82+1</f>
        <v>44870</v>
      </c>
      <c r="S83" s="29">
        <v>3.9140000000000001E-2</v>
      </c>
      <c r="T83" s="24">
        <f t="shared" ref="T83" si="246">T82+1</f>
        <v>44870</v>
      </c>
      <c r="U83" s="29">
        <v>1.0999999999999999E-2</v>
      </c>
    </row>
    <row r="84" spans="7:21" ht="18" customHeight="1" x14ac:dyDescent="0.4">
      <c r="G84" s="24">
        <f t="shared" si="204"/>
        <v>44871</v>
      </c>
      <c r="H84" s="29">
        <f t="shared" si="205"/>
        <v>3.04E-2</v>
      </c>
      <c r="I84" s="24">
        <f t="shared" si="206"/>
        <v>44871</v>
      </c>
      <c r="J84" s="29">
        <f t="shared" si="207"/>
        <v>4.2140000000000004E-2</v>
      </c>
      <c r="K84" s="24">
        <f t="shared" si="206"/>
        <v>44871</v>
      </c>
      <c r="L84" s="29">
        <v>1.0999999999999999E-2</v>
      </c>
      <c r="P84" s="24">
        <f t="shared" ref="P84" si="247">P83+1</f>
        <v>44871</v>
      </c>
      <c r="Q84" s="29">
        <v>3.9140000000000001E-2</v>
      </c>
      <c r="R84" s="24">
        <f t="shared" ref="R84" si="248">R83+1</f>
        <v>44871</v>
      </c>
      <c r="S84" s="29">
        <v>3.9140000000000001E-2</v>
      </c>
      <c r="T84" s="24">
        <f t="shared" ref="T84" si="249">T83+1</f>
        <v>44871</v>
      </c>
      <c r="U84" s="29">
        <v>1.0999999999999999E-2</v>
      </c>
    </row>
    <row r="85" spans="7:21" ht="18" customHeight="1" x14ac:dyDescent="0.4">
      <c r="G85" s="24">
        <f t="shared" si="204"/>
        <v>44872</v>
      </c>
      <c r="H85" s="29">
        <f t="shared" si="205"/>
        <v>3.04E-2</v>
      </c>
      <c r="I85" s="24">
        <f t="shared" si="206"/>
        <v>44872</v>
      </c>
      <c r="J85" s="29">
        <f t="shared" si="207"/>
        <v>4.2140000000000004E-2</v>
      </c>
      <c r="K85" s="24">
        <f t="shared" si="206"/>
        <v>44872</v>
      </c>
      <c r="L85" s="29">
        <v>1.0999999999999999E-2</v>
      </c>
      <c r="P85" s="24">
        <f t="shared" ref="P85" si="250">P84+1</f>
        <v>44872</v>
      </c>
      <c r="Q85" s="29">
        <v>3.9140000000000001E-2</v>
      </c>
      <c r="R85" s="24">
        <f t="shared" ref="R85" si="251">R84+1</f>
        <v>44872</v>
      </c>
      <c r="S85" s="29">
        <v>3.9140000000000001E-2</v>
      </c>
      <c r="T85" s="24">
        <f t="shared" ref="T85" si="252">T84+1</f>
        <v>44872</v>
      </c>
      <c r="U85" s="29">
        <v>1.0999999999999999E-2</v>
      </c>
    </row>
    <row r="86" spans="7:21" ht="18" customHeight="1" x14ac:dyDescent="0.4">
      <c r="G86" s="24">
        <f t="shared" si="204"/>
        <v>44873</v>
      </c>
      <c r="H86" s="29">
        <f t="shared" si="205"/>
        <v>3.04E-2</v>
      </c>
      <c r="I86" s="24">
        <f t="shared" si="206"/>
        <v>44873</v>
      </c>
      <c r="J86" s="29">
        <f t="shared" si="207"/>
        <v>4.2140000000000004E-2</v>
      </c>
      <c r="K86" s="24">
        <f t="shared" si="206"/>
        <v>44873</v>
      </c>
      <c r="L86" s="29">
        <v>1.0999999999999999E-2</v>
      </c>
      <c r="P86" s="24">
        <f t="shared" ref="P86" si="253">P85+1</f>
        <v>44873</v>
      </c>
      <c r="Q86" s="29">
        <v>3.9140000000000001E-2</v>
      </c>
      <c r="R86" s="24">
        <f t="shared" ref="R86" si="254">R85+1</f>
        <v>44873</v>
      </c>
      <c r="S86" s="29">
        <v>3.9140000000000001E-2</v>
      </c>
      <c r="T86" s="24">
        <f t="shared" ref="T86" si="255">T85+1</f>
        <v>44873</v>
      </c>
      <c r="U86" s="29">
        <v>1.0999999999999999E-2</v>
      </c>
    </row>
    <row r="87" spans="7:21" ht="18" customHeight="1" x14ac:dyDescent="0.4">
      <c r="G87" s="24">
        <f t="shared" si="204"/>
        <v>44874</v>
      </c>
      <c r="H87" s="29">
        <f t="shared" si="205"/>
        <v>3.04E-2</v>
      </c>
      <c r="I87" s="24">
        <f t="shared" si="206"/>
        <v>44874</v>
      </c>
      <c r="J87" s="29">
        <f t="shared" si="207"/>
        <v>4.2140000000000004E-2</v>
      </c>
      <c r="K87" s="24">
        <f t="shared" si="206"/>
        <v>44874</v>
      </c>
      <c r="L87" s="29">
        <v>1.0999999999999999E-2</v>
      </c>
      <c r="P87" s="24">
        <f t="shared" ref="P87" si="256">P86+1</f>
        <v>44874</v>
      </c>
      <c r="Q87" s="29">
        <v>3.9140000000000001E-2</v>
      </c>
      <c r="R87" s="24">
        <f t="shared" ref="R87" si="257">R86+1</f>
        <v>44874</v>
      </c>
      <c r="S87" s="29">
        <v>3.9140000000000001E-2</v>
      </c>
      <c r="T87" s="24">
        <f t="shared" ref="T87" si="258">T86+1</f>
        <v>44874</v>
      </c>
      <c r="U87" s="29">
        <v>1.0999999999999999E-2</v>
      </c>
    </row>
    <row r="88" spans="7:21" ht="18" customHeight="1" x14ac:dyDescent="0.4">
      <c r="G88" s="24">
        <f t="shared" si="204"/>
        <v>44875</v>
      </c>
      <c r="H88" s="29">
        <f t="shared" si="205"/>
        <v>3.04E-2</v>
      </c>
      <c r="I88" s="24">
        <f t="shared" si="206"/>
        <v>44875</v>
      </c>
      <c r="J88" s="29">
        <f t="shared" si="207"/>
        <v>4.2140000000000004E-2</v>
      </c>
      <c r="K88" s="24">
        <f t="shared" si="206"/>
        <v>44875</v>
      </c>
      <c r="L88" s="29">
        <v>1.0999999999999999E-2</v>
      </c>
      <c r="P88" s="24">
        <f t="shared" ref="P88" si="259">P87+1</f>
        <v>44875</v>
      </c>
      <c r="Q88" s="29">
        <v>3.9140000000000001E-2</v>
      </c>
      <c r="R88" s="24">
        <f t="shared" ref="R88" si="260">R87+1</f>
        <v>44875</v>
      </c>
      <c r="S88" s="29">
        <v>3.9140000000000001E-2</v>
      </c>
      <c r="T88" s="24">
        <f t="shared" ref="T88" si="261">T87+1</f>
        <v>44875</v>
      </c>
      <c r="U88" s="29">
        <v>1.0999999999999999E-2</v>
      </c>
    </row>
    <row r="89" spans="7:21" ht="18" customHeight="1" x14ac:dyDescent="0.4">
      <c r="G89" s="24">
        <f t="shared" si="204"/>
        <v>44876</v>
      </c>
      <c r="H89" s="29">
        <f t="shared" si="205"/>
        <v>3.04E-2</v>
      </c>
      <c r="I89" s="24">
        <f t="shared" si="206"/>
        <v>44876</v>
      </c>
      <c r="J89" s="29">
        <f t="shared" si="207"/>
        <v>4.2140000000000004E-2</v>
      </c>
      <c r="K89" s="24">
        <f t="shared" si="206"/>
        <v>44876</v>
      </c>
      <c r="L89" s="29">
        <v>1.0999999999999999E-2</v>
      </c>
      <c r="P89" s="24">
        <f t="shared" ref="P89" si="262">P88+1</f>
        <v>44876</v>
      </c>
      <c r="Q89" s="29">
        <v>3.9140000000000001E-2</v>
      </c>
      <c r="R89" s="24">
        <f t="shared" ref="R89" si="263">R88+1</f>
        <v>44876</v>
      </c>
      <c r="S89" s="29">
        <v>3.9140000000000001E-2</v>
      </c>
      <c r="T89" s="24">
        <f t="shared" ref="T89" si="264">T88+1</f>
        <v>44876</v>
      </c>
      <c r="U89" s="29">
        <v>1.0999999999999999E-2</v>
      </c>
    </row>
    <row r="90" spans="7:21" ht="18" customHeight="1" x14ac:dyDescent="0.4">
      <c r="G90" s="24">
        <f t="shared" si="204"/>
        <v>44877</v>
      </c>
      <c r="H90" s="29">
        <f t="shared" si="205"/>
        <v>3.04E-2</v>
      </c>
      <c r="I90" s="24">
        <f t="shared" si="206"/>
        <v>44877</v>
      </c>
      <c r="J90" s="29">
        <f t="shared" si="207"/>
        <v>4.2140000000000004E-2</v>
      </c>
      <c r="K90" s="24">
        <f t="shared" si="206"/>
        <v>44877</v>
      </c>
      <c r="L90" s="29">
        <v>1.0999999999999999E-2</v>
      </c>
      <c r="P90" s="24">
        <f t="shared" ref="P90" si="265">P89+1</f>
        <v>44877</v>
      </c>
      <c r="Q90" s="29">
        <v>3.9140000000000001E-2</v>
      </c>
      <c r="R90" s="24">
        <f t="shared" ref="R90" si="266">R89+1</f>
        <v>44877</v>
      </c>
      <c r="S90" s="29">
        <v>3.9140000000000001E-2</v>
      </c>
      <c r="T90" s="24">
        <f t="shared" ref="T90" si="267">T89+1</f>
        <v>44877</v>
      </c>
      <c r="U90" s="29">
        <v>1.0999999999999999E-2</v>
      </c>
    </row>
    <row r="91" spans="7:21" ht="18" customHeight="1" x14ac:dyDescent="0.4">
      <c r="G91" s="24">
        <f t="shared" si="204"/>
        <v>44878</v>
      </c>
      <c r="H91" s="29">
        <f t="shared" si="205"/>
        <v>3.04E-2</v>
      </c>
      <c r="I91" s="24">
        <f t="shared" si="206"/>
        <v>44878</v>
      </c>
      <c r="J91" s="29">
        <f t="shared" si="207"/>
        <v>4.2140000000000004E-2</v>
      </c>
      <c r="K91" s="24">
        <f t="shared" si="206"/>
        <v>44878</v>
      </c>
      <c r="L91" s="29">
        <v>1.0999999999999999E-2</v>
      </c>
      <c r="P91" s="24">
        <f t="shared" ref="P91" si="268">P90+1</f>
        <v>44878</v>
      </c>
      <c r="Q91" s="29">
        <v>3.9140000000000001E-2</v>
      </c>
      <c r="R91" s="24">
        <f t="shared" ref="R91" si="269">R90+1</f>
        <v>44878</v>
      </c>
      <c r="S91" s="29">
        <v>3.9140000000000001E-2</v>
      </c>
      <c r="T91" s="24">
        <f t="shared" ref="T91" si="270">T90+1</f>
        <v>44878</v>
      </c>
      <c r="U91" s="29">
        <v>1.0999999999999999E-2</v>
      </c>
    </row>
    <row r="92" spans="7:21" ht="18" customHeight="1" x14ac:dyDescent="0.4">
      <c r="G92" s="24">
        <f t="shared" si="204"/>
        <v>44879</v>
      </c>
      <c r="H92" s="29">
        <f t="shared" si="205"/>
        <v>3.04E-2</v>
      </c>
      <c r="I92" s="24">
        <f t="shared" si="206"/>
        <v>44879</v>
      </c>
      <c r="J92" s="29">
        <f t="shared" si="207"/>
        <v>4.2140000000000004E-2</v>
      </c>
      <c r="K92" s="24">
        <f t="shared" si="206"/>
        <v>44879</v>
      </c>
      <c r="L92" s="29">
        <v>1.0999999999999999E-2</v>
      </c>
      <c r="P92" s="24">
        <f t="shared" ref="P92" si="271">P91+1</f>
        <v>44879</v>
      </c>
      <c r="Q92" s="29">
        <v>3.9140000000000001E-2</v>
      </c>
      <c r="R92" s="24">
        <f t="shared" ref="R92" si="272">R91+1</f>
        <v>44879</v>
      </c>
      <c r="S92" s="29">
        <v>3.9140000000000001E-2</v>
      </c>
      <c r="T92" s="24">
        <f t="shared" ref="T92" si="273">T91+1</f>
        <v>44879</v>
      </c>
      <c r="U92" s="29">
        <v>1.0999999999999999E-2</v>
      </c>
    </row>
    <row r="93" spans="7:21" ht="18" customHeight="1" x14ac:dyDescent="0.4">
      <c r="G93" s="24">
        <f t="shared" si="204"/>
        <v>44880</v>
      </c>
      <c r="H93" s="29">
        <f t="shared" si="205"/>
        <v>3.04E-2</v>
      </c>
      <c r="I93" s="24">
        <f t="shared" si="206"/>
        <v>44880</v>
      </c>
      <c r="J93" s="29">
        <f t="shared" si="207"/>
        <v>4.2140000000000004E-2</v>
      </c>
      <c r="K93" s="24">
        <f t="shared" si="206"/>
        <v>44880</v>
      </c>
      <c r="L93" s="29">
        <v>1.0999999999999999E-2</v>
      </c>
      <c r="P93" s="24">
        <f t="shared" ref="P93" si="274">P92+1</f>
        <v>44880</v>
      </c>
      <c r="Q93" s="29">
        <v>3.9140000000000001E-2</v>
      </c>
      <c r="R93" s="24">
        <f t="shared" ref="R93" si="275">R92+1</f>
        <v>44880</v>
      </c>
      <c r="S93" s="29">
        <v>3.9140000000000001E-2</v>
      </c>
      <c r="T93" s="24">
        <f t="shared" ref="T93" si="276">T92+1</f>
        <v>44880</v>
      </c>
      <c r="U93" s="29">
        <v>1.0999999999999999E-2</v>
      </c>
    </row>
    <row r="94" spans="7:21" ht="18" customHeight="1" x14ac:dyDescent="0.4">
      <c r="G94" s="24">
        <f t="shared" si="204"/>
        <v>44881</v>
      </c>
      <c r="H94" s="29">
        <f t="shared" si="205"/>
        <v>3.04E-2</v>
      </c>
      <c r="I94" s="24">
        <f t="shared" si="206"/>
        <v>44881</v>
      </c>
      <c r="J94" s="29">
        <f t="shared" si="207"/>
        <v>4.2140000000000004E-2</v>
      </c>
      <c r="K94" s="24">
        <f t="shared" si="206"/>
        <v>44881</v>
      </c>
      <c r="L94" s="29">
        <v>1.0999999999999999E-2</v>
      </c>
      <c r="P94" s="24">
        <f t="shared" ref="P94" si="277">P93+1</f>
        <v>44881</v>
      </c>
      <c r="Q94" s="29">
        <v>3.9140000000000001E-2</v>
      </c>
      <c r="R94" s="24">
        <f t="shared" ref="R94" si="278">R93+1</f>
        <v>44881</v>
      </c>
      <c r="S94" s="29">
        <v>3.9140000000000001E-2</v>
      </c>
      <c r="T94" s="24">
        <f t="shared" ref="T94" si="279">T93+1</f>
        <v>44881</v>
      </c>
      <c r="U94" s="29">
        <v>1.0999999999999999E-2</v>
      </c>
    </row>
    <row r="95" spans="7:21" ht="18" customHeight="1" x14ac:dyDescent="0.4">
      <c r="G95" s="24">
        <f t="shared" si="204"/>
        <v>44882</v>
      </c>
      <c r="H95" s="29">
        <f t="shared" si="205"/>
        <v>3.04E-2</v>
      </c>
      <c r="I95" s="24">
        <f t="shared" si="206"/>
        <v>44882</v>
      </c>
      <c r="J95" s="29">
        <f t="shared" si="207"/>
        <v>4.2140000000000004E-2</v>
      </c>
      <c r="K95" s="24">
        <f t="shared" si="206"/>
        <v>44882</v>
      </c>
      <c r="L95" s="29">
        <v>1.0999999999999999E-2</v>
      </c>
      <c r="P95" s="24">
        <f t="shared" ref="P95" si="280">P94+1</f>
        <v>44882</v>
      </c>
      <c r="Q95" s="29">
        <v>3.9140000000000001E-2</v>
      </c>
      <c r="R95" s="24">
        <f t="shared" ref="R95" si="281">R94+1</f>
        <v>44882</v>
      </c>
      <c r="S95" s="29">
        <v>3.9140000000000001E-2</v>
      </c>
      <c r="T95" s="24">
        <f t="shared" ref="T95" si="282">T94+1</f>
        <v>44882</v>
      </c>
      <c r="U95" s="29">
        <v>1.0999999999999999E-2</v>
      </c>
    </row>
    <row r="96" spans="7:21" ht="18" customHeight="1" x14ac:dyDescent="0.4">
      <c r="G96" s="24">
        <f t="shared" si="204"/>
        <v>44883</v>
      </c>
      <c r="H96" s="29">
        <f t="shared" si="205"/>
        <v>3.04E-2</v>
      </c>
      <c r="I96" s="24">
        <f t="shared" si="206"/>
        <v>44883</v>
      </c>
      <c r="J96" s="29">
        <f t="shared" si="207"/>
        <v>4.2140000000000004E-2</v>
      </c>
      <c r="K96" s="24">
        <f t="shared" si="206"/>
        <v>44883</v>
      </c>
      <c r="L96" s="29">
        <v>1.0999999999999999E-2</v>
      </c>
      <c r="P96" s="24">
        <f t="shared" ref="P96" si="283">P95+1</f>
        <v>44883</v>
      </c>
      <c r="Q96" s="29">
        <v>3.9140000000000001E-2</v>
      </c>
      <c r="R96" s="24">
        <f t="shared" ref="R96" si="284">R95+1</f>
        <v>44883</v>
      </c>
      <c r="S96" s="29">
        <v>3.9140000000000001E-2</v>
      </c>
      <c r="T96" s="24">
        <f t="shared" ref="T96" si="285">T95+1</f>
        <v>44883</v>
      </c>
      <c r="U96" s="29">
        <v>1.0999999999999999E-2</v>
      </c>
    </row>
    <row r="97" spans="7:21" ht="18" customHeight="1" x14ac:dyDescent="0.4">
      <c r="G97" s="24">
        <f t="shared" si="204"/>
        <v>44884</v>
      </c>
      <c r="H97" s="29">
        <f t="shared" si="205"/>
        <v>3.04E-2</v>
      </c>
      <c r="I97" s="24">
        <f t="shared" si="206"/>
        <v>44884</v>
      </c>
      <c r="J97" s="29">
        <f t="shared" si="207"/>
        <v>4.2140000000000004E-2</v>
      </c>
      <c r="K97" s="24">
        <f t="shared" si="206"/>
        <v>44884</v>
      </c>
      <c r="L97" s="29">
        <v>1.0999999999999999E-2</v>
      </c>
      <c r="P97" s="24">
        <f t="shared" ref="P97" si="286">P96+1</f>
        <v>44884</v>
      </c>
      <c r="Q97" s="29">
        <v>3.9140000000000001E-2</v>
      </c>
      <c r="R97" s="24">
        <f t="shared" ref="R97" si="287">R96+1</f>
        <v>44884</v>
      </c>
      <c r="S97" s="29">
        <v>3.9140000000000001E-2</v>
      </c>
      <c r="T97" s="24">
        <f t="shared" ref="T97" si="288">T96+1</f>
        <v>44884</v>
      </c>
      <c r="U97" s="29">
        <v>1.0999999999999999E-2</v>
      </c>
    </row>
    <row r="98" spans="7:21" ht="18" customHeight="1" x14ac:dyDescent="0.4">
      <c r="G98" s="24">
        <f t="shared" si="204"/>
        <v>44885</v>
      </c>
      <c r="H98" s="29">
        <f t="shared" si="205"/>
        <v>3.04E-2</v>
      </c>
      <c r="I98" s="24">
        <f t="shared" si="206"/>
        <v>44885</v>
      </c>
      <c r="J98" s="29">
        <f t="shared" si="207"/>
        <v>4.2140000000000004E-2</v>
      </c>
      <c r="K98" s="24">
        <f t="shared" si="206"/>
        <v>44885</v>
      </c>
      <c r="L98" s="29">
        <v>1.0999999999999999E-2</v>
      </c>
      <c r="P98" s="24">
        <f t="shared" ref="P98" si="289">P97+1</f>
        <v>44885</v>
      </c>
      <c r="Q98" s="29">
        <v>3.9140000000000001E-2</v>
      </c>
      <c r="R98" s="24">
        <f t="shared" ref="R98" si="290">R97+1</f>
        <v>44885</v>
      </c>
      <c r="S98" s="29">
        <v>3.9140000000000001E-2</v>
      </c>
      <c r="T98" s="24">
        <f t="shared" ref="T98" si="291">T97+1</f>
        <v>44885</v>
      </c>
      <c r="U98" s="29">
        <v>1.0999999999999999E-2</v>
      </c>
    </row>
    <row r="99" spans="7:21" ht="18" customHeight="1" x14ac:dyDescent="0.4">
      <c r="G99" s="24">
        <f t="shared" si="204"/>
        <v>44886</v>
      </c>
      <c r="H99" s="29">
        <f t="shared" si="205"/>
        <v>3.04E-2</v>
      </c>
      <c r="I99" s="24">
        <f t="shared" si="206"/>
        <v>44886</v>
      </c>
      <c r="J99" s="29">
        <f t="shared" si="207"/>
        <v>4.2140000000000004E-2</v>
      </c>
      <c r="K99" s="24">
        <f t="shared" si="206"/>
        <v>44886</v>
      </c>
      <c r="L99" s="29">
        <v>1.0999999999999999E-2</v>
      </c>
      <c r="P99" s="24">
        <f t="shared" ref="P99" si="292">P98+1</f>
        <v>44886</v>
      </c>
      <c r="Q99" s="29">
        <v>3.9140000000000001E-2</v>
      </c>
      <c r="R99" s="24">
        <f t="shared" ref="R99" si="293">R98+1</f>
        <v>44886</v>
      </c>
      <c r="S99" s="29">
        <v>3.9140000000000001E-2</v>
      </c>
      <c r="T99" s="24">
        <f t="shared" ref="T99" si="294">T98+1</f>
        <v>44886</v>
      </c>
      <c r="U99" s="29">
        <v>1.0999999999999999E-2</v>
      </c>
    </row>
    <row r="100" spans="7:21" ht="18" customHeight="1" x14ac:dyDescent="0.4">
      <c r="G100" s="24">
        <f t="shared" si="204"/>
        <v>44887</v>
      </c>
      <c r="H100" s="29">
        <f t="shared" si="205"/>
        <v>3.04E-2</v>
      </c>
      <c r="I100" s="24">
        <f t="shared" si="206"/>
        <v>44887</v>
      </c>
      <c r="J100" s="29">
        <f t="shared" si="207"/>
        <v>4.2140000000000004E-2</v>
      </c>
      <c r="K100" s="24">
        <f t="shared" si="206"/>
        <v>44887</v>
      </c>
      <c r="L100" s="29">
        <v>1.0999999999999999E-2</v>
      </c>
      <c r="P100" s="24">
        <f t="shared" ref="P100" si="295">P99+1</f>
        <v>44887</v>
      </c>
      <c r="Q100" s="29">
        <v>3.9140000000000001E-2</v>
      </c>
      <c r="R100" s="24">
        <f t="shared" ref="R100" si="296">R99+1</f>
        <v>44887</v>
      </c>
      <c r="S100" s="29">
        <v>3.9140000000000001E-2</v>
      </c>
      <c r="T100" s="24">
        <f t="shared" ref="T100" si="297">T99+1</f>
        <v>44887</v>
      </c>
      <c r="U100" s="29">
        <v>1.0999999999999999E-2</v>
      </c>
    </row>
    <row r="101" spans="7:21" ht="18" customHeight="1" x14ac:dyDescent="0.4">
      <c r="G101" s="24">
        <f t="shared" si="204"/>
        <v>44888</v>
      </c>
      <c r="H101" s="29">
        <f t="shared" si="205"/>
        <v>3.04E-2</v>
      </c>
      <c r="I101" s="24">
        <f t="shared" si="206"/>
        <v>44888</v>
      </c>
      <c r="J101" s="29">
        <f t="shared" si="207"/>
        <v>4.2140000000000004E-2</v>
      </c>
      <c r="K101" s="24">
        <f t="shared" si="206"/>
        <v>44888</v>
      </c>
      <c r="L101" s="29">
        <v>1.0999999999999999E-2</v>
      </c>
      <c r="P101" s="24">
        <f t="shared" ref="P101" si="298">P100+1</f>
        <v>44888</v>
      </c>
      <c r="Q101" s="29">
        <v>3.9140000000000001E-2</v>
      </c>
      <c r="R101" s="24">
        <f t="shared" ref="R101" si="299">R100+1</f>
        <v>44888</v>
      </c>
      <c r="S101" s="29">
        <v>3.9140000000000001E-2</v>
      </c>
      <c r="T101" s="24">
        <f t="shared" ref="T101" si="300">T100+1</f>
        <v>44888</v>
      </c>
      <c r="U101" s="29">
        <v>1.0999999999999999E-2</v>
      </c>
    </row>
    <row r="102" spans="7:21" ht="18" customHeight="1" x14ac:dyDescent="0.4">
      <c r="G102" s="24">
        <f t="shared" si="204"/>
        <v>44889</v>
      </c>
      <c r="H102" s="29">
        <f t="shared" si="205"/>
        <v>3.04E-2</v>
      </c>
      <c r="I102" s="24">
        <f t="shared" si="206"/>
        <v>44889</v>
      </c>
      <c r="J102" s="29">
        <f t="shared" si="207"/>
        <v>4.2140000000000004E-2</v>
      </c>
      <c r="K102" s="24">
        <f t="shared" si="206"/>
        <v>44889</v>
      </c>
      <c r="L102" s="29">
        <v>1.0999999999999999E-2</v>
      </c>
      <c r="P102" s="24">
        <f t="shared" ref="P102" si="301">P101+1</f>
        <v>44889</v>
      </c>
      <c r="Q102" s="29">
        <v>3.9140000000000001E-2</v>
      </c>
      <c r="R102" s="24">
        <f t="shared" ref="R102" si="302">R101+1</f>
        <v>44889</v>
      </c>
      <c r="S102" s="29">
        <v>3.9140000000000001E-2</v>
      </c>
      <c r="T102" s="24">
        <f t="shared" ref="T102" si="303">T101+1</f>
        <v>44889</v>
      </c>
      <c r="U102" s="29">
        <v>1.0999999999999999E-2</v>
      </c>
    </row>
    <row r="103" spans="7:21" ht="18" customHeight="1" x14ac:dyDescent="0.4">
      <c r="G103" s="24">
        <f t="shared" si="204"/>
        <v>44890</v>
      </c>
      <c r="H103" s="29">
        <f t="shared" si="205"/>
        <v>3.04E-2</v>
      </c>
      <c r="I103" s="24">
        <f t="shared" si="206"/>
        <v>44890</v>
      </c>
      <c r="J103" s="29">
        <f t="shared" si="207"/>
        <v>4.2140000000000004E-2</v>
      </c>
      <c r="K103" s="24">
        <f t="shared" si="206"/>
        <v>44890</v>
      </c>
      <c r="L103" s="29">
        <v>1.0999999999999999E-2</v>
      </c>
      <c r="P103" s="24">
        <f t="shared" ref="P103" si="304">P102+1</f>
        <v>44890</v>
      </c>
      <c r="Q103" s="29">
        <v>3.9140000000000001E-2</v>
      </c>
      <c r="R103" s="24">
        <f t="shared" ref="R103" si="305">R102+1</f>
        <v>44890</v>
      </c>
      <c r="S103" s="29">
        <v>3.9140000000000001E-2</v>
      </c>
      <c r="T103" s="24">
        <f t="shared" ref="T103" si="306">T102+1</f>
        <v>44890</v>
      </c>
      <c r="U103" s="29">
        <v>1.0999999999999999E-2</v>
      </c>
    </row>
    <row r="104" spans="7:21" ht="18" customHeight="1" x14ac:dyDescent="0.4">
      <c r="G104" s="24">
        <f t="shared" si="204"/>
        <v>44891</v>
      </c>
      <c r="H104" s="29">
        <f t="shared" si="205"/>
        <v>3.04E-2</v>
      </c>
      <c r="I104" s="24">
        <f t="shared" si="206"/>
        <v>44891</v>
      </c>
      <c r="J104" s="29">
        <f t="shared" si="207"/>
        <v>4.2140000000000004E-2</v>
      </c>
      <c r="K104" s="24">
        <f t="shared" si="206"/>
        <v>44891</v>
      </c>
      <c r="L104" s="29">
        <v>1.0999999999999999E-2</v>
      </c>
      <c r="P104" s="24">
        <f t="shared" ref="P104" si="307">P103+1</f>
        <v>44891</v>
      </c>
      <c r="Q104" s="29">
        <v>3.9140000000000001E-2</v>
      </c>
      <c r="R104" s="24">
        <f t="shared" ref="R104" si="308">R103+1</f>
        <v>44891</v>
      </c>
      <c r="S104" s="29">
        <v>3.9140000000000001E-2</v>
      </c>
      <c r="T104" s="24">
        <f t="shared" ref="T104" si="309">T103+1</f>
        <v>44891</v>
      </c>
      <c r="U104" s="29">
        <v>1.0999999999999999E-2</v>
      </c>
    </row>
    <row r="105" spans="7:21" ht="18" customHeight="1" x14ac:dyDescent="0.4">
      <c r="G105" s="24">
        <f t="shared" si="204"/>
        <v>44892</v>
      </c>
      <c r="H105" s="29">
        <f t="shared" si="205"/>
        <v>3.04E-2</v>
      </c>
      <c r="I105" s="24">
        <f t="shared" si="206"/>
        <v>44892</v>
      </c>
      <c r="J105" s="29">
        <f t="shared" si="207"/>
        <v>4.2140000000000004E-2</v>
      </c>
      <c r="K105" s="24">
        <f t="shared" si="206"/>
        <v>44892</v>
      </c>
      <c r="L105" s="29">
        <v>1.0999999999999999E-2</v>
      </c>
      <c r="P105" s="24">
        <f t="shared" ref="P105" si="310">P104+1</f>
        <v>44892</v>
      </c>
      <c r="Q105" s="29">
        <v>3.9140000000000001E-2</v>
      </c>
      <c r="R105" s="24">
        <f t="shared" ref="R105" si="311">R104+1</f>
        <v>44892</v>
      </c>
      <c r="S105" s="29">
        <v>3.9140000000000001E-2</v>
      </c>
      <c r="T105" s="24">
        <f t="shared" ref="T105" si="312">T104+1</f>
        <v>44892</v>
      </c>
      <c r="U105" s="29">
        <v>1.0999999999999999E-2</v>
      </c>
    </row>
    <row r="106" spans="7:21" ht="18" customHeight="1" x14ac:dyDescent="0.4">
      <c r="G106" s="24">
        <f t="shared" si="204"/>
        <v>44893</v>
      </c>
      <c r="H106" s="29">
        <f t="shared" si="205"/>
        <v>3.04E-2</v>
      </c>
      <c r="I106" s="24">
        <f t="shared" si="206"/>
        <v>44893</v>
      </c>
      <c r="J106" s="29">
        <f t="shared" si="207"/>
        <v>4.2140000000000004E-2</v>
      </c>
      <c r="K106" s="24">
        <f t="shared" si="206"/>
        <v>44893</v>
      </c>
      <c r="L106" s="29">
        <v>1.0999999999999999E-2</v>
      </c>
      <c r="P106" s="24">
        <f t="shared" ref="P106" si="313">P105+1</f>
        <v>44893</v>
      </c>
      <c r="Q106" s="29">
        <v>3.9140000000000001E-2</v>
      </c>
      <c r="R106" s="24">
        <f t="shared" ref="R106" si="314">R105+1</f>
        <v>44893</v>
      </c>
      <c r="S106" s="29">
        <v>3.9140000000000001E-2</v>
      </c>
      <c r="T106" s="24">
        <f t="shared" ref="T106" si="315">T105+1</f>
        <v>44893</v>
      </c>
      <c r="U106" s="29">
        <v>1.0999999999999999E-2</v>
      </c>
    </row>
    <row r="107" spans="7:21" ht="18" customHeight="1" x14ac:dyDescent="0.4">
      <c r="G107" s="24">
        <f t="shared" si="204"/>
        <v>44894</v>
      </c>
      <c r="H107" s="29">
        <f t="shared" si="205"/>
        <v>3.04E-2</v>
      </c>
      <c r="I107" s="24">
        <f t="shared" si="206"/>
        <v>44894</v>
      </c>
      <c r="J107" s="29">
        <f t="shared" si="207"/>
        <v>4.2140000000000004E-2</v>
      </c>
      <c r="K107" s="24">
        <f t="shared" si="206"/>
        <v>44894</v>
      </c>
      <c r="L107" s="29">
        <v>1.0999999999999999E-2</v>
      </c>
      <c r="P107" s="24">
        <f t="shared" ref="P107" si="316">P106+1</f>
        <v>44894</v>
      </c>
      <c r="Q107" s="29">
        <v>3.9140000000000001E-2</v>
      </c>
      <c r="R107" s="24">
        <f t="shared" ref="R107" si="317">R106+1</f>
        <v>44894</v>
      </c>
      <c r="S107" s="29">
        <v>3.9140000000000001E-2</v>
      </c>
      <c r="T107" s="24">
        <f t="shared" ref="T107" si="318">T106+1</f>
        <v>44894</v>
      </c>
      <c r="U107" s="29">
        <v>1.0999999999999999E-2</v>
      </c>
    </row>
    <row r="108" spans="7:21" ht="18" customHeight="1" x14ac:dyDescent="0.4">
      <c r="G108" s="24">
        <f t="shared" si="204"/>
        <v>44895</v>
      </c>
      <c r="H108" s="29">
        <f t="shared" si="205"/>
        <v>3.04E-2</v>
      </c>
      <c r="I108" s="24">
        <f t="shared" si="206"/>
        <v>44895</v>
      </c>
      <c r="J108" s="29">
        <f t="shared" si="207"/>
        <v>4.2140000000000004E-2</v>
      </c>
      <c r="K108" s="24">
        <f t="shared" si="206"/>
        <v>44895</v>
      </c>
      <c r="L108" s="29">
        <v>1.0999999999999999E-2</v>
      </c>
      <c r="P108" s="24">
        <f t="shared" ref="P108" si="319">P107+1</f>
        <v>44895</v>
      </c>
      <c r="Q108" s="29">
        <v>3.9140000000000001E-2</v>
      </c>
      <c r="R108" s="24">
        <f t="shared" ref="R108" si="320">R107+1</f>
        <v>44895</v>
      </c>
      <c r="S108" s="29">
        <v>3.9140000000000001E-2</v>
      </c>
      <c r="T108" s="24">
        <f t="shared" ref="T108" si="321">T107+1</f>
        <v>44895</v>
      </c>
      <c r="U108" s="29">
        <v>1.0999999999999999E-2</v>
      </c>
    </row>
    <row r="109" spans="7:21" ht="18" customHeight="1" x14ac:dyDescent="0.4">
      <c r="G109" s="24">
        <f t="shared" si="204"/>
        <v>44896</v>
      </c>
      <c r="H109" s="29">
        <f t="shared" si="205"/>
        <v>3.04E-2</v>
      </c>
      <c r="I109" s="24">
        <f t="shared" si="206"/>
        <v>44896</v>
      </c>
      <c r="J109" s="29">
        <f t="shared" si="207"/>
        <v>4.2140000000000004E-2</v>
      </c>
      <c r="K109" s="24">
        <f t="shared" si="206"/>
        <v>44896</v>
      </c>
      <c r="L109" s="29">
        <v>1.0999999999999999E-2</v>
      </c>
      <c r="P109" s="24">
        <f t="shared" ref="P109" si="322">P108+1</f>
        <v>44896</v>
      </c>
      <c r="Q109" s="29">
        <v>3.9140000000000001E-2</v>
      </c>
      <c r="R109" s="24">
        <f t="shared" ref="R109" si="323">R108+1</f>
        <v>44896</v>
      </c>
      <c r="S109" s="29">
        <v>3.9140000000000001E-2</v>
      </c>
      <c r="T109" s="24">
        <f t="shared" ref="T109" si="324">T108+1</f>
        <v>44896</v>
      </c>
      <c r="U109" s="29">
        <v>1.0999999999999999E-2</v>
      </c>
    </row>
    <row r="110" spans="7:21" ht="18" customHeight="1" x14ac:dyDescent="0.4">
      <c r="G110" s="24">
        <f t="shared" si="204"/>
        <v>44897</v>
      </c>
      <c r="H110" s="29">
        <f t="shared" si="205"/>
        <v>3.04E-2</v>
      </c>
      <c r="I110" s="24">
        <f t="shared" si="206"/>
        <v>44897</v>
      </c>
      <c r="J110" s="29">
        <f t="shared" si="207"/>
        <v>4.2140000000000004E-2</v>
      </c>
      <c r="K110" s="24">
        <f t="shared" si="206"/>
        <v>44897</v>
      </c>
      <c r="L110" s="29">
        <v>1.0999999999999999E-2</v>
      </c>
      <c r="P110" s="24">
        <f t="shared" ref="P110" si="325">P109+1</f>
        <v>44897</v>
      </c>
      <c r="Q110" s="29">
        <v>3.9140000000000001E-2</v>
      </c>
      <c r="R110" s="24">
        <f t="shared" ref="R110" si="326">R109+1</f>
        <v>44897</v>
      </c>
      <c r="S110" s="29">
        <v>3.9140000000000001E-2</v>
      </c>
      <c r="T110" s="24">
        <f t="shared" ref="T110" si="327">T109+1</f>
        <v>44897</v>
      </c>
      <c r="U110" s="29">
        <v>1.0999999999999999E-2</v>
      </c>
    </row>
    <row r="111" spans="7:21" ht="18" customHeight="1" x14ac:dyDescent="0.4">
      <c r="G111" s="24">
        <f t="shared" si="204"/>
        <v>44898</v>
      </c>
      <c r="H111" s="29">
        <f t="shared" si="205"/>
        <v>3.04E-2</v>
      </c>
      <c r="I111" s="24">
        <f t="shared" si="206"/>
        <v>44898</v>
      </c>
      <c r="J111" s="29">
        <f t="shared" si="207"/>
        <v>4.2140000000000004E-2</v>
      </c>
      <c r="K111" s="24">
        <f t="shared" si="206"/>
        <v>44898</v>
      </c>
      <c r="L111" s="29">
        <v>1.0999999999999999E-2</v>
      </c>
      <c r="P111" s="24">
        <f t="shared" ref="P111" si="328">P110+1</f>
        <v>44898</v>
      </c>
      <c r="Q111" s="29">
        <v>3.9140000000000001E-2</v>
      </c>
      <c r="R111" s="24">
        <f t="shared" ref="R111" si="329">R110+1</f>
        <v>44898</v>
      </c>
      <c r="S111" s="29">
        <v>3.9140000000000001E-2</v>
      </c>
      <c r="T111" s="24">
        <f t="shared" ref="T111" si="330">T110+1</f>
        <v>44898</v>
      </c>
      <c r="U111" s="29">
        <v>1.0999999999999999E-2</v>
      </c>
    </row>
    <row r="112" spans="7:21" ht="18" customHeight="1" x14ac:dyDescent="0.4">
      <c r="G112" s="24">
        <f t="shared" si="204"/>
        <v>44899</v>
      </c>
      <c r="H112" s="29">
        <f t="shared" si="205"/>
        <v>3.04E-2</v>
      </c>
      <c r="I112" s="24">
        <f t="shared" si="206"/>
        <v>44899</v>
      </c>
      <c r="J112" s="29">
        <f t="shared" si="207"/>
        <v>4.2140000000000004E-2</v>
      </c>
      <c r="K112" s="24">
        <f t="shared" si="206"/>
        <v>44899</v>
      </c>
      <c r="L112" s="29">
        <v>1.0999999999999999E-2</v>
      </c>
      <c r="P112" s="24">
        <f t="shared" ref="P112" si="331">P111+1</f>
        <v>44899</v>
      </c>
      <c r="Q112" s="29">
        <v>3.9140000000000001E-2</v>
      </c>
      <c r="R112" s="24">
        <f t="shared" ref="R112" si="332">R111+1</f>
        <v>44899</v>
      </c>
      <c r="S112" s="29">
        <v>3.9140000000000001E-2</v>
      </c>
      <c r="T112" s="24">
        <f t="shared" ref="T112" si="333">T111+1</f>
        <v>44899</v>
      </c>
      <c r="U112" s="29">
        <v>1.0999999999999999E-2</v>
      </c>
    </row>
    <row r="113" spans="7:21" ht="18" customHeight="1" x14ac:dyDescent="0.4">
      <c r="G113" s="24">
        <f t="shared" si="204"/>
        <v>44900</v>
      </c>
      <c r="H113" s="29">
        <f t="shared" si="205"/>
        <v>3.04E-2</v>
      </c>
      <c r="I113" s="24">
        <f t="shared" si="206"/>
        <v>44900</v>
      </c>
      <c r="J113" s="29">
        <f t="shared" si="207"/>
        <v>4.2140000000000004E-2</v>
      </c>
      <c r="K113" s="24">
        <f t="shared" si="206"/>
        <v>44900</v>
      </c>
      <c r="L113" s="29">
        <v>1.0999999999999999E-2</v>
      </c>
      <c r="P113" s="24">
        <f t="shared" ref="P113" si="334">P112+1</f>
        <v>44900</v>
      </c>
      <c r="Q113" s="29">
        <v>3.9140000000000001E-2</v>
      </c>
      <c r="R113" s="24">
        <f t="shared" ref="R113" si="335">R112+1</f>
        <v>44900</v>
      </c>
      <c r="S113" s="29">
        <v>3.9140000000000001E-2</v>
      </c>
      <c r="T113" s="24">
        <f t="shared" ref="T113" si="336">T112+1</f>
        <v>44900</v>
      </c>
      <c r="U113" s="29">
        <v>1.0999999999999999E-2</v>
      </c>
    </row>
    <row r="114" spans="7:21" ht="18" customHeight="1" x14ac:dyDescent="0.4">
      <c r="G114" s="24">
        <f t="shared" si="204"/>
        <v>44901</v>
      </c>
      <c r="H114" s="29">
        <f t="shared" si="205"/>
        <v>3.04E-2</v>
      </c>
      <c r="I114" s="24">
        <f t="shared" si="206"/>
        <v>44901</v>
      </c>
      <c r="J114" s="29">
        <f t="shared" si="207"/>
        <v>4.2140000000000004E-2</v>
      </c>
      <c r="K114" s="24">
        <f t="shared" si="206"/>
        <v>44901</v>
      </c>
      <c r="L114" s="29">
        <v>1.0999999999999999E-2</v>
      </c>
      <c r="P114" s="24">
        <f t="shared" ref="P114" si="337">P113+1</f>
        <v>44901</v>
      </c>
      <c r="Q114" s="29">
        <v>3.9140000000000001E-2</v>
      </c>
      <c r="R114" s="24">
        <f t="shared" ref="R114" si="338">R113+1</f>
        <v>44901</v>
      </c>
      <c r="S114" s="29">
        <v>3.9140000000000001E-2</v>
      </c>
      <c r="T114" s="24">
        <f t="shared" ref="T114" si="339">T113+1</f>
        <v>44901</v>
      </c>
      <c r="U114" s="29">
        <v>1.0999999999999999E-2</v>
      </c>
    </row>
    <row r="115" spans="7:21" ht="18" customHeight="1" x14ac:dyDescent="0.4">
      <c r="G115" s="24">
        <f t="shared" si="204"/>
        <v>44902</v>
      </c>
      <c r="H115" s="29">
        <f t="shared" si="205"/>
        <v>3.04E-2</v>
      </c>
      <c r="I115" s="24">
        <f t="shared" si="206"/>
        <v>44902</v>
      </c>
      <c r="J115" s="29">
        <f t="shared" si="207"/>
        <v>4.2140000000000004E-2</v>
      </c>
      <c r="K115" s="24">
        <f t="shared" si="206"/>
        <v>44902</v>
      </c>
      <c r="L115" s="29">
        <v>1.0999999999999999E-2</v>
      </c>
      <c r="P115" s="24">
        <f t="shared" ref="P115" si="340">P114+1</f>
        <v>44902</v>
      </c>
      <c r="Q115" s="29">
        <v>3.9140000000000001E-2</v>
      </c>
      <c r="R115" s="24">
        <f t="shared" ref="R115" si="341">R114+1</f>
        <v>44902</v>
      </c>
      <c r="S115" s="29">
        <v>3.9140000000000001E-2</v>
      </c>
      <c r="T115" s="24">
        <f t="shared" ref="T115" si="342">T114+1</f>
        <v>44902</v>
      </c>
      <c r="U115" s="29">
        <v>1.0999999999999999E-2</v>
      </c>
    </row>
    <row r="116" spans="7:21" ht="18" customHeight="1" x14ac:dyDescent="0.4">
      <c r="G116" s="24">
        <f t="shared" si="204"/>
        <v>44903</v>
      </c>
      <c r="H116" s="29">
        <f t="shared" si="205"/>
        <v>3.04E-2</v>
      </c>
      <c r="I116" s="24">
        <f t="shared" si="206"/>
        <v>44903</v>
      </c>
      <c r="J116" s="29">
        <f t="shared" si="207"/>
        <v>4.2140000000000004E-2</v>
      </c>
      <c r="K116" s="24">
        <f t="shared" si="206"/>
        <v>44903</v>
      </c>
      <c r="L116" s="29">
        <v>1.0999999999999999E-2</v>
      </c>
      <c r="P116" s="24">
        <f t="shared" ref="P116" si="343">P115+1</f>
        <v>44903</v>
      </c>
      <c r="Q116" s="29">
        <v>3.9140000000000001E-2</v>
      </c>
      <c r="R116" s="24">
        <f t="shared" ref="R116" si="344">R115+1</f>
        <v>44903</v>
      </c>
      <c r="S116" s="29">
        <v>3.9140000000000001E-2</v>
      </c>
      <c r="T116" s="24">
        <f t="shared" ref="T116" si="345">T115+1</f>
        <v>44903</v>
      </c>
      <c r="U116" s="29">
        <v>1.0999999999999999E-2</v>
      </c>
    </row>
    <row r="117" spans="7:21" ht="18" customHeight="1" x14ac:dyDescent="0.4">
      <c r="G117" s="24">
        <f t="shared" si="204"/>
        <v>44904</v>
      </c>
      <c r="H117" s="29">
        <f t="shared" si="205"/>
        <v>3.04E-2</v>
      </c>
      <c r="I117" s="24">
        <f t="shared" si="206"/>
        <v>44904</v>
      </c>
      <c r="J117" s="29">
        <f t="shared" si="207"/>
        <v>4.2140000000000004E-2</v>
      </c>
      <c r="K117" s="24">
        <f t="shared" si="206"/>
        <v>44904</v>
      </c>
      <c r="L117" s="29">
        <v>1.0999999999999999E-2</v>
      </c>
      <c r="P117" s="24">
        <f t="shared" ref="P117" si="346">P116+1</f>
        <v>44904</v>
      </c>
      <c r="Q117" s="29">
        <v>3.9140000000000001E-2</v>
      </c>
      <c r="R117" s="24">
        <f t="shared" ref="R117" si="347">R116+1</f>
        <v>44904</v>
      </c>
      <c r="S117" s="29">
        <v>3.9140000000000001E-2</v>
      </c>
      <c r="T117" s="24">
        <f t="shared" ref="T117" si="348">T116+1</f>
        <v>44904</v>
      </c>
      <c r="U117" s="29">
        <v>1.0999999999999999E-2</v>
      </c>
    </row>
    <row r="118" spans="7:21" ht="18" customHeight="1" x14ac:dyDescent="0.4">
      <c r="G118" s="24">
        <f t="shared" si="204"/>
        <v>44905</v>
      </c>
      <c r="H118" s="29">
        <f t="shared" si="205"/>
        <v>3.04E-2</v>
      </c>
      <c r="I118" s="24">
        <f t="shared" si="206"/>
        <v>44905</v>
      </c>
      <c r="J118" s="29">
        <f t="shared" si="207"/>
        <v>4.2140000000000004E-2</v>
      </c>
      <c r="K118" s="24">
        <f t="shared" si="206"/>
        <v>44905</v>
      </c>
      <c r="L118" s="29">
        <v>1.0999999999999999E-2</v>
      </c>
      <c r="P118" s="24">
        <f t="shared" ref="P118" si="349">P117+1</f>
        <v>44905</v>
      </c>
      <c r="Q118" s="29">
        <v>3.9140000000000001E-2</v>
      </c>
      <c r="R118" s="24">
        <f t="shared" ref="R118" si="350">R117+1</f>
        <v>44905</v>
      </c>
      <c r="S118" s="29">
        <v>3.9140000000000001E-2</v>
      </c>
      <c r="T118" s="24">
        <f t="shared" ref="T118" si="351">T117+1</f>
        <v>44905</v>
      </c>
      <c r="U118" s="29">
        <v>1.0999999999999999E-2</v>
      </c>
    </row>
    <row r="119" spans="7:21" ht="18" customHeight="1" x14ac:dyDescent="0.4">
      <c r="G119" s="24">
        <f t="shared" si="204"/>
        <v>44906</v>
      </c>
      <c r="H119" s="29">
        <f t="shared" si="205"/>
        <v>3.04E-2</v>
      </c>
      <c r="I119" s="24">
        <f t="shared" si="206"/>
        <v>44906</v>
      </c>
      <c r="J119" s="29">
        <f t="shared" si="207"/>
        <v>4.2140000000000004E-2</v>
      </c>
      <c r="K119" s="24">
        <f t="shared" si="206"/>
        <v>44906</v>
      </c>
      <c r="L119" s="29">
        <v>1.0999999999999999E-2</v>
      </c>
      <c r="P119" s="24">
        <f t="shared" ref="P119" si="352">P118+1</f>
        <v>44906</v>
      </c>
      <c r="Q119" s="29">
        <v>3.9140000000000001E-2</v>
      </c>
      <c r="R119" s="24">
        <f t="shared" ref="R119" si="353">R118+1</f>
        <v>44906</v>
      </c>
      <c r="S119" s="29">
        <v>3.9140000000000001E-2</v>
      </c>
      <c r="T119" s="24">
        <f t="shared" ref="T119" si="354">T118+1</f>
        <v>44906</v>
      </c>
      <c r="U119" s="29">
        <v>1.0999999999999999E-2</v>
      </c>
    </row>
    <row r="120" spans="7:21" ht="18" customHeight="1" x14ac:dyDescent="0.4">
      <c r="G120" s="24">
        <f t="shared" si="204"/>
        <v>44907</v>
      </c>
      <c r="H120" s="29">
        <f t="shared" si="205"/>
        <v>3.04E-2</v>
      </c>
      <c r="I120" s="24">
        <f t="shared" si="206"/>
        <v>44907</v>
      </c>
      <c r="J120" s="29">
        <f t="shared" si="207"/>
        <v>4.2140000000000004E-2</v>
      </c>
      <c r="K120" s="24">
        <f t="shared" si="206"/>
        <v>44907</v>
      </c>
      <c r="L120" s="29">
        <v>1.0999999999999999E-2</v>
      </c>
      <c r="P120" s="24">
        <f t="shared" ref="P120" si="355">P119+1</f>
        <v>44907</v>
      </c>
      <c r="Q120" s="29">
        <v>3.9140000000000001E-2</v>
      </c>
      <c r="R120" s="24">
        <f t="shared" ref="R120" si="356">R119+1</f>
        <v>44907</v>
      </c>
      <c r="S120" s="29">
        <v>3.9140000000000001E-2</v>
      </c>
      <c r="T120" s="24">
        <f t="shared" ref="T120" si="357">T119+1</f>
        <v>44907</v>
      </c>
      <c r="U120" s="29">
        <v>1.0999999999999999E-2</v>
      </c>
    </row>
    <row r="121" spans="7:21" ht="18" customHeight="1" x14ac:dyDescent="0.4">
      <c r="G121" s="24">
        <f t="shared" si="204"/>
        <v>44908</v>
      </c>
      <c r="H121" s="29">
        <f t="shared" si="205"/>
        <v>3.04E-2</v>
      </c>
      <c r="I121" s="24">
        <f t="shared" si="206"/>
        <v>44908</v>
      </c>
      <c r="J121" s="29">
        <f t="shared" si="207"/>
        <v>4.2140000000000004E-2</v>
      </c>
      <c r="K121" s="24">
        <f t="shared" si="206"/>
        <v>44908</v>
      </c>
      <c r="L121" s="29">
        <v>1.0999999999999999E-2</v>
      </c>
      <c r="P121" s="24">
        <f t="shared" ref="P121" si="358">P120+1</f>
        <v>44908</v>
      </c>
      <c r="Q121" s="29">
        <v>3.9140000000000001E-2</v>
      </c>
      <c r="R121" s="24">
        <f t="shared" ref="R121" si="359">R120+1</f>
        <v>44908</v>
      </c>
      <c r="S121" s="29">
        <v>3.9140000000000001E-2</v>
      </c>
      <c r="T121" s="24">
        <f t="shared" ref="T121" si="360">T120+1</f>
        <v>44908</v>
      </c>
      <c r="U121" s="29">
        <v>1.0999999999999999E-2</v>
      </c>
    </row>
    <row r="122" spans="7:21" ht="18" customHeight="1" x14ac:dyDescent="0.4">
      <c r="G122" s="24">
        <f t="shared" si="204"/>
        <v>44909</v>
      </c>
      <c r="H122" s="29">
        <f t="shared" si="205"/>
        <v>3.04E-2</v>
      </c>
      <c r="I122" s="24">
        <f t="shared" si="206"/>
        <v>44909</v>
      </c>
      <c r="J122" s="29">
        <f t="shared" si="207"/>
        <v>4.2140000000000004E-2</v>
      </c>
      <c r="K122" s="24">
        <f t="shared" si="206"/>
        <v>44909</v>
      </c>
      <c r="L122" s="29">
        <v>1.0999999999999999E-2</v>
      </c>
      <c r="P122" s="24">
        <f t="shared" ref="P122" si="361">P121+1</f>
        <v>44909</v>
      </c>
      <c r="Q122" s="29">
        <v>3.9140000000000001E-2</v>
      </c>
      <c r="R122" s="24">
        <f t="shared" ref="R122" si="362">R121+1</f>
        <v>44909</v>
      </c>
      <c r="S122" s="29">
        <v>3.9140000000000001E-2</v>
      </c>
      <c r="T122" s="24">
        <f t="shared" ref="T122" si="363">T121+1</f>
        <v>44909</v>
      </c>
      <c r="U122" s="29">
        <v>1.0999999999999999E-2</v>
      </c>
    </row>
    <row r="123" spans="7:21" ht="18" customHeight="1" x14ac:dyDescent="0.4">
      <c r="G123" s="24">
        <f t="shared" si="204"/>
        <v>44910</v>
      </c>
      <c r="H123" s="29">
        <f t="shared" si="205"/>
        <v>3.04E-2</v>
      </c>
      <c r="I123" s="24">
        <f t="shared" si="206"/>
        <v>44910</v>
      </c>
      <c r="J123" s="29">
        <f t="shared" si="207"/>
        <v>4.2140000000000004E-2</v>
      </c>
      <c r="K123" s="24">
        <f t="shared" si="206"/>
        <v>44910</v>
      </c>
      <c r="L123" s="29">
        <v>1.0999999999999999E-2</v>
      </c>
      <c r="P123" s="24">
        <f t="shared" ref="P123" si="364">P122+1</f>
        <v>44910</v>
      </c>
      <c r="Q123" s="29">
        <v>3.9140000000000001E-2</v>
      </c>
      <c r="R123" s="24">
        <f t="shared" ref="R123" si="365">R122+1</f>
        <v>44910</v>
      </c>
      <c r="S123" s="29">
        <v>3.9140000000000001E-2</v>
      </c>
      <c r="T123" s="24">
        <f t="shared" ref="T123" si="366">T122+1</f>
        <v>44910</v>
      </c>
      <c r="U123" s="29">
        <v>1.0999999999999999E-2</v>
      </c>
    </row>
    <row r="124" spans="7:21" ht="18" customHeight="1" x14ac:dyDescent="0.4">
      <c r="G124" s="24">
        <f t="shared" si="204"/>
        <v>44911</v>
      </c>
      <c r="H124" s="29">
        <f t="shared" si="205"/>
        <v>3.04E-2</v>
      </c>
      <c r="I124" s="24">
        <f t="shared" si="206"/>
        <v>44911</v>
      </c>
      <c r="J124" s="29">
        <f t="shared" si="207"/>
        <v>4.2140000000000004E-2</v>
      </c>
      <c r="K124" s="24">
        <f t="shared" si="206"/>
        <v>44911</v>
      </c>
      <c r="L124" s="29">
        <v>1.0999999999999999E-2</v>
      </c>
      <c r="P124" s="24">
        <f t="shared" ref="P124" si="367">P123+1</f>
        <v>44911</v>
      </c>
      <c r="Q124" s="29">
        <v>3.9140000000000001E-2</v>
      </c>
      <c r="R124" s="24">
        <f t="shared" ref="R124" si="368">R123+1</f>
        <v>44911</v>
      </c>
      <c r="S124" s="29">
        <v>3.9140000000000001E-2</v>
      </c>
      <c r="T124" s="24">
        <f t="shared" ref="T124" si="369">T123+1</f>
        <v>44911</v>
      </c>
      <c r="U124" s="29">
        <v>1.0999999999999999E-2</v>
      </c>
    </row>
    <row r="125" spans="7:21" ht="18" customHeight="1" x14ac:dyDescent="0.4">
      <c r="G125" s="24">
        <f t="shared" si="204"/>
        <v>44912</v>
      </c>
      <c r="H125" s="29">
        <f t="shared" si="205"/>
        <v>3.04E-2</v>
      </c>
      <c r="I125" s="24">
        <f t="shared" si="206"/>
        <v>44912</v>
      </c>
      <c r="J125" s="29">
        <f t="shared" si="207"/>
        <v>4.2140000000000004E-2</v>
      </c>
      <c r="K125" s="24">
        <f t="shared" si="206"/>
        <v>44912</v>
      </c>
      <c r="L125" s="29">
        <v>1.0999999999999999E-2</v>
      </c>
      <c r="P125" s="24">
        <f t="shared" ref="P125" si="370">P124+1</f>
        <v>44912</v>
      </c>
      <c r="Q125" s="29">
        <v>3.9140000000000001E-2</v>
      </c>
      <c r="R125" s="24">
        <f t="shared" ref="R125" si="371">R124+1</f>
        <v>44912</v>
      </c>
      <c r="S125" s="29">
        <v>3.9140000000000001E-2</v>
      </c>
      <c r="T125" s="24">
        <f t="shared" ref="T125" si="372">T124+1</f>
        <v>44912</v>
      </c>
      <c r="U125" s="29">
        <v>1.0999999999999999E-2</v>
      </c>
    </row>
    <row r="126" spans="7:21" ht="18" customHeight="1" x14ac:dyDescent="0.4">
      <c r="G126" s="24">
        <f t="shared" si="204"/>
        <v>44913</v>
      </c>
      <c r="H126" s="29">
        <f t="shared" si="205"/>
        <v>3.04E-2</v>
      </c>
      <c r="I126" s="24">
        <f t="shared" si="206"/>
        <v>44913</v>
      </c>
      <c r="J126" s="29">
        <f t="shared" si="207"/>
        <v>4.2140000000000004E-2</v>
      </c>
      <c r="K126" s="24">
        <f t="shared" si="206"/>
        <v>44913</v>
      </c>
      <c r="L126" s="29">
        <v>1.0999999999999999E-2</v>
      </c>
      <c r="P126" s="24">
        <f t="shared" ref="P126" si="373">P125+1</f>
        <v>44913</v>
      </c>
      <c r="Q126" s="29">
        <v>3.9140000000000001E-2</v>
      </c>
      <c r="R126" s="24">
        <f t="shared" ref="R126" si="374">R125+1</f>
        <v>44913</v>
      </c>
      <c r="S126" s="29">
        <v>3.9140000000000001E-2</v>
      </c>
      <c r="T126" s="24">
        <f t="shared" ref="T126" si="375">T125+1</f>
        <v>44913</v>
      </c>
      <c r="U126" s="29">
        <v>1.0999999999999999E-2</v>
      </c>
    </row>
    <row r="127" spans="7:21" ht="18" customHeight="1" x14ac:dyDescent="0.4">
      <c r="G127" s="24">
        <f t="shared" si="204"/>
        <v>44914</v>
      </c>
      <c r="H127" s="29">
        <f t="shared" si="205"/>
        <v>3.04E-2</v>
      </c>
      <c r="I127" s="24">
        <f t="shared" si="206"/>
        <v>44914</v>
      </c>
      <c r="J127" s="29">
        <f t="shared" si="207"/>
        <v>4.2140000000000004E-2</v>
      </c>
      <c r="K127" s="24">
        <f t="shared" si="206"/>
        <v>44914</v>
      </c>
      <c r="L127" s="29">
        <v>1.0999999999999999E-2</v>
      </c>
      <c r="P127" s="24">
        <f t="shared" ref="P127" si="376">P126+1</f>
        <v>44914</v>
      </c>
      <c r="Q127" s="29">
        <v>3.9140000000000001E-2</v>
      </c>
      <c r="R127" s="24">
        <f t="shared" ref="R127" si="377">R126+1</f>
        <v>44914</v>
      </c>
      <c r="S127" s="29">
        <v>3.9140000000000001E-2</v>
      </c>
      <c r="T127" s="24">
        <f t="shared" ref="T127" si="378">T126+1</f>
        <v>44914</v>
      </c>
      <c r="U127" s="29">
        <v>1.0999999999999999E-2</v>
      </c>
    </row>
    <row r="128" spans="7:21" ht="18" customHeight="1" x14ac:dyDescent="0.4">
      <c r="G128" s="24">
        <f t="shared" si="204"/>
        <v>44915</v>
      </c>
      <c r="H128" s="29">
        <f t="shared" si="205"/>
        <v>3.04E-2</v>
      </c>
      <c r="I128" s="24">
        <f t="shared" si="206"/>
        <v>44915</v>
      </c>
      <c r="J128" s="29">
        <f t="shared" si="207"/>
        <v>4.2140000000000004E-2</v>
      </c>
      <c r="K128" s="24">
        <f t="shared" si="206"/>
        <v>44915</v>
      </c>
      <c r="L128" s="29">
        <v>1.0999999999999999E-2</v>
      </c>
      <c r="P128" s="24">
        <f t="shared" ref="P128" si="379">P127+1</f>
        <v>44915</v>
      </c>
      <c r="Q128" s="29">
        <v>3.9140000000000001E-2</v>
      </c>
      <c r="R128" s="24">
        <f t="shared" ref="R128" si="380">R127+1</f>
        <v>44915</v>
      </c>
      <c r="S128" s="29">
        <v>3.9140000000000001E-2</v>
      </c>
      <c r="T128" s="24">
        <f t="shared" ref="T128" si="381">T127+1</f>
        <v>44915</v>
      </c>
      <c r="U128" s="29">
        <v>1.0999999999999999E-2</v>
      </c>
    </row>
    <row r="129" spans="7:21" ht="18" customHeight="1" x14ac:dyDescent="0.4">
      <c r="G129" s="24">
        <f t="shared" si="204"/>
        <v>44916</v>
      </c>
      <c r="H129" s="29">
        <f t="shared" si="205"/>
        <v>3.04E-2</v>
      </c>
      <c r="I129" s="24">
        <f t="shared" si="206"/>
        <v>44916</v>
      </c>
      <c r="J129" s="29">
        <f t="shared" si="207"/>
        <v>4.2140000000000004E-2</v>
      </c>
      <c r="K129" s="24">
        <f t="shared" si="206"/>
        <v>44916</v>
      </c>
      <c r="L129" s="29">
        <v>1.0999999999999999E-2</v>
      </c>
      <c r="P129" s="24">
        <f t="shared" ref="P129" si="382">P128+1</f>
        <v>44916</v>
      </c>
      <c r="Q129" s="29">
        <v>3.9140000000000001E-2</v>
      </c>
      <c r="R129" s="24">
        <f t="shared" ref="R129" si="383">R128+1</f>
        <v>44916</v>
      </c>
      <c r="S129" s="29">
        <v>3.9140000000000001E-2</v>
      </c>
      <c r="T129" s="24">
        <f t="shared" ref="T129" si="384">T128+1</f>
        <v>44916</v>
      </c>
      <c r="U129" s="29">
        <v>1.0999999999999999E-2</v>
      </c>
    </row>
    <row r="130" spans="7:21" ht="18" customHeight="1" x14ac:dyDescent="0.4">
      <c r="G130" s="24">
        <f t="shared" si="204"/>
        <v>44917</v>
      </c>
      <c r="H130" s="29">
        <f t="shared" si="205"/>
        <v>3.04E-2</v>
      </c>
      <c r="I130" s="24">
        <f t="shared" si="206"/>
        <v>44917</v>
      </c>
      <c r="J130" s="29">
        <f t="shared" si="207"/>
        <v>4.2140000000000004E-2</v>
      </c>
      <c r="K130" s="24">
        <f t="shared" si="206"/>
        <v>44917</v>
      </c>
      <c r="L130" s="29">
        <v>1.0999999999999999E-2</v>
      </c>
      <c r="P130" s="24">
        <f t="shared" ref="P130" si="385">P129+1</f>
        <v>44917</v>
      </c>
      <c r="Q130" s="29">
        <v>3.9140000000000001E-2</v>
      </c>
      <c r="R130" s="24">
        <f t="shared" ref="R130" si="386">R129+1</f>
        <v>44917</v>
      </c>
      <c r="S130" s="29">
        <v>3.9140000000000001E-2</v>
      </c>
      <c r="T130" s="24">
        <f t="shared" ref="T130" si="387">T129+1</f>
        <v>44917</v>
      </c>
      <c r="U130" s="29">
        <v>1.0999999999999999E-2</v>
      </c>
    </row>
    <row r="131" spans="7:21" ht="18" customHeight="1" x14ac:dyDescent="0.4">
      <c r="G131" s="24">
        <f t="shared" si="204"/>
        <v>44918</v>
      </c>
      <c r="H131" s="29">
        <f t="shared" si="205"/>
        <v>3.04E-2</v>
      </c>
      <c r="I131" s="24">
        <f t="shared" si="206"/>
        <v>44918</v>
      </c>
      <c r="J131" s="29">
        <f t="shared" si="207"/>
        <v>4.2140000000000004E-2</v>
      </c>
      <c r="K131" s="24">
        <f t="shared" si="206"/>
        <v>44918</v>
      </c>
      <c r="L131" s="29">
        <v>1.0999999999999999E-2</v>
      </c>
      <c r="P131" s="24">
        <f t="shared" ref="P131" si="388">P130+1</f>
        <v>44918</v>
      </c>
      <c r="Q131" s="29">
        <v>3.9140000000000001E-2</v>
      </c>
      <c r="R131" s="24">
        <f t="shared" ref="R131" si="389">R130+1</f>
        <v>44918</v>
      </c>
      <c r="S131" s="29">
        <v>3.9140000000000001E-2</v>
      </c>
      <c r="T131" s="24">
        <f t="shared" ref="T131" si="390">T130+1</f>
        <v>44918</v>
      </c>
      <c r="U131" s="29">
        <v>1.0999999999999999E-2</v>
      </c>
    </row>
    <row r="132" spans="7:21" ht="18" customHeight="1" x14ac:dyDescent="0.4">
      <c r="G132" s="24">
        <f t="shared" si="204"/>
        <v>44919</v>
      </c>
      <c r="H132" s="29">
        <f t="shared" si="205"/>
        <v>3.04E-2</v>
      </c>
      <c r="I132" s="24">
        <f t="shared" si="206"/>
        <v>44919</v>
      </c>
      <c r="J132" s="29">
        <f t="shared" si="207"/>
        <v>4.2140000000000004E-2</v>
      </c>
      <c r="K132" s="24">
        <f t="shared" si="206"/>
        <v>44919</v>
      </c>
      <c r="L132" s="29">
        <v>1.0999999999999999E-2</v>
      </c>
      <c r="P132" s="24">
        <f t="shared" ref="P132" si="391">P131+1</f>
        <v>44919</v>
      </c>
      <c r="Q132" s="29">
        <v>3.9140000000000001E-2</v>
      </c>
      <c r="R132" s="24">
        <f t="shared" ref="R132" si="392">R131+1</f>
        <v>44919</v>
      </c>
      <c r="S132" s="29">
        <v>3.9140000000000001E-2</v>
      </c>
      <c r="T132" s="24">
        <f t="shared" ref="T132" si="393">T131+1</f>
        <v>44919</v>
      </c>
      <c r="U132" s="29">
        <v>1.0999999999999999E-2</v>
      </c>
    </row>
    <row r="133" spans="7:21" ht="18" customHeight="1" x14ac:dyDescent="0.4">
      <c r="G133" s="24">
        <f t="shared" si="204"/>
        <v>44920</v>
      </c>
      <c r="H133" s="29">
        <f t="shared" si="205"/>
        <v>3.04E-2</v>
      </c>
      <c r="I133" s="24">
        <f t="shared" si="206"/>
        <v>44920</v>
      </c>
      <c r="J133" s="29">
        <f t="shared" si="207"/>
        <v>4.2140000000000004E-2</v>
      </c>
      <c r="K133" s="24">
        <f t="shared" si="206"/>
        <v>44920</v>
      </c>
      <c r="L133" s="29">
        <v>1.0999999999999999E-2</v>
      </c>
      <c r="P133" s="24">
        <f t="shared" ref="P133" si="394">P132+1</f>
        <v>44920</v>
      </c>
      <c r="Q133" s="29">
        <v>3.9140000000000001E-2</v>
      </c>
      <c r="R133" s="24">
        <f t="shared" ref="R133" si="395">R132+1</f>
        <v>44920</v>
      </c>
      <c r="S133" s="29">
        <v>3.9140000000000001E-2</v>
      </c>
      <c r="T133" s="24">
        <f t="shared" ref="T133" si="396">T132+1</f>
        <v>44920</v>
      </c>
      <c r="U133" s="29">
        <v>1.0999999999999999E-2</v>
      </c>
    </row>
    <row r="134" spans="7:21" ht="18" customHeight="1" x14ac:dyDescent="0.4">
      <c r="G134" s="24">
        <f t="shared" si="204"/>
        <v>44921</v>
      </c>
      <c r="H134" s="29">
        <f t="shared" si="205"/>
        <v>3.04E-2</v>
      </c>
      <c r="I134" s="24">
        <f t="shared" si="206"/>
        <v>44921</v>
      </c>
      <c r="J134" s="29">
        <f t="shared" si="207"/>
        <v>4.2140000000000004E-2</v>
      </c>
      <c r="K134" s="24">
        <f t="shared" si="206"/>
        <v>44921</v>
      </c>
      <c r="L134" s="29">
        <v>1.0999999999999999E-2</v>
      </c>
      <c r="P134" s="24">
        <f t="shared" ref="P134" si="397">P133+1</f>
        <v>44921</v>
      </c>
      <c r="Q134" s="29">
        <v>3.9140000000000001E-2</v>
      </c>
      <c r="R134" s="24">
        <f t="shared" ref="R134" si="398">R133+1</f>
        <v>44921</v>
      </c>
      <c r="S134" s="29">
        <v>3.9140000000000001E-2</v>
      </c>
      <c r="T134" s="24">
        <f t="shared" ref="T134" si="399">T133+1</f>
        <v>44921</v>
      </c>
      <c r="U134" s="29">
        <v>1.0999999999999999E-2</v>
      </c>
    </row>
    <row r="135" spans="7:21" ht="18" customHeight="1" x14ac:dyDescent="0.4">
      <c r="G135" s="24">
        <f t="shared" ref="G135:G198" si="400">G134+1</f>
        <v>44922</v>
      </c>
      <c r="H135" s="29">
        <f t="shared" ref="H135:H198" si="401">H134</f>
        <v>3.04E-2</v>
      </c>
      <c r="I135" s="24">
        <f t="shared" ref="I135:K198" si="402">I134+1</f>
        <v>44922</v>
      </c>
      <c r="J135" s="29">
        <f t="shared" ref="J135:J198" si="403">J134</f>
        <v>4.2140000000000004E-2</v>
      </c>
      <c r="K135" s="24">
        <f t="shared" si="402"/>
        <v>44922</v>
      </c>
      <c r="L135" s="29">
        <v>1.0999999999999999E-2</v>
      </c>
      <c r="P135" s="24">
        <f t="shared" ref="P135" si="404">P134+1</f>
        <v>44922</v>
      </c>
      <c r="Q135" s="29">
        <v>3.9140000000000001E-2</v>
      </c>
      <c r="R135" s="24">
        <f t="shared" ref="R135" si="405">R134+1</f>
        <v>44922</v>
      </c>
      <c r="S135" s="29">
        <v>3.9140000000000001E-2</v>
      </c>
      <c r="T135" s="24">
        <f t="shared" ref="T135" si="406">T134+1</f>
        <v>44922</v>
      </c>
      <c r="U135" s="29">
        <v>1.0999999999999999E-2</v>
      </c>
    </row>
    <row r="136" spans="7:21" ht="18" customHeight="1" x14ac:dyDescent="0.4">
      <c r="G136" s="24">
        <f t="shared" si="400"/>
        <v>44923</v>
      </c>
      <c r="H136" s="29">
        <f t="shared" si="401"/>
        <v>3.04E-2</v>
      </c>
      <c r="I136" s="24">
        <f t="shared" si="402"/>
        <v>44923</v>
      </c>
      <c r="J136" s="29">
        <f t="shared" si="403"/>
        <v>4.2140000000000004E-2</v>
      </c>
      <c r="K136" s="24">
        <f t="shared" si="402"/>
        <v>44923</v>
      </c>
      <c r="L136" s="29">
        <v>1.0999999999999999E-2</v>
      </c>
      <c r="P136" s="24">
        <f t="shared" ref="P136" si="407">P135+1</f>
        <v>44923</v>
      </c>
      <c r="Q136" s="29">
        <v>3.9140000000000001E-2</v>
      </c>
      <c r="R136" s="24">
        <f t="shared" ref="R136" si="408">R135+1</f>
        <v>44923</v>
      </c>
      <c r="S136" s="29">
        <v>3.9140000000000001E-2</v>
      </c>
      <c r="T136" s="24">
        <f t="shared" ref="T136" si="409">T135+1</f>
        <v>44923</v>
      </c>
      <c r="U136" s="29">
        <v>1.0999999999999999E-2</v>
      </c>
    </row>
    <row r="137" spans="7:21" ht="18" customHeight="1" x14ac:dyDescent="0.4">
      <c r="G137" s="24">
        <f t="shared" si="400"/>
        <v>44924</v>
      </c>
      <c r="H137" s="29">
        <f t="shared" si="401"/>
        <v>3.04E-2</v>
      </c>
      <c r="I137" s="24">
        <f t="shared" si="402"/>
        <v>44924</v>
      </c>
      <c r="J137" s="29">
        <f t="shared" si="403"/>
        <v>4.2140000000000004E-2</v>
      </c>
      <c r="K137" s="24">
        <f t="shared" si="402"/>
        <v>44924</v>
      </c>
      <c r="L137" s="29">
        <v>1.0999999999999999E-2</v>
      </c>
      <c r="P137" s="24">
        <f t="shared" ref="P137" si="410">P136+1</f>
        <v>44924</v>
      </c>
      <c r="Q137" s="29">
        <v>3.9140000000000001E-2</v>
      </c>
      <c r="R137" s="24">
        <f t="shared" ref="R137" si="411">R136+1</f>
        <v>44924</v>
      </c>
      <c r="S137" s="29">
        <v>3.9140000000000001E-2</v>
      </c>
      <c r="T137" s="24">
        <f t="shared" ref="T137" si="412">T136+1</f>
        <v>44924</v>
      </c>
      <c r="U137" s="29">
        <v>1.0999999999999999E-2</v>
      </c>
    </row>
    <row r="138" spans="7:21" ht="18" customHeight="1" x14ac:dyDescent="0.4">
      <c r="G138" s="24">
        <f t="shared" si="400"/>
        <v>44925</v>
      </c>
      <c r="H138" s="29">
        <f t="shared" si="401"/>
        <v>3.04E-2</v>
      </c>
      <c r="I138" s="24">
        <f t="shared" si="402"/>
        <v>44925</v>
      </c>
      <c r="J138" s="29">
        <f t="shared" si="403"/>
        <v>4.2140000000000004E-2</v>
      </c>
      <c r="K138" s="24">
        <f t="shared" si="402"/>
        <v>44925</v>
      </c>
      <c r="L138" s="29">
        <v>1.0999999999999999E-2</v>
      </c>
      <c r="P138" s="24">
        <f t="shared" ref="P138" si="413">P137+1</f>
        <v>44925</v>
      </c>
      <c r="Q138" s="29">
        <v>3.9140000000000001E-2</v>
      </c>
      <c r="R138" s="24">
        <f t="shared" ref="R138" si="414">R137+1</f>
        <v>44925</v>
      </c>
      <c r="S138" s="29">
        <v>3.9140000000000001E-2</v>
      </c>
      <c r="T138" s="24">
        <f t="shared" ref="T138" si="415">T137+1</f>
        <v>44925</v>
      </c>
      <c r="U138" s="29">
        <v>1.0999999999999999E-2</v>
      </c>
    </row>
    <row r="139" spans="7:21" ht="18" customHeight="1" x14ac:dyDescent="0.4">
      <c r="G139" s="24">
        <f t="shared" si="400"/>
        <v>44926</v>
      </c>
      <c r="H139" s="29">
        <f t="shared" si="401"/>
        <v>3.04E-2</v>
      </c>
      <c r="I139" s="24">
        <f t="shared" si="402"/>
        <v>44926</v>
      </c>
      <c r="J139" s="29">
        <f t="shared" si="403"/>
        <v>4.2140000000000004E-2</v>
      </c>
      <c r="K139" s="24">
        <f t="shared" si="402"/>
        <v>44926</v>
      </c>
      <c r="L139" s="29">
        <v>1.0999999999999999E-2</v>
      </c>
      <c r="P139" s="24">
        <f t="shared" ref="P139" si="416">P138+1</f>
        <v>44926</v>
      </c>
      <c r="Q139" s="29">
        <v>3.9140000000000001E-2</v>
      </c>
      <c r="R139" s="24">
        <f t="shared" ref="R139" si="417">R138+1</f>
        <v>44926</v>
      </c>
      <c r="S139" s="29">
        <v>3.9140000000000001E-2</v>
      </c>
      <c r="T139" s="24">
        <f t="shared" ref="T139" si="418">T138+1</f>
        <v>44926</v>
      </c>
      <c r="U139" s="29">
        <v>1.0999999999999999E-2</v>
      </c>
    </row>
    <row r="140" spans="7:21" ht="18" customHeight="1" x14ac:dyDescent="0.4">
      <c r="G140" s="24">
        <f t="shared" si="400"/>
        <v>44927</v>
      </c>
      <c r="H140" s="29">
        <f t="shared" si="401"/>
        <v>3.04E-2</v>
      </c>
      <c r="I140" s="24">
        <f t="shared" si="402"/>
        <v>44927</v>
      </c>
      <c r="J140" s="29">
        <f t="shared" si="403"/>
        <v>4.2140000000000004E-2</v>
      </c>
      <c r="K140" s="24">
        <f t="shared" si="402"/>
        <v>44927</v>
      </c>
      <c r="L140" s="29">
        <v>1.0999999999999999E-2</v>
      </c>
      <c r="P140" s="24">
        <f t="shared" ref="P140" si="419">P139+1</f>
        <v>44927</v>
      </c>
      <c r="Q140" s="29">
        <v>3.9140000000000001E-2</v>
      </c>
      <c r="R140" s="24">
        <f t="shared" ref="R140" si="420">R139+1</f>
        <v>44927</v>
      </c>
      <c r="S140" s="29">
        <v>3.9140000000000001E-2</v>
      </c>
      <c r="T140" s="24">
        <f t="shared" ref="T140" si="421">T139+1</f>
        <v>44927</v>
      </c>
      <c r="U140" s="29">
        <v>1.0999999999999999E-2</v>
      </c>
    </row>
    <row r="141" spans="7:21" ht="18" customHeight="1" x14ac:dyDescent="0.4">
      <c r="G141" s="24">
        <f t="shared" si="400"/>
        <v>44928</v>
      </c>
      <c r="H141" s="29">
        <f t="shared" si="401"/>
        <v>3.04E-2</v>
      </c>
      <c r="I141" s="24">
        <f t="shared" si="402"/>
        <v>44928</v>
      </c>
      <c r="J141" s="29">
        <f t="shared" si="403"/>
        <v>4.2140000000000004E-2</v>
      </c>
      <c r="K141" s="24">
        <f t="shared" si="402"/>
        <v>44928</v>
      </c>
      <c r="L141" s="29">
        <v>1.0999999999999999E-2</v>
      </c>
      <c r="P141" s="24">
        <f t="shared" ref="P141" si="422">P140+1</f>
        <v>44928</v>
      </c>
      <c r="Q141" s="29">
        <v>3.9140000000000001E-2</v>
      </c>
      <c r="R141" s="24">
        <f t="shared" ref="R141" si="423">R140+1</f>
        <v>44928</v>
      </c>
      <c r="S141" s="29">
        <v>3.9140000000000001E-2</v>
      </c>
      <c r="T141" s="24">
        <f t="shared" ref="T141" si="424">T140+1</f>
        <v>44928</v>
      </c>
      <c r="U141" s="29">
        <v>1.0999999999999999E-2</v>
      </c>
    </row>
    <row r="142" spans="7:21" ht="18" customHeight="1" x14ac:dyDescent="0.4">
      <c r="G142" s="24">
        <f t="shared" si="400"/>
        <v>44929</v>
      </c>
      <c r="H142" s="29">
        <f t="shared" si="401"/>
        <v>3.04E-2</v>
      </c>
      <c r="I142" s="24">
        <f t="shared" si="402"/>
        <v>44929</v>
      </c>
      <c r="J142" s="29">
        <f t="shared" si="403"/>
        <v>4.2140000000000004E-2</v>
      </c>
      <c r="K142" s="24">
        <f t="shared" si="402"/>
        <v>44929</v>
      </c>
      <c r="L142" s="29">
        <v>1.0999999999999999E-2</v>
      </c>
      <c r="P142" s="24">
        <f t="shared" ref="P142" si="425">P141+1</f>
        <v>44929</v>
      </c>
      <c r="Q142" s="29">
        <v>3.9140000000000001E-2</v>
      </c>
      <c r="R142" s="24">
        <f t="shared" ref="R142" si="426">R141+1</f>
        <v>44929</v>
      </c>
      <c r="S142" s="29">
        <v>3.9140000000000001E-2</v>
      </c>
      <c r="T142" s="24">
        <f t="shared" ref="T142" si="427">T141+1</f>
        <v>44929</v>
      </c>
      <c r="U142" s="29">
        <v>1.0999999999999999E-2</v>
      </c>
    </row>
    <row r="143" spans="7:21" ht="18" customHeight="1" x14ac:dyDescent="0.4">
      <c r="G143" s="24">
        <f t="shared" si="400"/>
        <v>44930</v>
      </c>
      <c r="H143" s="29">
        <f t="shared" si="401"/>
        <v>3.04E-2</v>
      </c>
      <c r="I143" s="24">
        <f t="shared" si="402"/>
        <v>44930</v>
      </c>
      <c r="J143" s="29">
        <f t="shared" si="403"/>
        <v>4.2140000000000004E-2</v>
      </c>
      <c r="K143" s="24">
        <f t="shared" si="402"/>
        <v>44930</v>
      </c>
      <c r="L143" s="29">
        <v>1.0999999999999999E-2</v>
      </c>
      <c r="P143" s="24">
        <f t="shared" ref="P143" si="428">P142+1</f>
        <v>44930</v>
      </c>
      <c r="Q143" s="29">
        <v>3.9140000000000001E-2</v>
      </c>
      <c r="R143" s="24">
        <f t="shared" ref="R143" si="429">R142+1</f>
        <v>44930</v>
      </c>
      <c r="S143" s="29">
        <v>3.9140000000000001E-2</v>
      </c>
      <c r="T143" s="24">
        <f t="shared" ref="T143" si="430">T142+1</f>
        <v>44930</v>
      </c>
      <c r="U143" s="29">
        <v>1.0999999999999999E-2</v>
      </c>
    </row>
    <row r="144" spans="7:21" ht="18" customHeight="1" x14ac:dyDescent="0.4">
      <c r="G144" s="24">
        <f t="shared" si="400"/>
        <v>44931</v>
      </c>
      <c r="H144" s="29">
        <f t="shared" si="401"/>
        <v>3.04E-2</v>
      </c>
      <c r="I144" s="24">
        <f t="shared" si="402"/>
        <v>44931</v>
      </c>
      <c r="J144" s="29">
        <f t="shared" si="403"/>
        <v>4.2140000000000004E-2</v>
      </c>
      <c r="K144" s="24">
        <f t="shared" si="402"/>
        <v>44931</v>
      </c>
      <c r="L144" s="29">
        <v>1.0999999999999999E-2</v>
      </c>
      <c r="P144" s="24">
        <f t="shared" ref="P144" si="431">P143+1</f>
        <v>44931</v>
      </c>
      <c r="Q144" s="29">
        <v>3.9140000000000001E-2</v>
      </c>
      <c r="R144" s="24">
        <f t="shared" ref="R144" si="432">R143+1</f>
        <v>44931</v>
      </c>
      <c r="S144" s="29">
        <v>3.9140000000000001E-2</v>
      </c>
      <c r="T144" s="24">
        <f t="shared" ref="T144" si="433">T143+1</f>
        <v>44931</v>
      </c>
      <c r="U144" s="29">
        <v>1.0999999999999999E-2</v>
      </c>
    </row>
    <row r="145" spans="7:21" ht="18" customHeight="1" x14ac:dyDescent="0.4">
      <c r="G145" s="24">
        <f t="shared" si="400"/>
        <v>44932</v>
      </c>
      <c r="H145" s="29">
        <f t="shared" si="401"/>
        <v>3.04E-2</v>
      </c>
      <c r="I145" s="24">
        <f t="shared" si="402"/>
        <v>44932</v>
      </c>
      <c r="J145" s="29">
        <f t="shared" si="403"/>
        <v>4.2140000000000004E-2</v>
      </c>
      <c r="K145" s="24">
        <f t="shared" si="402"/>
        <v>44932</v>
      </c>
      <c r="L145" s="29">
        <v>1.0999999999999999E-2</v>
      </c>
      <c r="P145" s="24">
        <f t="shared" ref="P145" si="434">P144+1</f>
        <v>44932</v>
      </c>
      <c r="Q145" s="29">
        <v>3.9140000000000001E-2</v>
      </c>
      <c r="R145" s="24">
        <f t="shared" ref="R145" si="435">R144+1</f>
        <v>44932</v>
      </c>
      <c r="S145" s="29">
        <v>3.9140000000000001E-2</v>
      </c>
      <c r="T145" s="24">
        <f t="shared" ref="T145" si="436">T144+1</f>
        <v>44932</v>
      </c>
      <c r="U145" s="29">
        <v>1.0999999999999999E-2</v>
      </c>
    </row>
    <row r="146" spans="7:21" ht="18" customHeight="1" x14ac:dyDescent="0.4">
      <c r="G146" s="24">
        <f t="shared" si="400"/>
        <v>44933</v>
      </c>
      <c r="H146" s="29">
        <f t="shared" si="401"/>
        <v>3.04E-2</v>
      </c>
      <c r="I146" s="24">
        <f t="shared" si="402"/>
        <v>44933</v>
      </c>
      <c r="J146" s="29">
        <f t="shared" si="403"/>
        <v>4.2140000000000004E-2</v>
      </c>
      <c r="K146" s="24">
        <f t="shared" si="402"/>
        <v>44933</v>
      </c>
      <c r="L146" s="29">
        <v>1.0999999999999999E-2</v>
      </c>
      <c r="P146" s="24">
        <f t="shared" ref="P146" si="437">P145+1</f>
        <v>44933</v>
      </c>
      <c r="Q146" s="29">
        <v>3.9140000000000001E-2</v>
      </c>
      <c r="R146" s="24">
        <f t="shared" ref="R146" si="438">R145+1</f>
        <v>44933</v>
      </c>
      <c r="S146" s="29">
        <v>3.9140000000000001E-2</v>
      </c>
      <c r="T146" s="24">
        <f t="shared" ref="T146" si="439">T145+1</f>
        <v>44933</v>
      </c>
      <c r="U146" s="29">
        <v>1.0999999999999999E-2</v>
      </c>
    </row>
    <row r="147" spans="7:21" ht="18" customHeight="1" x14ac:dyDescent="0.4">
      <c r="G147" s="24">
        <f t="shared" si="400"/>
        <v>44934</v>
      </c>
      <c r="H147" s="29">
        <f t="shared" si="401"/>
        <v>3.04E-2</v>
      </c>
      <c r="I147" s="24">
        <f t="shared" si="402"/>
        <v>44934</v>
      </c>
      <c r="J147" s="29">
        <f t="shared" si="403"/>
        <v>4.2140000000000004E-2</v>
      </c>
      <c r="K147" s="24">
        <f t="shared" si="402"/>
        <v>44934</v>
      </c>
      <c r="L147" s="29">
        <v>1.0999999999999999E-2</v>
      </c>
      <c r="P147" s="24">
        <f t="shared" ref="P147" si="440">P146+1</f>
        <v>44934</v>
      </c>
      <c r="Q147" s="29">
        <v>3.9140000000000001E-2</v>
      </c>
      <c r="R147" s="24">
        <f t="shared" ref="R147" si="441">R146+1</f>
        <v>44934</v>
      </c>
      <c r="S147" s="29">
        <v>3.9140000000000001E-2</v>
      </c>
      <c r="T147" s="24">
        <f t="shared" ref="T147" si="442">T146+1</f>
        <v>44934</v>
      </c>
      <c r="U147" s="29">
        <v>1.0999999999999999E-2</v>
      </c>
    </row>
    <row r="148" spans="7:21" ht="18" customHeight="1" x14ac:dyDescent="0.4">
      <c r="G148" s="24">
        <f t="shared" si="400"/>
        <v>44935</v>
      </c>
      <c r="H148" s="29">
        <f t="shared" si="401"/>
        <v>3.04E-2</v>
      </c>
      <c r="I148" s="24">
        <f t="shared" si="402"/>
        <v>44935</v>
      </c>
      <c r="J148" s="29">
        <f t="shared" si="403"/>
        <v>4.2140000000000004E-2</v>
      </c>
      <c r="K148" s="24">
        <f t="shared" si="402"/>
        <v>44935</v>
      </c>
      <c r="L148" s="29">
        <v>1.0999999999999999E-2</v>
      </c>
      <c r="P148" s="24">
        <f t="shared" ref="P148" si="443">P147+1</f>
        <v>44935</v>
      </c>
      <c r="Q148" s="29">
        <v>3.9140000000000001E-2</v>
      </c>
      <c r="R148" s="24">
        <f t="shared" ref="R148" si="444">R147+1</f>
        <v>44935</v>
      </c>
      <c r="S148" s="29">
        <v>3.9140000000000001E-2</v>
      </c>
      <c r="T148" s="24">
        <f t="shared" ref="T148" si="445">T147+1</f>
        <v>44935</v>
      </c>
      <c r="U148" s="29">
        <v>1.0999999999999999E-2</v>
      </c>
    </row>
    <row r="149" spans="7:21" ht="18" customHeight="1" x14ac:dyDescent="0.4">
      <c r="G149" s="24">
        <f t="shared" si="400"/>
        <v>44936</v>
      </c>
      <c r="H149" s="29">
        <f t="shared" si="401"/>
        <v>3.04E-2</v>
      </c>
      <c r="I149" s="24">
        <f t="shared" si="402"/>
        <v>44936</v>
      </c>
      <c r="J149" s="29">
        <f t="shared" si="403"/>
        <v>4.2140000000000004E-2</v>
      </c>
      <c r="K149" s="24">
        <f t="shared" si="402"/>
        <v>44936</v>
      </c>
      <c r="L149" s="29">
        <v>1.0999999999999999E-2</v>
      </c>
      <c r="P149" s="24">
        <f t="shared" ref="P149" si="446">P148+1</f>
        <v>44936</v>
      </c>
      <c r="Q149" s="29">
        <v>3.9140000000000001E-2</v>
      </c>
      <c r="R149" s="24">
        <f t="shared" ref="R149" si="447">R148+1</f>
        <v>44936</v>
      </c>
      <c r="S149" s="29">
        <v>3.9140000000000001E-2</v>
      </c>
      <c r="T149" s="24">
        <f t="shared" ref="T149" si="448">T148+1</f>
        <v>44936</v>
      </c>
      <c r="U149" s="29">
        <v>1.0999999999999999E-2</v>
      </c>
    </row>
    <row r="150" spans="7:21" ht="18" customHeight="1" x14ac:dyDescent="0.4">
      <c r="G150" s="24">
        <f t="shared" si="400"/>
        <v>44937</v>
      </c>
      <c r="H150" s="29">
        <f t="shared" si="401"/>
        <v>3.04E-2</v>
      </c>
      <c r="I150" s="24">
        <f t="shared" si="402"/>
        <v>44937</v>
      </c>
      <c r="J150" s="29">
        <f t="shared" si="403"/>
        <v>4.2140000000000004E-2</v>
      </c>
      <c r="K150" s="24">
        <f t="shared" si="402"/>
        <v>44937</v>
      </c>
      <c r="L150" s="29">
        <v>1.0999999999999999E-2</v>
      </c>
      <c r="P150" s="24">
        <f t="shared" ref="P150" si="449">P149+1</f>
        <v>44937</v>
      </c>
      <c r="Q150" s="29">
        <v>3.9140000000000001E-2</v>
      </c>
      <c r="R150" s="24">
        <f t="shared" ref="R150" si="450">R149+1</f>
        <v>44937</v>
      </c>
      <c r="S150" s="29">
        <v>3.9140000000000001E-2</v>
      </c>
      <c r="T150" s="24">
        <f t="shared" ref="T150" si="451">T149+1</f>
        <v>44937</v>
      </c>
      <c r="U150" s="29">
        <v>1.0999999999999999E-2</v>
      </c>
    </row>
    <row r="151" spans="7:21" ht="18" customHeight="1" x14ac:dyDescent="0.4">
      <c r="G151" s="24">
        <f t="shared" si="400"/>
        <v>44938</v>
      </c>
      <c r="H151" s="29">
        <f t="shared" si="401"/>
        <v>3.04E-2</v>
      </c>
      <c r="I151" s="24">
        <f t="shared" si="402"/>
        <v>44938</v>
      </c>
      <c r="J151" s="29">
        <f t="shared" si="403"/>
        <v>4.2140000000000004E-2</v>
      </c>
      <c r="K151" s="24">
        <f t="shared" si="402"/>
        <v>44938</v>
      </c>
      <c r="L151" s="29">
        <v>1.0999999999999999E-2</v>
      </c>
      <c r="P151" s="24">
        <f t="shared" ref="P151" si="452">P150+1</f>
        <v>44938</v>
      </c>
      <c r="Q151" s="29">
        <v>3.9140000000000001E-2</v>
      </c>
      <c r="R151" s="24">
        <f t="shared" ref="R151" si="453">R150+1</f>
        <v>44938</v>
      </c>
      <c r="S151" s="29">
        <v>3.9140000000000001E-2</v>
      </c>
      <c r="T151" s="24">
        <f t="shared" ref="T151" si="454">T150+1</f>
        <v>44938</v>
      </c>
      <c r="U151" s="29">
        <v>1.0999999999999999E-2</v>
      </c>
    </row>
    <row r="152" spans="7:21" ht="18" customHeight="1" x14ac:dyDescent="0.4">
      <c r="G152" s="24">
        <f t="shared" si="400"/>
        <v>44939</v>
      </c>
      <c r="H152" s="29">
        <f t="shared" si="401"/>
        <v>3.04E-2</v>
      </c>
      <c r="I152" s="24">
        <f t="shared" si="402"/>
        <v>44939</v>
      </c>
      <c r="J152" s="29">
        <f t="shared" si="403"/>
        <v>4.2140000000000004E-2</v>
      </c>
      <c r="K152" s="24">
        <f t="shared" si="402"/>
        <v>44939</v>
      </c>
      <c r="L152" s="29">
        <v>1.0999999999999999E-2</v>
      </c>
      <c r="P152" s="24">
        <f t="shared" ref="P152" si="455">P151+1</f>
        <v>44939</v>
      </c>
      <c r="Q152" s="29">
        <v>3.9140000000000001E-2</v>
      </c>
      <c r="R152" s="24">
        <f t="shared" ref="R152" si="456">R151+1</f>
        <v>44939</v>
      </c>
      <c r="S152" s="29">
        <v>3.9140000000000001E-2</v>
      </c>
      <c r="T152" s="24">
        <f t="shared" ref="T152" si="457">T151+1</f>
        <v>44939</v>
      </c>
      <c r="U152" s="29">
        <v>1.0999999999999999E-2</v>
      </c>
    </row>
    <row r="153" spans="7:21" ht="18" customHeight="1" x14ac:dyDescent="0.4">
      <c r="G153" s="24">
        <f t="shared" si="400"/>
        <v>44940</v>
      </c>
      <c r="H153" s="29">
        <f t="shared" si="401"/>
        <v>3.04E-2</v>
      </c>
      <c r="I153" s="24">
        <f t="shared" si="402"/>
        <v>44940</v>
      </c>
      <c r="J153" s="29">
        <f t="shared" si="403"/>
        <v>4.2140000000000004E-2</v>
      </c>
      <c r="K153" s="24">
        <f t="shared" si="402"/>
        <v>44940</v>
      </c>
      <c r="L153" s="29">
        <v>1.0999999999999999E-2</v>
      </c>
      <c r="P153" s="24">
        <f t="shared" ref="P153" si="458">P152+1</f>
        <v>44940</v>
      </c>
      <c r="Q153" s="29">
        <v>3.9140000000000001E-2</v>
      </c>
      <c r="R153" s="24">
        <f t="shared" ref="R153" si="459">R152+1</f>
        <v>44940</v>
      </c>
      <c r="S153" s="29">
        <v>3.9140000000000001E-2</v>
      </c>
      <c r="T153" s="24">
        <f t="shared" ref="T153" si="460">T152+1</f>
        <v>44940</v>
      </c>
      <c r="U153" s="29">
        <v>1.0999999999999999E-2</v>
      </c>
    </row>
    <row r="154" spans="7:21" ht="18" customHeight="1" x14ac:dyDescent="0.4">
      <c r="G154" s="24">
        <f t="shared" si="400"/>
        <v>44941</v>
      </c>
      <c r="H154" s="29">
        <f t="shared" si="401"/>
        <v>3.04E-2</v>
      </c>
      <c r="I154" s="24">
        <f t="shared" si="402"/>
        <v>44941</v>
      </c>
      <c r="J154" s="29">
        <f t="shared" si="403"/>
        <v>4.2140000000000004E-2</v>
      </c>
      <c r="K154" s="24">
        <f t="shared" si="402"/>
        <v>44941</v>
      </c>
      <c r="L154" s="29">
        <v>1.0999999999999999E-2</v>
      </c>
      <c r="P154" s="24">
        <f t="shared" ref="P154" si="461">P153+1</f>
        <v>44941</v>
      </c>
      <c r="Q154" s="29">
        <v>3.9140000000000001E-2</v>
      </c>
      <c r="R154" s="24">
        <f t="shared" ref="R154" si="462">R153+1</f>
        <v>44941</v>
      </c>
      <c r="S154" s="29">
        <v>3.9140000000000001E-2</v>
      </c>
      <c r="T154" s="24">
        <f t="shared" ref="T154" si="463">T153+1</f>
        <v>44941</v>
      </c>
      <c r="U154" s="29">
        <v>1.0999999999999999E-2</v>
      </c>
    </row>
    <row r="155" spans="7:21" ht="18" customHeight="1" x14ac:dyDescent="0.4">
      <c r="G155" s="24">
        <f t="shared" si="400"/>
        <v>44942</v>
      </c>
      <c r="H155" s="29">
        <f t="shared" si="401"/>
        <v>3.04E-2</v>
      </c>
      <c r="I155" s="24">
        <f t="shared" si="402"/>
        <v>44942</v>
      </c>
      <c r="J155" s="29">
        <f t="shared" si="403"/>
        <v>4.2140000000000004E-2</v>
      </c>
      <c r="K155" s="24">
        <f t="shared" si="402"/>
        <v>44942</v>
      </c>
      <c r="L155" s="29">
        <v>1.0999999999999999E-2</v>
      </c>
      <c r="P155" s="24">
        <f t="shared" ref="P155" si="464">P154+1</f>
        <v>44942</v>
      </c>
      <c r="Q155" s="29">
        <v>3.9140000000000001E-2</v>
      </c>
      <c r="R155" s="24">
        <f t="shared" ref="R155" si="465">R154+1</f>
        <v>44942</v>
      </c>
      <c r="S155" s="29">
        <v>3.9140000000000001E-2</v>
      </c>
      <c r="T155" s="24">
        <f t="shared" ref="T155" si="466">T154+1</f>
        <v>44942</v>
      </c>
      <c r="U155" s="29">
        <v>1.0999999999999999E-2</v>
      </c>
    </row>
    <row r="156" spans="7:21" ht="18" customHeight="1" x14ac:dyDescent="0.4">
      <c r="G156" s="24">
        <f t="shared" si="400"/>
        <v>44943</v>
      </c>
      <c r="H156" s="29">
        <f t="shared" si="401"/>
        <v>3.04E-2</v>
      </c>
      <c r="I156" s="24">
        <f t="shared" si="402"/>
        <v>44943</v>
      </c>
      <c r="J156" s="29">
        <f t="shared" si="403"/>
        <v>4.2140000000000004E-2</v>
      </c>
      <c r="K156" s="24">
        <f t="shared" si="402"/>
        <v>44943</v>
      </c>
      <c r="L156" s="29">
        <v>1.0999999999999999E-2</v>
      </c>
      <c r="P156" s="24">
        <f t="shared" ref="P156" si="467">P155+1</f>
        <v>44943</v>
      </c>
      <c r="Q156" s="29">
        <v>3.9140000000000001E-2</v>
      </c>
      <c r="R156" s="24">
        <f t="shared" ref="R156" si="468">R155+1</f>
        <v>44943</v>
      </c>
      <c r="S156" s="29">
        <v>3.9140000000000001E-2</v>
      </c>
      <c r="T156" s="24">
        <f t="shared" ref="T156" si="469">T155+1</f>
        <v>44943</v>
      </c>
      <c r="U156" s="29">
        <v>1.0999999999999999E-2</v>
      </c>
    </row>
    <row r="157" spans="7:21" ht="18" customHeight="1" x14ac:dyDescent="0.4">
      <c r="G157" s="24">
        <f t="shared" si="400"/>
        <v>44944</v>
      </c>
      <c r="H157" s="29">
        <f t="shared" si="401"/>
        <v>3.04E-2</v>
      </c>
      <c r="I157" s="24">
        <f t="shared" si="402"/>
        <v>44944</v>
      </c>
      <c r="J157" s="29">
        <f t="shared" si="403"/>
        <v>4.2140000000000004E-2</v>
      </c>
      <c r="K157" s="24">
        <f t="shared" si="402"/>
        <v>44944</v>
      </c>
      <c r="L157" s="29">
        <v>1.0999999999999999E-2</v>
      </c>
      <c r="P157" s="24">
        <f t="shared" ref="P157" si="470">P156+1</f>
        <v>44944</v>
      </c>
      <c r="Q157" s="29">
        <v>3.9140000000000001E-2</v>
      </c>
      <c r="R157" s="24">
        <f t="shared" ref="R157" si="471">R156+1</f>
        <v>44944</v>
      </c>
      <c r="S157" s="29">
        <v>3.9140000000000001E-2</v>
      </c>
      <c r="T157" s="24">
        <f t="shared" ref="T157" si="472">T156+1</f>
        <v>44944</v>
      </c>
      <c r="U157" s="29">
        <v>1.0999999999999999E-2</v>
      </c>
    </row>
    <row r="158" spans="7:21" ht="18" customHeight="1" x14ac:dyDescent="0.4">
      <c r="G158" s="24">
        <f t="shared" si="400"/>
        <v>44945</v>
      </c>
      <c r="H158" s="29">
        <f t="shared" si="401"/>
        <v>3.04E-2</v>
      </c>
      <c r="I158" s="24">
        <f t="shared" si="402"/>
        <v>44945</v>
      </c>
      <c r="J158" s="29">
        <f t="shared" si="403"/>
        <v>4.2140000000000004E-2</v>
      </c>
      <c r="K158" s="24">
        <f t="shared" si="402"/>
        <v>44945</v>
      </c>
      <c r="L158" s="29">
        <v>1.0999999999999999E-2</v>
      </c>
      <c r="P158" s="24">
        <f t="shared" ref="P158" si="473">P157+1</f>
        <v>44945</v>
      </c>
      <c r="Q158" s="29">
        <v>3.9140000000000001E-2</v>
      </c>
      <c r="R158" s="24">
        <f t="shared" ref="R158" si="474">R157+1</f>
        <v>44945</v>
      </c>
      <c r="S158" s="29">
        <v>3.9140000000000001E-2</v>
      </c>
      <c r="T158" s="24">
        <f t="shared" ref="T158" si="475">T157+1</f>
        <v>44945</v>
      </c>
      <c r="U158" s="29">
        <v>1.0999999999999999E-2</v>
      </c>
    </row>
    <row r="159" spans="7:21" ht="18" customHeight="1" x14ac:dyDescent="0.4">
      <c r="G159" s="24">
        <f t="shared" si="400"/>
        <v>44946</v>
      </c>
      <c r="H159" s="29">
        <f t="shared" si="401"/>
        <v>3.04E-2</v>
      </c>
      <c r="I159" s="24">
        <f t="shared" si="402"/>
        <v>44946</v>
      </c>
      <c r="J159" s="29">
        <f t="shared" si="403"/>
        <v>4.2140000000000004E-2</v>
      </c>
      <c r="K159" s="24">
        <f t="shared" si="402"/>
        <v>44946</v>
      </c>
      <c r="L159" s="29">
        <v>1.0999999999999999E-2</v>
      </c>
      <c r="P159" s="24">
        <f t="shared" ref="P159" si="476">P158+1</f>
        <v>44946</v>
      </c>
      <c r="Q159" s="29">
        <v>3.9140000000000001E-2</v>
      </c>
      <c r="R159" s="24">
        <f t="shared" ref="R159" si="477">R158+1</f>
        <v>44946</v>
      </c>
      <c r="S159" s="29">
        <v>3.9140000000000001E-2</v>
      </c>
      <c r="T159" s="24">
        <f t="shared" ref="T159" si="478">T158+1</f>
        <v>44946</v>
      </c>
      <c r="U159" s="29">
        <v>1.0999999999999999E-2</v>
      </c>
    </row>
    <row r="160" spans="7:21" ht="18" customHeight="1" x14ac:dyDescent="0.4">
      <c r="G160" s="24">
        <f t="shared" si="400"/>
        <v>44947</v>
      </c>
      <c r="H160" s="29">
        <f t="shared" si="401"/>
        <v>3.04E-2</v>
      </c>
      <c r="I160" s="24">
        <f t="shared" si="402"/>
        <v>44947</v>
      </c>
      <c r="J160" s="29">
        <f t="shared" si="403"/>
        <v>4.2140000000000004E-2</v>
      </c>
      <c r="K160" s="24">
        <f t="shared" si="402"/>
        <v>44947</v>
      </c>
      <c r="L160" s="29">
        <v>1.0999999999999999E-2</v>
      </c>
      <c r="P160" s="24">
        <f t="shared" ref="P160" si="479">P159+1</f>
        <v>44947</v>
      </c>
      <c r="Q160" s="29">
        <v>3.9140000000000001E-2</v>
      </c>
      <c r="R160" s="24">
        <f t="shared" ref="R160" si="480">R159+1</f>
        <v>44947</v>
      </c>
      <c r="S160" s="29">
        <v>3.9140000000000001E-2</v>
      </c>
      <c r="T160" s="24">
        <f t="shared" ref="T160" si="481">T159+1</f>
        <v>44947</v>
      </c>
      <c r="U160" s="29">
        <v>1.0999999999999999E-2</v>
      </c>
    </row>
    <row r="161" spans="7:21" ht="18" customHeight="1" x14ac:dyDescent="0.4">
      <c r="G161" s="24">
        <f t="shared" si="400"/>
        <v>44948</v>
      </c>
      <c r="H161" s="29">
        <f t="shared" si="401"/>
        <v>3.04E-2</v>
      </c>
      <c r="I161" s="24">
        <f t="shared" si="402"/>
        <v>44948</v>
      </c>
      <c r="J161" s="29">
        <f t="shared" si="403"/>
        <v>4.2140000000000004E-2</v>
      </c>
      <c r="K161" s="24">
        <f t="shared" si="402"/>
        <v>44948</v>
      </c>
      <c r="L161" s="29">
        <v>1.0999999999999999E-2</v>
      </c>
      <c r="P161" s="24">
        <f t="shared" ref="P161" si="482">P160+1</f>
        <v>44948</v>
      </c>
      <c r="Q161" s="29">
        <v>3.9140000000000001E-2</v>
      </c>
      <c r="R161" s="24">
        <f t="shared" ref="R161" si="483">R160+1</f>
        <v>44948</v>
      </c>
      <c r="S161" s="29">
        <v>3.9140000000000001E-2</v>
      </c>
      <c r="T161" s="24">
        <f t="shared" ref="T161" si="484">T160+1</f>
        <v>44948</v>
      </c>
      <c r="U161" s="29">
        <v>1.0999999999999999E-2</v>
      </c>
    </row>
    <row r="162" spans="7:21" ht="18" customHeight="1" x14ac:dyDescent="0.4">
      <c r="G162" s="24">
        <f t="shared" si="400"/>
        <v>44949</v>
      </c>
      <c r="H162" s="29">
        <f t="shared" si="401"/>
        <v>3.04E-2</v>
      </c>
      <c r="I162" s="24">
        <f t="shared" si="402"/>
        <v>44949</v>
      </c>
      <c r="J162" s="29">
        <f t="shared" si="403"/>
        <v>4.2140000000000004E-2</v>
      </c>
      <c r="K162" s="24">
        <f t="shared" si="402"/>
        <v>44949</v>
      </c>
      <c r="L162" s="29">
        <v>1.0999999999999999E-2</v>
      </c>
      <c r="P162" s="24">
        <f t="shared" ref="P162" si="485">P161+1</f>
        <v>44949</v>
      </c>
      <c r="Q162" s="29">
        <v>3.9140000000000001E-2</v>
      </c>
      <c r="R162" s="24">
        <f t="shared" ref="R162" si="486">R161+1</f>
        <v>44949</v>
      </c>
      <c r="S162" s="29">
        <v>3.9140000000000001E-2</v>
      </c>
      <c r="T162" s="24">
        <f t="shared" ref="T162" si="487">T161+1</f>
        <v>44949</v>
      </c>
      <c r="U162" s="29">
        <v>1.0999999999999999E-2</v>
      </c>
    </row>
    <row r="163" spans="7:21" ht="18" customHeight="1" x14ac:dyDescent="0.4">
      <c r="G163" s="24">
        <f t="shared" si="400"/>
        <v>44950</v>
      </c>
      <c r="H163" s="29">
        <f t="shared" si="401"/>
        <v>3.04E-2</v>
      </c>
      <c r="I163" s="24">
        <f t="shared" si="402"/>
        <v>44950</v>
      </c>
      <c r="J163" s="29">
        <f t="shared" si="403"/>
        <v>4.2140000000000004E-2</v>
      </c>
      <c r="K163" s="24">
        <f t="shared" si="402"/>
        <v>44950</v>
      </c>
      <c r="L163" s="29">
        <v>1.0999999999999999E-2</v>
      </c>
      <c r="P163" s="24">
        <f t="shared" ref="P163" si="488">P162+1</f>
        <v>44950</v>
      </c>
      <c r="Q163" s="29">
        <v>3.9140000000000001E-2</v>
      </c>
      <c r="R163" s="24">
        <f t="shared" ref="R163" si="489">R162+1</f>
        <v>44950</v>
      </c>
      <c r="S163" s="29">
        <v>3.9140000000000001E-2</v>
      </c>
      <c r="T163" s="24">
        <f t="shared" ref="T163" si="490">T162+1</f>
        <v>44950</v>
      </c>
      <c r="U163" s="29">
        <v>1.0999999999999999E-2</v>
      </c>
    </row>
    <row r="164" spans="7:21" ht="18" customHeight="1" x14ac:dyDescent="0.4">
      <c r="G164" s="24">
        <f t="shared" si="400"/>
        <v>44951</v>
      </c>
      <c r="H164" s="29">
        <f t="shared" si="401"/>
        <v>3.04E-2</v>
      </c>
      <c r="I164" s="24">
        <f t="shared" si="402"/>
        <v>44951</v>
      </c>
      <c r="J164" s="29">
        <f t="shared" si="403"/>
        <v>4.2140000000000004E-2</v>
      </c>
      <c r="K164" s="24">
        <f t="shared" si="402"/>
        <v>44951</v>
      </c>
      <c r="L164" s="29">
        <v>1.0999999999999999E-2</v>
      </c>
      <c r="P164" s="24">
        <f t="shared" ref="P164" si="491">P163+1</f>
        <v>44951</v>
      </c>
      <c r="Q164" s="29">
        <v>3.9140000000000001E-2</v>
      </c>
      <c r="R164" s="24">
        <f t="shared" ref="R164" si="492">R163+1</f>
        <v>44951</v>
      </c>
      <c r="S164" s="29">
        <v>3.9140000000000001E-2</v>
      </c>
      <c r="T164" s="24">
        <f t="shared" ref="T164" si="493">T163+1</f>
        <v>44951</v>
      </c>
      <c r="U164" s="29">
        <v>1.0999999999999999E-2</v>
      </c>
    </row>
    <row r="165" spans="7:21" ht="18" customHeight="1" x14ac:dyDescent="0.4">
      <c r="G165" s="24">
        <f t="shared" si="400"/>
        <v>44952</v>
      </c>
      <c r="H165" s="29">
        <f t="shared" si="401"/>
        <v>3.04E-2</v>
      </c>
      <c r="I165" s="24">
        <f t="shared" si="402"/>
        <v>44952</v>
      </c>
      <c r="J165" s="29">
        <f t="shared" si="403"/>
        <v>4.2140000000000004E-2</v>
      </c>
      <c r="K165" s="24">
        <f t="shared" si="402"/>
        <v>44952</v>
      </c>
      <c r="L165" s="29">
        <v>1.0999999999999999E-2</v>
      </c>
      <c r="P165" s="24">
        <f t="shared" ref="P165" si="494">P164+1</f>
        <v>44952</v>
      </c>
      <c r="Q165" s="29">
        <v>3.9140000000000001E-2</v>
      </c>
      <c r="R165" s="24">
        <f t="shared" ref="R165" si="495">R164+1</f>
        <v>44952</v>
      </c>
      <c r="S165" s="29">
        <v>3.9140000000000001E-2</v>
      </c>
      <c r="T165" s="24">
        <f t="shared" ref="T165" si="496">T164+1</f>
        <v>44952</v>
      </c>
      <c r="U165" s="29">
        <v>1.0999999999999999E-2</v>
      </c>
    </row>
    <row r="166" spans="7:21" ht="18" customHeight="1" x14ac:dyDescent="0.4">
      <c r="G166" s="24">
        <f t="shared" si="400"/>
        <v>44953</v>
      </c>
      <c r="H166" s="29">
        <f t="shared" si="401"/>
        <v>3.04E-2</v>
      </c>
      <c r="I166" s="24">
        <f t="shared" si="402"/>
        <v>44953</v>
      </c>
      <c r="J166" s="29">
        <f t="shared" si="403"/>
        <v>4.2140000000000004E-2</v>
      </c>
      <c r="K166" s="24">
        <f t="shared" si="402"/>
        <v>44953</v>
      </c>
      <c r="L166" s="29">
        <v>1.0999999999999999E-2</v>
      </c>
      <c r="P166" s="24">
        <f t="shared" ref="P166" si="497">P165+1</f>
        <v>44953</v>
      </c>
      <c r="Q166" s="29">
        <v>3.9140000000000001E-2</v>
      </c>
      <c r="R166" s="24">
        <f t="shared" ref="R166" si="498">R165+1</f>
        <v>44953</v>
      </c>
      <c r="S166" s="29">
        <v>3.9140000000000001E-2</v>
      </c>
      <c r="T166" s="24">
        <f t="shared" ref="T166" si="499">T165+1</f>
        <v>44953</v>
      </c>
      <c r="U166" s="29">
        <v>1.0999999999999999E-2</v>
      </c>
    </row>
    <row r="167" spans="7:21" ht="18" customHeight="1" x14ac:dyDescent="0.4">
      <c r="G167" s="24">
        <f t="shared" si="400"/>
        <v>44954</v>
      </c>
      <c r="H167" s="29">
        <f t="shared" si="401"/>
        <v>3.04E-2</v>
      </c>
      <c r="I167" s="24">
        <f t="shared" si="402"/>
        <v>44954</v>
      </c>
      <c r="J167" s="29">
        <f t="shared" si="403"/>
        <v>4.2140000000000004E-2</v>
      </c>
      <c r="K167" s="24">
        <f t="shared" si="402"/>
        <v>44954</v>
      </c>
      <c r="L167" s="29">
        <v>1.0999999999999999E-2</v>
      </c>
      <c r="P167" s="24">
        <f t="shared" ref="P167" si="500">P166+1</f>
        <v>44954</v>
      </c>
      <c r="Q167" s="29">
        <v>3.9140000000000001E-2</v>
      </c>
      <c r="R167" s="24">
        <f t="shared" ref="R167" si="501">R166+1</f>
        <v>44954</v>
      </c>
      <c r="S167" s="29">
        <v>3.9140000000000001E-2</v>
      </c>
      <c r="T167" s="24">
        <f t="shared" ref="T167" si="502">T166+1</f>
        <v>44954</v>
      </c>
      <c r="U167" s="29">
        <v>1.0999999999999999E-2</v>
      </c>
    </row>
    <row r="168" spans="7:21" ht="18" customHeight="1" x14ac:dyDescent="0.4">
      <c r="G168" s="24">
        <f t="shared" si="400"/>
        <v>44955</v>
      </c>
      <c r="H168" s="29">
        <f t="shared" si="401"/>
        <v>3.04E-2</v>
      </c>
      <c r="I168" s="24">
        <f t="shared" si="402"/>
        <v>44955</v>
      </c>
      <c r="J168" s="29">
        <f t="shared" si="403"/>
        <v>4.2140000000000004E-2</v>
      </c>
      <c r="K168" s="24">
        <f t="shared" si="402"/>
        <v>44955</v>
      </c>
      <c r="L168" s="29">
        <v>1.0999999999999999E-2</v>
      </c>
      <c r="P168" s="24">
        <f t="shared" ref="P168" si="503">P167+1</f>
        <v>44955</v>
      </c>
      <c r="Q168" s="29">
        <v>3.9140000000000001E-2</v>
      </c>
      <c r="R168" s="24">
        <f t="shared" ref="R168" si="504">R167+1</f>
        <v>44955</v>
      </c>
      <c r="S168" s="29">
        <v>3.9140000000000001E-2</v>
      </c>
      <c r="T168" s="24">
        <f t="shared" ref="T168" si="505">T167+1</f>
        <v>44955</v>
      </c>
      <c r="U168" s="29">
        <v>1.0999999999999999E-2</v>
      </c>
    </row>
    <row r="169" spans="7:21" ht="18" customHeight="1" x14ac:dyDescent="0.4">
      <c r="G169" s="24">
        <f t="shared" si="400"/>
        <v>44956</v>
      </c>
      <c r="H169" s="29">
        <f t="shared" si="401"/>
        <v>3.04E-2</v>
      </c>
      <c r="I169" s="24">
        <f t="shared" si="402"/>
        <v>44956</v>
      </c>
      <c r="J169" s="29">
        <f t="shared" si="403"/>
        <v>4.2140000000000004E-2</v>
      </c>
      <c r="K169" s="24">
        <f t="shared" si="402"/>
        <v>44956</v>
      </c>
      <c r="L169" s="29">
        <v>1.0999999999999999E-2</v>
      </c>
      <c r="P169" s="24">
        <f t="shared" ref="P169" si="506">P168+1</f>
        <v>44956</v>
      </c>
      <c r="Q169" s="29">
        <v>3.9140000000000001E-2</v>
      </c>
      <c r="R169" s="24">
        <f t="shared" ref="R169" si="507">R168+1</f>
        <v>44956</v>
      </c>
      <c r="S169" s="29">
        <v>3.9140000000000001E-2</v>
      </c>
      <c r="T169" s="24">
        <f t="shared" ref="T169" si="508">T168+1</f>
        <v>44956</v>
      </c>
      <c r="U169" s="29">
        <v>1.0999999999999999E-2</v>
      </c>
    </row>
    <row r="170" spans="7:21" ht="18" customHeight="1" x14ac:dyDescent="0.4">
      <c r="G170" s="24">
        <f t="shared" si="400"/>
        <v>44957</v>
      </c>
      <c r="H170" s="29">
        <f t="shared" si="401"/>
        <v>3.04E-2</v>
      </c>
      <c r="I170" s="24">
        <f t="shared" si="402"/>
        <v>44957</v>
      </c>
      <c r="J170" s="29">
        <f t="shared" si="403"/>
        <v>4.2140000000000004E-2</v>
      </c>
      <c r="K170" s="24">
        <f t="shared" si="402"/>
        <v>44957</v>
      </c>
      <c r="L170" s="29">
        <v>1.0999999999999999E-2</v>
      </c>
      <c r="P170" s="24">
        <f t="shared" ref="P170" si="509">P169+1</f>
        <v>44957</v>
      </c>
      <c r="Q170" s="29">
        <v>3.9140000000000001E-2</v>
      </c>
      <c r="R170" s="24">
        <f t="shared" ref="R170" si="510">R169+1</f>
        <v>44957</v>
      </c>
      <c r="S170" s="29">
        <v>3.9140000000000001E-2</v>
      </c>
      <c r="T170" s="24">
        <f t="shared" ref="T170" si="511">T169+1</f>
        <v>44957</v>
      </c>
      <c r="U170" s="29">
        <v>1.0999999999999999E-2</v>
      </c>
    </row>
    <row r="171" spans="7:21" ht="18" customHeight="1" x14ac:dyDescent="0.4">
      <c r="G171" s="24">
        <f t="shared" si="400"/>
        <v>44958</v>
      </c>
      <c r="H171" s="29">
        <f t="shared" si="401"/>
        <v>3.04E-2</v>
      </c>
      <c r="I171" s="24">
        <f t="shared" si="402"/>
        <v>44958</v>
      </c>
      <c r="J171" s="29">
        <f t="shared" si="403"/>
        <v>4.2140000000000004E-2</v>
      </c>
      <c r="K171" s="24">
        <f t="shared" si="402"/>
        <v>44958</v>
      </c>
      <c r="L171" s="29">
        <v>1.0999999999999999E-2</v>
      </c>
      <c r="P171" s="24">
        <f t="shared" ref="P171" si="512">P170+1</f>
        <v>44958</v>
      </c>
      <c r="Q171" s="29">
        <v>3.9140000000000001E-2</v>
      </c>
      <c r="R171" s="24">
        <f t="shared" ref="R171" si="513">R170+1</f>
        <v>44958</v>
      </c>
      <c r="S171" s="29">
        <v>3.9140000000000001E-2</v>
      </c>
      <c r="T171" s="24">
        <f t="shared" ref="T171" si="514">T170+1</f>
        <v>44958</v>
      </c>
      <c r="U171" s="29">
        <v>1.0999999999999999E-2</v>
      </c>
    </row>
    <row r="172" spans="7:21" ht="18" customHeight="1" x14ac:dyDescent="0.4">
      <c r="G172" s="24">
        <f t="shared" si="400"/>
        <v>44959</v>
      </c>
      <c r="H172" s="29">
        <f t="shared" si="401"/>
        <v>3.04E-2</v>
      </c>
      <c r="I172" s="24">
        <f t="shared" si="402"/>
        <v>44959</v>
      </c>
      <c r="J172" s="29">
        <f t="shared" si="403"/>
        <v>4.2140000000000004E-2</v>
      </c>
      <c r="K172" s="24">
        <f t="shared" si="402"/>
        <v>44959</v>
      </c>
      <c r="L172" s="29">
        <v>1.0999999999999999E-2</v>
      </c>
      <c r="P172" s="24">
        <f t="shared" ref="P172" si="515">P171+1</f>
        <v>44959</v>
      </c>
      <c r="Q172" s="29">
        <v>3.9140000000000001E-2</v>
      </c>
      <c r="R172" s="24">
        <f t="shared" ref="R172" si="516">R171+1</f>
        <v>44959</v>
      </c>
      <c r="S172" s="29">
        <v>3.9140000000000001E-2</v>
      </c>
      <c r="T172" s="24">
        <f t="shared" ref="T172" si="517">T171+1</f>
        <v>44959</v>
      </c>
      <c r="U172" s="29">
        <v>1.0999999999999999E-2</v>
      </c>
    </row>
    <row r="173" spans="7:21" ht="18" customHeight="1" x14ac:dyDescent="0.4">
      <c r="G173" s="24">
        <f t="shared" si="400"/>
        <v>44960</v>
      </c>
      <c r="H173" s="29">
        <f t="shared" si="401"/>
        <v>3.04E-2</v>
      </c>
      <c r="I173" s="24">
        <f t="shared" si="402"/>
        <v>44960</v>
      </c>
      <c r="J173" s="29">
        <f t="shared" si="403"/>
        <v>4.2140000000000004E-2</v>
      </c>
      <c r="K173" s="24">
        <f t="shared" si="402"/>
        <v>44960</v>
      </c>
      <c r="L173" s="29">
        <v>1.0999999999999999E-2</v>
      </c>
      <c r="P173" s="24">
        <f t="shared" ref="P173" si="518">P172+1</f>
        <v>44960</v>
      </c>
      <c r="Q173" s="29">
        <v>3.9140000000000001E-2</v>
      </c>
      <c r="R173" s="24">
        <f t="shared" ref="R173" si="519">R172+1</f>
        <v>44960</v>
      </c>
      <c r="S173" s="29">
        <v>3.9140000000000001E-2</v>
      </c>
      <c r="T173" s="24">
        <f t="shared" ref="T173" si="520">T172+1</f>
        <v>44960</v>
      </c>
      <c r="U173" s="29">
        <v>1.0999999999999999E-2</v>
      </c>
    </row>
    <row r="174" spans="7:21" ht="18" customHeight="1" x14ac:dyDescent="0.4">
      <c r="G174" s="24">
        <f t="shared" si="400"/>
        <v>44961</v>
      </c>
      <c r="H174" s="29">
        <f t="shared" si="401"/>
        <v>3.04E-2</v>
      </c>
      <c r="I174" s="24">
        <f t="shared" si="402"/>
        <v>44961</v>
      </c>
      <c r="J174" s="29">
        <f t="shared" si="403"/>
        <v>4.2140000000000004E-2</v>
      </c>
      <c r="K174" s="24">
        <f t="shared" si="402"/>
        <v>44961</v>
      </c>
      <c r="L174" s="29">
        <v>1.0999999999999999E-2</v>
      </c>
      <c r="P174" s="24">
        <f t="shared" ref="P174" si="521">P173+1</f>
        <v>44961</v>
      </c>
      <c r="Q174" s="29">
        <v>3.9140000000000001E-2</v>
      </c>
      <c r="R174" s="24">
        <f t="shared" ref="R174" si="522">R173+1</f>
        <v>44961</v>
      </c>
      <c r="S174" s="29">
        <v>3.9140000000000001E-2</v>
      </c>
      <c r="T174" s="24">
        <f t="shared" ref="T174" si="523">T173+1</f>
        <v>44961</v>
      </c>
      <c r="U174" s="29">
        <v>1.0999999999999999E-2</v>
      </c>
    </row>
    <row r="175" spans="7:21" ht="18" customHeight="1" x14ac:dyDescent="0.4">
      <c r="G175" s="24">
        <f t="shared" si="400"/>
        <v>44962</v>
      </c>
      <c r="H175" s="29">
        <f t="shared" si="401"/>
        <v>3.04E-2</v>
      </c>
      <c r="I175" s="24">
        <f t="shared" si="402"/>
        <v>44962</v>
      </c>
      <c r="J175" s="29">
        <f t="shared" si="403"/>
        <v>4.2140000000000004E-2</v>
      </c>
      <c r="K175" s="24">
        <f t="shared" si="402"/>
        <v>44962</v>
      </c>
      <c r="L175" s="29">
        <v>1.0999999999999999E-2</v>
      </c>
      <c r="P175" s="24">
        <f t="shared" ref="P175" si="524">P174+1</f>
        <v>44962</v>
      </c>
      <c r="Q175" s="29">
        <v>3.9140000000000001E-2</v>
      </c>
      <c r="R175" s="24">
        <f t="shared" ref="R175" si="525">R174+1</f>
        <v>44962</v>
      </c>
      <c r="S175" s="29">
        <v>3.9140000000000001E-2</v>
      </c>
      <c r="T175" s="24">
        <f t="shared" ref="T175" si="526">T174+1</f>
        <v>44962</v>
      </c>
      <c r="U175" s="29">
        <v>1.0999999999999999E-2</v>
      </c>
    </row>
    <row r="176" spans="7:21" ht="18" customHeight="1" x14ac:dyDescent="0.4">
      <c r="G176" s="24">
        <f t="shared" si="400"/>
        <v>44963</v>
      </c>
      <c r="H176" s="29">
        <f t="shared" si="401"/>
        <v>3.04E-2</v>
      </c>
      <c r="I176" s="24">
        <f t="shared" si="402"/>
        <v>44963</v>
      </c>
      <c r="J176" s="29">
        <f t="shared" si="403"/>
        <v>4.2140000000000004E-2</v>
      </c>
      <c r="K176" s="24">
        <f t="shared" si="402"/>
        <v>44963</v>
      </c>
      <c r="L176" s="29">
        <v>1.0999999999999999E-2</v>
      </c>
      <c r="P176" s="24">
        <f t="shared" ref="P176" si="527">P175+1</f>
        <v>44963</v>
      </c>
      <c r="Q176" s="29">
        <v>3.9140000000000001E-2</v>
      </c>
      <c r="R176" s="24">
        <f t="shared" ref="R176" si="528">R175+1</f>
        <v>44963</v>
      </c>
      <c r="S176" s="29">
        <v>3.9140000000000001E-2</v>
      </c>
      <c r="T176" s="24">
        <f t="shared" ref="T176" si="529">T175+1</f>
        <v>44963</v>
      </c>
      <c r="U176" s="29">
        <v>1.0999999999999999E-2</v>
      </c>
    </row>
    <row r="177" spans="7:21" ht="18" customHeight="1" x14ac:dyDescent="0.4">
      <c r="G177" s="24">
        <f t="shared" si="400"/>
        <v>44964</v>
      </c>
      <c r="H177" s="29">
        <f t="shared" si="401"/>
        <v>3.04E-2</v>
      </c>
      <c r="I177" s="24">
        <f t="shared" si="402"/>
        <v>44964</v>
      </c>
      <c r="J177" s="29">
        <f t="shared" si="403"/>
        <v>4.2140000000000004E-2</v>
      </c>
      <c r="K177" s="24">
        <f t="shared" si="402"/>
        <v>44964</v>
      </c>
      <c r="L177" s="29">
        <v>1.0999999999999999E-2</v>
      </c>
      <c r="P177" s="24">
        <f t="shared" ref="P177" si="530">P176+1</f>
        <v>44964</v>
      </c>
      <c r="Q177" s="29">
        <v>3.9140000000000001E-2</v>
      </c>
      <c r="R177" s="24">
        <f t="shared" ref="R177" si="531">R176+1</f>
        <v>44964</v>
      </c>
      <c r="S177" s="29">
        <v>3.9140000000000001E-2</v>
      </c>
      <c r="T177" s="24">
        <f t="shared" ref="T177" si="532">T176+1</f>
        <v>44964</v>
      </c>
      <c r="U177" s="29">
        <v>1.0999999999999999E-2</v>
      </c>
    </row>
    <row r="178" spans="7:21" ht="18" customHeight="1" x14ac:dyDescent="0.4">
      <c r="G178" s="24">
        <f t="shared" si="400"/>
        <v>44965</v>
      </c>
      <c r="H178" s="29">
        <f t="shared" si="401"/>
        <v>3.04E-2</v>
      </c>
      <c r="I178" s="24">
        <f t="shared" si="402"/>
        <v>44965</v>
      </c>
      <c r="J178" s="29">
        <f t="shared" si="403"/>
        <v>4.2140000000000004E-2</v>
      </c>
      <c r="K178" s="24">
        <f t="shared" si="402"/>
        <v>44965</v>
      </c>
      <c r="L178" s="29">
        <v>1.0999999999999999E-2</v>
      </c>
      <c r="P178" s="24">
        <f t="shared" ref="P178" si="533">P177+1</f>
        <v>44965</v>
      </c>
      <c r="Q178" s="29">
        <v>3.9140000000000001E-2</v>
      </c>
      <c r="R178" s="24">
        <f t="shared" ref="R178" si="534">R177+1</f>
        <v>44965</v>
      </c>
      <c r="S178" s="29">
        <v>3.9140000000000001E-2</v>
      </c>
      <c r="T178" s="24">
        <f t="shared" ref="T178" si="535">T177+1</f>
        <v>44965</v>
      </c>
      <c r="U178" s="29">
        <v>1.0999999999999999E-2</v>
      </c>
    </row>
    <row r="179" spans="7:21" ht="18" customHeight="1" x14ac:dyDescent="0.4">
      <c r="G179" s="24">
        <f t="shared" si="400"/>
        <v>44966</v>
      </c>
      <c r="H179" s="29">
        <f t="shared" si="401"/>
        <v>3.04E-2</v>
      </c>
      <c r="I179" s="24">
        <f t="shared" si="402"/>
        <v>44966</v>
      </c>
      <c r="J179" s="29">
        <f t="shared" si="403"/>
        <v>4.2140000000000004E-2</v>
      </c>
      <c r="K179" s="24">
        <f t="shared" si="402"/>
        <v>44966</v>
      </c>
      <c r="L179" s="29">
        <v>1.0999999999999999E-2</v>
      </c>
      <c r="P179" s="24">
        <f t="shared" ref="P179" si="536">P178+1</f>
        <v>44966</v>
      </c>
      <c r="Q179" s="29">
        <v>3.9140000000000001E-2</v>
      </c>
      <c r="R179" s="24">
        <f t="shared" ref="R179" si="537">R178+1</f>
        <v>44966</v>
      </c>
      <c r="S179" s="29">
        <v>3.9140000000000001E-2</v>
      </c>
      <c r="T179" s="24">
        <f t="shared" ref="T179" si="538">T178+1</f>
        <v>44966</v>
      </c>
      <c r="U179" s="29">
        <v>1.0999999999999999E-2</v>
      </c>
    </row>
    <row r="180" spans="7:21" ht="18" customHeight="1" x14ac:dyDescent="0.4">
      <c r="G180" s="24">
        <f t="shared" si="400"/>
        <v>44967</v>
      </c>
      <c r="H180" s="29">
        <f t="shared" si="401"/>
        <v>3.04E-2</v>
      </c>
      <c r="I180" s="24">
        <f t="shared" si="402"/>
        <v>44967</v>
      </c>
      <c r="J180" s="29">
        <f t="shared" si="403"/>
        <v>4.2140000000000004E-2</v>
      </c>
      <c r="K180" s="24">
        <f t="shared" si="402"/>
        <v>44967</v>
      </c>
      <c r="L180" s="29">
        <v>1.0999999999999999E-2</v>
      </c>
      <c r="P180" s="24">
        <f t="shared" ref="P180" si="539">P179+1</f>
        <v>44967</v>
      </c>
      <c r="Q180" s="29">
        <v>3.9140000000000001E-2</v>
      </c>
      <c r="R180" s="24">
        <f t="shared" ref="R180" si="540">R179+1</f>
        <v>44967</v>
      </c>
      <c r="S180" s="29">
        <v>3.9140000000000001E-2</v>
      </c>
      <c r="T180" s="24">
        <f t="shared" ref="T180" si="541">T179+1</f>
        <v>44967</v>
      </c>
      <c r="U180" s="29">
        <v>1.0999999999999999E-2</v>
      </c>
    </row>
    <row r="181" spans="7:21" ht="18" customHeight="1" x14ac:dyDescent="0.4">
      <c r="G181" s="24">
        <f t="shared" si="400"/>
        <v>44968</v>
      </c>
      <c r="H181" s="29">
        <f t="shared" si="401"/>
        <v>3.04E-2</v>
      </c>
      <c r="I181" s="24">
        <f t="shared" si="402"/>
        <v>44968</v>
      </c>
      <c r="J181" s="29">
        <f t="shared" si="403"/>
        <v>4.2140000000000004E-2</v>
      </c>
      <c r="K181" s="24">
        <f t="shared" si="402"/>
        <v>44968</v>
      </c>
      <c r="L181" s="29">
        <v>1.0999999999999999E-2</v>
      </c>
      <c r="P181" s="24">
        <f t="shared" ref="P181" si="542">P180+1</f>
        <v>44968</v>
      </c>
      <c r="Q181" s="29">
        <v>3.9140000000000001E-2</v>
      </c>
      <c r="R181" s="24">
        <f t="shared" ref="R181" si="543">R180+1</f>
        <v>44968</v>
      </c>
      <c r="S181" s="29">
        <v>3.9140000000000001E-2</v>
      </c>
      <c r="T181" s="24">
        <f t="shared" ref="T181" si="544">T180+1</f>
        <v>44968</v>
      </c>
      <c r="U181" s="29">
        <v>1.0999999999999999E-2</v>
      </c>
    </row>
    <row r="182" spans="7:21" ht="18" customHeight="1" x14ac:dyDescent="0.4">
      <c r="G182" s="24">
        <f t="shared" si="400"/>
        <v>44969</v>
      </c>
      <c r="H182" s="29">
        <f t="shared" si="401"/>
        <v>3.04E-2</v>
      </c>
      <c r="I182" s="24">
        <f t="shared" si="402"/>
        <v>44969</v>
      </c>
      <c r="J182" s="29">
        <f t="shared" si="403"/>
        <v>4.2140000000000004E-2</v>
      </c>
      <c r="K182" s="24">
        <f t="shared" si="402"/>
        <v>44969</v>
      </c>
      <c r="L182" s="29">
        <v>1.0999999999999999E-2</v>
      </c>
      <c r="P182" s="24">
        <f t="shared" ref="P182" si="545">P181+1</f>
        <v>44969</v>
      </c>
      <c r="Q182" s="29">
        <v>3.9140000000000001E-2</v>
      </c>
      <c r="R182" s="24">
        <f t="shared" ref="R182" si="546">R181+1</f>
        <v>44969</v>
      </c>
      <c r="S182" s="29">
        <v>3.9140000000000001E-2</v>
      </c>
      <c r="T182" s="24">
        <f t="shared" ref="T182" si="547">T181+1</f>
        <v>44969</v>
      </c>
      <c r="U182" s="29">
        <v>1.0999999999999999E-2</v>
      </c>
    </row>
    <row r="183" spans="7:21" ht="18" customHeight="1" x14ac:dyDescent="0.4">
      <c r="G183" s="24">
        <f t="shared" si="400"/>
        <v>44970</v>
      </c>
      <c r="H183" s="29">
        <f t="shared" si="401"/>
        <v>3.04E-2</v>
      </c>
      <c r="I183" s="24">
        <f t="shared" si="402"/>
        <v>44970</v>
      </c>
      <c r="J183" s="29">
        <f t="shared" si="403"/>
        <v>4.2140000000000004E-2</v>
      </c>
      <c r="K183" s="24">
        <f t="shared" si="402"/>
        <v>44970</v>
      </c>
      <c r="L183" s="29">
        <v>1.0999999999999999E-2</v>
      </c>
      <c r="P183" s="24">
        <f t="shared" ref="P183" si="548">P182+1</f>
        <v>44970</v>
      </c>
      <c r="Q183" s="29">
        <v>3.9140000000000001E-2</v>
      </c>
      <c r="R183" s="24">
        <f t="shared" ref="R183" si="549">R182+1</f>
        <v>44970</v>
      </c>
      <c r="S183" s="29">
        <v>3.9140000000000001E-2</v>
      </c>
      <c r="T183" s="24">
        <f t="shared" ref="T183" si="550">T182+1</f>
        <v>44970</v>
      </c>
      <c r="U183" s="29">
        <v>1.0999999999999999E-2</v>
      </c>
    </row>
    <row r="184" spans="7:21" ht="18" customHeight="1" x14ac:dyDescent="0.4">
      <c r="G184" s="24">
        <f t="shared" si="400"/>
        <v>44971</v>
      </c>
      <c r="H184" s="29">
        <f t="shared" si="401"/>
        <v>3.04E-2</v>
      </c>
      <c r="I184" s="24">
        <f t="shared" si="402"/>
        <v>44971</v>
      </c>
      <c r="J184" s="29">
        <f t="shared" si="403"/>
        <v>4.2140000000000004E-2</v>
      </c>
      <c r="K184" s="24">
        <f t="shared" si="402"/>
        <v>44971</v>
      </c>
      <c r="L184" s="29">
        <v>1.0999999999999999E-2</v>
      </c>
      <c r="P184" s="24">
        <f t="shared" ref="P184" si="551">P183+1</f>
        <v>44971</v>
      </c>
      <c r="Q184" s="29">
        <v>3.9140000000000001E-2</v>
      </c>
      <c r="R184" s="24">
        <f t="shared" ref="R184" si="552">R183+1</f>
        <v>44971</v>
      </c>
      <c r="S184" s="29">
        <v>3.9140000000000001E-2</v>
      </c>
      <c r="T184" s="24">
        <f t="shared" ref="T184" si="553">T183+1</f>
        <v>44971</v>
      </c>
      <c r="U184" s="29">
        <v>1.0999999999999999E-2</v>
      </c>
    </row>
    <row r="185" spans="7:21" ht="18" customHeight="1" x14ac:dyDescent="0.4">
      <c r="G185" s="24">
        <f t="shared" si="400"/>
        <v>44972</v>
      </c>
      <c r="H185" s="29">
        <f t="shared" si="401"/>
        <v>3.04E-2</v>
      </c>
      <c r="I185" s="24">
        <f t="shared" si="402"/>
        <v>44972</v>
      </c>
      <c r="J185" s="29">
        <f t="shared" si="403"/>
        <v>4.2140000000000004E-2</v>
      </c>
      <c r="K185" s="24">
        <f t="shared" si="402"/>
        <v>44972</v>
      </c>
      <c r="L185" s="29">
        <v>1.0999999999999999E-2</v>
      </c>
      <c r="P185" s="24">
        <f t="shared" ref="P185" si="554">P184+1</f>
        <v>44972</v>
      </c>
      <c r="Q185" s="29">
        <v>3.9140000000000001E-2</v>
      </c>
      <c r="R185" s="24">
        <f t="shared" ref="R185" si="555">R184+1</f>
        <v>44972</v>
      </c>
      <c r="S185" s="29">
        <v>3.9140000000000001E-2</v>
      </c>
      <c r="T185" s="24">
        <f t="shared" ref="T185" si="556">T184+1</f>
        <v>44972</v>
      </c>
      <c r="U185" s="29">
        <v>1.0999999999999999E-2</v>
      </c>
    </row>
    <row r="186" spans="7:21" ht="18" customHeight="1" x14ac:dyDescent="0.4">
      <c r="G186" s="24">
        <f t="shared" si="400"/>
        <v>44973</v>
      </c>
      <c r="H186" s="29">
        <f t="shared" si="401"/>
        <v>3.04E-2</v>
      </c>
      <c r="I186" s="24">
        <f t="shared" si="402"/>
        <v>44973</v>
      </c>
      <c r="J186" s="29">
        <f t="shared" si="403"/>
        <v>4.2140000000000004E-2</v>
      </c>
      <c r="K186" s="24">
        <f t="shared" si="402"/>
        <v>44973</v>
      </c>
      <c r="L186" s="29">
        <v>1.0999999999999999E-2</v>
      </c>
      <c r="P186" s="24">
        <f t="shared" ref="P186" si="557">P185+1</f>
        <v>44973</v>
      </c>
      <c r="Q186" s="29">
        <v>3.9140000000000001E-2</v>
      </c>
      <c r="R186" s="24">
        <f t="shared" ref="R186" si="558">R185+1</f>
        <v>44973</v>
      </c>
      <c r="S186" s="29">
        <v>3.9140000000000001E-2</v>
      </c>
      <c r="T186" s="24">
        <f t="shared" ref="T186" si="559">T185+1</f>
        <v>44973</v>
      </c>
      <c r="U186" s="29">
        <v>1.0999999999999999E-2</v>
      </c>
    </row>
    <row r="187" spans="7:21" ht="18" customHeight="1" x14ac:dyDescent="0.4">
      <c r="G187" s="24">
        <f t="shared" si="400"/>
        <v>44974</v>
      </c>
      <c r="H187" s="29">
        <f t="shared" si="401"/>
        <v>3.04E-2</v>
      </c>
      <c r="I187" s="24">
        <f t="shared" si="402"/>
        <v>44974</v>
      </c>
      <c r="J187" s="29">
        <f t="shared" si="403"/>
        <v>4.2140000000000004E-2</v>
      </c>
      <c r="K187" s="24">
        <f t="shared" si="402"/>
        <v>44974</v>
      </c>
      <c r="L187" s="29">
        <v>1.0999999999999999E-2</v>
      </c>
      <c r="P187" s="24">
        <f t="shared" ref="P187" si="560">P186+1</f>
        <v>44974</v>
      </c>
      <c r="Q187" s="29">
        <v>3.9140000000000001E-2</v>
      </c>
      <c r="R187" s="24">
        <f t="shared" ref="R187" si="561">R186+1</f>
        <v>44974</v>
      </c>
      <c r="S187" s="29">
        <v>3.9140000000000001E-2</v>
      </c>
      <c r="T187" s="24">
        <f t="shared" ref="T187" si="562">T186+1</f>
        <v>44974</v>
      </c>
      <c r="U187" s="29">
        <v>1.0999999999999999E-2</v>
      </c>
    </row>
    <row r="188" spans="7:21" ht="18" customHeight="1" x14ac:dyDescent="0.4">
      <c r="G188" s="24">
        <f t="shared" si="400"/>
        <v>44975</v>
      </c>
      <c r="H188" s="29">
        <f t="shared" si="401"/>
        <v>3.04E-2</v>
      </c>
      <c r="I188" s="24">
        <f t="shared" si="402"/>
        <v>44975</v>
      </c>
      <c r="J188" s="29">
        <f t="shared" si="403"/>
        <v>4.2140000000000004E-2</v>
      </c>
      <c r="K188" s="24">
        <f t="shared" si="402"/>
        <v>44975</v>
      </c>
      <c r="L188" s="29">
        <v>1.0999999999999999E-2</v>
      </c>
      <c r="P188" s="24">
        <f t="shared" ref="P188" si="563">P187+1</f>
        <v>44975</v>
      </c>
      <c r="Q188" s="29">
        <v>3.9140000000000001E-2</v>
      </c>
      <c r="R188" s="24">
        <f t="shared" ref="R188" si="564">R187+1</f>
        <v>44975</v>
      </c>
      <c r="S188" s="29">
        <v>3.9140000000000001E-2</v>
      </c>
      <c r="T188" s="24">
        <f t="shared" ref="T188" si="565">T187+1</f>
        <v>44975</v>
      </c>
      <c r="U188" s="29">
        <v>1.0999999999999999E-2</v>
      </c>
    </row>
    <row r="189" spans="7:21" ht="18" customHeight="1" x14ac:dyDescent="0.4">
      <c r="G189" s="24">
        <f t="shared" si="400"/>
        <v>44976</v>
      </c>
      <c r="H189" s="29">
        <f t="shared" si="401"/>
        <v>3.04E-2</v>
      </c>
      <c r="I189" s="24">
        <f t="shared" si="402"/>
        <v>44976</v>
      </c>
      <c r="J189" s="29">
        <f t="shared" si="403"/>
        <v>4.2140000000000004E-2</v>
      </c>
      <c r="K189" s="24">
        <f t="shared" si="402"/>
        <v>44976</v>
      </c>
      <c r="L189" s="29">
        <v>1.0999999999999999E-2</v>
      </c>
      <c r="P189" s="24">
        <f t="shared" ref="P189" si="566">P188+1</f>
        <v>44976</v>
      </c>
      <c r="Q189" s="29">
        <v>3.9140000000000001E-2</v>
      </c>
      <c r="R189" s="24">
        <f t="shared" ref="R189" si="567">R188+1</f>
        <v>44976</v>
      </c>
      <c r="S189" s="29">
        <v>3.9140000000000001E-2</v>
      </c>
      <c r="T189" s="24">
        <f t="shared" ref="T189" si="568">T188+1</f>
        <v>44976</v>
      </c>
      <c r="U189" s="29">
        <v>1.0999999999999999E-2</v>
      </c>
    </row>
    <row r="190" spans="7:21" ht="18" customHeight="1" x14ac:dyDescent="0.4">
      <c r="G190" s="24">
        <f t="shared" si="400"/>
        <v>44977</v>
      </c>
      <c r="H190" s="29">
        <f t="shared" si="401"/>
        <v>3.04E-2</v>
      </c>
      <c r="I190" s="24">
        <f t="shared" si="402"/>
        <v>44977</v>
      </c>
      <c r="J190" s="29">
        <f t="shared" si="403"/>
        <v>4.2140000000000004E-2</v>
      </c>
      <c r="K190" s="24">
        <f t="shared" si="402"/>
        <v>44977</v>
      </c>
      <c r="L190" s="29">
        <v>1.0999999999999999E-2</v>
      </c>
      <c r="P190" s="24">
        <f t="shared" ref="P190" si="569">P189+1</f>
        <v>44977</v>
      </c>
      <c r="Q190" s="29">
        <v>3.9140000000000001E-2</v>
      </c>
      <c r="R190" s="24">
        <f t="shared" ref="R190" si="570">R189+1</f>
        <v>44977</v>
      </c>
      <c r="S190" s="29">
        <v>3.9140000000000001E-2</v>
      </c>
      <c r="T190" s="24">
        <f t="shared" ref="T190" si="571">T189+1</f>
        <v>44977</v>
      </c>
      <c r="U190" s="29">
        <v>1.0999999999999999E-2</v>
      </c>
    </row>
    <row r="191" spans="7:21" ht="18" customHeight="1" x14ac:dyDescent="0.4">
      <c r="G191" s="24">
        <f t="shared" si="400"/>
        <v>44978</v>
      </c>
      <c r="H191" s="29">
        <f t="shared" si="401"/>
        <v>3.04E-2</v>
      </c>
      <c r="I191" s="24">
        <f t="shared" si="402"/>
        <v>44978</v>
      </c>
      <c r="J191" s="29">
        <f t="shared" si="403"/>
        <v>4.2140000000000004E-2</v>
      </c>
      <c r="K191" s="24">
        <f t="shared" si="402"/>
        <v>44978</v>
      </c>
      <c r="L191" s="29">
        <v>1.0999999999999999E-2</v>
      </c>
      <c r="P191" s="24">
        <f t="shared" ref="P191" si="572">P190+1</f>
        <v>44978</v>
      </c>
      <c r="Q191" s="29">
        <v>3.9140000000000001E-2</v>
      </c>
      <c r="R191" s="24">
        <f t="shared" ref="R191" si="573">R190+1</f>
        <v>44978</v>
      </c>
      <c r="S191" s="29">
        <v>3.9140000000000001E-2</v>
      </c>
      <c r="T191" s="24">
        <f t="shared" ref="T191" si="574">T190+1</f>
        <v>44978</v>
      </c>
      <c r="U191" s="29">
        <v>1.0999999999999999E-2</v>
      </c>
    </row>
    <row r="192" spans="7:21" ht="18" customHeight="1" x14ac:dyDescent="0.4">
      <c r="G192" s="24">
        <f t="shared" si="400"/>
        <v>44979</v>
      </c>
      <c r="H192" s="29">
        <f t="shared" si="401"/>
        <v>3.04E-2</v>
      </c>
      <c r="I192" s="24">
        <f t="shared" si="402"/>
        <v>44979</v>
      </c>
      <c r="J192" s="29">
        <f t="shared" si="403"/>
        <v>4.2140000000000004E-2</v>
      </c>
      <c r="K192" s="24">
        <f t="shared" si="402"/>
        <v>44979</v>
      </c>
      <c r="L192" s="29">
        <v>1.0999999999999999E-2</v>
      </c>
      <c r="P192" s="24">
        <f t="shared" ref="P192" si="575">P191+1</f>
        <v>44979</v>
      </c>
      <c r="Q192" s="29">
        <v>3.9140000000000001E-2</v>
      </c>
      <c r="R192" s="24">
        <f t="shared" ref="R192" si="576">R191+1</f>
        <v>44979</v>
      </c>
      <c r="S192" s="29">
        <v>3.9140000000000001E-2</v>
      </c>
      <c r="T192" s="24">
        <f t="shared" ref="T192" si="577">T191+1</f>
        <v>44979</v>
      </c>
      <c r="U192" s="29">
        <v>1.0999999999999999E-2</v>
      </c>
    </row>
    <row r="193" spans="7:21" ht="18" customHeight="1" x14ac:dyDescent="0.4">
      <c r="G193" s="24">
        <f t="shared" si="400"/>
        <v>44980</v>
      </c>
      <c r="H193" s="29">
        <f t="shared" si="401"/>
        <v>3.04E-2</v>
      </c>
      <c r="I193" s="24">
        <f t="shared" si="402"/>
        <v>44980</v>
      </c>
      <c r="J193" s="29">
        <f t="shared" si="403"/>
        <v>4.2140000000000004E-2</v>
      </c>
      <c r="K193" s="24">
        <f t="shared" si="402"/>
        <v>44980</v>
      </c>
      <c r="L193" s="29">
        <v>1.0999999999999999E-2</v>
      </c>
      <c r="P193" s="24">
        <f t="shared" ref="P193" si="578">P192+1</f>
        <v>44980</v>
      </c>
      <c r="Q193" s="29">
        <v>3.9140000000000001E-2</v>
      </c>
      <c r="R193" s="24">
        <f t="shared" ref="R193" si="579">R192+1</f>
        <v>44980</v>
      </c>
      <c r="S193" s="29">
        <v>3.9140000000000001E-2</v>
      </c>
      <c r="T193" s="24">
        <f t="shared" ref="T193" si="580">T192+1</f>
        <v>44980</v>
      </c>
      <c r="U193" s="29">
        <v>1.0999999999999999E-2</v>
      </c>
    </row>
    <row r="194" spans="7:21" ht="18" customHeight="1" x14ac:dyDescent="0.4">
      <c r="G194" s="24">
        <f t="shared" si="400"/>
        <v>44981</v>
      </c>
      <c r="H194" s="29">
        <f t="shared" si="401"/>
        <v>3.04E-2</v>
      </c>
      <c r="I194" s="24">
        <f t="shared" si="402"/>
        <v>44981</v>
      </c>
      <c r="J194" s="29">
        <f t="shared" si="403"/>
        <v>4.2140000000000004E-2</v>
      </c>
      <c r="K194" s="24">
        <f t="shared" si="402"/>
        <v>44981</v>
      </c>
      <c r="L194" s="29">
        <v>1.0999999999999999E-2</v>
      </c>
      <c r="P194" s="24">
        <f t="shared" ref="P194" si="581">P193+1</f>
        <v>44981</v>
      </c>
      <c r="Q194" s="29">
        <v>3.9140000000000001E-2</v>
      </c>
      <c r="R194" s="24">
        <f t="shared" ref="R194" si="582">R193+1</f>
        <v>44981</v>
      </c>
      <c r="S194" s="29">
        <v>3.9140000000000001E-2</v>
      </c>
      <c r="T194" s="24">
        <f t="shared" ref="T194" si="583">T193+1</f>
        <v>44981</v>
      </c>
      <c r="U194" s="29">
        <v>1.0999999999999999E-2</v>
      </c>
    </row>
    <row r="195" spans="7:21" ht="18" customHeight="1" x14ac:dyDescent="0.4">
      <c r="G195" s="24">
        <f t="shared" si="400"/>
        <v>44982</v>
      </c>
      <c r="H195" s="29">
        <f t="shared" si="401"/>
        <v>3.04E-2</v>
      </c>
      <c r="I195" s="24">
        <f t="shared" si="402"/>
        <v>44982</v>
      </c>
      <c r="J195" s="29">
        <f t="shared" si="403"/>
        <v>4.2140000000000004E-2</v>
      </c>
      <c r="K195" s="24">
        <f t="shared" si="402"/>
        <v>44982</v>
      </c>
      <c r="L195" s="29">
        <v>1.0999999999999999E-2</v>
      </c>
      <c r="P195" s="24">
        <f t="shared" ref="P195" si="584">P194+1</f>
        <v>44982</v>
      </c>
      <c r="Q195" s="29">
        <v>3.9140000000000001E-2</v>
      </c>
      <c r="R195" s="24">
        <f t="shared" ref="R195" si="585">R194+1</f>
        <v>44982</v>
      </c>
      <c r="S195" s="29">
        <v>3.9140000000000001E-2</v>
      </c>
      <c r="T195" s="24">
        <f t="shared" ref="T195" si="586">T194+1</f>
        <v>44982</v>
      </c>
      <c r="U195" s="29">
        <v>1.0999999999999999E-2</v>
      </c>
    </row>
    <row r="196" spans="7:21" ht="18" customHeight="1" x14ac:dyDescent="0.4">
      <c r="G196" s="24">
        <f t="shared" si="400"/>
        <v>44983</v>
      </c>
      <c r="H196" s="29">
        <f t="shared" si="401"/>
        <v>3.04E-2</v>
      </c>
      <c r="I196" s="24">
        <f t="shared" si="402"/>
        <v>44983</v>
      </c>
      <c r="J196" s="29">
        <f t="shared" si="403"/>
        <v>4.2140000000000004E-2</v>
      </c>
      <c r="K196" s="24">
        <f t="shared" si="402"/>
        <v>44983</v>
      </c>
      <c r="L196" s="29">
        <v>1.0999999999999999E-2</v>
      </c>
      <c r="P196" s="24">
        <f t="shared" ref="P196" si="587">P195+1</f>
        <v>44983</v>
      </c>
      <c r="Q196" s="29">
        <v>3.9140000000000001E-2</v>
      </c>
      <c r="R196" s="24">
        <f t="shared" ref="R196" si="588">R195+1</f>
        <v>44983</v>
      </c>
      <c r="S196" s="29">
        <v>3.9140000000000001E-2</v>
      </c>
      <c r="T196" s="24">
        <f t="shared" ref="T196" si="589">T195+1</f>
        <v>44983</v>
      </c>
      <c r="U196" s="29">
        <v>1.0999999999999999E-2</v>
      </c>
    </row>
    <row r="197" spans="7:21" ht="18" customHeight="1" x14ac:dyDescent="0.4">
      <c r="G197" s="24">
        <f t="shared" si="400"/>
        <v>44984</v>
      </c>
      <c r="H197" s="29">
        <f t="shared" si="401"/>
        <v>3.04E-2</v>
      </c>
      <c r="I197" s="24">
        <f t="shared" si="402"/>
        <v>44984</v>
      </c>
      <c r="J197" s="29">
        <f t="shared" si="403"/>
        <v>4.2140000000000004E-2</v>
      </c>
      <c r="K197" s="24">
        <f t="shared" si="402"/>
        <v>44984</v>
      </c>
      <c r="L197" s="29">
        <v>1.0999999999999999E-2</v>
      </c>
      <c r="P197" s="24">
        <f t="shared" ref="P197" si="590">P196+1</f>
        <v>44984</v>
      </c>
      <c r="Q197" s="29">
        <v>3.9140000000000001E-2</v>
      </c>
      <c r="R197" s="24">
        <f t="shared" ref="R197" si="591">R196+1</f>
        <v>44984</v>
      </c>
      <c r="S197" s="29">
        <v>3.9140000000000001E-2</v>
      </c>
      <c r="T197" s="24">
        <f t="shared" ref="T197" si="592">T196+1</f>
        <v>44984</v>
      </c>
      <c r="U197" s="29">
        <v>1.0999999999999999E-2</v>
      </c>
    </row>
    <row r="198" spans="7:21" ht="18" customHeight="1" x14ac:dyDescent="0.4">
      <c r="G198" s="24">
        <f t="shared" si="400"/>
        <v>44985</v>
      </c>
      <c r="H198" s="29">
        <f t="shared" si="401"/>
        <v>3.04E-2</v>
      </c>
      <c r="I198" s="24">
        <f t="shared" si="402"/>
        <v>44985</v>
      </c>
      <c r="J198" s="29">
        <f t="shared" si="403"/>
        <v>4.2140000000000004E-2</v>
      </c>
      <c r="K198" s="24">
        <f t="shared" si="402"/>
        <v>44985</v>
      </c>
      <c r="L198" s="29">
        <v>1.0999999999999999E-2</v>
      </c>
      <c r="P198" s="24">
        <f t="shared" ref="P198" si="593">P197+1</f>
        <v>44985</v>
      </c>
      <c r="Q198" s="29">
        <v>3.9140000000000001E-2</v>
      </c>
      <c r="R198" s="24">
        <f t="shared" ref="R198" si="594">R197+1</f>
        <v>44985</v>
      </c>
      <c r="S198" s="29">
        <v>3.9140000000000001E-2</v>
      </c>
      <c r="T198" s="24">
        <f t="shared" ref="T198" si="595">T197+1</f>
        <v>44985</v>
      </c>
      <c r="U198" s="29">
        <v>1.0999999999999999E-2</v>
      </c>
    </row>
    <row r="199" spans="7:21" ht="18" customHeight="1" x14ac:dyDescent="0.4">
      <c r="G199" s="24">
        <f t="shared" ref="G199:G217" si="596">G198+1</f>
        <v>44986</v>
      </c>
      <c r="H199" s="29">
        <f t="shared" ref="H199:H217" si="597">H198</f>
        <v>3.04E-2</v>
      </c>
      <c r="I199" s="24">
        <f t="shared" ref="I199:K217" si="598">I198+1</f>
        <v>44986</v>
      </c>
      <c r="J199" s="29">
        <f t="shared" ref="J199:J217" si="599">J198</f>
        <v>4.2140000000000004E-2</v>
      </c>
      <c r="K199" s="24">
        <f t="shared" si="598"/>
        <v>44986</v>
      </c>
      <c r="L199" s="29">
        <v>1.0999999999999999E-2</v>
      </c>
      <c r="P199" s="24">
        <f t="shared" ref="P199" si="600">P198+1</f>
        <v>44986</v>
      </c>
      <c r="Q199" s="29">
        <v>3.9140000000000001E-2</v>
      </c>
      <c r="R199" s="24">
        <f t="shared" ref="R199" si="601">R198+1</f>
        <v>44986</v>
      </c>
      <c r="S199" s="29">
        <v>3.9140000000000001E-2</v>
      </c>
      <c r="T199" s="24">
        <f t="shared" ref="T199" si="602">T198+1</f>
        <v>44986</v>
      </c>
      <c r="U199" s="29">
        <v>1.0999999999999999E-2</v>
      </c>
    </row>
    <row r="200" spans="7:21" ht="18" customHeight="1" x14ac:dyDescent="0.4">
      <c r="G200" s="24">
        <f t="shared" si="596"/>
        <v>44987</v>
      </c>
      <c r="H200" s="29">
        <f t="shared" si="597"/>
        <v>3.04E-2</v>
      </c>
      <c r="I200" s="24">
        <f t="shared" si="598"/>
        <v>44987</v>
      </c>
      <c r="J200" s="29">
        <f t="shared" si="599"/>
        <v>4.2140000000000004E-2</v>
      </c>
      <c r="K200" s="24">
        <f t="shared" si="598"/>
        <v>44987</v>
      </c>
      <c r="L200" s="29">
        <v>1.0999999999999999E-2</v>
      </c>
      <c r="P200" s="24">
        <f t="shared" ref="P200" si="603">P199+1</f>
        <v>44987</v>
      </c>
      <c r="Q200" s="29">
        <v>3.9140000000000001E-2</v>
      </c>
      <c r="R200" s="24">
        <f t="shared" ref="R200" si="604">R199+1</f>
        <v>44987</v>
      </c>
      <c r="S200" s="29">
        <v>3.9140000000000001E-2</v>
      </c>
      <c r="T200" s="24">
        <f t="shared" ref="T200" si="605">T199+1</f>
        <v>44987</v>
      </c>
      <c r="U200" s="29">
        <v>1.0999999999999999E-2</v>
      </c>
    </row>
    <row r="201" spans="7:21" ht="18" customHeight="1" x14ac:dyDescent="0.4">
      <c r="G201" s="24">
        <f t="shared" si="596"/>
        <v>44988</v>
      </c>
      <c r="H201" s="29">
        <f t="shared" si="597"/>
        <v>3.04E-2</v>
      </c>
      <c r="I201" s="24">
        <f t="shared" si="598"/>
        <v>44988</v>
      </c>
      <c r="J201" s="29">
        <f t="shared" si="599"/>
        <v>4.2140000000000004E-2</v>
      </c>
      <c r="K201" s="24">
        <f t="shared" si="598"/>
        <v>44988</v>
      </c>
      <c r="L201" s="29">
        <v>1.0999999999999999E-2</v>
      </c>
      <c r="P201" s="24">
        <f t="shared" ref="P201" si="606">P200+1</f>
        <v>44988</v>
      </c>
      <c r="Q201" s="29">
        <v>3.9140000000000001E-2</v>
      </c>
      <c r="R201" s="24">
        <f t="shared" ref="R201" si="607">R200+1</f>
        <v>44988</v>
      </c>
      <c r="S201" s="29">
        <v>3.9140000000000001E-2</v>
      </c>
      <c r="T201" s="24">
        <f t="shared" ref="T201" si="608">T200+1</f>
        <v>44988</v>
      </c>
      <c r="U201" s="29">
        <v>1.0999999999999999E-2</v>
      </c>
    </row>
    <row r="202" spans="7:21" ht="18" customHeight="1" x14ac:dyDescent="0.4">
      <c r="G202" s="24">
        <f t="shared" si="596"/>
        <v>44989</v>
      </c>
      <c r="H202" s="29">
        <f t="shared" si="597"/>
        <v>3.04E-2</v>
      </c>
      <c r="I202" s="24">
        <f t="shared" si="598"/>
        <v>44989</v>
      </c>
      <c r="J202" s="29">
        <f t="shared" si="599"/>
        <v>4.2140000000000004E-2</v>
      </c>
      <c r="K202" s="24">
        <f t="shared" si="598"/>
        <v>44989</v>
      </c>
      <c r="L202" s="29">
        <v>1.0999999999999999E-2</v>
      </c>
      <c r="P202" s="24">
        <f t="shared" ref="P202" si="609">P201+1</f>
        <v>44989</v>
      </c>
      <c r="Q202" s="29">
        <v>3.9140000000000001E-2</v>
      </c>
      <c r="R202" s="24">
        <f t="shared" ref="R202" si="610">R201+1</f>
        <v>44989</v>
      </c>
      <c r="S202" s="29">
        <v>3.9140000000000001E-2</v>
      </c>
      <c r="T202" s="24">
        <f t="shared" ref="T202" si="611">T201+1</f>
        <v>44989</v>
      </c>
      <c r="U202" s="29">
        <v>1.0999999999999999E-2</v>
      </c>
    </row>
    <row r="203" spans="7:21" ht="18" customHeight="1" x14ac:dyDescent="0.4">
      <c r="G203" s="24">
        <f t="shared" si="596"/>
        <v>44990</v>
      </c>
      <c r="H203" s="29">
        <f t="shared" si="597"/>
        <v>3.04E-2</v>
      </c>
      <c r="I203" s="24">
        <f t="shared" si="598"/>
        <v>44990</v>
      </c>
      <c r="J203" s="29">
        <f t="shared" si="599"/>
        <v>4.2140000000000004E-2</v>
      </c>
      <c r="K203" s="24">
        <f t="shared" si="598"/>
        <v>44990</v>
      </c>
      <c r="L203" s="29">
        <v>1.0999999999999999E-2</v>
      </c>
      <c r="P203" s="24">
        <f t="shared" ref="P203" si="612">P202+1</f>
        <v>44990</v>
      </c>
      <c r="Q203" s="29">
        <v>3.9140000000000001E-2</v>
      </c>
      <c r="R203" s="24">
        <f t="shared" ref="R203" si="613">R202+1</f>
        <v>44990</v>
      </c>
      <c r="S203" s="29">
        <v>3.9140000000000001E-2</v>
      </c>
      <c r="T203" s="24">
        <f t="shared" ref="T203" si="614">T202+1</f>
        <v>44990</v>
      </c>
      <c r="U203" s="29">
        <v>1.0999999999999999E-2</v>
      </c>
    </row>
    <row r="204" spans="7:21" ht="18" customHeight="1" x14ac:dyDescent="0.4">
      <c r="G204" s="24">
        <f t="shared" si="596"/>
        <v>44991</v>
      </c>
      <c r="H204" s="29">
        <f t="shared" si="597"/>
        <v>3.04E-2</v>
      </c>
      <c r="I204" s="24">
        <f t="shared" si="598"/>
        <v>44991</v>
      </c>
      <c r="J204" s="29">
        <f t="shared" si="599"/>
        <v>4.2140000000000004E-2</v>
      </c>
      <c r="K204" s="24">
        <f t="shared" si="598"/>
        <v>44991</v>
      </c>
      <c r="L204" s="29">
        <v>1.0999999999999999E-2</v>
      </c>
      <c r="P204" s="24">
        <f t="shared" ref="P204" si="615">P203+1</f>
        <v>44991</v>
      </c>
      <c r="Q204" s="29">
        <v>3.9140000000000001E-2</v>
      </c>
      <c r="R204" s="24">
        <f t="shared" ref="R204" si="616">R203+1</f>
        <v>44991</v>
      </c>
      <c r="S204" s="29">
        <v>3.9140000000000001E-2</v>
      </c>
      <c r="T204" s="24">
        <f t="shared" ref="T204" si="617">T203+1</f>
        <v>44991</v>
      </c>
      <c r="U204" s="29">
        <v>1.0999999999999999E-2</v>
      </c>
    </row>
    <row r="205" spans="7:21" ht="18" customHeight="1" x14ac:dyDescent="0.4">
      <c r="G205" s="24">
        <f t="shared" si="596"/>
        <v>44992</v>
      </c>
      <c r="H205" s="29">
        <f t="shared" si="597"/>
        <v>3.04E-2</v>
      </c>
      <c r="I205" s="24">
        <f t="shared" si="598"/>
        <v>44992</v>
      </c>
      <c r="J205" s="29">
        <f t="shared" si="599"/>
        <v>4.2140000000000004E-2</v>
      </c>
      <c r="K205" s="24">
        <f t="shared" si="598"/>
        <v>44992</v>
      </c>
      <c r="L205" s="29">
        <v>1.0999999999999999E-2</v>
      </c>
      <c r="P205" s="24">
        <f t="shared" ref="P205" si="618">P204+1</f>
        <v>44992</v>
      </c>
      <c r="Q205" s="29">
        <v>3.9140000000000001E-2</v>
      </c>
      <c r="R205" s="24">
        <f t="shared" ref="R205" si="619">R204+1</f>
        <v>44992</v>
      </c>
      <c r="S205" s="29">
        <v>3.9140000000000001E-2</v>
      </c>
      <c r="T205" s="24">
        <f t="shared" ref="T205" si="620">T204+1</f>
        <v>44992</v>
      </c>
      <c r="U205" s="29">
        <v>1.0999999999999999E-2</v>
      </c>
    </row>
    <row r="206" spans="7:21" ht="18" customHeight="1" x14ac:dyDescent="0.4">
      <c r="G206" s="24">
        <f t="shared" si="596"/>
        <v>44993</v>
      </c>
      <c r="H206" s="29">
        <f t="shared" si="597"/>
        <v>3.04E-2</v>
      </c>
      <c r="I206" s="24">
        <f t="shared" si="598"/>
        <v>44993</v>
      </c>
      <c r="J206" s="29">
        <f t="shared" si="599"/>
        <v>4.2140000000000004E-2</v>
      </c>
      <c r="K206" s="24">
        <f t="shared" si="598"/>
        <v>44993</v>
      </c>
      <c r="L206" s="29">
        <v>1.0999999999999999E-2</v>
      </c>
      <c r="P206" s="24">
        <f t="shared" ref="P206" si="621">P205+1</f>
        <v>44993</v>
      </c>
      <c r="Q206" s="29">
        <v>3.9140000000000001E-2</v>
      </c>
      <c r="R206" s="24">
        <f t="shared" ref="R206" si="622">R205+1</f>
        <v>44993</v>
      </c>
      <c r="S206" s="29">
        <v>3.9140000000000001E-2</v>
      </c>
      <c r="T206" s="24">
        <f t="shared" ref="T206" si="623">T205+1</f>
        <v>44993</v>
      </c>
      <c r="U206" s="29">
        <v>1.0999999999999999E-2</v>
      </c>
    </row>
    <row r="207" spans="7:21" ht="18" customHeight="1" x14ac:dyDescent="0.4">
      <c r="G207" s="24">
        <f t="shared" si="596"/>
        <v>44994</v>
      </c>
      <c r="H207" s="29">
        <f t="shared" si="597"/>
        <v>3.04E-2</v>
      </c>
      <c r="I207" s="24">
        <f t="shared" si="598"/>
        <v>44994</v>
      </c>
      <c r="J207" s="29">
        <f t="shared" si="599"/>
        <v>4.2140000000000004E-2</v>
      </c>
      <c r="K207" s="24">
        <f t="shared" si="598"/>
        <v>44994</v>
      </c>
      <c r="L207" s="29">
        <v>1.0999999999999999E-2</v>
      </c>
      <c r="P207" s="24">
        <f t="shared" ref="P207" si="624">P206+1</f>
        <v>44994</v>
      </c>
      <c r="Q207" s="29">
        <v>3.9140000000000001E-2</v>
      </c>
      <c r="R207" s="24">
        <f t="shared" ref="R207" si="625">R206+1</f>
        <v>44994</v>
      </c>
      <c r="S207" s="29">
        <v>3.9140000000000001E-2</v>
      </c>
      <c r="T207" s="24">
        <f t="shared" ref="T207" si="626">T206+1</f>
        <v>44994</v>
      </c>
      <c r="U207" s="29">
        <v>1.0999999999999999E-2</v>
      </c>
    </row>
    <row r="208" spans="7:21" ht="18" customHeight="1" x14ac:dyDescent="0.4">
      <c r="G208" s="24">
        <f t="shared" si="596"/>
        <v>44995</v>
      </c>
      <c r="H208" s="29">
        <f t="shared" si="597"/>
        <v>3.04E-2</v>
      </c>
      <c r="I208" s="24">
        <f t="shared" si="598"/>
        <v>44995</v>
      </c>
      <c r="J208" s="29">
        <f t="shared" si="599"/>
        <v>4.2140000000000004E-2</v>
      </c>
      <c r="K208" s="24">
        <f t="shared" si="598"/>
        <v>44995</v>
      </c>
      <c r="L208" s="29">
        <v>1.0999999999999999E-2</v>
      </c>
      <c r="P208" s="24">
        <f t="shared" ref="P208" si="627">P207+1</f>
        <v>44995</v>
      </c>
      <c r="Q208" s="29">
        <v>3.9140000000000001E-2</v>
      </c>
      <c r="R208" s="24">
        <f t="shared" ref="R208" si="628">R207+1</f>
        <v>44995</v>
      </c>
      <c r="S208" s="29">
        <v>3.9140000000000001E-2</v>
      </c>
      <c r="T208" s="24">
        <f t="shared" ref="T208" si="629">T207+1</f>
        <v>44995</v>
      </c>
      <c r="U208" s="29">
        <v>1.0999999999999999E-2</v>
      </c>
    </row>
    <row r="209" spans="7:21" ht="18" customHeight="1" x14ac:dyDescent="0.4">
      <c r="G209" s="24">
        <f t="shared" si="596"/>
        <v>44996</v>
      </c>
      <c r="H209" s="29">
        <f t="shared" si="597"/>
        <v>3.04E-2</v>
      </c>
      <c r="I209" s="24">
        <f t="shared" si="598"/>
        <v>44996</v>
      </c>
      <c r="J209" s="29">
        <f t="shared" si="599"/>
        <v>4.2140000000000004E-2</v>
      </c>
      <c r="K209" s="24">
        <f t="shared" si="598"/>
        <v>44996</v>
      </c>
      <c r="L209" s="29">
        <v>1.0999999999999999E-2</v>
      </c>
      <c r="P209" s="24">
        <f t="shared" ref="P209" si="630">P208+1</f>
        <v>44996</v>
      </c>
      <c r="Q209" s="29">
        <v>3.9140000000000001E-2</v>
      </c>
      <c r="R209" s="24">
        <f t="shared" ref="R209" si="631">R208+1</f>
        <v>44996</v>
      </c>
      <c r="S209" s="29">
        <v>3.9140000000000001E-2</v>
      </c>
      <c r="T209" s="24">
        <f t="shared" ref="T209" si="632">T208+1</f>
        <v>44996</v>
      </c>
      <c r="U209" s="29">
        <v>1.0999999999999999E-2</v>
      </c>
    </row>
    <row r="210" spans="7:21" ht="18" customHeight="1" x14ac:dyDescent="0.4">
      <c r="G210" s="24">
        <f t="shared" si="596"/>
        <v>44997</v>
      </c>
      <c r="H210" s="29">
        <f t="shared" si="597"/>
        <v>3.04E-2</v>
      </c>
      <c r="I210" s="24">
        <f t="shared" si="598"/>
        <v>44997</v>
      </c>
      <c r="J210" s="29">
        <f t="shared" si="599"/>
        <v>4.2140000000000004E-2</v>
      </c>
      <c r="K210" s="24">
        <f t="shared" si="598"/>
        <v>44997</v>
      </c>
      <c r="L210" s="29">
        <v>1.0999999999999999E-2</v>
      </c>
      <c r="P210" s="24">
        <f t="shared" ref="P210" si="633">P209+1</f>
        <v>44997</v>
      </c>
      <c r="Q210" s="29">
        <v>3.9140000000000001E-2</v>
      </c>
      <c r="R210" s="24">
        <f t="shared" ref="R210" si="634">R209+1</f>
        <v>44997</v>
      </c>
      <c r="S210" s="29">
        <v>3.9140000000000001E-2</v>
      </c>
      <c r="T210" s="24">
        <f t="shared" ref="T210" si="635">T209+1</f>
        <v>44997</v>
      </c>
      <c r="U210" s="29">
        <v>1.0999999999999999E-2</v>
      </c>
    </row>
    <row r="211" spans="7:21" ht="18" customHeight="1" x14ac:dyDescent="0.4">
      <c r="G211" s="24">
        <f t="shared" si="596"/>
        <v>44998</v>
      </c>
      <c r="H211" s="29">
        <f t="shared" si="597"/>
        <v>3.04E-2</v>
      </c>
      <c r="I211" s="24">
        <f t="shared" si="598"/>
        <v>44998</v>
      </c>
      <c r="J211" s="29">
        <f t="shared" si="599"/>
        <v>4.2140000000000004E-2</v>
      </c>
      <c r="K211" s="24">
        <f t="shared" si="598"/>
        <v>44998</v>
      </c>
      <c r="L211" s="29">
        <v>1.0999999999999999E-2</v>
      </c>
      <c r="P211" s="24">
        <f t="shared" ref="P211" si="636">P210+1</f>
        <v>44998</v>
      </c>
      <c r="Q211" s="29">
        <v>3.9140000000000001E-2</v>
      </c>
      <c r="R211" s="24">
        <f t="shared" ref="R211" si="637">R210+1</f>
        <v>44998</v>
      </c>
      <c r="S211" s="29">
        <v>3.9140000000000001E-2</v>
      </c>
      <c r="T211" s="24">
        <f t="shared" ref="T211" si="638">T210+1</f>
        <v>44998</v>
      </c>
      <c r="U211" s="29">
        <v>1.0999999999999999E-2</v>
      </c>
    </row>
    <row r="212" spans="7:21" ht="18" customHeight="1" x14ac:dyDescent="0.4">
      <c r="G212" s="24">
        <f t="shared" si="596"/>
        <v>44999</v>
      </c>
      <c r="H212" s="29">
        <f t="shared" si="597"/>
        <v>3.04E-2</v>
      </c>
      <c r="I212" s="24">
        <f t="shared" si="598"/>
        <v>44999</v>
      </c>
      <c r="J212" s="29">
        <f t="shared" si="599"/>
        <v>4.2140000000000004E-2</v>
      </c>
      <c r="K212" s="24">
        <f t="shared" si="598"/>
        <v>44999</v>
      </c>
      <c r="L212" s="29">
        <v>1.0999999999999999E-2</v>
      </c>
      <c r="P212" s="24">
        <f t="shared" ref="P212" si="639">P211+1</f>
        <v>44999</v>
      </c>
      <c r="Q212" s="29">
        <v>3.9140000000000001E-2</v>
      </c>
      <c r="R212" s="24">
        <f t="shared" ref="R212" si="640">R211+1</f>
        <v>44999</v>
      </c>
      <c r="S212" s="29">
        <v>3.9140000000000001E-2</v>
      </c>
      <c r="T212" s="24">
        <f t="shared" ref="T212" si="641">T211+1</f>
        <v>44999</v>
      </c>
      <c r="U212" s="29">
        <v>1.0999999999999999E-2</v>
      </c>
    </row>
    <row r="213" spans="7:21" ht="18" customHeight="1" x14ac:dyDescent="0.4">
      <c r="G213" s="24">
        <f t="shared" si="596"/>
        <v>45000</v>
      </c>
      <c r="H213" s="29">
        <f t="shared" si="597"/>
        <v>3.04E-2</v>
      </c>
      <c r="I213" s="24">
        <f t="shared" si="598"/>
        <v>45000</v>
      </c>
      <c r="J213" s="29">
        <f t="shared" si="599"/>
        <v>4.2140000000000004E-2</v>
      </c>
      <c r="K213" s="24">
        <f t="shared" si="598"/>
        <v>45000</v>
      </c>
      <c r="L213" s="29">
        <v>1.0999999999999999E-2</v>
      </c>
      <c r="P213" s="24">
        <f t="shared" ref="P213" si="642">P212+1</f>
        <v>45000</v>
      </c>
      <c r="Q213" s="29">
        <v>3.9140000000000001E-2</v>
      </c>
      <c r="R213" s="24">
        <f t="shared" ref="R213" si="643">R212+1</f>
        <v>45000</v>
      </c>
      <c r="S213" s="29">
        <v>3.9140000000000001E-2</v>
      </c>
      <c r="T213" s="24">
        <f t="shared" ref="T213" si="644">T212+1</f>
        <v>45000</v>
      </c>
      <c r="U213" s="29">
        <v>1.0999999999999999E-2</v>
      </c>
    </row>
    <row r="214" spans="7:21" ht="18" customHeight="1" x14ac:dyDescent="0.4">
      <c r="G214" s="24">
        <f t="shared" si="596"/>
        <v>45001</v>
      </c>
      <c r="H214" s="29">
        <f t="shared" si="597"/>
        <v>3.04E-2</v>
      </c>
      <c r="I214" s="24">
        <f t="shared" si="598"/>
        <v>45001</v>
      </c>
      <c r="J214" s="29">
        <f t="shared" si="599"/>
        <v>4.2140000000000004E-2</v>
      </c>
      <c r="K214" s="24">
        <f t="shared" si="598"/>
        <v>45001</v>
      </c>
      <c r="L214" s="29">
        <v>1.0999999999999999E-2</v>
      </c>
      <c r="P214" s="24">
        <f t="shared" ref="P214" si="645">P213+1</f>
        <v>45001</v>
      </c>
      <c r="Q214" s="29">
        <v>3.9140000000000001E-2</v>
      </c>
      <c r="R214" s="24">
        <f t="shared" ref="R214" si="646">R213+1</f>
        <v>45001</v>
      </c>
      <c r="S214" s="29">
        <v>3.9140000000000001E-2</v>
      </c>
      <c r="T214" s="24">
        <f t="shared" ref="T214" si="647">T213+1</f>
        <v>45001</v>
      </c>
      <c r="U214" s="29">
        <v>1.0999999999999999E-2</v>
      </c>
    </row>
    <row r="215" spans="7:21" ht="18" customHeight="1" x14ac:dyDescent="0.4">
      <c r="G215" s="24">
        <f t="shared" si="596"/>
        <v>45002</v>
      </c>
      <c r="H215" s="29">
        <f t="shared" si="597"/>
        <v>3.04E-2</v>
      </c>
      <c r="I215" s="24">
        <f t="shared" si="598"/>
        <v>45002</v>
      </c>
      <c r="J215" s="29">
        <f t="shared" si="599"/>
        <v>4.2140000000000004E-2</v>
      </c>
      <c r="K215" s="24">
        <f t="shared" si="598"/>
        <v>45002</v>
      </c>
      <c r="L215" s="29">
        <v>1.0999999999999999E-2</v>
      </c>
      <c r="P215" s="24">
        <f t="shared" ref="P215" si="648">P214+1</f>
        <v>45002</v>
      </c>
      <c r="Q215" s="29">
        <v>3.9140000000000001E-2</v>
      </c>
      <c r="R215" s="24">
        <f t="shared" ref="R215" si="649">R214+1</f>
        <v>45002</v>
      </c>
      <c r="S215" s="29">
        <v>3.9140000000000001E-2</v>
      </c>
      <c r="T215" s="24">
        <f t="shared" ref="T215" si="650">T214+1</f>
        <v>45002</v>
      </c>
      <c r="U215" s="29">
        <v>1.0999999999999999E-2</v>
      </c>
    </row>
    <row r="216" spans="7:21" ht="18" customHeight="1" x14ac:dyDescent="0.4">
      <c r="G216" s="24">
        <f t="shared" si="596"/>
        <v>45003</v>
      </c>
      <c r="H216" s="29">
        <f t="shared" si="597"/>
        <v>3.04E-2</v>
      </c>
      <c r="I216" s="24">
        <f t="shared" si="598"/>
        <v>45003</v>
      </c>
      <c r="J216" s="29">
        <f t="shared" si="599"/>
        <v>4.2140000000000004E-2</v>
      </c>
      <c r="K216" s="24">
        <f t="shared" si="598"/>
        <v>45003</v>
      </c>
      <c r="L216" s="29">
        <v>1.0999999999999999E-2</v>
      </c>
      <c r="P216" s="24">
        <f t="shared" ref="P216" si="651">P215+1</f>
        <v>45003</v>
      </c>
      <c r="Q216" s="29">
        <v>3.9140000000000001E-2</v>
      </c>
      <c r="R216" s="24">
        <f t="shared" ref="R216" si="652">R215+1</f>
        <v>45003</v>
      </c>
      <c r="S216" s="29">
        <v>3.9140000000000001E-2</v>
      </c>
      <c r="T216" s="24">
        <f t="shared" ref="T216" si="653">T215+1</f>
        <v>45003</v>
      </c>
      <c r="U216" s="29">
        <v>1.0999999999999999E-2</v>
      </c>
    </row>
    <row r="217" spans="7:21" ht="18" customHeight="1" x14ac:dyDescent="0.4">
      <c r="G217" s="24">
        <f t="shared" si="596"/>
        <v>45004</v>
      </c>
      <c r="H217" s="29">
        <f t="shared" si="597"/>
        <v>3.04E-2</v>
      </c>
      <c r="I217" s="24">
        <f t="shared" si="598"/>
        <v>45004</v>
      </c>
      <c r="J217" s="29">
        <f t="shared" si="599"/>
        <v>4.2140000000000004E-2</v>
      </c>
      <c r="K217" s="24">
        <f t="shared" si="598"/>
        <v>45004</v>
      </c>
      <c r="L217" s="29">
        <v>1.0999999999999999E-2</v>
      </c>
      <c r="P217" s="24">
        <f t="shared" ref="P217" si="654">P216+1</f>
        <v>45004</v>
      </c>
      <c r="Q217" s="29">
        <v>3.9140000000000001E-2</v>
      </c>
      <c r="R217" s="24">
        <f t="shared" ref="R217" si="655">R216+1</f>
        <v>45004</v>
      </c>
      <c r="S217" s="29">
        <v>3.9140000000000001E-2</v>
      </c>
      <c r="T217" s="24">
        <f t="shared" ref="T217" si="656">T216+1</f>
        <v>45004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91"/>
  <sheetViews>
    <sheetView tabSelected="1" zoomScale="70" zoomScaleNormal="70" workbookViewId="0">
      <selection activeCell="D11" sqref="D11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87"/>
    <col min="3" max="5" width="13.8984375" style="49"/>
    <col min="6" max="6" width="13.8984375" style="61"/>
    <col min="7" max="7" width="16.3984375" style="89" bestFit="1" customWidth="1"/>
    <col min="8" max="8" width="13.8984375" style="89"/>
    <col min="9" max="9" width="13.8984375" style="88"/>
    <col min="10" max="10" width="13.8984375" style="49"/>
    <col min="11" max="11" width="20" style="49" bestFit="1" customWidth="1"/>
    <col min="12" max="12" width="13.8984375" style="49"/>
    <col min="13" max="13" width="13.8984375" style="61"/>
    <col min="14" max="14" width="16.3984375" style="89" bestFit="1" customWidth="1"/>
    <col min="15" max="15" width="13.8984375" style="89"/>
    <col min="16" max="16" width="13.8984375" style="62"/>
    <col min="17" max="17" width="13.8984375" style="68"/>
    <col min="18" max="18" width="13.8984375" style="61"/>
    <col min="19" max="19" width="0" style="61" hidden="1" customWidth="1"/>
    <col min="20" max="20" width="13.8984375" style="62"/>
    <col min="21" max="21" width="13.8984375" style="68"/>
    <col min="22" max="22" width="13.8984375" style="61"/>
    <col min="23" max="23" width="0" style="61" hidden="1" customWidth="1"/>
    <col min="24" max="24" width="13.8984375" style="13"/>
    <col min="25" max="25" width="13.8984375" style="68"/>
    <col min="26" max="26" width="13.8984375" style="61"/>
    <col min="27" max="27" width="0" style="61" hidden="1" customWidth="1"/>
    <col min="28" max="28" width="13.8984375" style="62"/>
    <col min="29" max="29" width="13.8984375" style="68"/>
    <col min="30" max="30" width="13.8984375" style="61"/>
    <col min="31" max="31" width="0" style="61" hidden="1" customWidth="1"/>
    <col min="32" max="32" width="13.8984375" style="62"/>
    <col min="33" max="33" width="13.8984375" style="68"/>
    <col min="34" max="34" width="13.8984375" style="61"/>
    <col min="35" max="35" width="0" style="61" hidden="1" customWidth="1"/>
    <col min="36" max="36" width="13.8984375" style="62"/>
    <col min="37" max="37" width="13.8984375" style="68"/>
    <col min="38" max="38" width="13.8984375" style="61"/>
    <col min="39" max="39" width="0" style="61" hidden="1" customWidth="1"/>
    <col min="40" max="40" width="13.8984375" style="62"/>
    <col min="41" max="41" width="13.8984375" style="68"/>
    <col min="42" max="42" width="13.8984375" style="61"/>
    <col min="43" max="43" width="0" style="61" hidden="1" customWidth="1"/>
    <col min="44" max="44" width="13.8984375" style="62"/>
    <col min="45" max="45" width="13.8984375" style="68"/>
    <col min="46" max="46" width="13.8984375" style="61"/>
    <col min="47" max="47" width="0" style="61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8" t="s">
        <v>110</v>
      </c>
      <c r="C3" s="208"/>
      <c r="D3" s="209">
        <v>0</v>
      </c>
      <c r="E3" s="209"/>
      <c r="F3" s="13"/>
      <c r="G3" s="13"/>
      <c r="H3" s="13"/>
      <c r="I3" s="13"/>
      <c r="J3" s="13"/>
      <c r="K3" s="13"/>
      <c r="L3" s="64" t="s">
        <v>92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8" t="s">
        <v>55</v>
      </c>
      <c r="C4" s="208"/>
      <c r="D4" s="209">
        <v>10000</v>
      </c>
      <c r="E4" s="209"/>
      <c r="F4" s="13"/>
      <c r="G4" s="210" t="s">
        <v>73</v>
      </c>
      <c r="H4" s="211"/>
      <c r="I4" s="206">
        <v>11060170632.316141</v>
      </c>
      <c r="J4" s="207"/>
      <c r="K4" s="13"/>
      <c r="L4" s="63">
        <v>45209.003321759257</v>
      </c>
      <c r="M4" s="1" t="s">
        <v>5</v>
      </c>
      <c r="N4" s="110" t="s">
        <v>6</v>
      </c>
      <c r="O4" s="110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8" t="s">
        <v>30</v>
      </c>
      <c r="C5" s="208"/>
      <c r="D5" s="209">
        <v>0</v>
      </c>
      <c r="E5" s="209"/>
      <c r="F5" s="13"/>
      <c r="G5" s="210" t="s">
        <v>74</v>
      </c>
      <c r="H5" s="211"/>
      <c r="I5" s="206">
        <v>14142832716.015043</v>
      </c>
      <c r="J5" s="207"/>
      <c r="K5" s="94"/>
      <c r="L5" s="63">
        <v>45209.003333333334</v>
      </c>
      <c r="M5" s="13"/>
      <c r="N5" s="110"/>
      <c r="O5" s="110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208" t="s">
        <v>114</v>
      </c>
      <c r="C6" s="208"/>
      <c r="D6" s="209">
        <v>0</v>
      </c>
      <c r="E6" s="209"/>
      <c r="F6" s="13"/>
      <c r="G6" s="210" t="s">
        <v>105</v>
      </c>
      <c r="H6" s="211"/>
      <c r="I6" s="206">
        <v>-4929577272.5846615</v>
      </c>
      <c r="J6" s="207"/>
      <c r="K6" s="60"/>
      <c r="L6" s="23"/>
      <c r="M6" s="13"/>
      <c r="N6" s="110"/>
      <c r="O6" s="110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10" t="s">
        <v>88</v>
      </c>
      <c r="H7" s="211"/>
      <c r="I7" s="206">
        <v>1846915188.8857598</v>
      </c>
      <c r="J7" s="207"/>
      <c r="K7" s="60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3"/>
      <c r="B10" s="205" t="s">
        <v>61</v>
      </c>
      <c r="C10" s="205"/>
      <c r="D10" s="205"/>
      <c r="E10" s="205"/>
      <c r="F10" s="205"/>
      <c r="G10" s="205"/>
      <c r="H10" s="205"/>
      <c r="I10" s="205" t="s">
        <v>64</v>
      </c>
      <c r="J10" s="205"/>
      <c r="K10" s="205"/>
      <c r="L10" s="205"/>
      <c r="M10" s="205"/>
      <c r="N10" s="205"/>
      <c r="O10" s="205"/>
      <c r="P10" s="13"/>
      <c r="Q10" s="205" t="s">
        <v>97</v>
      </c>
      <c r="R10" s="205"/>
      <c r="S10" s="13"/>
      <c r="T10" s="13"/>
      <c r="U10" s="205" t="s">
        <v>98</v>
      </c>
      <c r="V10" s="205"/>
      <c r="W10" s="13"/>
      <c r="Y10" s="205" t="s">
        <v>99</v>
      </c>
      <c r="Z10" s="205"/>
      <c r="AA10" s="13"/>
      <c r="AB10" s="13"/>
      <c r="AC10" s="205" t="s">
        <v>100</v>
      </c>
      <c r="AD10" s="205"/>
      <c r="AE10" s="13"/>
      <c r="AF10" s="13"/>
      <c r="AG10" s="205" t="s">
        <v>101</v>
      </c>
      <c r="AH10" s="205"/>
      <c r="AI10" s="13"/>
      <c r="AJ10" s="13"/>
      <c r="AK10" s="205" t="s">
        <v>102</v>
      </c>
      <c r="AL10" s="205"/>
      <c r="AM10" s="13"/>
      <c r="AN10" s="13"/>
      <c r="AO10" s="205" t="s">
        <v>103</v>
      </c>
      <c r="AP10" s="205"/>
      <c r="AQ10" s="13"/>
      <c r="AR10" s="13"/>
      <c r="AS10" s="205" t="s">
        <v>104</v>
      </c>
      <c r="AT10" s="205"/>
      <c r="AU10" s="13"/>
    </row>
    <row r="11" spans="1:47" x14ac:dyDescent="0.4">
      <c r="B11" s="45" t="s">
        <v>62</v>
      </c>
      <c r="C11" s="46" t="str">
        <f>IF(발행정보!E14=0, "금리1", "Spread1")</f>
        <v>금리1</v>
      </c>
      <c r="D11" s="47" t="str">
        <f>IF(발행정보!E23=0, "금리2", "Spread2")</f>
        <v>금리2</v>
      </c>
      <c r="E11" s="48" t="str">
        <f>IF(발행정보!E32=0, "금리3", "Spread3")</f>
        <v>금리3</v>
      </c>
      <c r="F11" s="48" t="s">
        <v>75</v>
      </c>
      <c r="G11" s="47" t="s">
        <v>66</v>
      </c>
      <c r="H11" s="48" t="s">
        <v>65</v>
      </c>
      <c r="I11" s="45" t="s">
        <v>62</v>
      </c>
      <c r="J11" s="46" t="str">
        <f>IF(발행정보!AG14=0, "금리1", "Spread1")</f>
        <v>금리1</v>
      </c>
      <c r="K11" s="47" t="str">
        <f>IF(발행정보!AG23=0, "금리2", "Spread2")</f>
        <v>금리2</v>
      </c>
      <c r="L11" s="48" t="str">
        <f>IF(발행정보!AG32=0, "금리3", "Spread3")</f>
        <v>금리3</v>
      </c>
      <c r="M11" s="48" t="s">
        <v>63</v>
      </c>
      <c r="N11" s="47" t="s">
        <v>66</v>
      </c>
      <c r="O11" s="48" t="s">
        <v>65</v>
      </c>
      <c r="P11" s="13"/>
      <c r="Q11" s="46" t="s">
        <v>95</v>
      </c>
      <c r="R11" s="61">
        <v>0</v>
      </c>
      <c r="S11" s="13"/>
      <c r="T11" s="13"/>
      <c r="U11" s="46" t="s">
        <v>95</v>
      </c>
      <c r="V11" s="61">
        <v>0</v>
      </c>
      <c r="W11" s="13"/>
      <c r="Y11" s="46" t="s">
        <v>95</v>
      </c>
      <c r="Z11" s="61">
        <v>0</v>
      </c>
      <c r="AA11" s="13"/>
      <c r="AB11" s="13"/>
      <c r="AC11" s="46" t="s">
        <v>95</v>
      </c>
      <c r="AD11" s="61">
        <v>0</v>
      </c>
      <c r="AE11" s="13"/>
      <c r="AF11" s="13"/>
      <c r="AG11" s="46" t="s">
        <v>95</v>
      </c>
      <c r="AH11" s="61">
        <v>0</v>
      </c>
      <c r="AI11" s="13"/>
      <c r="AJ11" s="13"/>
      <c r="AK11" s="46" t="s">
        <v>95</v>
      </c>
      <c r="AL11" s="61">
        <v>0</v>
      </c>
      <c r="AM11" s="13"/>
      <c r="AN11" s="13"/>
      <c r="AO11" s="46" t="s">
        <v>95</v>
      </c>
      <c r="AP11" s="61">
        <v>0</v>
      </c>
      <c r="AQ11" s="13"/>
      <c r="AR11" s="13"/>
      <c r="AS11" s="46" t="s">
        <v>95</v>
      </c>
      <c r="AT11" s="61">
        <v>0</v>
      </c>
      <c r="AU11" s="13"/>
    </row>
    <row r="12" spans="1:47" x14ac:dyDescent="0.4">
      <c r="B12" s="86">
        <v>20190920</v>
      </c>
      <c r="C12" s="49">
        <v>0</v>
      </c>
      <c r="F12" s="50"/>
      <c r="G12" s="51">
        <v>0</v>
      </c>
      <c r="H12" s="51">
        <v>0.99999999999990619</v>
      </c>
      <c r="I12" s="86">
        <v>20190320</v>
      </c>
      <c r="J12" s="49">
        <v>0</v>
      </c>
      <c r="M12" s="50"/>
      <c r="N12" s="51">
        <v>0</v>
      </c>
      <c r="O12" s="51">
        <v>0.99999999999990619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86">
        <v>20200920</v>
      </c>
      <c r="C13" s="49">
        <v>0</v>
      </c>
      <c r="F13" s="50"/>
      <c r="G13" s="51">
        <v>0</v>
      </c>
      <c r="H13" s="51">
        <v>0.99999999999990619</v>
      </c>
      <c r="I13" s="86">
        <v>20190920</v>
      </c>
      <c r="J13" s="49">
        <v>0</v>
      </c>
      <c r="M13" s="50"/>
      <c r="N13" s="51">
        <v>0</v>
      </c>
      <c r="O13" s="51">
        <v>0.99999999999990619</v>
      </c>
      <c r="P13" s="13"/>
      <c r="Q13" s="205" t="s">
        <v>96</v>
      </c>
      <c r="R13" s="205"/>
      <c r="S13" s="66"/>
      <c r="T13" s="13"/>
      <c r="U13" s="205" t="s">
        <v>96</v>
      </c>
      <c r="V13" s="205"/>
      <c r="W13" s="66"/>
      <c r="Y13" s="205" t="s">
        <v>96</v>
      </c>
      <c r="Z13" s="205"/>
      <c r="AA13" s="66"/>
      <c r="AB13" s="13"/>
      <c r="AC13" s="205" t="s">
        <v>96</v>
      </c>
      <c r="AD13" s="205"/>
      <c r="AE13" s="66"/>
      <c r="AF13" s="13"/>
      <c r="AG13" s="205" t="s">
        <v>96</v>
      </c>
      <c r="AH13" s="205"/>
      <c r="AI13" s="66"/>
      <c r="AJ13" s="13"/>
      <c r="AK13" s="205" t="s">
        <v>96</v>
      </c>
      <c r="AL13" s="205"/>
      <c r="AM13" s="66"/>
      <c r="AN13" s="13"/>
      <c r="AO13" s="205" t="s">
        <v>96</v>
      </c>
      <c r="AP13" s="205"/>
      <c r="AQ13" s="66"/>
      <c r="AR13" s="13"/>
      <c r="AS13" s="205" t="s">
        <v>96</v>
      </c>
      <c r="AT13" s="205"/>
      <c r="AU13" s="66"/>
    </row>
    <row r="14" spans="1:47" x14ac:dyDescent="0.4">
      <c r="B14" s="86">
        <v>20210920</v>
      </c>
      <c r="C14" s="49">
        <v>0</v>
      </c>
      <c r="F14" s="50"/>
      <c r="G14" s="51">
        <v>0</v>
      </c>
      <c r="H14" s="51">
        <v>0.99999999999990619</v>
      </c>
      <c r="I14" s="86">
        <v>20200320</v>
      </c>
      <c r="J14" s="49">
        <v>0</v>
      </c>
      <c r="M14" s="50"/>
      <c r="N14" s="51">
        <v>0</v>
      </c>
      <c r="O14" s="51">
        <v>0.99999999999990619</v>
      </c>
      <c r="P14" s="13"/>
      <c r="Q14" s="45" t="s">
        <v>94</v>
      </c>
      <c r="R14" s="46" t="s">
        <v>95</v>
      </c>
      <c r="S14" s="67"/>
      <c r="T14" s="13"/>
      <c r="U14" s="45" t="s">
        <v>94</v>
      </c>
      <c r="V14" s="46" t="s">
        <v>95</v>
      </c>
      <c r="W14" s="67"/>
      <c r="Y14" s="45" t="s">
        <v>94</v>
      </c>
      <c r="Z14" s="46" t="s">
        <v>95</v>
      </c>
      <c r="AA14" s="67"/>
      <c r="AB14" s="13"/>
      <c r="AC14" s="45" t="s">
        <v>94</v>
      </c>
      <c r="AD14" s="46" t="s">
        <v>95</v>
      </c>
      <c r="AE14" s="67"/>
      <c r="AF14" s="13"/>
      <c r="AG14" s="45" t="s">
        <v>94</v>
      </c>
      <c r="AH14" s="46" t="s">
        <v>95</v>
      </c>
      <c r="AI14" s="67"/>
      <c r="AJ14" s="13"/>
      <c r="AK14" s="45" t="s">
        <v>94</v>
      </c>
      <c r="AL14" s="46" t="s">
        <v>95</v>
      </c>
      <c r="AM14" s="67"/>
      <c r="AN14" s="13"/>
      <c r="AO14" s="45" t="s">
        <v>94</v>
      </c>
      <c r="AP14" s="46" t="s">
        <v>95</v>
      </c>
      <c r="AQ14" s="67"/>
      <c r="AR14" s="13"/>
      <c r="AS14" s="45" t="s">
        <v>94</v>
      </c>
      <c r="AT14" s="46" t="s">
        <v>95</v>
      </c>
      <c r="AU14" s="67"/>
    </row>
    <row r="15" spans="1:47" x14ac:dyDescent="0.4">
      <c r="B15" s="86">
        <v>20220920</v>
      </c>
      <c r="C15" s="49">
        <v>0</v>
      </c>
      <c r="F15" s="50"/>
      <c r="G15" s="51">
        <v>0</v>
      </c>
      <c r="H15" s="51">
        <v>0.99999999999990619</v>
      </c>
      <c r="I15" s="86">
        <v>20200920</v>
      </c>
      <c r="J15" s="49">
        <v>0</v>
      </c>
      <c r="M15" s="50"/>
      <c r="N15" s="51">
        <v>0</v>
      </c>
      <c r="O15" s="51">
        <v>0.99999999999990619</v>
      </c>
      <c r="P15" s="13"/>
      <c r="T15" s="13"/>
    </row>
    <row r="16" spans="1:47" x14ac:dyDescent="0.4">
      <c r="B16" s="86">
        <v>20230920</v>
      </c>
      <c r="C16" s="49">
        <v>3.0399999999995049E-2</v>
      </c>
      <c r="F16" s="50"/>
      <c r="G16" s="51">
        <v>771000000</v>
      </c>
      <c r="H16" s="51">
        <v>0.99881420306478785</v>
      </c>
      <c r="I16" s="86">
        <v>20210320</v>
      </c>
      <c r="J16" s="49">
        <v>0</v>
      </c>
      <c r="M16" s="50"/>
      <c r="N16" s="51">
        <v>0</v>
      </c>
      <c r="O16" s="51">
        <v>0.99999999999990619</v>
      </c>
      <c r="P16" s="13"/>
      <c r="T16" s="13"/>
    </row>
    <row r="17" spans="1:20" x14ac:dyDescent="0.4">
      <c r="B17" s="86">
        <v>20240920</v>
      </c>
      <c r="C17" s="49">
        <v>3.9833458382984896E-2</v>
      </c>
      <c r="F17" s="50"/>
      <c r="G17" s="51">
        <v>771000000</v>
      </c>
      <c r="H17" s="51">
        <v>0.96044982930052714</v>
      </c>
      <c r="I17" s="86">
        <v>20210920</v>
      </c>
      <c r="J17" s="49">
        <v>0</v>
      </c>
      <c r="M17" s="50"/>
      <c r="N17" s="51">
        <v>0</v>
      </c>
      <c r="O17" s="51">
        <v>0.99999999999990619</v>
      </c>
      <c r="P17" s="13"/>
      <c r="T17" s="13"/>
    </row>
    <row r="18" spans="1:20" x14ac:dyDescent="0.4">
      <c r="B18" s="86">
        <v>20250920</v>
      </c>
      <c r="C18" s="49">
        <v>3.8817005368937507E-2</v>
      </c>
      <c r="F18" s="50"/>
      <c r="G18" s="51">
        <v>771000000</v>
      </c>
      <c r="H18" s="51">
        <v>0.92466796626416614</v>
      </c>
      <c r="I18" s="86">
        <v>20220320</v>
      </c>
      <c r="J18" s="49">
        <v>0</v>
      </c>
      <c r="M18" s="50"/>
      <c r="N18" s="51">
        <v>0</v>
      </c>
      <c r="O18" s="51">
        <v>0.99999999999990619</v>
      </c>
      <c r="P18" s="13"/>
      <c r="T18" s="13"/>
    </row>
    <row r="19" spans="1:20" x14ac:dyDescent="0.4">
      <c r="B19" s="86">
        <v>20260920</v>
      </c>
      <c r="C19" s="49">
        <v>3.7823618434692577E-2</v>
      </c>
      <c r="F19" s="50"/>
      <c r="G19" s="51">
        <v>771000000</v>
      </c>
      <c r="H19" s="51">
        <v>0.89118941322836942</v>
      </c>
      <c r="I19" s="86">
        <v>20220920</v>
      </c>
      <c r="J19" s="49">
        <v>0</v>
      </c>
      <c r="M19" s="50"/>
      <c r="N19" s="51">
        <v>0</v>
      </c>
      <c r="O19" s="51">
        <v>0.99999999999990619</v>
      </c>
      <c r="P19" s="13"/>
      <c r="T19" s="13"/>
    </row>
    <row r="20" spans="1:20" x14ac:dyDescent="0.4">
      <c r="B20" s="86">
        <v>20270920</v>
      </c>
      <c r="C20" s="49">
        <v>3.8303446755880322E-2</v>
      </c>
      <c r="F20" s="50"/>
      <c r="G20" s="52">
        <v>771000000</v>
      </c>
      <c r="H20" s="51">
        <v>0.85875105525784812</v>
      </c>
      <c r="I20" s="86">
        <v>20230320</v>
      </c>
      <c r="J20" s="49">
        <v>0</v>
      </c>
      <c r="M20" s="50"/>
      <c r="N20" s="52">
        <v>0</v>
      </c>
      <c r="O20" s="51">
        <v>0.99999999999990619</v>
      </c>
      <c r="P20" s="13"/>
      <c r="T20" s="13"/>
    </row>
    <row r="21" spans="1:20" x14ac:dyDescent="0.4">
      <c r="B21" s="86">
        <v>20280920</v>
      </c>
      <c r="C21" s="49">
        <v>3.7612791296581197E-2</v>
      </c>
      <c r="F21" s="50"/>
      <c r="G21" s="52">
        <v>771000000</v>
      </c>
      <c r="H21" s="51">
        <v>0.82797128729759073</v>
      </c>
      <c r="I21" s="86">
        <v>20230920</v>
      </c>
      <c r="J21" s="49">
        <v>3.9140000000005316E-2</v>
      </c>
      <c r="M21" s="50"/>
      <c r="N21" s="52">
        <v>346172054.79447496</v>
      </c>
      <c r="O21" s="51">
        <v>0.99881420306478785</v>
      </c>
      <c r="P21" s="13"/>
      <c r="T21" s="13"/>
    </row>
    <row r="22" spans="1:20" x14ac:dyDescent="0.4">
      <c r="B22" s="86">
        <v>20290920</v>
      </c>
      <c r="C22" s="49">
        <v>3.8175072955726377E-2</v>
      </c>
      <c r="F22" s="50"/>
      <c r="G22" s="52">
        <v>771000000</v>
      </c>
      <c r="H22" s="51">
        <v>0.79799564909760412</v>
      </c>
      <c r="I22" s="86">
        <v>20240320</v>
      </c>
      <c r="J22" s="49">
        <v>3.7530229507166404E-2</v>
      </c>
      <c r="M22" s="50"/>
      <c r="N22" s="52">
        <v>342409315.06850255</v>
      </c>
      <c r="O22" s="51">
        <v>0.97983013679152797</v>
      </c>
      <c r="P22" s="13"/>
      <c r="T22" s="13"/>
    </row>
    <row r="23" spans="1:20" x14ac:dyDescent="0.4">
      <c r="B23" s="86">
        <v>20300920</v>
      </c>
      <c r="C23" s="49">
        <v>3.8180719220285597E-2</v>
      </c>
      <c r="F23" s="50"/>
      <c r="G23" s="52">
        <v>771000000</v>
      </c>
      <c r="H23" s="51">
        <v>0.76918727988736035</v>
      </c>
      <c r="I23" s="86">
        <v>20240920</v>
      </c>
      <c r="J23" s="49">
        <v>4.0071810060412431E-2</v>
      </c>
      <c r="M23" s="50"/>
      <c r="N23" s="52">
        <v>346172054.79447496</v>
      </c>
      <c r="O23" s="51">
        <v>0.96039999087902506</v>
      </c>
      <c r="P23" s="13"/>
      <c r="T23" s="13"/>
    </row>
    <row r="24" spans="1:20" x14ac:dyDescent="0.4">
      <c r="B24" s="86">
        <v>20310920</v>
      </c>
      <c r="C24" s="49">
        <v>3.8719351295130967E-2</v>
      </c>
      <c r="F24" s="50"/>
      <c r="G24" s="52">
        <v>771000000</v>
      </c>
      <c r="H24" s="51">
        <v>0.74090195475409726</v>
      </c>
      <c r="I24" s="86">
        <v>20250320</v>
      </c>
      <c r="J24" s="49">
        <v>3.855761510683265E-2</v>
      </c>
      <c r="M24" s="50"/>
      <c r="N24" s="52">
        <v>340527945.20552433</v>
      </c>
      <c r="O24" s="51">
        <v>0.9424002852583151</v>
      </c>
      <c r="P24" s="13"/>
      <c r="T24" s="13"/>
    </row>
    <row r="25" spans="1:20" x14ac:dyDescent="0.4">
      <c r="B25" s="86">
        <v>20320920</v>
      </c>
      <c r="C25" s="49">
        <v>3.8852393334641064E-2</v>
      </c>
      <c r="F25" s="50"/>
      <c r="G25" s="52">
        <v>771000000</v>
      </c>
      <c r="H25" s="51">
        <v>0.71362208028857976</v>
      </c>
      <c r="I25" s="86">
        <v>20250920</v>
      </c>
      <c r="J25" s="49">
        <v>3.8246220468362825E-2</v>
      </c>
      <c r="M25" s="50"/>
      <c r="N25" s="52">
        <v>346172054.79447496</v>
      </c>
      <c r="O25" s="51">
        <v>0.92459344367517926</v>
      </c>
      <c r="P25" s="13"/>
      <c r="T25" s="13"/>
    </row>
    <row r="26" spans="1:20" x14ac:dyDescent="0.4">
      <c r="B26" s="86">
        <v>20330920</v>
      </c>
      <c r="C26" s="49">
        <v>3.8988666170296581E-2</v>
      </c>
      <c r="F26" s="50"/>
      <c r="G26" s="52">
        <v>771000000</v>
      </c>
      <c r="H26" s="51">
        <v>0.68743062053066006</v>
      </c>
      <c r="I26" s="86">
        <v>20260320</v>
      </c>
      <c r="J26" s="49">
        <v>3.7609878445799994E-2</v>
      </c>
      <c r="M26" s="50"/>
      <c r="N26" s="52">
        <v>340527945.20552433</v>
      </c>
      <c r="O26" s="51">
        <v>0.90775083934351863</v>
      </c>
      <c r="P26" s="13"/>
      <c r="T26" s="13"/>
    </row>
    <row r="27" spans="1:20" x14ac:dyDescent="0.4">
      <c r="B27" s="86">
        <v>20340920</v>
      </c>
      <c r="C27" s="49">
        <v>3.9267487079733293E-2</v>
      </c>
      <c r="F27" s="50"/>
      <c r="G27" s="52">
        <v>771000000</v>
      </c>
      <c r="H27" s="51">
        <v>0.66205858149682473</v>
      </c>
      <c r="I27" s="86">
        <v>20260920</v>
      </c>
      <c r="J27" s="49">
        <v>3.6886003531727857E-2</v>
      </c>
      <c r="M27" s="50"/>
      <c r="N27" s="52">
        <v>346172054.79447496</v>
      </c>
      <c r="O27" s="51">
        <v>0.89128235302489622</v>
      </c>
      <c r="P27" s="13"/>
      <c r="T27" s="13"/>
    </row>
    <row r="28" spans="1:20" x14ac:dyDescent="0.4">
      <c r="B28" s="86">
        <v>20350920</v>
      </c>
      <c r="C28" s="49">
        <v>3.9297784616872646E-2</v>
      </c>
      <c r="F28" s="50"/>
      <c r="G28" s="52">
        <v>771000000</v>
      </c>
      <c r="H28" s="51">
        <v>0.63758098883815995</v>
      </c>
      <c r="I28" s="86">
        <v>20270320</v>
      </c>
      <c r="J28" s="49">
        <v>3.776036712076776E-2</v>
      </c>
      <c r="M28" s="50"/>
      <c r="N28" s="52">
        <v>340527945.20552433</v>
      </c>
      <c r="O28" s="51">
        <v>0.87492115374516055</v>
      </c>
      <c r="P28" s="13"/>
      <c r="T28" s="13"/>
    </row>
    <row r="29" spans="1:20" x14ac:dyDescent="0.4">
      <c r="B29" s="86">
        <v>20360920</v>
      </c>
      <c r="C29" s="49">
        <v>3.8715452066246624E-2</v>
      </c>
      <c r="F29" s="50"/>
      <c r="G29" s="52">
        <v>771000000</v>
      </c>
      <c r="H29" s="51">
        <v>0.61428560792202314</v>
      </c>
      <c r="I29" s="86">
        <v>20270920</v>
      </c>
      <c r="J29" s="49">
        <v>3.7624110534635068E-2</v>
      </c>
      <c r="M29" s="50"/>
      <c r="N29" s="52">
        <v>346172054.79447496</v>
      </c>
      <c r="O29" s="51">
        <v>0.85870724462710057</v>
      </c>
      <c r="P29" s="13"/>
      <c r="T29" s="13"/>
    </row>
    <row r="30" spans="1:20" x14ac:dyDescent="0.4">
      <c r="A30" s="91"/>
      <c r="B30" s="86">
        <v>20370920</v>
      </c>
      <c r="C30" s="49">
        <v>3.8754574401329872E-2</v>
      </c>
      <c r="F30" s="50"/>
      <c r="G30" s="52">
        <v>771000000</v>
      </c>
      <c r="H30" s="51">
        <v>0.59189240776091034</v>
      </c>
      <c r="I30" s="86">
        <v>20280320</v>
      </c>
      <c r="J30" s="49">
        <v>3.7076048761448356E-2</v>
      </c>
      <c r="M30" s="50"/>
      <c r="N30" s="52">
        <v>342409315.06850255</v>
      </c>
      <c r="O30" s="51">
        <v>0.84320926491826576</v>
      </c>
      <c r="P30" s="92"/>
      <c r="T30" s="13"/>
    </row>
    <row r="31" spans="1:20" x14ac:dyDescent="0.4">
      <c r="A31" s="91"/>
      <c r="B31" s="86">
        <v>20380920</v>
      </c>
      <c r="C31" s="49">
        <v>3.8777984272021247E-2</v>
      </c>
      <c r="F31" s="50"/>
      <c r="G31" s="52">
        <v>771000000</v>
      </c>
      <c r="H31" s="51">
        <v>0.57034344058046682</v>
      </c>
      <c r="I31" s="86">
        <v>20280920</v>
      </c>
      <c r="J31" s="49">
        <v>3.677162285460385E-2</v>
      </c>
      <c r="M31" s="50"/>
      <c r="N31" s="52">
        <v>346172054.79447496</v>
      </c>
      <c r="O31" s="51">
        <v>0.82793233612755679</v>
      </c>
      <c r="P31" s="92"/>
      <c r="T31" s="13"/>
    </row>
    <row r="32" spans="1:20" x14ac:dyDescent="0.4">
      <c r="A32" s="91"/>
      <c r="B32" s="86">
        <v>20390920</v>
      </c>
      <c r="C32" s="49">
        <v>3.5924099887005095E-2</v>
      </c>
      <c r="F32" s="50"/>
      <c r="G32" s="52">
        <v>771000000</v>
      </c>
      <c r="H32" s="51">
        <v>0.55117740227192569</v>
      </c>
      <c r="I32" s="86">
        <v>20281220</v>
      </c>
      <c r="J32" s="49">
        <v>3.7472229674255772E-2</v>
      </c>
      <c r="M32" s="50"/>
      <c r="N32" s="52">
        <v>287751197.28964156</v>
      </c>
      <c r="O32" s="51">
        <v>0.82031425755159604</v>
      </c>
      <c r="P32" s="92"/>
      <c r="T32" s="13"/>
    </row>
    <row r="33" spans="1:20" x14ac:dyDescent="0.4">
      <c r="A33" s="91"/>
      <c r="B33" s="86">
        <v>20400920</v>
      </c>
      <c r="C33" s="49">
        <v>3.5552822044028459E-2</v>
      </c>
      <c r="F33" s="50"/>
      <c r="G33" s="52">
        <v>771000000</v>
      </c>
      <c r="H33" s="51">
        <v>0.53284620925106541</v>
      </c>
      <c r="I33" s="86">
        <v>20290320</v>
      </c>
      <c r="J33" s="49">
        <v>3.7506826897259024E-2</v>
      </c>
      <c r="M33" s="50"/>
      <c r="N33" s="52">
        <v>284845020.88383269</v>
      </c>
      <c r="O33" s="51">
        <v>0.81287048538652662</v>
      </c>
      <c r="P33" s="92"/>
      <c r="T33" s="13"/>
    </row>
    <row r="34" spans="1:20" x14ac:dyDescent="0.4">
      <c r="A34" s="91"/>
      <c r="B34" s="87">
        <v>20410920</v>
      </c>
      <c r="C34" s="49">
        <v>3.5144718965452328E-2</v>
      </c>
      <c r="G34" s="89">
        <v>771000000</v>
      </c>
      <c r="H34" s="89">
        <v>0.51539322280436528</v>
      </c>
      <c r="I34" s="88">
        <v>20290620</v>
      </c>
      <c r="J34" s="49">
        <v>3.7305792344322242E-2</v>
      </c>
      <c r="N34" s="89">
        <v>289654758.54884607</v>
      </c>
      <c r="O34" s="89">
        <v>0.80538942806331837</v>
      </c>
      <c r="P34" s="93"/>
    </row>
    <row r="35" spans="1:20" x14ac:dyDescent="0.4">
      <c r="A35" s="91"/>
      <c r="B35" s="87">
        <v>20420920</v>
      </c>
      <c r="C35" s="49">
        <v>3.4816275147353595E-2</v>
      </c>
      <c r="G35" s="89">
        <v>771000000</v>
      </c>
      <c r="H35" s="89">
        <v>0.49866859817816117</v>
      </c>
      <c r="I35" s="88">
        <v>20290920</v>
      </c>
      <c r="J35" s="49">
        <v>3.717539705815049E-2</v>
      </c>
      <c r="N35" s="89">
        <v>288668755.83697313</v>
      </c>
      <c r="O35" s="89">
        <v>0.79797259608905013</v>
      </c>
      <c r="P35" s="93"/>
    </row>
    <row r="36" spans="1:20" x14ac:dyDescent="0.4">
      <c r="A36" s="91"/>
      <c r="I36" s="88">
        <v>20291220</v>
      </c>
      <c r="J36" s="49">
        <v>3.739261334765203E-2</v>
      </c>
      <c r="N36" s="89">
        <v>287155710.79202598</v>
      </c>
      <c r="O36" s="89">
        <v>0.79063903965065718</v>
      </c>
      <c r="P36" s="93"/>
    </row>
    <row r="37" spans="1:20" x14ac:dyDescent="0.4">
      <c r="A37" s="91"/>
      <c r="I37" s="88">
        <v>20300320</v>
      </c>
      <c r="J37" s="49">
        <v>3.7398675411124328E-2</v>
      </c>
      <c r="N37" s="89">
        <v>284044996.1918776</v>
      </c>
      <c r="O37" s="89">
        <v>0.7834442847184524</v>
      </c>
      <c r="P37" s="93"/>
    </row>
    <row r="38" spans="1:20" x14ac:dyDescent="0.4">
      <c r="A38" s="91"/>
      <c r="I38" s="88">
        <v>20300620</v>
      </c>
      <c r="J38" s="49">
        <v>3.7351662091809006E-2</v>
      </c>
      <c r="N38" s="89">
        <v>290001609.24217123</v>
      </c>
      <c r="O38" s="89">
        <v>0.77617526553895777</v>
      </c>
      <c r="P38" s="93"/>
    </row>
    <row r="39" spans="1:20" x14ac:dyDescent="0.4">
      <c r="A39" s="91"/>
      <c r="I39" s="88">
        <v>20300920</v>
      </c>
      <c r="J39" s="49">
        <v>3.7453800923351689E-2</v>
      </c>
      <c r="N39" s="89">
        <v>290773946.70808262</v>
      </c>
      <c r="O39" s="89">
        <v>0.76894688358723262</v>
      </c>
      <c r="P39" s="93"/>
    </row>
    <row r="40" spans="1:20" x14ac:dyDescent="0.4">
      <c r="A40" s="91"/>
      <c r="I40" s="88">
        <v>20301220</v>
      </c>
      <c r="J40" s="49">
        <v>3.7852137483877377E-2</v>
      </c>
      <c r="N40" s="89">
        <v>290592699.53694654</v>
      </c>
      <c r="O40" s="89">
        <v>0.76180467229832316</v>
      </c>
      <c r="P40" s="93"/>
    </row>
    <row r="41" spans="1:20" x14ac:dyDescent="0.4">
      <c r="A41" s="91"/>
      <c r="I41" s="88">
        <v>20310320</v>
      </c>
      <c r="J41" s="49">
        <v>3.7971048849518046E-2</v>
      </c>
      <c r="N41" s="89">
        <v>288278991.48958433</v>
      </c>
      <c r="O41" s="89">
        <v>0.75479523542803728</v>
      </c>
      <c r="P41" s="93"/>
    </row>
    <row r="42" spans="1:20" x14ac:dyDescent="0.4">
      <c r="A42" s="91"/>
      <c r="I42" s="88">
        <v>20310620</v>
      </c>
      <c r="J42" s="49">
        <v>3.7959309146931026E-2</v>
      </c>
      <c r="N42" s="89">
        <v>294596419.85076809</v>
      </c>
      <c r="O42" s="89">
        <v>0.74772240408337221</v>
      </c>
      <c r="P42" s="93"/>
    </row>
    <row r="43" spans="1:20" x14ac:dyDescent="0.4">
      <c r="A43" s="91"/>
      <c r="I43" s="88">
        <v>20310920</v>
      </c>
      <c r="J43" s="49">
        <v>3.7950536467463672E-2</v>
      </c>
      <c r="N43" s="89">
        <v>294530083.97315168</v>
      </c>
      <c r="O43" s="89">
        <v>0.74071380510959839</v>
      </c>
      <c r="P43" s="93"/>
    </row>
    <row r="44" spans="1:20" x14ac:dyDescent="0.4">
      <c r="A44" s="91"/>
      <c r="I44" s="88">
        <v>20311220</v>
      </c>
      <c r="J44" s="49">
        <v>3.794888686224699E-2</v>
      </c>
      <c r="N44" s="89">
        <v>291316331.87379181</v>
      </c>
      <c r="O44" s="89">
        <v>0.7338447500290135</v>
      </c>
      <c r="P44" s="93"/>
    </row>
    <row r="45" spans="1:20" x14ac:dyDescent="0.4">
      <c r="A45" s="91"/>
      <c r="I45" s="88">
        <v>20320320</v>
      </c>
      <c r="J45" s="49">
        <v>3.7958190033218549E-2</v>
      </c>
      <c r="N45" s="89">
        <v>291385914.49503106</v>
      </c>
      <c r="O45" s="89">
        <v>0.72704448029578339</v>
      </c>
      <c r="P45" s="93"/>
    </row>
    <row r="46" spans="1:20" x14ac:dyDescent="0.4">
      <c r="A46" s="91"/>
      <c r="I46" s="88">
        <v>20320620</v>
      </c>
      <c r="J46" s="49">
        <v>3.7985610910531757E-2</v>
      </c>
      <c r="N46" s="89">
        <v>294795304.41936433</v>
      </c>
      <c r="O46" s="89">
        <v>0.72023217493461178</v>
      </c>
      <c r="P46" s="93"/>
    </row>
    <row r="47" spans="1:20" x14ac:dyDescent="0.4">
      <c r="A47" s="91"/>
      <c r="I47" s="88">
        <v>20320920</v>
      </c>
      <c r="J47" s="49">
        <v>3.8013753417140646E-2</v>
      </c>
      <c r="N47" s="89">
        <v>295008108.03098089</v>
      </c>
      <c r="O47" s="89">
        <v>0.71348116503478731</v>
      </c>
      <c r="P47" s="93"/>
    </row>
    <row r="48" spans="1:20" x14ac:dyDescent="0.4">
      <c r="A48" s="91"/>
      <c r="I48" s="88">
        <v>20321220</v>
      </c>
      <c r="J48" s="49">
        <v>3.804603057807987E-2</v>
      </c>
      <c r="N48" s="89">
        <v>292042913.63878947</v>
      </c>
      <c r="O48" s="89">
        <v>0.70686363350154391</v>
      </c>
      <c r="P48" s="93"/>
    </row>
    <row r="49" spans="1:16" x14ac:dyDescent="0.4">
      <c r="A49" s="91"/>
      <c r="I49" s="88">
        <v>20330320</v>
      </c>
      <c r="J49" s="49">
        <v>3.8118075823620513E-2</v>
      </c>
      <c r="N49" s="89">
        <v>289366588.28431678</v>
      </c>
      <c r="O49" s="89">
        <v>0.7003622261066319</v>
      </c>
      <c r="P49" s="93"/>
    </row>
    <row r="50" spans="1:16" x14ac:dyDescent="0.4">
      <c r="A50" s="91"/>
      <c r="I50" s="88">
        <v>20330620</v>
      </c>
      <c r="J50" s="49">
        <v>3.8075842917884004E-2</v>
      </c>
      <c r="N50" s="89">
        <v>295477606.72153354</v>
      </c>
      <c r="O50" s="89">
        <v>0.69379738052898932</v>
      </c>
      <c r="P50" s="93"/>
    </row>
    <row r="51" spans="1:16" x14ac:dyDescent="0.4">
      <c r="A51" s="91"/>
      <c r="I51" s="88">
        <v>20330920</v>
      </c>
      <c r="J51" s="49">
        <v>3.811314866654672E-2</v>
      </c>
      <c r="N51" s="89">
        <v>295759699.50594109</v>
      </c>
      <c r="O51" s="89">
        <v>0.68727887072985316</v>
      </c>
      <c r="P51" s="93"/>
    </row>
    <row r="52" spans="1:16" x14ac:dyDescent="0.4">
      <c r="I52" s="88">
        <v>20331220</v>
      </c>
      <c r="J52" s="49">
        <v>3.8270914663931219E-2</v>
      </c>
      <c r="N52" s="89">
        <v>293724923.37679952</v>
      </c>
      <c r="O52" s="89">
        <v>0.68086629115613007</v>
      </c>
    </row>
    <row r="53" spans="1:16" x14ac:dyDescent="0.4">
      <c r="I53" s="88">
        <v>20340320</v>
      </c>
      <c r="J53" s="49">
        <v>3.8296825181767108E-2</v>
      </c>
      <c r="N53" s="89">
        <v>290688843.81033313</v>
      </c>
      <c r="O53" s="89">
        <v>0.67456558723613791</v>
      </c>
    </row>
    <row r="54" spans="1:16" x14ac:dyDescent="0.4">
      <c r="I54" s="88">
        <v>20340620</v>
      </c>
      <c r="J54" s="49">
        <v>3.8391606004092825E-2</v>
      </c>
      <c r="N54" s="89">
        <v>297865294.71588105</v>
      </c>
      <c r="O54" s="89">
        <v>0.66817152473311325</v>
      </c>
    </row>
    <row r="55" spans="1:16" x14ac:dyDescent="0.4">
      <c r="I55" s="88">
        <v>20340920</v>
      </c>
      <c r="J55" s="49">
        <v>3.834983683107325E-2</v>
      </c>
      <c r="N55" s="89">
        <v>297549451.10619789</v>
      </c>
      <c r="O55" s="89">
        <v>0.66185789096344239</v>
      </c>
    </row>
    <row r="56" spans="1:16" x14ac:dyDescent="0.4">
      <c r="I56" s="88">
        <v>20341220</v>
      </c>
      <c r="J56" s="49">
        <v>3.8295113916426433E-2</v>
      </c>
      <c r="N56" s="89">
        <v>293905920.52559835</v>
      </c>
      <c r="O56" s="89">
        <v>0.65567021732622588</v>
      </c>
    </row>
    <row r="57" spans="1:16" x14ac:dyDescent="0.4">
      <c r="I57" s="88">
        <v>20350320</v>
      </c>
      <c r="J57" s="49">
        <v>3.8246854137817442E-2</v>
      </c>
      <c r="N57" s="89">
        <v>290319194.99207556</v>
      </c>
      <c r="O57" s="89">
        <v>0.64960351191599797</v>
      </c>
    </row>
    <row r="58" spans="1:16" x14ac:dyDescent="0.4">
      <c r="I58" s="88">
        <v>20350620</v>
      </c>
      <c r="J58" s="49">
        <v>3.8372990249065868E-2</v>
      </c>
      <c r="N58" s="89">
        <v>297724529.00663632</v>
      </c>
      <c r="O58" s="89">
        <v>0.64343140555991496</v>
      </c>
    </row>
    <row r="59" spans="1:16" x14ac:dyDescent="0.4">
      <c r="I59" s="88">
        <v>20350920</v>
      </c>
      <c r="J59" s="49">
        <v>3.831773909126121E-2</v>
      </c>
      <c r="N59" s="89">
        <v>297306739.42980969</v>
      </c>
      <c r="O59" s="89">
        <v>0.63734399978492662</v>
      </c>
    </row>
    <row r="60" spans="1:16" x14ac:dyDescent="0.4">
      <c r="I60" s="88">
        <v>20351220</v>
      </c>
      <c r="J60" s="49">
        <v>3.7722674297214882E-2</v>
      </c>
      <c r="N60" s="89">
        <v>289624385.83944333</v>
      </c>
      <c r="O60" s="89">
        <v>0.63147073082801564</v>
      </c>
    </row>
    <row r="61" spans="1:16" x14ac:dyDescent="0.4">
      <c r="I61" s="88">
        <v>20360320</v>
      </c>
      <c r="J61" s="49">
        <v>3.7785967655905299E-2</v>
      </c>
      <c r="N61" s="89">
        <v>290097785.48115432</v>
      </c>
      <c r="O61" s="89">
        <v>0.62563782777324128</v>
      </c>
    </row>
    <row r="62" spans="1:16" x14ac:dyDescent="0.4">
      <c r="I62" s="88">
        <v>20360620</v>
      </c>
      <c r="J62" s="49">
        <v>3.7883783773601507E-2</v>
      </c>
      <c r="N62" s="89">
        <v>294025323.87709689</v>
      </c>
      <c r="O62" s="89">
        <v>0.61979235084769135</v>
      </c>
    </row>
    <row r="63" spans="1:16" x14ac:dyDescent="0.4">
      <c r="I63" s="88">
        <v>20360920</v>
      </c>
      <c r="J63" s="49">
        <v>3.7757196233783472E-2</v>
      </c>
      <c r="N63" s="89">
        <v>293068113.9869653</v>
      </c>
      <c r="O63" s="89">
        <v>0.61403706948797587</v>
      </c>
    </row>
    <row r="64" spans="1:16" x14ac:dyDescent="0.4">
      <c r="I64" s="88">
        <v>20361220</v>
      </c>
      <c r="J64" s="49">
        <v>3.7743566494288693E-2</v>
      </c>
      <c r="N64" s="89">
        <v>289780648.02577502</v>
      </c>
      <c r="O64" s="89">
        <v>0.60838048140319589</v>
      </c>
    </row>
    <row r="65" spans="9:15" x14ac:dyDescent="0.4">
      <c r="I65" s="88">
        <v>20370320</v>
      </c>
      <c r="J65" s="49">
        <v>3.7802166025504479E-2</v>
      </c>
      <c r="N65" s="89">
        <v>287029721.28455275</v>
      </c>
      <c r="O65" s="89">
        <v>0.60282807205255773</v>
      </c>
    </row>
    <row r="66" spans="9:15" x14ac:dyDescent="0.4">
      <c r="I66" s="88">
        <v>20370620</v>
      </c>
      <c r="J66" s="49">
        <v>3.7830637068269883E-2</v>
      </c>
      <c r="N66" s="89">
        <v>293623447.42034566</v>
      </c>
      <c r="O66" s="89">
        <v>0.59721228127084425</v>
      </c>
    </row>
    <row r="67" spans="9:15" x14ac:dyDescent="0.4">
      <c r="I67" s="88">
        <v>20370920</v>
      </c>
      <c r="J67" s="49">
        <v>3.7886871262436665E-2</v>
      </c>
      <c r="N67" s="89">
        <v>294048670.3680141</v>
      </c>
      <c r="O67" s="89">
        <v>0.59164603874308863</v>
      </c>
    </row>
    <row r="68" spans="9:15" x14ac:dyDescent="0.4">
      <c r="I68" s="88">
        <v>20371220</v>
      </c>
      <c r="J68" s="49">
        <v>3.7845958967831814E-2</v>
      </c>
      <c r="N68" s="89">
        <v>290546487.6224125</v>
      </c>
      <c r="O68" s="89">
        <v>0.58620595665843078</v>
      </c>
    </row>
    <row r="69" spans="9:15" x14ac:dyDescent="0.4">
      <c r="I69" s="88">
        <v>20380320</v>
      </c>
      <c r="J69" s="49">
        <v>3.7788066025738795E-2</v>
      </c>
      <c r="N69" s="89">
        <v>286925419.91642386</v>
      </c>
      <c r="O69" s="89">
        <v>0.58087764585820478</v>
      </c>
    </row>
    <row r="70" spans="9:15" x14ac:dyDescent="0.4">
      <c r="I70" s="88">
        <v>20380620</v>
      </c>
      <c r="J70" s="49">
        <v>3.7920055600648962E-2</v>
      </c>
      <c r="N70" s="89">
        <v>294299598.51449579</v>
      </c>
      <c r="O70" s="89">
        <v>0.5754582649369856</v>
      </c>
    </row>
    <row r="71" spans="9:15" x14ac:dyDescent="0.4">
      <c r="I71" s="88">
        <v>20380920</v>
      </c>
      <c r="J71" s="49">
        <v>3.7629984192873854E-2</v>
      </c>
      <c r="N71" s="89">
        <v>292106181.84200472</v>
      </c>
      <c r="O71" s="89">
        <v>0.57014900119476797</v>
      </c>
    </row>
    <row r="72" spans="9:15" x14ac:dyDescent="0.4">
      <c r="I72" s="88">
        <v>20381220</v>
      </c>
      <c r="J72" s="49">
        <v>3.5098479847674467E-2</v>
      </c>
      <c r="N72" s="89">
        <v>269996849.27164841</v>
      </c>
      <c r="O72" s="89">
        <v>0.56531060529961941</v>
      </c>
    </row>
    <row r="73" spans="9:15" x14ac:dyDescent="0.4">
      <c r="I73" s="88">
        <v>20390320</v>
      </c>
      <c r="J73" s="49">
        <v>3.4952623737040618E-2</v>
      </c>
      <c r="N73" s="89">
        <v>265950915.31509599</v>
      </c>
      <c r="O73" s="89">
        <v>0.56057073615645714</v>
      </c>
    </row>
    <row r="74" spans="9:15" x14ac:dyDescent="0.4">
      <c r="I74" s="88">
        <v>20390620</v>
      </c>
      <c r="J74" s="49">
        <v>3.4758701504615838E-2</v>
      </c>
      <c r="N74" s="89">
        <v>270394564.80202645</v>
      </c>
      <c r="O74" s="89">
        <v>0.55578735470226603</v>
      </c>
    </row>
    <row r="75" spans="9:15" x14ac:dyDescent="0.4">
      <c r="I75" s="88">
        <v>20390920</v>
      </c>
      <c r="J75" s="49">
        <v>3.4773076979359087E-2</v>
      </c>
      <c r="N75" s="89">
        <v>270503267.02200371</v>
      </c>
      <c r="O75" s="89">
        <v>0.55102891325927039</v>
      </c>
    </row>
    <row r="76" spans="9:15" x14ac:dyDescent="0.4">
      <c r="I76" s="88">
        <v>20391220</v>
      </c>
      <c r="J76" s="49">
        <v>3.4711647577808015E-2</v>
      </c>
      <c r="N76" s="89">
        <v>267103555.85593447</v>
      </c>
      <c r="O76" s="89">
        <v>0.54638631776120528</v>
      </c>
    </row>
    <row r="77" spans="9:15" x14ac:dyDescent="0.4">
      <c r="I77" s="88">
        <v>20400320</v>
      </c>
      <c r="J77" s="49">
        <v>3.4586457597731872E-2</v>
      </c>
      <c r="N77" s="89">
        <v>266167203.40221453</v>
      </c>
      <c r="O77" s="89">
        <v>0.54180502887403392</v>
      </c>
    </row>
    <row r="78" spans="9:15" x14ac:dyDescent="0.4">
      <c r="I78" s="88">
        <v>20400620</v>
      </c>
      <c r="J78" s="49">
        <v>3.4477639341353492E-2</v>
      </c>
      <c r="N78" s="89">
        <v>268269272.82777053</v>
      </c>
      <c r="O78" s="89">
        <v>0.53722458485782032</v>
      </c>
    </row>
    <row r="79" spans="9:15" x14ac:dyDescent="0.4">
      <c r="I79" s="88">
        <v>20400920</v>
      </c>
      <c r="J79" s="49">
        <v>3.4392544658081524E-2</v>
      </c>
      <c r="N79" s="89">
        <v>267625817.14056146</v>
      </c>
      <c r="O79" s="89">
        <v>0.53269258207812753</v>
      </c>
    </row>
    <row r="80" spans="9:15" x14ac:dyDescent="0.4">
      <c r="I80" s="88">
        <v>20401220</v>
      </c>
      <c r="J80" s="49">
        <v>3.4295371332459031E-2</v>
      </c>
      <c r="N80" s="89">
        <v>263990037.63729531</v>
      </c>
      <c r="O80" s="89">
        <v>0.52826178179907324</v>
      </c>
    </row>
    <row r="81" spans="9:15" x14ac:dyDescent="0.4">
      <c r="I81" s="88">
        <v>20410320</v>
      </c>
      <c r="J81" s="49">
        <v>3.4199923665037484E-2</v>
      </c>
      <c r="N81" s="89">
        <v>260382996.97424936</v>
      </c>
      <c r="O81" s="89">
        <v>0.52392850578570693</v>
      </c>
    </row>
    <row r="82" spans="9:15" x14ac:dyDescent="0.4">
      <c r="I82" s="88">
        <v>20410620</v>
      </c>
      <c r="J82" s="49">
        <v>3.4072045908594667E-2</v>
      </c>
      <c r="N82" s="89">
        <v>265202319.74718198</v>
      </c>
      <c r="O82" s="89">
        <v>0.51955382922993865</v>
      </c>
    </row>
    <row r="83" spans="9:15" x14ac:dyDescent="0.4">
      <c r="I83" s="88">
        <v>20410920</v>
      </c>
      <c r="J83" s="49">
        <v>3.4042054358067224E-2</v>
      </c>
      <c r="N83" s="89">
        <v>264975534.32401317</v>
      </c>
      <c r="O83" s="89">
        <v>0.51521531388055031</v>
      </c>
    </row>
    <row r="84" spans="9:15" x14ac:dyDescent="0.4">
      <c r="I84" s="88">
        <v>20411220</v>
      </c>
      <c r="J84" s="49">
        <v>3.3959496626617597E-2</v>
      </c>
      <c r="N84" s="89">
        <v>261477878.87853563</v>
      </c>
      <c r="O84" s="89">
        <v>0.5109786805346388</v>
      </c>
    </row>
    <row r="85" spans="9:15" x14ac:dyDescent="0.4">
      <c r="I85" s="88">
        <v>20420320</v>
      </c>
      <c r="J85" s="49">
        <v>3.3788752655231923E-2</v>
      </c>
      <c r="N85" s="89">
        <v>257341457.99760681</v>
      </c>
      <c r="O85" s="89">
        <v>0.50684643179426714</v>
      </c>
    </row>
    <row r="86" spans="9:15" x14ac:dyDescent="0.4">
      <c r="I86" s="88">
        <v>20420620</v>
      </c>
      <c r="J86" s="49">
        <v>3.37537448843232E-2</v>
      </c>
      <c r="N86" s="89">
        <v>262795440.76912996</v>
      </c>
      <c r="O86" s="89">
        <v>0.50265282758200414</v>
      </c>
    </row>
    <row r="87" spans="9:15" x14ac:dyDescent="0.4">
      <c r="I87" s="88">
        <v>20420920</v>
      </c>
      <c r="J87" s="49">
        <v>3.3719692939589443E-2</v>
      </c>
      <c r="N87" s="89">
        <v>262537952.09114414</v>
      </c>
      <c r="O87" s="89">
        <v>0.49850587561926518</v>
      </c>
    </row>
    <row r="88" spans="9:15" x14ac:dyDescent="0.4">
      <c r="I88" s="88">
        <v>20421220</v>
      </c>
      <c r="J88" s="49">
        <v>3.3622292033866213E-2</v>
      </c>
      <c r="N88" s="89">
        <v>258955773.29439682</v>
      </c>
      <c r="O88" s="89">
        <v>0.49445730475913069</v>
      </c>
    </row>
    <row r="89" spans="9:15" x14ac:dyDescent="0.4">
      <c r="I89" s="88">
        <v>20430320</v>
      </c>
      <c r="J89" s="49">
        <v>3.3444838983611822E-2</v>
      </c>
      <c r="N89" s="89">
        <v>254797439.05685604</v>
      </c>
      <c r="O89" s="89">
        <v>0.49050762964075573</v>
      </c>
    </row>
    <row r="90" spans="9:15" x14ac:dyDescent="0.4">
      <c r="I90" s="88">
        <v>20430620</v>
      </c>
      <c r="J90" s="49">
        <v>3.3412630654676041E-2</v>
      </c>
      <c r="N90" s="89">
        <v>260216056.45727545</v>
      </c>
      <c r="O90" s="89">
        <v>0.48649778123950216</v>
      </c>
    </row>
    <row r="91" spans="9:15" x14ac:dyDescent="0.4">
      <c r="I91" s="88">
        <v>20430920</v>
      </c>
      <c r="J91" s="49">
        <v>3.3077615711712423E-2</v>
      </c>
      <c r="N91" s="89">
        <v>257682792.77897537</v>
      </c>
      <c r="O91" s="89">
        <v>0.48256676865964593</v>
      </c>
    </row>
  </sheetData>
  <mergeCells count="35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B6:C6"/>
    <mergeCell ref="D6:E6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2023-10-09T15:04:49Z</dcterms:modified>
</cp:coreProperties>
</file>