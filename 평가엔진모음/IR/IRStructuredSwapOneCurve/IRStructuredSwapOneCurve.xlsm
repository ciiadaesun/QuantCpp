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E48" i="2" l="1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<sst xmlns="http://schemas.openxmlformats.org/spreadsheetml/2006/main" count="120" uniqueCount="86">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</sst>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00_-;\-* #,##0.0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77" fontId="8" fillId="11" borderId="0" xfId="0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44815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10">
        <v>0.25</v>
      </c>
      <c r="I11" s="11">
        <v>9.6154639886528535E-3</v>
      </c>
      <c r="J11" s="12"/>
      <c r="L11" s="13">
        <v>1</v>
      </c>
      <c r="M11" s="49">
        <v>44818</v>
      </c>
      <c r="N11" s="14">
        <v>3.5114930000000002</v>
      </c>
      <c r="O11" s="49">
        <v>44818</v>
      </c>
      <c r="P11" s="14">
        <v>3.5114930000000002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10">
        <v>0.5</v>
      </c>
      <c r="I12" s="11">
        <v>1.1162364581838124E-2</v>
      </c>
      <c r="J12" s="12"/>
      <c r="L12" s="13">
        <f>L11+1</f>
        <v>2</v>
      </c>
      <c r="M12" s="49">
        <v>44819</v>
      </c>
      <c r="N12" s="14">
        <v>3.5124149999999998</v>
      </c>
      <c r="O12" s="49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67" t="s">
        <v>23</v>
      </c>
      <c r="E13" s="67"/>
      <c r="G13" s="65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9">
        <v>44910</v>
      </c>
      <c r="N13" s="14">
        <v>3.7925620000000002</v>
      </c>
      <c r="O13" s="49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67"/>
      <c r="E14" s="67"/>
      <c r="G14" s="65"/>
      <c r="H14" s="10">
        <v>1</v>
      </c>
      <c r="I14" s="11">
        <v>1.2738326744606043E-2</v>
      </c>
      <c r="J14" s="12"/>
      <c r="L14" s="13">
        <f t="shared" si="2"/>
        <v>4</v>
      </c>
      <c r="M14" s="49">
        <v>45001</v>
      </c>
      <c r="N14" s="14">
        <v>3.8730349999999998</v>
      </c>
      <c r="O14" s="49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67"/>
      <c r="E15" s="67"/>
      <c r="G15" s="65"/>
      <c r="H15" s="10">
        <v>2</v>
      </c>
      <c r="I15" s="11">
        <v>8.8252457576316525E-3</v>
      </c>
      <c r="J15" s="12"/>
      <c r="L15" s="13">
        <f t="shared" si="2"/>
        <v>5</v>
      </c>
      <c r="M15" s="49">
        <v>45092</v>
      </c>
      <c r="N15" s="14">
        <v>3.9020980000000001</v>
      </c>
      <c r="O15" s="49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5"/>
      <c r="H16" s="10">
        <v>3</v>
      </c>
      <c r="I16" s="11">
        <v>1.0273480057599883E-2</v>
      </c>
      <c r="J16" s="12"/>
      <c r="L16" s="13">
        <f t="shared" si="2"/>
        <v>6</v>
      </c>
      <c r="M16" s="49">
        <v>45184</v>
      </c>
      <c r="N16" s="14">
        <v>3.9204439999999998</v>
      </c>
      <c r="O16" s="49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10">
        <v>5</v>
      </c>
      <c r="I17" s="11">
        <v>1.1472470786756934E-2</v>
      </c>
      <c r="J17" s="12"/>
      <c r="L17" s="13">
        <f t="shared" si="2"/>
        <v>7</v>
      </c>
      <c r="M17" s="49">
        <v>45366</v>
      </c>
      <c r="N17" s="14">
        <v>3.9238849999999998</v>
      </c>
      <c r="O17" s="49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10"/>
      <c r="I18" s="11"/>
      <c r="J18" s="12"/>
      <c r="L18" s="13">
        <f t="shared" si="2"/>
        <v>8</v>
      </c>
      <c r="M18" s="49">
        <v>45549</v>
      </c>
      <c r="N18" s="14">
        <v>3.9116110000000002</v>
      </c>
      <c r="O18" s="49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5"/>
      <c r="H19" s="10"/>
      <c r="I19" s="11"/>
      <c r="J19" s="12"/>
      <c r="L19" s="13">
        <f t="shared" si="2"/>
        <v>9</v>
      </c>
      <c r="M19" s="49">
        <v>45914</v>
      </c>
      <c r="N19" s="14">
        <v>3.899302</v>
      </c>
      <c r="O19" s="49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5"/>
      <c r="H20" s="10"/>
      <c r="I20" s="11"/>
      <c r="J20" s="12"/>
      <c r="L20" s="13">
        <f t="shared" si="2"/>
        <v>10</v>
      </c>
      <c r="M20" s="49">
        <v>46281</v>
      </c>
      <c r="N20" s="14">
        <v>3.9023029999999999</v>
      </c>
      <c r="O20" s="49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5"/>
      <c r="H21" s="10"/>
      <c r="I21" s="11"/>
      <c r="J21" s="12"/>
      <c r="L21" s="13">
        <f t="shared" si="2"/>
        <v>11</v>
      </c>
      <c r="M21" s="49">
        <v>46645</v>
      </c>
      <c r="N21" s="14">
        <v>3.9025310000000002</v>
      </c>
      <c r="O21" s="49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5"/>
      <c r="H22" s="10"/>
      <c r="I22" s="11"/>
      <c r="J22" s="12"/>
      <c r="L22" s="13">
        <f t="shared" si="2"/>
        <v>12</v>
      </c>
      <c r="M22" s="49">
        <v>47010</v>
      </c>
      <c r="N22" s="14">
        <v>3.9081440000000001</v>
      </c>
      <c r="O22" s="49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10"/>
      <c r="I23" s="11"/>
      <c r="J23" s="12"/>
      <c r="L23" s="13">
        <f t="shared" si="2"/>
        <v>13</v>
      </c>
      <c r="M23" s="49">
        <v>47375</v>
      </c>
      <c r="N23" s="14">
        <v>3.9137569999999999</v>
      </c>
      <c r="O23" s="49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10"/>
      <c r="I24" s="11"/>
      <c r="J24" s="12"/>
      <c r="L24" s="13">
        <f t="shared" si="2"/>
        <v>14</v>
      </c>
      <c r="M24" s="49">
        <v>47740</v>
      </c>
      <c r="N24" s="14">
        <v>3.9222540000000001</v>
      </c>
      <c r="O24" s="49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10"/>
      <c r="I25" s="11"/>
      <c r="J25" s="12"/>
      <c r="L25" s="13">
        <f t="shared" si="2"/>
        <v>15</v>
      </c>
      <c r="M25" s="49">
        <v>48108</v>
      </c>
      <c r="N25" s="14">
        <v>3.9337179999999998</v>
      </c>
      <c r="O25" s="49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10"/>
      <c r="I26" s="11"/>
      <c r="J26" s="12"/>
      <c r="L26" s="13">
        <f t="shared" si="2"/>
        <v>16</v>
      </c>
      <c r="M26" s="49">
        <v>48472</v>
      </c>
      <c r="N26" s="14">
        <v>3.9453279999999999</v>
      </c>
      <c r="O26" s="49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5"/>
      <c r="H27" s="10"/>
      <c r="I27" s="11"/>
      <c r="J27" s="12"/>
      <c r="L27" s="13">
        <f t="shared" si="2"/>
        <v>17</v>
      </c>
      <c r="M27" s="49">
        <v>49201</v>
      </c>
      <c r="N27" s="14">
        <v>3.9689730000000001</v>
      </c>
      <c r="O27" s="49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5"/>
      <c r="H28" s="10"/>
      <c r="I28" s="11"/>
      <c r="J28" s="12"/>
      <c r="L28" s="13">
        <f t="shared" si="2"/>
        <v>18</v>
      </c>
      <c r="M28" s="49">
        <v>50299</v>
      </c>
      <c r="N28" s="14">
        <v>3.9608210000000001</v>
      </c>
      <c r="O28" s="49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5"/>
      <c r="H29" s="10"/>
      <c r="I29" s="11"/>
      <c r="J29" s="12"/>
      <c r="L29" s="13">
        <f t="shared" si="2"/>
        <v>19</v>
      </c>
      <c r="M29" s="49">
        <v>52123</v>
      </c>
      <c r="N29" s="14">
        <v>3.8029289999999998</v>
      </c>
      <c r="O29" s="49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5"/>
      <c r="H30" s="10"/>
      <c r="I30" s="11"/>
      <c r="J30" s="12"/>
      <c r="L30" s="13">
        <f t="shared" si="2"/>
        <v>20</v>
      </c>
      <c r="M30" s="49">
        <v>53950</v>
      </c>
      <c r="N30" s="14">
        <v>3.6413120000000001</v>
      </c>
      <c r="O30" s="49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5"/>
      <c r="H31" s="10"/>
      <c r="I31" s="11"/>
      <c r="J31" s="12"/>
      <c r="L31" s="13">
        <f t="shared" si="2"/>
        <v>21</v>
      </c>
      <c r="M31" s="49">
        <v>55776</v>
      </c>
      <c r="N31" s="14">
        <v>3.552136</v>
      </c>
      <c r="O31" s="49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5"/>
      <c r="H32" s="10"/>
      <c r="I32" s="11"/>
      <c r="J32" s="12"/>
      <c r="L32" s="13">
        <f t="shared" si="2"/>
        <v>22</v>
      </c>
      <c r="M32" s="50"/>
      <c r="N32" s="19"/>
      <c r="O32" s="50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5"/>
      <c r="H33" s="10"/>
      <c r="I33" s="11"/>
      <c r="J33" s="12"/>
      <c r="L33" s="13">
        <f t="shared" si="2"/>
        <v>23</v>
      </c>
      <c r="M33" s="50"/>
      <c r="N33" s="19"/>
      <c r="O33" s="50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5"/>
      <c r="H34" s="10"/>
      <c r="I34" s="11"/>
      <c r="J34" s="12"/>
      <c r="L34" s="13">
        <f t="shared" si="2"/>
        <v>24</v>
      </c>
      <c r="M34" s="50"/>
      <c r="N34" s="19"/>
      <c r="O34" s="50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5"/>
      <c r="H35" s="10"/>
      <c r="I35" s="11"/>
      <c r="J35" s="12"/>
      <c r="L35" s="13">
        <f t="shared" si="2"/>
        <v>25</v>
      </c>
      <c r="M35" s="50"/>
      <c r="N35" s="19"/>
      <c r="O35" s="50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5"/>
      <c r="H36" s="10"/>
      <c r="I36" s="11"/>
      <c r="J36" s="12"/>
      <c r="L36" s="13">
        <f t="shared" si="2"/>
        <v>26</v>
      </c>
      <c r="M36" s="50"/>
      <c r="N36" s="19"/>
      <c r="O36" s="50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5"/>
      <c r="H37" s="10"/>
      <c r="I37" s="11"/>
      <c r="J37" s="12"/>
      <c r="L37" s="13">
        <f t="shared" si="2"/>
        <v>27</v>
      </c>
      <c r="M37" s="50"/>
      <c r="N37" s="19"/>
      <c r="O37" s="50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5"/>
      <c r="H38" s="10"/>
      <c r="I38" s="11"/>
      <c r="J38" s="12"/>
      <c r="L38" s="13">
        <f t="shared" si="2"/>
        <v>28</v>
      </c>
      <c r="M38" s="50"/>
      <c r="N38" s="19"/>
      <c r="O38" s="50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5"/>
      <c r="H39" s="10"/>
      <c r="I39" s="11"/>
      <c r="J39" s="12"/>
      <c r="L39" s="13">
        <f t="shared" si="2"/>
        <v>29</v>
      </c>
      <c r="M39" s="50"/>
      <c r="N39" s="19"/>
      <c r="O39" s="50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5"/>
      <c r="H40" s="10"/>
      <c r="I40" s="11"/>
      <c r="J40" s="12"/>
      <c r="L40" s="13">
        <f t="shared" si="2"/>
        <v>30</v>
      </c>
      <c r="M40" s="50"/>
      <c r="N40" s="19"/>
      <c r="O40" s="50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50"/>
      <c r="N41" s="19"/>
      <c r="O41" s="50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50"/>
      <c r="N42" s="19"/>
      <c r="O42" s="50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50"/>
      <c r="N43" s="19"/>
      <c r="O43" s="50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50"/>
      <c r="N44" s="19"/>
      <c r="O44" s="50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50"/>
      <c r="N45" s="19"/>
      <c r="O45" s="50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50"/>
      <c r="N46" s="19"/>
      <c r="O46" s="50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50"/>
      <c r="N47" s="19"/>
      <c r="O47" s="50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50"/>
      <c r="N48" s="19"/>
      <c r="O48" s="50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50"/>
      <c r="N49" s="19"/>
      <c r="O49" s="50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50"/>
      <c r="N50" s="19"/>
      <c r="O50" s="50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50"/>
      <c r="N51" s="19"/>
      <c r="O51" s="50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50"/>
      <c r="N52" s="19"/>
      <c r="O52" s="50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50"/>
      <c r="N53" s="19"/>
      <c r="O53" s="50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61"/>
  <sheetViews>
    <sheetView tabSelected="1" topLeftCell="X10" workbookViewId="0">
      <selection activeCell="G40" sqref="G40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2.5" style="48"/>
    <col min="33" max="35" width="12.5" style="44"/>
    <col min="36" max="36" width="12.5" style="46"/>
    <col min="37" max="37" width="12.5" style="48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69" t="s">
        <v>30</v>
      </c>
      <c r="C3" s="69"/>
      <c r="D3" s="70">
        <v>44815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1">
        <v>10000</v>
      </c>
      <c r="M3" s="71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4" t="s">
        <v>66</v>
      </c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6"/>
    </row>
    <row r="4" spans="1:57" x14ac:dyDescent="0.4">
      <c r="A4" s="22">
        <f t="shared" si="1"/>
        <v>4</v>
      </c>
      <c r="B4" s="21"/>
      <c r="C4" s="21"/>
      <c r="O4" s="123" t="s">
        <v>49</v>
      </c>
      <c r="P4" s="124"/>
      <c r="Q4" s="125">
        <v>44039</v>
      </c>
      <c r="R4" s="126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87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9"/>
    </row>
    <row r="5" spans="1:57" x14ac:dyDescent="0.4">
      <c r="A5" s="22">
        <f t="shared" si="1"/>
        <v>5</v>
      </c>
      <c r="B5" s="84" t="s">
        <v>48</v>
      </c>
      <c r="C5" s="85"/>
      <c r="D5" s="85"/>
      <c r="E5" s="85"/>
      <c r="F5" s="85"/>
      <c r="G5" s="85"/>
      <c r="H5" s="85"/>
      <c r="I5" s="85"/>
      <c r="J5" s="85"/>
      <c r="K5" s="85"/>
      <c r="L5" s="85"/>
      <c r="M5" s="86"/>
      <c r="O5" s="131" t="s">
        <v>51</v>
      </c>
      <c r="P5" s="132"/>
      <c r="Q5" s="133">
        <v>47691</v>
      </c>
      <c r="R5" s="134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9"/>
      <c r="O6" s="129" t="s">
        <v>43</v>
      </c>
      <c r="P6" s="130"/>
      <c r="Q6" s="117">
        <v>1</v>
      </c>
      <c r="R6" s="107"/>
      <c r="W6" s="29">
        <v>44769</v>
      </c>
      <c r="X6" s="36">
        <v>3.6999999999999998E-2</v>
      </c>
      <c r="Y6" s="29">
        <v>44769</v>
      </c>
      <c r="Z6" s="38">
        <v>0.03</v>
      </c>
      <c r="AB6" s="72" t="s">
        <v>67</v>
      </c>
      <c r="AC6" s="72"/>
      <c r="AD6" s="71">
        <v>0</v>
      </c>
      <c r="AE6" s="71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2" t="s">
        <v>33</v>
      </c>
      <c r="C7" s="72"/>
      <c r="D7" s="73">
        <v>1</v>
      </c>
      <c r="E7" s="74"/>
      <c r="F7" s="72" t="s">
        <v>34</v>
      </c>
      <c r="G7" s="72"/>
      <c r="H7" s="73">
        <v>1</v>
      </c>
      <c r="I7" s="74"/>
      <c r="J7" s="23"/>
      <c r="K7" s="23"/>
      <c r="L7" s="23"/>
      <c r="M7" s="23"/>
      <c r="O7" s="118" t="str">
        <f>IF(Q6&gt;0,"Phase2날짜","")</f>
        <v>Phase2날짜</v>
      </c>
      <c r="P7" s="119"/>
      <c r="Q7" s="127">
        <v>45865</v>
      </c>
      <c r="R7" s="128"/>
      <c r="W7" s="29">
        <v>44815</v>
      </c>
      <c r="X7" s="36">
        <v>3.6999999999999998E-2</v>
      </c>
      <c r="Y7" s="29">
        <v>44815</v>
      </c>
      <c r="Z7" s="36">
        <v>0.03</v>
      </c>
      <c r="AB7" s="72" t="s">
        <v>80</v>
      </c>
      <c r="AC7" s="72"/>
      <c r="AD7" s="71">
        <v>0</v>
      </c>
      <c r="AE7" s="71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75" t="str">
        <f>"기초금리정보"</f>
        <v>기초금리정보</v>
      </c>
      <c r="C9" s="76"/>
      <c r="D9" s="81" t="s">
        <v>35</v>
      </c>
      <c r="E9" s="81"/>
      <c r="F9" s="106">
        <v>0</v>
      </c>
      <c r="G9" s="107"/>
      <c r="H9" s="25"/>
      <c r="I9" s="24"/>
      <c r="J9" s="93" t="str">
        <f>IF(OR(F10 = 0, F10 = 2, F10 = 4), "RefType = "&amp;F10&amp;" 이므로 Ref Swap 금리정보 사용안함", "사용")</f>
        <v>사용</v>
      </c>
      <c r="K9" s="94"/>
      <c r="L9" s="94"/>
      <c r="M9" s="95"/>
      <c r="O9" s="83" t="s">
        <v>53</v>
      </c>
      <c r="P9" s="83"/>
      <c r="Q9" s="83"/>
      <c r="R9" s="83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77"/>
      <c r="C10" s="78"/>
      <c r="D10" s="81" t="s">
        <v>36</v>
      </c>
      <c r="E10" s="82"/>
      <c r="F10" s="108">
        <v>1</v>
      </c>
      <c r="G10" s="109"/>
      <c r="H10" s="93" t="str">
        <f xml:space="preserve"> "Swap 레퍼런스금리정보"</f>
        <v>Swap 레퍼런스금리정보</v>
      </c>
      <c r="I10" s="94"/>
      <c r="J10" s="97" t="str">
        <f>IF(OR(F10 = 0, F10 = 2, F10 = 4), "", "연 지급횟수")</f>
        <v>연 지급횟수</v>
      </c>
      <c r="K10" s="98"/>
      <c r="L10" s="99">
        <v>4</v>
      </c>
      <c r="M10" s="100"/>
      <c r="O10" s="83" t="s">
        <v>52</v>
      </c>
      <c r="P10" s="83"/>
      <c r="Q10" s="117">
        <v>4</v>
      </c>
      <c r="R10" s="107"/>
      <c r="AB10" s="131" t="s">
        <v>79</v>
      </c>
      <c r="AC10" s="143"/>
      <c r="AD10" s="144">
        <v>458.19600842496067</v>
      </c>
      <c r="AE10" s="144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77"/>
      <c r="C11" s="78"/>
      <c r="D11" s="83" t="s">
        <v>37</v>
      </c>
      <c r="E11" s="83"/>
      <c r="F11" s="106">
        <v>0</v>
      </c>
      <c r="G11" s="107"/>
      <c r="H11" s="96"/>
      <c r="I11" s="97"/>
      <c r="J11" s="97" t="str">
        <f>IF(F11=0, "만기", "입력X, 아래만기2개입력")</f>
        <v>만기</v>
      </c>
      <c r="K11" s="98"/>
      <c r="L11" s="103">
        <v>0.25</v>
      </c>
      <c r="M11" s="104"/>
      <c r="O11" s="83" t="s">
        <v>54</v>
      </c>
      <c r="P11" s="83"/>
      <c r="Q11" s="117">
        <v>0</v>
      </c>
      <c r="R11" s="107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77"/>
      <c r="C12" s="78"/>
      <c r="D12" s="83" t="s">
        <v>38</v>
      </c>
      <c r="E12" s="83"/>
      <c r="F12" s="110">
        <v>0.8</v>
      </c>
      <c r="G12" s="111"/>
      <c r="H12" s="101" t="str">
        <f>"ex) Deposit 3M -&gt; 연 지급횟수= 4, 만기= 0.25 ||  ex2) CMT 5Y 연 지급횟수=2, 만기 5"</f>
        <v>ex) Deposit 3M -&gt; 연 지급횟수= 4, 만기= 0.25 ||  ex2) CMT 5Y 연 지급횟수=2, 만기 5</v>
      </c>
      <c r="I12" s="101"/>
      <c r="J12" s="101"/>
      <c r="K12" s="101"/>
      <c r="L12" s="101"/>
      <c r="M12" s="102"/>
      <c r="O12" s="118" t="s">
        <v>55</v>
      </c>
      <c r="P12" s="119"/>
      <c r="Q12" s="117">
        <v>4</v>
      </c>
      <c r="R12" s="107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77"/>
      <c r="C13" s="78"/>
      <c r="D13" s="83" t="s">
        <v>39</v>
      </c>
      <c r="E13" s="81"/>
      <c r="F13" s="112">
        <v>-0.8</v>
      </c>
      <c r="G13" s="113"/>
      <c r="H13" s="90" t="str">
        <f>IF(F11&gt;0,"PowerSpreadFlag 1일때 입력","입력필요X")</f>
        <v>입력필요X</v>
      </c>
      <c r="I13" s="90"/>
      <c r="J13" s="90" t="str">
        <f>IF(F11&gt;0,"만기1","")</f>
        <v/>
      </c>
      <c r="K13" s="90"/>
      <c r="L13" s="91">
        <v>10</v>
      </c>
      <c r="M13" s="92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79"/>
      <c r="C14" s="80"/>
      <c r="D14" s="105" t="s">
        <v>40</v>
      </c>
      <c r="E14" s="105"/>
      <c r="F14" s="114">
        <v>1</v>
      </c>
      <c r="G14" s="115"/>
      <c r="H14" s="90"/>
      <c r="I14" s="90"/>
      <c r="J14" s="90" t="str">
        <f>IF(F11&gt;0,"만기2","")</f>
        <v/>
      </c>
      <c r="K14" s="90"/>
      <c r="L14" s="91">
        <v>5</v>
      </c>
      <c r="M14" s="92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41" t="s">
        <v>73</v>
      </c>
      <c r="AC15" s="142"/>
      <c r="AD15" s="142"/>
      <c r="AE15" s="142"/>
      <c r="AF15" s="142"/>
      <c r="AG15" s="141" t="s">
        <v>74</v>
      </c>
      <c r="AH15" s="142"/>
      <c r="AI15" s="142"/>
      <c r="AJ15" s="142"/>
      <c r="AK15" s="142"/>
    </row>
    <row r="16" spans="1:57" x14ac:dyDescent="0.4">
      <c r="A16" s="22">
        <f t="shared" si="1"/>
        <v>16</v>
      </c>
      <c r="B16" s="116" t="s">
        <v>41</v>
      </c>
      <c r="C16" s="116"/>
      <c r="D16" s="83" t="s">
        <v>81</v>
      </c>
      <c r="E16" s="83"/>
      <c r="F16" s="110">
        <v>0</v>
      </c>
      <c r="G16" s="111"/>
      <c r="H16" s="148" t="s">
        <v>84</v>
      </c>
      <c r="I16" s="147"/>
      <c r="J16" s="149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49"/>
      <c r="L16" s="149"/>
      <c r="M16" s="149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116"/>
      <c r="C17" s="116"/>
      <c r="D17" s="83" t="s">
        <v>44</v>
      </c>
      <c r="E17" s="83"/>
      <c r="F17" s="110">
        <v>0</v>
      </c>
      <c r="G17" s="111"/>
      <c r="H17" s="148" t="s">
        <v>82</v>
      </c>
      <c r="I17" s="147"/>
      <c r="J17" s="14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49"/>
      <c r="L17" s="149"/>
      <c r="M17" s="149"/>
      <c r="AB17" s="41">
        <v>20200727</v>
      </c>
      <c r="AC17" s="42">
        <v>20201027</v>
      </c>
      <c r="AD17" s="42">
        <v>20201027</v>
      </c>
      <c r="AE17" s="45">
        <v>0</v>
      </c>
      <c r="AF17" s="47">
        <v>0</v>
      </c>
      <c r="AG17" s="42">
        <v>20200727</v>
      </c>
      <c r="AH17" s="42">
        <v>20201027</v>
      </c>
      <c r="AI17" s="42">
        <v>20201027</v>
      </c>
      <c r="AJ17" s="45">
        <v>0</v>
      </c>
      <c r="AK17" s="47">
        <v>0</v>
      </c>
    </row>
    <row r="18" spans="1:37" x14ac:dyDescent="0.4">
      <c r="A18" s="22">
        <f t="shared" si="1"/>
        <v>18</v>
      </c>
      <c r="B18" s="116"/>
      <c r="C18" s="116"/>
      <c r="D18" s="83" t="s">
        <v>45</v>
      </c>
      <c r="E18" s="83"/>
      <c r="F18" s="106">
        <v>1</v>
      </c>
      <c r="G18" s="107"/>
      <c r="H18" s="148"/>
      <c r="I18" s="147"/>
      <c r="J18" s="149"/>
      <c r="K18" s="149"/>
      <c r="L18" s="149"/>
      <c r="M18" s="149"/>
      <c r="AB18" s="43">
        <v>20201027</v>
      </c>
      <c r="AC18" s="44">
        <v>20210127</v>
      </c>
      <c r="AD18" s="44">
        <v>20210127</v>
      </c>
      <c r="AE18" s="46">
        <v>0</v>
      </c>
      <c r="AF18" s="48">
        <v>0</v>
      </c>
      <c r="AG18" s="44">
        <v>20201027</v>
      </c>
      <c r="AH18" s="44">
        <v>20210127</v>
      </c>
      <c r="AI18" s="44">
        <v>20210127</v>
      </c>
      <c r="AJ18" s="46">
        <v>0</v>
      </c>
      <c r="AK18" s="48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48">
        <v>0</v>
      </c>
      <c r="AG19" s="44">
        <v>20210127</v>
      </c>
      <c r="AH19" s="44">
        <v>20210427</v>
      </c>
      <c r="AI19" s="44">
        <v>20210427</v>
      </c>
      <c r="AJ19" s="46">
        <v>0</v>
      </c>
      <c r="AK19" s="48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48">
        <v>0</v>
      </c>
      <c r="AG20" s="44">
        <v>20210427</v>
      </c>
      <c r="AH20" s="44">
        <v>20210727</v>
      </c>
      <c r="AI20" s="44">
        <v>20210727</v>
      </c>
      <c r="AJ20" s="46">
        <v>0</v>
      </c>
      <c r="AK20" s="48">
        <v>0</v>
      </c>
    </row>
    <row r="21" spans="1:37" x14ac:dyDescent="0.4">
      <c r="A21" s="22">
        <f t="shared" si="1"/>
        <v>21</v>
      </c>
      <c r="B21" s="116" t="s">
        <v>46</v>
      </c>
      <c r="C21" s="116"/>
      <c r="D21" s="83" t="s">
        <v>42</v>
      </c>
      <c r="E21" s="83"/>
      <c r="F21" s="110">
        <v>0</v>
      </c>
      <c r="G21" s="111"/>
      <c r="H21" s="148" t="s">
        <v>83</v>
      </c>
      <c r="I21" s="147"/>
      <c r="J21" s="14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49"/>
      <c r="L21" s="149"/>
      <c r="M21" s="149"/>
      <c r="AB21" s="43">
        <v>20210727</v>
      </c>
      <c r="AC21" s="44">
        <v>20211027</v>
      </c>
      <c r="AD21" s="44">
        <v>20211027</v>
      </c>
      <c r="AE21" s="46">
        <v>0</v>
      </c>
      <c r="AF21" s="48">
        <v>0</v>
      </c>
      <c r="AG21" s="44">
        <v>20210727</v>
      </c>
      <c r="AH21" s="44">
        <v>20211027</v>
      </c>
      <c r="AI21" s="44">
        <v>20211027</v>
      </c>
      <c r="AJ21" s="46">
        <v>0</v>
      </c>
      <c r="AK21" s="48">
        <v>0</v>
      </c>
    </row>
    <row r="22" spans="1:37" x14ac:dyDescent="0.4">
      <c r="A22" s="22">
        <f t="shared" si="1"/>
        <v>22</v>
      </c>
      <c r="B22" s="116"/>
      <c r="C22" s="116"/>
      <c r="D22" s="83" t="s">
        <v>44</v>
      </c>
      <c r="E22" s="83"/>
      <c r="F22" s="110">
        <v>0</v>
      </c>
      <c r="G22" s="111"/>
      <c r="H22" s="148"/>
      <c r="I22" s="147"/>
      <c r="J22" s="149"/>
      <c r="K22" s="149"/>
      <c r="L22" s="149"/>
      <c r="M22" s="149"/>
      <c r="AB22" s="43">
        <v>20211027</v>
      </c>
      <c r="AC22" s="44">
        <v>20220127</v>
      </c>
      <c r="AD22" s="44">
        <v>20220127</v>
      </c>
      <c r="AE22" s="46">
        <v>0</v>
      </c>
      <c r="AF22" s="48">
        <v>0</v>
      </c>
      <c r="AG22" s="44">
        <v>20211027</v>
      </c>
      <c r="AH22" s="44">
        <v>20220127</v>
      </c>
      <c r="AI22" s="44">
        <v>20220127</v>
      </c>
      <c r="AJ22" s="46">
        <v>0</v>
      </c>
      <c r="AK22" s="48">
        <v>0</v>
      </c>
    </row>
    <row r="23" spans="1:37" x14ac:dyDescent="0.4">
      <c r="A23" s="22">
        <f t="shared" si="1"/>
        <v>23</v>
      </c>
      <c r="B23" s="116"/>
      <c r="C23" s="116"/>
      <c r="D23" s="83" t="s">
        <v>45</v>
      </c>
      <c r="E23" s="83"/>
      <c r="F23" s="106">
        <v>1</v>
      </c>
      <c r="G23" s="107"/>
      <c r="AB23" s="43">
        <v>20220127</v>
      </c>
      <c r="AC23" s="44">
        <v>20220427</v>
      </c>
      <c r="AD23" s="44">
        <v>20220427</v>
      </c>
      <c r="AE23" s="46">
        <v>0</v>
      </c>
      <c r="AF23" s="48">
        <v>0</v>
      </c>
      <c r="AG23" s="44">
        <v>20220127</v>
      </c>
      <c r="AH23" s="44">
        <v>20220427</v>
      </c>
      <c r="AI23" s="44">
        <v>20220427</v>
      </c>
      <c r="AJ23" s="46">
        <v>0</v>
      </c>
      <c r="AK23" s="48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48">
        <v>0</v>
      </c>
      <c r="AG24" s="44">
        <v>20220427</v>
      </c>
      <c r="AH24" s="44">
        <v>20220727</v>
      </c>
      <c r="AI24" s="44">
        <v>20220727</v>
      </c>
      <c r="AJ24" s="46">
        <v>0</v>
      </c>
      <c r="AK24" s="48">
        <v>0</v>
      </c>
    </row>
    <row r="25" spans="1:37" x14ac:dyDescent="0.4">
      <c r="A25" s="22">
        <f t="shared" si="1"/>
        <v>25</v>
      </c>
      <c r="B25" s="84" t="s">
        <v>47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6"/>
      <c r="AB25" s="43">
        <v>20220727</v>
      </c>
      <c r="AC25" s="44">
        <v>20221027</v>
      </c>
      <c r="AD25" s="44">
        <v>20221027</v>
      </c>
      <c r="AE25" s="46">
        <v>3.6999999999999998E-2</v>
      </c>
      <c r="AF25" s="48">
        <v>93.260273972602732</v>
      </c>
      <c r="AG25" s="44">
        <v>20220727</v>
      </c>
      <c r="AH25" s="44">
        <v>20221027</v>
      </c>
      <c r="AI25" s="44">
        <v>20221027</v>
      </c>
      <c r="AJ25" s="46">
        <v>0.03</v>
      </c>
      <c r="AK25" s="48">
        <v>100</v>
      </c>
    </row>
    <row r="26" spans="1:37" x14ac:dyDescent="0.4">
      <c r="A26" s="22">
        <f t="shared" si="1"/>
        <v>26</v>
      </c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9"/>
      <c r="AB26" s="43">
        <v>20221027</v>
      </c>
      <c r="AC26" s="44">
        <v>20230127</v>
      </c>
      <c r="AD26" s="44">
        <v>20230127</v>
      </c>
      <c r="AE26" s="46">
        <v>3.9445249602802407E-2</v>
      </c>
      <c r="AF26" s="48">
        <v>99.423642834460864</v>
      </c>
      <c r="AG26" s="44">
        <v>20221027</v>
      </c>
      <c r="AH26" s="44">
        <v>20230127</v>
      </c>
      <c r="AI26" s="44">
        <v>20230127</v>
      </c>
      <c r="AJ26" s="46">
        <v>3.7760128373319428E-2</v>
      </c>
      <c r="AK26" s="48">
        <v>100</v>
      </c>
    </row>
    <row r="27" spans="1:37" x14ac:dyDescent="0.4">
      <c r="A27" s="22">
        <f t="shared" si="1"/>
        <v>27</v>
      </c>
      <c r="B27" s="72" t="s">
        <v>33</v>
      </c>
      <c r="C27" s="72"/>
      <c r="D27" s="73">
        <v>1</v>
      </c>
      <c r="E27" s="74"/>
      <c r="F27" s="72" t="s">
        <v>34</v>
      </c>
      <c r="G27" s="72"/>
      <c r="H27" s="73">
        <v>1</v>
      </c>
      <c r="I27" s="74"/>
      <c r="AB27" s="43">
        <v>20230127</v>
      </c>
      <c r="AC27" s="44">
        <v>20230427</v>
      </c>
      <c r="AD27" s="44">
        <v>20230427</v>
      </c>
      <c r="AE27" s="46">
        <v>3.9916389718166564E-2</v>
      </c>
      <c r="AF27" s="48">
        <v>98.423974647533981</v>
      </c>
      <c r="AG27" s="44">
        <v>20230127</v>
      </c>
      <c r="AH27" s="44">
        <v>20230427</v>
      </c>
      <c r="AI27" s="44">
        <v>20230427</v>
      </c>
      <c r="AJ27" s="46">
        <v>3.7794246739848505E-2</v>
      </c>
      <c r="AK27" s="48">
        <v>100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3.9904156162332789E-2</v>
      </c>
      <c r="AF28" s="48">
        <v>99.487074267733803</v>
      </c>
      <c r="AG28" s="44">
        <v>20230427</v>
      </c>
      <c r="AH28" s="44">
        <v>20230727</v>
      </c>
      <c r="AI28" s="44">
        <v>20230727</v>
      </c>
      <c r="AJ28" s="46">
        <v>3.7841011685802318E-2</v>
      </c>
      <c r="AK28" s="48">
        <v>100</v>
      </c>
    </row>
    <row r="29" spans="1:37" x14ac:dyDescent="0.4">
      <c r="A29" s="22">
        <f t="shared" si="1"/>
        <v>29</v>
      </c>
      <c r="B29" s="75" t="str">
        <f>"기초금리정보"</f>
        <v>기초금리정보</v>
      </c>
      <c r="C29" s="76"/>
      <c r="D29" s="81" t="s">
        <v>35</v>
      </c>
      <c r="E29" s="81"/>
      <c r="F29" s="106">
        <v>3</v>
      </c>
      <c r="G29" s="107"/>
      <c r="H29" s="25"/>
      <c r="I29" s="24"/>
      <c r="J29" s="93" t="str">
        <f>IF(OR(F30 = 0, F30 = 2, F30 = 4), "RefType = "&amp;F30&amp;" 이므로 Ref Swap 금리정보 사용안함", "사용")</f>
        <v>사용</v>
      </c>
      <c r="K29" s="94"/>
      <c r="L29" s="94"/>
      <c r="M29" s="95"/>
      <c r="O29" s="83" t="s">
        <v>59</v>
      </c>
      <c r="P29" s="83"/>
      <c r="Q29" s="83"/>
      <c r="R29" s="83"/>
      <c r="AB29" s="43">
        <v>20230727</v>
      </c>
      <c r="AC29" s="44">
        <v>20231027</v>
      </c>
      <c r="AD29" s="44">
        <v>20231027</v>
      </c>
      <c r="AE29" s="46">
        <v>3.978421097944794E-2</v>
      </c>
      <c r="AF29" s="48">
        <v>100.27801123586877</v>
      </c>
      <c r="AG29" s="44">
        <v>20230727</v>
      </c>
      <c r="AH29" s="44">
        <v>20231027</v>
      </c>
      <c r="AI29" s="44">
        <v>20231027</v>
      </c>
      <c r="AJ29" s="46">
        <v>3.7880441104539204E-2</v>
      </c>
      <c r="AK29" s="48">
        <v>100</v>
      </c>
    </row>
    <row r="30" spans="1:37" x14ac:dyDescent="0.4">
      <c r="A30" s="22">
        <f t="shared" si="1"/>
        <v>30</v>
      </c>
      <c r="B30" s="77"/>
      <c r="C30" s="78"/>
      <c r="D30" s="81" t="s">
        <v>36</v>
      </c>
      <c r="E30" s="82"/>
      <c r="F30" s="108">
        <v>1</v>
      </c>
      <c r="G30" s="109"/>
      <c r="H30" s="93" t="str">
        <f xml:space="preserve"> "Swap 레퍼런스금리정보"</f>
        <v>Swap 레퍼런스금리정보</v>
      </c>
      <c r="I30" s="94"/>
      <c r="J30" s="97" t="str">
        <f>IF(OR(F30 = 0, F30 = 2, F30 = 4), "", "연 지급횟수")</f>
        <v>연 지급횟수</v>
      </c>
      <c r="K30" s="98"/>
      <c r="L30" s="99">
        <v>4</v>
      </c>
      <c r="M30" s="100"/>
      <c r="O30" s="83" t="s">
        <v>52</v>
      </c>
      <c r="P30" s="83"/>
      <c r="Q30" s="117">
        <v>4</v>
      </c>
      <c r="R30" s="107"/>
      <c r="AB30" s="43">
        <v>20231027</v>
      </c>
      <c r="AC30" s="44">
        <v>20240129</v>
      </c>
      <c r="AD30" s="44">
        <v>20240129</v>
      </c>
      <c r="AE30" s="46">
        <v>3.9508040407280773E-2</v>
      </c>
      <c r="AF30" s="48">
        <v>101.7467341995724</v>
      </c>
      <c r="AG30" s="44">
        <v>20231027</v>
      </c>
      <c r="AH30" s="44">
        <v>20240129</v>
      </c>
      <c r="AI30" s="44">
        <v>20240129</v>
      </c>
      <c r="AJ30" s="46">
        <v>3.7902326595896971E-2</v>
      </c>
      <c r="AK30" s="48">
        <v>100</v>
      </c>
    </row>
    <row r="31" spans="1:37" x14ac:dyDescent="0.4">
      <c r="A31" s="22">
        <f t="shared" si="1"/>
        <v>31</v>
      </c>
      <c r="B31" s="77"/>
      <c r="C31" s="78"/>
      <c r="D31" s="83" t="s">
        <v>37</v>
      </c>
      <c r="E31" s="83"/>
      <c r="F31" s="106">
        <v>0</v>
      </c>
      <c r="G31" s="107"/>
      <c r="H31" s="96"/>
      <c r="I31" s="97"/>
      <c r="J31" s="97" t="str">
        <f>IF(F31=0, "만기", "입력X, 아래만기2개입력")</f>
        <v>만기</v>
      </c>
      <c r="K31" s="98"/>
      <c r="L31" s="103">
        <v>10</v>
      </c>
      <c r="M31" s="104"/>
      <c r="O31" s="83" t="s">
        <v>54</v>
      </c>
      <c r="P31" s="83"/>
      <c r="Q31" s="117">
        <v>0</v>
      </c>
      <c r="R31" s="107"/>
      <c r="AB31" s="43">
        <v>20240129</v>
      </c>
      <c r="AC31" s="44">
        <v>20240429</v>
      </c>
      <c r="AD31" s="44">
        <v>20240429</v>
      </c>
      <c r="AE31" s="46">
        <v>3.9280972051566644E-2</v>
      </c>
      <c r="AF31" s="48">
        <v>97.933382375138748</v>
      </c>
      <c r="AG31" s="44">
        <v>20240129</v>
      </c>
      <c r="AH31" s="44">
        <v>20240429</v>
      </c>
      <c r="AI31" s="44">
        <v>20240429</v>
      </c>
      <c r="AJ31" s="46">
        <v>3.7908558265472458E-2</v>
      </c>
      <c r="AK31" s="48">
        <v>100</v>
      </c>
    </row>
    <row r="32" spans="1:37" x14ac:dyDescent="0.4">
      <c r="A32" s="22">
        <f t="shared" si="1"/>
        <v>32</v>
      </c>
      <c r="B32" s="77"/>
      <c r="C32" s="78"/>
      <c r="D32" s="83" t="s">
        <v>38</v>
      </c>
      <c r="E32" s="83"/>
      <c r="F32" s="110">
        <v>0.8</v>
      </c>
      <c r="G32" s="111"/>
      <c r="H32" s="101" t="str">
        <f>"ex) Deposit 3M -&gt; 연 지급횟수= 4, 만기= 0.25 ||  ex2) CMT 5Y 연 지급횟수=2, 만기 5"</f>
        <v>ex) Deposit 3M -&gt; 연 지급횟수= 4, 만기= 0.25 ||  ex2) CMT 5Y 연 지급횟수=2, 만기 5</v>
      </c>
      <c r="I32" s="101"/>
      <c r="J32" s="101"/>
      <c r="K32" s="101"/>
      <c r="L32" s="101"/>
      <c r="M32" s="102"/>
      <c r="O32" s="118" t="s">
        <v>55</v>
      </c>
      <c r="P32" s="119"/>
      <c r="Q32" s="117">
        <v>4</v>
      </c>
      <c r="R32" s="107"/>
      <c r="AB32" s="43">
        <v>20240429</v>
      </c>
      <c r="AC32" s="44">
        <v>20240729</v>
      </c>
      <c r="AD32" s="44">
        <v>20240729</v>
      </c>
      <c r="AE32" s="46">
        <v>3.8936026698976257E-2</v>
      </c>
      <c r="AF32" s="48">
        <v>97.073381633064088</v>
      </c>
      <c r="AG32" s="44">
        <v>20240429</v>
      </c>
      <c r="AH32" s="44">
        <v>20240729</v>
      </c>
      <c r="AI32" s="44">
        <v>20240729</v>
      </c>
      <c r="AJ32" s="46">
        <v>3.7905562721387218E-2</v>
      </c>
      <c r="AK32" s="48">
        <v>100</v>
      </c>
    </row>
    <row r="33" spans="1:37" x14ac:dyDescent="0.4">
      <c r="A33" s="22">
        <f t="shared" si="1"/>
        <v>33</v>
      </c>
      <c r="B33" s="77"/>
      <c r="C33" s="78"/>
      <c r="D33" s="83" t="s">
        <v>39</v>
      </c>
      <c r="E33" s="81"/>
      <c r="F33" s="112">
        <v>-0.8</v>
      </c>
      <c r="G33" s="113"/>
      <c r="H33" s="90" t="str">
        <f>IF(F31&gt;0,"PowerSpreadFlag 1일때 입력","입력필요X")</f>
        <v>입력필요X</v>
      </c>
      <c r="I33" s="90"/>
      <c r="J33" s="90" t="str">
        <f>IF(F31&gt;0,"만기1","")</f>
        <v/>
      </c>
      <c r="K33" s="90"/>
      <c r="L33" s="91">
        <v>10</v>
      </c>
      <c r="M33" s="92"/>
      <c r="AB33" s="43">
        <v>20240729</v>
      </c>
      <c r="AC33" s="44">
        <v>20241028</v>
      </c>
      <c r="AD33" s="44">
        <v>20241028</v>
      </c>
      <c r="AE33" s="46">
        <v>3.8942359873980537E-2</v>
      </c>
      <c r="AF33" s="48">
        <v>97.089171192663812</v>
      </c>
      <c r="AG33" s="44">
        <v>20240729</v>
      </c>
      <c r="AH33" s="44">
        <v>20241028</v>
      </c>
      <c r="AI33" s="44">
        <v>20241028</v>
      </c>
      <c r="AJ33" s="46">
        <v>3.7963526407622163E-2</v>
      </c>
      <c r="AK33" s="48">
        <v>100</v>
      </c>
    </row>
    <row r="34" spans="1:37" x14ac:dyDescent="0.4">
      <c r="A34" s="22">
        <f t="shared" si="1"/>
        <v>34</v>
      </c>
      <c r="B34" s="79"/>
      <c r="C34" s="80"/>
      <c r="D34" s="105" t="s">
        <v>40</v>
      </c>
      <c r="E34" s="105"/>
      <c r="F34" s="114">
        <v>0</v>
      </c>
      <c r="G34" s="115"/>
      <c r="H34" s="90"/>
      <c r="I34" s="90"/>
      <c r="J34" s="90" t="str">
        <f>IF(F31&gt;0,"만기2","")</f>
        <v/>
      </c>
      <c r="K34" s="90"/>
      <c r="L34" s="91">
        <v>5</v>
      </c>
      <c r="M34" s="92"/>
      <c r="AB34" s="43">
        <v>20241028</v>
      </c>
      <c r="AC34" s="44">
        <v>20250127</v>
      </c>
      <c r="AD34" s="44">
        <v>20250127</v>
      </c>
      <c r="AE34" s="46">
        <v>3.9003731513414755E-2</v>
      </c>
      <c r="AF34" s="48">
        <v>97.242179937554596</v>
      </c>
      <c r="AG34" s="44">
        <v>20241028</v>
      </c>
      <c r="AH34" s="44">
        <v>20250127</v>
      </c>
      <c r="AI34" s="44">
        <v>20250127</v>
      </c>
      <c r="AJ34" s="46">
        <v>3.8006074130112859E-2</v>
      </c>
      <c r="AK34" s="48">
        <v>100</v>
      </c>
    </row>
    <row r="35" spans="1:37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3.8934816274434542E-2</v>
      </c>
      <c r="AF35" s="48">
        <v>97.070363862288858</v>
      </c>
      <c r="AG35" s="44">
        <v>20250127</v>
      </c>
      <c r="AH35" s="44">
        <v>20250428</v>
      </c>
      <c r="AI35" s="44">
        <v>20250428</v>
      </c>
      <c r="AJ35" s="46">
        <v>3.8049420624020308E-2</v>
      </c>
      <c r="AK35" s="48">
        <v>100</v>
      </c>
    </row>
    <row r="36" spans="1:37" x14ac:dyDescent="0.4">
      <c r="A36" s="22">
        <f t="shared" si="1"/>
        <v>36</v>
      </c>
      <c r="B36" s="116" t="s">
        <v>41</v>
      </c>
      <c r="C36" s="116"/>
      <c r="D36" s="83" t="s">
        <v>42</v>
      </c>
      <c r="E36" s="83"/>
      <c r="F36" s="110">
        <v>0.04</v>
      </c>
      <c r="G36" s="111"/>
      <c r="H36" s="148" t="s">
        <v>85</v>
      </c>
      <c r="I36" s="147"/>
      <c r="J36" s="149" t="str">
        <f>IF(F31&gt;0, F33&amp;" &lt; "&amp;F30&amp;" x Rate("&amp;L33&amp;"Y-"&amp;L34&amp;"Y) &lt; "&amp;F32,F33&amp;" &lt; "&amp;F30&amp;" x Rate("&amp;L31&amp;"Y) &lt; "&amp;F32)</f>
        <v>-0.8 &lt; 1 x Rate(10Y) &lt; 0.8</v>
      </c>
      <c r="K36" s="149"/>
      <c r="L36" s="149"/>
      <c r="M36" s="149"/>
      <c r="AB36" s="43">
        <v>20250428</v>
      </c>
      <c r="AC36" s="44">
        <v>20250728</v>
      </c>
      <c r="AD36" s="44">
        <v>20250728</v>
      </c>
      <c r="AE36" s="46">
        <v>3.8872863072125299E-2</v>
      </c>
      <c r="AF36" s="48">
        <v>96.915905193517872</v>
      </c>
      <c r="AG36" s="44">
        <v>20250428</v>
      </c>
      <c r="AH36" s="44">
        <v>20250728</v>
      </c>
      <c r="AI36" s="44">
        <v>20250728</v>
      </c>
      <c r="AJ36" s="46">
        <v>3.8102785921078054E-2</v>
      </c>
      <c r="AK36" s="48">
        <v>100</v>
      </c>
    </row>
    <row r="37" spans="1:37" x14ac:dyDescent="0.4">
      <c r="A37" s="22">
        <f t="shared" si="1"/>
        <v>37</v>
      </c>
      <c r="B37" s="116"/>
      <c r="C37" s="116"/>
      <c r="D37" s="83" t="s">
        <v>44</v>
      </c>
      <c r="E37" s="83"/>
      <c r="F37" s="110">
        <v>0</v>
      </c>
      <c r="G37" s="111"/>
      <c r="H37" s="148" t="s">
        <v>82</v>
      </c>
      <c r="I37" s="147"/>
      <c r="J37" s="14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+ 0.04(고정) + 0(Range충족시)</v>
      </c>
      <c r="K37" s="149"/>
      <c r="L37" s="149"/>
      <c r="M37" s="149"/>
      <c r="AB37" s="43">
        <v>20250728</v>
      </c>
      <c r="AC37" s="44">
        <v>20251027</v>
      </c>
      <c r="AD37" s="44">
        <v>20251027</v>
      </c>
      <c r="AE37" s="46">
        <v>3.9043939128188362E-2</v>
      </c>
      <c r="AF37" s="48">
        <v>97.342423579866875</v>
      </c>
      <c r="AG37" s="44">
        <v>20250728</v>
      </c>
      <c r="AH37" s="44">
        <v>20251027</v>
      </c>
      <c r="AI37" s="44">
        <v>20251027</v>
      </c>
      <c r="AJ37" s="46">
        <v>3.8154961848425609E-2</v>
      </c>
      <c r="AK37" s="48">
        <v>75</v>
      </c>
    </row>
    <row r="38" spans="1:37" x14ac:dyDescent="0.4">
      <c r="A38" s="22">
        <f t="shared" si="1"/>
        <v>38</v>
      </c>
      <c r="B38" s="116"/>
      <c r="C38" s="116"/>
      <c r="D38" s="83" t="s">
        <v>45</v>
      </c>
      <c r="E38" s="83"/>
      <c r="F38" s="106">
        <v>0</v>
      </c>
      <c r="G38" s="107"/>
      <c r="H38" s="148"/>
      <c r="I38" s="147"/>
      <c r="J38" s="149"/>
      <c r="K38" s="149"/>
      <c r="L38" s="149"/>
      <c r="M38" s="149"/>
      <c r="AB38" s="43">
        <v>20251027</v>
      </c>
      <c r="AC38" s="44">
        <v>20260127</v>
      </c>
      <c r="AD38" s="44">
        <v>20260127</v>
      </c>
      <c r="AE38" s="46">
        <v>3.9291019455205571E-2</v>
      </c>
      <c r="AF38" s="48">
        <v>99.034898352846923</v>
      </c>
      <c r="AG38" s="44">
        <v>20251027</v>
      </c>
      <c r="AH38" s="44">
        <v>20260127</v>
      </c>
      <c r="AI38" s="44">
        <v>20260127</v>
      </c>
      <c r="AJ38" s="46">
        <v>3.8191117654769659E-2</v>
      </c>
      <c r="AK38" s="48">
        <v>75</v>
      </c>
    </row>
    <row r="39" spans="1:37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3.9301827427917838E-2</v>
      </c>
      <c r="AF39" s="48">
        <v>96.908615575687818</v>
      </c>
      <c r="AG39" s="44">
        <v>20260127</v>
      </c>
      <c r="AH39" s="44">
        <v>20260427</v>
      </c>
      <c r="AI39" s="44">
        <v>20260427</v>
      </c>
      <c r="AJ39" s="46">
        <v>3.8206433563265765E-2</v>
      </c>
      <c r="AK39" s="48">
        <v>75</v>
      </c>
    </row>
    <row r="40" spans="1:37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3.9318896972075371E-2</v>
      </c>
      <c r="AF40" s="48">
        <v>98.027934916681062</v>
      </c>
      <c r="AG40" s="44">
        <v>20260427</v>
      </c>
      <c r="AH40" s="44">
        <v>20260727</v>
      </c>
      <c r="AI40" s="44">
        <v>20260727</v>
      </c>
      <c r="AJ40" s="46">
        <v>3.824244298940125E-2</v>
      </c>
      <c r="AK40" s="48">
        <v>75</v>
      </c>
    </row>
    <row r="41" spans="1:37" x14ac:dyDescent="0.4">
      <c r="A41" s="22">
        <f t="shared" si="1"/>
        <v>41</v>
      </c>
      <c r="B41" s="116" t="s">
        <v>46</v>
      </c>
      <c r="C41" s="116"/>
      <c r="D41" s="83" t="s">
        <v>42</v>
      </c>
      <c r="E41" s="83"/>
      <c r="F41" s="110">
        <v>0.03</v>
      </c>
      <c r="G41" s="111"/>
      <c r="H41" s="148" t="s">
        <v>83</v>
      </c>
      <c r="I41" s="147"/>
      <c r="J41" s="14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+ 0.03(고정) + 0(Range충족시)</v>
      </c>
      <c r="K41" s="149"/>
      <c r="L41" s="149"/>
      <c r="M41" s="149"/>
      <c r="AB41" s="43">
        <v>20260727</v>
      </c>
      <c r="AC41" s="44">
        <v>20261027</v>
      </c>
      <c r="AD41" s="44">
        <v>20261027</v>
      </c>
      <c r="AE41" s="46">
        <v>3.9284922672681848E-2</v>
      </c>
      <c r="AF41" s="48">
        <v>99.019531120184396</v>
      </c>
      <c r="AG41" s="44">
        <v>20260727</v>
      </c>
      <c r="AH41" s="44">
        <v>20261027</v>
      </c>
      <c r="AI41" s="44">
        <v>20261027</v>
      </c>
      <c r="AJ41" s="46">
        <v>3.8267355702868384E-2</v>
      </c>
      <c r="AK41" s="48">
        <v>75</v>
      </c>
    </row>
    <row r="42" spans="1:37" x14ac:dyDescent="0.4">
      <c r="A42" s="22">
        <f t="shared" si="1"/>
        <v>42</v>
      </c>
      <c r="B42" s="116"/>
      <c r="C42" s="116"/>
      <c r="D42" s="83" t="s">
        <v>44</v>
      </c>
      <c r="E42" s="83"/>
      <c r="F42" s="110">
        <v>0</v>
      </c>
      <c r="G42" s="111"/>
      <c r="H42" s="148"/>
      <c r="I42" s="147"/>
      <c r="J42" s="149"/>
      <c r="K42" s="149"/>
      <c r="L42" s="149"/>
      <c r="M42" s="149"/>
      <c r="AB42" s="43">
        <v>20261027</v>
      </c>
      <c r="AC42" s="44">
        <v>20270127</v>
      </c>
      <c r="AD42" s="44">
        <v>20270127</v>
      </c>
      <c r="AE42" s="46">
        <v>3.9226281715140095E-2</v>
      </c>
      <c r="AF42" s="48">
        <v>98.871723775147643</v>
      </c>
      <c r="AG42" s="44">
        <v>20261027</v>
      </c>
      <c r="AH42" s="44">
        <v>20270127</v>
      </c>
      <c r="AI42" s="44">
        <v>20270127</v>
      </c>
      <c r="AJ42" s="46">
        <v>3.8279508187899602E-2</v>
      </c>
      <c r="AK42" s="48">
        <v>75</v>
      </c>
    </row>
    <row r="43" spans="1:37" x14ac:dyDescent="0.4">
      <c r="A43" s="22">
        <f t="shared" si="1"/>
        <v>43</v>
      </c>
      <c r="B43" s="116"/>
      <c r="C43" s="116"/>
      <c r="D43" s="83" t="s">
        <v>45</v>
      </c>
      <c r="E43" s="83"/>
      <c r="F43" s="106">
        <v>0</v>
      </c>
      <c r="G43" s="107"/>
      <c r="AB43" s="43">
        <v>20270127</v>
      </c>
      <c r="AC43" s="44">
        <v>20270427</v>
      </c>
      <c r="AD43" s="44">
        <v>20270427</v>
      </c>
      <c r="AE43" s="46">
        <v>3.9223227079929555E-2</v>
      </c>
      <c r="AF43" s="48">
        <v>96.71480649845644</v>
      </c>
      <c r="AG43" s="44">
        <v>20270127</v>
      </c>
      <c r="AH43" s="44">
        <v>20270427</v>
      </c>
      <c r="AI43" s="44">
        <v>20270427</v>
      </c>
      <c r="AJ43" s="46">
        <v>3.8296992777761621E-2</v>
      </c>
      <c r="AK43" s="48">
        <v>75</v>
      </c>
    </row>
    <row r="44" spans="1:37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3.9226488635927932E-2</v>
      </c>
      <c r="AF44" s="48">
        <v>97.797547010121704</v>
      </c>
      <c r="AG44" s="44">
        <v>20270427</v>
      </c>
      <c r="AH44" s="44">
        <v>20270727</v>
      </c>
      <c r="AI44" s="44">
        <v>20270727</v>
      </c>
      <c r="AJ44" s="46">
        <v>3.8321787570628943E-2</v>
      </c>
      <c r="AK44" s="48">
        <v>75</v>
      </c>
    </row>
    <row r="45" spans="1:37" ht="17.399999999999999" customHeight="1" x14ac:dyDescent="0.4">
      <c r="A45" s="22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3">
        <v>20270727</v>
      </c>
      <c r="AC45" s="44">
        <v>20271027</v>
      </c>
      <c r="AD45" s="44">
        <v>20271027</v>
      </c>
      <c r="AE45" s="46">
        <v>3.935708895502301E-2</v>
      </c>
      <c r="AF45" s="48">
        <v>99.201429694852521</v>
      </c>
      <c r="AG45" s="44">
        <v>20270727</v>
      </c>
      <c r="AH45" s="44">
        <v>20271027</v>
      </c>
      <c r="AI45" s="44">
        <v>20271027</v>
      </c>
      <c r="AJ45" s="46">
        <v>3.8342673622151761E-2</v>
      </c>
      <c r="AK45" s="48">
        <v>75</v>
      </c>
    </row>
    <row r="46" spans="1:37" ht="17.399999999999999" customHeight="1" x14ac:dyDescent="0.4">
      <c r="A46" s="22">
        <f t="shared" si="1"/>
        <v>46</v>
      </c>
      <c r="B46" s="138"/>
      <c r="C46" s="139"/>
      <c r="D46" s="139"/>
      <c r="E46" s="139"/>
      <c r="F46" s="139"/>
      <c r="G46" s="140"/>
      <c r="AB46" s="43">
        <v>20271027</v>
      </c>
      <c r="AC46" s="44">
        <v>20280131</v>
      </c>
      <c r="AD46" s="44">
        <v>20280131</v>
      </c>
      <c r="AE46" s="46">
        <v>3.9538991508744827E-2</v>
      </c>
      <c r="AF46" s="48">
        <v>103.99296396820556</v>
      </c>
      <c r="AG46" s="44">
        <v>20271027</v>
      </c>
      <c r="AH46" s="44">
        <v>20280131</v>
      </c>
      <c r="AI46" s="44">
        <v>20280131</v>
      </c>
      <c r="AJ46" s="46">
        <v>3.8310511185375269E-2</v>
      </c>
      <c r="AK46" s="48">
        <v>75</v>
      </c>
    </row>
    <row r="47" spans="1:37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3.9550426141176008E-2</v>
      </c>
      <c r="AF47" s="48">
        <v>94.270878747460628</v>
      </c>
      <c r="AG47" s="44">
        <v>20280131</v>
      </c>
      <c r="AH47" s="44">
        <v>20280427</v>
      </c>
      <c r="AI47" s="44">
        <v>20280427</v>
      </c>
      <c r="AJ47" s="46">
        <v>3.819423539222578E-2</v>
      </c>
      <c r="AK47" s="48">
        <v>75</v>
      </c>
    </row>
    <row r="48" spans="1:37" x14ac:dyDescent="0.4">
      <c r="A48" s="22">
        <f t="shared" si="1"/>
        <v>48</v>
      </c>
      <c r="B48" s="28">
        <v>45865</v>
      </c>
      <c r="C48" s="28">
        <v>45865</v>
      </c>
      <c r="D48" s="33">
        <v>0</v>
      </c>
      <c r="E48" s="33">
        <f>COUNT(B48:B1048576)</f>
        <v>1</v>
      </c>
      <c r="AB48" s="43">
        <v>20280427</v>
      </c>
      <c r="AC48" s="44">
        <v>20280727</v>
      </c>
      <c r="AD48" s="44">
        <v>20280727</v>
      </c>
      <c r="AE48" s="46">
        <v>3.958434546450227E-2</v>
      </c>
      <c r="AF48" s="48">
        <v>98.689738007389224</v>
      </c>
      <c r="AG48" s="44">
        <v>20280427</v>
      </c>
      <c r="AH48" s="44">
        <v>20280727</v>
      </c>
      <c r="AI48" s="44">
        <v>20280727</v>
      </c>
      <c r="AJ48" s="46">
        <v>3.8112934822588845E-2</v>
      </c>
      <c r="AK48" s="48">
        <v>75</v>
      </c>
    </row>
    <row r="49" spans="1:37" x14ac:dyDescent="0.4">
      <c r="A49" s="22">
        <f t="shared" si="1"/>
        <v>49</v>
      </c>
      <c r="AB49" s="43">
        <v>20280727</v>
      </c>
      <c r="AC49" s="44">
        <v>20281027</v>
      </c>
      <c r="AD49" s="44">
        <v>20281027</v>
      </c>
      <c r="AE49" s="46">
        <v>3.9614915533315392E-2</v>
      </c>
      <c r="AF49" s="48">
        <v>99.851293946986758</v>
      </c>
      <c r="AG49" s="44">
        <v>20280727</v>
      </c>
      <c r="AH49" s="44">
        <v>20281027</v>
      </c>
      <c r="AI49" s="44">
        <v>20281027</v>
      </c>
      <c r="AJ49" s="46">
        <v>3.8012003341140285E-2</v>
      </c>
      <c r="AK49" s="48">
        <v>75</v>
      </c>
    </row>
    <row r="50" spans="1:37" x14ac:dyDescent="0.4">
      <c r="A50" s="22">
        <f t="shared" si="1"/>
        <v>50</v>
      </c>
      <c r="AB50" s="43">
        <v>20281027</v>
      </c>
      <c r="AC50" s="44">
        <v>20290129</v>
      </c>
      <c r="AD50" s="44">
        <v>20290129</v>
      </c>
      <c r="AE50" s="46">
        <v>3.9648112091607381E-2</v>
      </c>
      <c r="AF50" s="48">
        <v>102.10746675646831</v>
      </c>
      <c r="AG50" s="44">
        <v>20281027</v>
      </c>
      <c r="AH50" s="44">
        <v>20290129</v>
      </c>
      <c r="AI50" s="44">
        <v>20290129</v>
      </c>
      <c r="AJ50" s="46">
        <v>3.7900629367374733E-2</v>
      </c>
      <c r="AK50" s="48">
        <v>75</v>
      </c>
    </row>
    <row r="51" spans="1:37" x14ac:dyDescent="0.4">
      <c r="A51" s="22">
        <f t="shared" si="1"/>
        <v>51</v>
      </c>
      <c r="AB51" s="43">
        <v>20290129</v>
      </c>
      <c r="AC51" s="44">
        <v>20290427</v>
      </c>
      <c r="AD51" s="44">
        <v>20290427</v>
      </c>
      <c r="AE51" s="46">
        <v>3.9670381736591064E-2</v>
      </c>
      <c r="AF51" s="48">
        <v>95.643660077260662</v>
      </c>
      <c r="AG51" s="44">
        <v>20290129</v>
      </c>
      <c r="AH51" s="44">
        <v>20290427</v>
      </c>
      <c r="AI51" s="44">
        <v>20290427</v>
      </c>
      <c r="AJ51" s="46">
        <v>3.7791931959298627E-2</v>
      </c>
      <c r="AK51" s="48">
        <v>75</v>
      </c>
    </row>
    <row r="52" spans="1:37" x14ac:dyDescent="0.4">
      <c r="A52" s="22">
        <f t="shared" si="1"/>
        <v>52</v>
      </c>
      <c r="AB52" s="43">
        <v>20290427</v>
      </c>
      <c r="AC52" s="44">
        <v>20290727</v>
      </c>
      <c r="AD52" s="44">
        <v>20290727</v>
      </c>
      <c r="AE52" s="46">
        <v>3.9697714941992202E-2</v>
      </c>
      <c r="AF52" s="48">
        <v>98.972385197843565</v>
      </c>
      <c r="AG52" s="44">
        <v>20290427</v>
      </c>
      <c r="AH52" s="44">
        <v>20290727</v>
      </c>
      <c r="AI52" s="44">
        <v>20290727</v>
      </c>
      <c r="AJ52" s="46">
        <v>3.7671703639355202E-2</v>
      </c>
      <c r="AK52" s="48">
        <v>75</v>
      </c>
    </row>
    <row r="53" spans="1:37" x14ac:dyDescent="0.4">
      <c r="A53" s="22">
        <f t="shared" si="1"/>
        <v>53</v>
      </c>
      <c r="AB53" s="43">
        <v>20290727</v>
      </c>
      <c r="AC53" s="44">
        <v>20291029</v>
      </c>
      <c r="AD53" s="44">
        <v>20291029</v>
      </c>
      <c r="AE53" s="46">
        <v>3.9832480183468202E-2</v>
      </c>
      <c r="AF53" s="48">
        <v>102.58227773276742</v>
      </c>
      <c r="AG53" s="44">
        <v>20290727</v>
      </c>
      <c r="AH53" s="44">
        <v>20291029</v>
      </c>
      <c r="AI53" s="44">
        <v>20291029</v>
      </c>
      <c r="AJ53" s="46">
        <v>3.7549290276429281E-2</v>
      </c>
      <c r="AK53" s="48">
        <v>75</v>
      </c>
    </row>
    <row r="54" spans="1:37" x14ac:dyDescent="0.4">
      <c r="A54" s="22">
        <f t="shared" si="1"/>
        <v>54</v>
      </c>
      <c r="AB54" s="43">
        <v>20291029</v>
      </c>
      <c r="AC54" s="44">
        <v>20300128</v>
      </c>
      <c r="AD54" s="44">
        <v>20300128</v>
      </c>
      <c r="AE54" s="46">
        <v>3.9976331130072762E-2</v>
      </c>
      <c r="AF54" s="48">
        <v>99.66701733798962</v>
      </c>
      <c r="AG54" s="44">
        <v>20291029</v>
      </c>
      <c r="AH54" s="44">
        <v>20300128</v>
      </c>
      <c r="AI54" s="44">
        <v>20300128</v>
      </c>
      <c r="AJ54" s="46">
        <v>3.7420673027822079E-2</v>
      </c>
      <c r="AK54" s="48">
        <v>75</v>
      </c>
    </row>
    <row r="55" spans="1:37" x14ac:dyDescent="0.4">
      <c r="A55" s="22">
        <f t="shared" si="1"/>
        <v>55</v>
      </c>
      <c r="AB55" s="43">
        <v>20300128</v>
      </c>
      <c r="AC55" s="44">
        <v>20300429</v>
      </c>
      <c r="AD55" s="44">
        <v>20300429</v>
      </c>
      <c r="AE55" s="46">
        <v>4.0016697539659023E-2</v>
      </c>
      <c r="AF55" s="48">
        <v>99.767656879697839</v>
      </c>
      <c r="AG55" s="44">
        <v>20300128</v>
      </c>
      <c r="AH55" s="44">
        <v>20300429</v>
      </c>
      <c r="AI55" s="44">
        <v>20300429</v>
      </c>
      <c r="AJ55" s="46">
        <v>3.72766467348878E-2</v>
      </c>
      <c r="AK55" s="48">
        <v>75</v>
      </c>
    </row>
    <row r="56" spans="1:37" x14ac:dyDescent="0.4">
      <c r="A56" s="22">
        <f t="shared" si="1"/>
        <v>56</v>
      </c>
      <c r="AB56" s="43">
        <v>20300429</v>
      </c>
      <c r="AC56" s="44">
        <v>20300729</v>
      </c>
      <c r="AD56" s="44">
        <v>20300729</v>
      </c>
      <c r="AE56" s="46">
        <v>4.0059489070026717E-2</v>
      </c>
      <c r="AF56" s="48">
        <v>99.874342612943309</v>
      </c>
      <c r="AG56" s="44">
        <v>20300429</v>
      </c>
      <c r="AH56" s="44">
        <v>20300729</v>
      </c>
      <c r="AI56" s="44">
        <v>20300729</v>
      </c>
      <c r="AJ56" s="46">
        <v>3.7133985068388456E-2</v>
      </c>
      <c r="AK56" s="48">
        <v>75</v>
      </c>
    </row>
    <row r="57" spans="1:37" x14ac:dyDescent="0.4">
      <c r="A57" s="22">
        <f t="shared" si="1"/>
        <v>57</v>
      </c>
    </row>
    <row r="58" spans="1:37" x14ac:dyDescent="0.4">
      <c r="A58" s="22">
        <f t="shared" si="1"/>
        <v>58</v>
      </c>
    </row>
    <row r="59" spans="1:37" x14ac:dyDescent="0.4">
      <c r="A59" s="22">
        <f t="shared" si="1"/>
        <v>59</v>
      </c>
    </row>
    <row r="60" spans="1:37" x14ac:dyDescent="0.4">
      <c r="A60" s="22">
        <f t="shared" si="1"/>
        <v>60</v>
      </c>
    </row>
    <row r="61" spans="1:37" x14ac:dyDescent="0.4">
      <c r="A61" s="22">
        <f t="shared" si="1"/>
        <v>61</v>
      </c>
    </row>
  </sheetData>
  <mergeCells count="142">
    <mergeCell ref="H16:I16"/>
    <mergeCell ref="H36:I36"/>
    <mergeCell ref="H17:I18"/>
    <mergeCell ref="J17:M18"/>
    <mergeCell ref="H21:I22"/>
    <mergeCell ref="J21:M22"/>
    <mergeCell ref="H37:I38"/>
    <mergeCell ref="J37:M38"/>
    <mergeCell ref="H41:I42"/>
    <mergeCell ref="J41:M42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J36:M36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29:C34"/>
    <mergeCell ref="D29:E29"/>
    <mergeCell ref="F29:G29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34:K34"/>
    <mergeCell ref="F31:G31"/>
    <mergeCell ref="J31:K31"/>
    <mergeCell ref="L31:M31"/>
    <mergeCell ref="D32:E32"/>
    <mergeCell ref="F32:G32"/>
    <mergeCell ref="H32:M32"/>
    <mergeCell ref="B25:M26"/>
    <mergeCell ref="B27:C27"/>
    <mergeCell ref="D27:E27"/>
    <mergeCell ref="F27:G27"/>
    <mergeCell ref="H27:I27"/>
    <mergeCell ref="B21:C23"/>
    <mergeCell ref="D18:E18"/>
    <mergeCell ref="F18:G18"/>
    <mergeCell ref="B16:C18"/>
    <mergeCell ref="D21:E21"/>
    <mergeCell ref="F21:G21"/>
    <mergeCell ref="D23:E23"/>
    <mergeCell ref="F23:G23"/>
    <mergeCell ref="F16:G16"/>
    <mergeCell ref="D17:E17"/>
    <mergeCell ref="F17:G17"/>
    <mergeCell ref="J16:M16"/>
    <mergeCell ref="D22:E22"/>
    <mergeCell ref="F22:G22"/>
    <mergeCell ref="D16:E16"/>
    <mergeCell ref="J11:K11"/>
    <mergeCell ref="L11:M11"/>
    <mergeCell ref="D13:E13"/>
    <mergeCell ref="D14:E14"/>
    <mergeCell ref="F9:G9"/>
    <mergeCell ref="F10:G10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14:K14"/>
    <mergeCell ref="L14:M14"/>
    <mergeCell ref="J9:M9"/>
    <mergeCell ref="H10:I11"/>
    <mergeCell ref="J10:K10"/>
    <mergeCell ref="L10:M10"/>
    <mergeCell ref="H12:M12"/>
    <mergeCell ref="H13:I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2024-09-05T13:49:21Z</dcterms:modified>
</cp:coreProperties>
</file>