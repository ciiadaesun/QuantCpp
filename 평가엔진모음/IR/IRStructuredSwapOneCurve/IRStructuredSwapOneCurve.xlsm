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2" l="1"/>
  <c r="J37" i="2"/>
  <c r="J21" i="2"/>
  <c r="J17" i="2"/>
  <c r="J36" i="2"/>
  <c r="J16" i="2"/>
  <c r="E48" i="2" l="1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<sst xmlns="http://schemas.openxmlformats.org/spreadsheetml/2006/main" count="120" uniqueCount="86">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</sst>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00_-;\-* #,##0.00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14" fillId="4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177" fontId="8" fillId="11" borderId="0" xfId="0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H25" sqref="H25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</row>
    <row r="5" spans="1:41" x14ac:dyDescent="0.4">
      <c r="A5" s="1">
        <f>A4+1</f>
        <v>5</v>
      </c>
      <c r="B5" s="51" t="s">
        <v>29</v>
      </c>
      <c r="C5" s="51"/>
      <c r="D5" s="67">
        <v>44815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75</v>
      </c>
      <c r="M6" s="64"/>
      <c r="N6" s="64"/>
      <c r="O6" s="68" t="s">
        <v>76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10">
        <v>0.25</v>
      </c>
      <c r="I11" s="11">
        <v>9.6154639886528535E-3</v>
      </c>
      <c r="J11" s="12"/>
      <c r="L11" s="13">
        <v>1</v>
      </c>
      <c r="M11" s="49">
        <v>44818</v>
      </c>
      <c r="N11" s="14">
        <v>3.5114930000000002</v>
      </c>
      <c r="O11" s="49">
        <v>44818</v>
      </c>
      <c r="P11" s="14">
        <v>3.5114930000000002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10">
        <v>0.5</v>
      </c>
      <c r="I12" s="11">
        <v>1.1162364581838124E-2</v>
      </c>
      <c r="J12" s="12"/>
      <c r="L12" s="13">
        <f>L11+1</f>
        <v>2</v>
      </c>
      <c r="M12" s="49">
        <v>44819</v>
      </c>
      <c r="N12" s="14">
        <v>3.5124149999999998</v>
      </c>
      <c r="O12" s="49">
        <v>44819</v>
      </c>
      <c r="P12" s="14">
        <v>3.5124149999999998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55" t="s">
        <v>23</v>
      </c>
      <c r="E13" s="55"/>
      <c r="G13" s="59"/>
      <c r="H13" s="10">
        <v>0.75</v>
      </c>
      <c r="I13" s="11">
        <v>1.1729751309235568E-2</v>
      </c>
      <c r="J13" s="12"/>
      <c r="L13" s="13">
        <f t="shared" ref="L13:L53" si="2">L12+1</f>
        <v>3</v>
      </c>
      <c r="M13" s="49">
        <v>44910</v>
      </c>
      <c r="N13" s="14">
        <v>3.7925620000000002</v>
      </c>
      <c r="O13" s="49">
        <v>44910</v>
      </c>
      <c r="P13" s="14">
        <v>3.7925620000000002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55"/>
      <c r="E14" s="55"/>
      <c r="G14" s="59"/>
      <c r="H14" s="10">
        <v>1</v>
      </c>
      <c r="I14" s="11">
        <v>1.2738326744606043E-2</v>
      </c>
      <c r="J14" s="12"/>
      <c r="L14" s="13">
        <f t="shared" si="2"/>
        <v>4</v>
      </c>
      <c r="M14" s="49">
        <v>45001</v>
      </c>
      <c r="N14" s="14">
        <v>3.8730349999999998</v>
      </c>
      <c r="O14" s="49">
        <v>45001</v>
      </c>
      <c r="P14" s="14">
        <v>3.8730349999999998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55"/>
      <c r="E15" s="55"/>
      <c r="G15" s="59"/>
      <c r="H15" s="10">
        <v>2</v>
      </c>
      <c r="I15" s="11">
        <v>8.8252457576316525E-3</v>
      </c>
      <c r="J15" s="12"/>
      <c r="L15" s="13">
        <f t="shared" si="2"/>
        <v>5</v>
      </c>
      <c r="M15" s="49">
        <v>45092</v>
      </c>
      <c r="N15" s="14">
        <v>3.9020980000000001</v>
      </c>
      <c r="O15" s="49">
        <v>45092</v>
      </c>
      <c r="P15" s="14">
        <v>3.9020980000000001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59"/>
      <c r="H16" s="10">
        <v>3</v>
      </c>
      <c r="I16" s="11">
        <v>1.0273480057599883E-2</v>
      </c>
      <c r="J16" s="12"/>
      <c r="L16" s="13">
        <f t="shared" si="2"/>
        <v>6</v>
      </c>
      <c r="M16" s="49">
        <v>45184</v>
      </c>
      <c r="N16" s="14">
        <v>3.9204439999999998</v>
      </c>
      <c r="O16" s="49">
        <v>45184</v>
      </c>
      <c r="P16" s="14">
        <v>3.9204439999999998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10">
        <v>5</v>
      </c>
      <c r="I17" s="11">
        <v>1.1472470786756934E-2</v>
      </c>
      <c r="J17" s="12"/>
      <c r="L17" s="13">
        <f t="shared" si="2"/>
        <v>7</v>
      </c>
      <c r="M17" s="49">
        <v>45366</v>
      </c>
      <c r="N17" s="14">
        <v>3.9238849999999998</v>
      </c>
      <c r="O17" s="49">
        <v>45366</v>
      </c>
      <c r="P17" s="14">
        <v>3.9238849999999998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10"/>
      <c r="I18" s="11"/>
      <c r="J18" s="12"/>
      <c r="L18" s="13">
        <f t="shared" si="2"/>
        <v>8</v>
      </c>
      <c r="M18" s="49">
        <v>45549</v>
      </c>
      <c r="N18" s="14">
        <v>3.9116110000000002</v>
      </c>
      <c r="O18" s="49">
        <v>45549</v>
      </c>
      <c r="P18" s="14">
        <v>3.9116110000000002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59"/>
      <c r="H19" s="10"/>
      <c r="I19" s="11"/>
      <c r="J19" s="12"/>
      <c r="L19" s="13">
        <f t="shared" si="2"/>
        <v>9</v>
      </c>
      <c r="M19" s="49">
        <v>45914</v>
      </c>
      <c r="N19" s="14">
        <v>3.899302</v>
      </c>
      <c r="O19" s="49">
        <v>45914</v>
      </c>
      <c r="P19" s="14">
        <v>3.899302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59"/>
      <c r="H20" s="10"/>
      <c r="I20" s="11"/>
      <c r="J20" s="12"/>
      <c r="L20" s="13">
        <f t="shared" si="2"/>
        <v>10</v>
      </c>
      <c r="M20" s="49">
        <v>46281</v>
      </c>
      <c r="N20" s="14">
        <v>3.9023029999999999</v>
      </c>
      <c r="O20" s="49">
        <v>46281</v>
      </c>
      <c r="P20" s="14">
        <v>3.9023029999999999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59"/>
      <c r="H21" s="10"/>
      <c r="I21" s="11"/>
      <c r="J21" s="12"/>
      <c r="L21" s="13">
        <f t="shared" si="2"/>
        <v>11</v>
      </c>
      <c r="M21" s="49">
        <v>46645</v>
      </c>
      <c r="N21" s="14">
        <v>3.9025310000000002</v>
      </c>
      <c r="O21" s="49">
        <v>46645</v>
      </c>
      <c r="P21" s="14">
        <v>3.9025310000000002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59"/>
      <c r="H22" s="10"/>
      <c r="I22" s="11"/>
      <c r="J22" s="12"/>
      <c r="L22" s="13">
        <f t="shared" si="2"/>
        <v>12</v>
      </c>
      <c r="M22" s="49">
        <v>47010</v>
      </c>
      <c r="N22" s="14">
        <v>3.9081440000000001</v>
      </c>
      <c r="O22" s="49">
        <v>47010</v>
      </c>
      <c r="P22" s="14">
        <v>3.9081440000000001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10"/>
      <c r="I23" s="11"/>
      <c r="J23" s="12"/>
      <c r="L23" s="13">
        <f t="shared" si="2"/>
        <v>13</v>
      </c>
      <c r="M23" s="49">
        <v>47375</v>
      </c>
      <c r="N23" s="14">
        <v>3.9137569999999999</v>
      </c>
      <c r="O23" s="49">
        <v>47375</v>
      </c>
      <c r="P23" s="14">
        <v>3.9137569999999999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10"/>
      <c r="I24" s="11"/>
      <c r="J24" s="12"/>
      <c r="L24" s="13">
        <f t="shared" si="2"/>
        <v>14</v>
      </c>
      <c r="M24" s="49">
        <v>47740</v>
      </c>
      <c r="N24" s="14">
        <v>3.9222540000000001</v>
      </c>
      <c r="O24" s="49">
        <v>47740</v>
      </c>
      <c r="P24" s="14">
        <v>3.9222540000000001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10"/>
      <c r="I25" s="11"/>
      <c r="J25" s="12"/>
      <c r="L25" s="13">
        <f t="shared" si="2"/>
        <v>15</v>
      </c>
      <c r="M25" s="49">
        <v>48108</v>
      </c>
      <c r="N25" s="14">
        <v>3.9337179999999998</v>
      </c>
      <c r="O25" s="49">
        <v>48108</v>
      </c>
      <c r="P25" s="14">
        <v>3.9337179999999998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10"/>
      <c r="I26" s="11"/>
      <c r="J26" s="12"/>
      <c r="L26" s="13">
        <f t="shared" si="2"/>
        <v>16</v>
      </c>
      <c r="M26" s="49">
        <v>48472</v>
      </c>
      <c r="N26" s="14">
        <v>3.9453279999999999</v>
      </c>
      <c r="O26" s="49">
        <v>48472</v>
      </c>
      <c r="P26" s="14">
        <v>3.9453279999999999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59"/>
      <c r="H27" s="10"/>
      <c r="I27" s="11"/>
      <c r="J27" s="12"/>
      <c r="L27" s="13">
        <f t="shared" si="2"/>
        <v>17</v>
      </c>
      <c r="M27" s="49">
        <v>49201</v>
      </c>
      <c r="N27" s="14">
        <v>3.9689730000000001</v>
      </c>
      <c r="O27" s="49">
        <v>49201</v>
      </c>
      <c r="P27" s="14">
        <v>3.9689730000000001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59"/>
      <c r="H28" s="10"/>
      <c r="I28" s="11"/>
      <c r="J28" s="12"/>
      <c r="L28" s="13">
        <f t="shared" si="2"/>
        <v>18</v>
      </c>
      <c r="M28" s="49">
        <v>50299</v>
      </c>
      <c r="N28" s="14">
        <v>3.9608210000000001</v>
      </c>
      <c r="O28" s="49">
        <v>50299</v>
      </c>
      <c r="P28" s="14">
        <v>3.9608210000000001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59"/>
      <c r="H29" s="10"/>
      <c r="I29" s="11"/>
      <c r="J29" s="12"/>
      <c r="L29" s="13">
        <f t="shared" si="2"/>
        <v>19</v>
      </c>
      <c r="M29" s="49">
        <v>52123</v>
      </c>
      <c r="N29" s="14">
        <v>3.8029289999999998</v>
      </c>
      <c r="O29" s="49">
        <v>52123</v>
      </c>
      <c r="P29" s="14">
        <v>3.8029289999999998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59"/>
      <c r="H30" s="10"/>
      <c r="I30" s="11"/>
      <c r="J30" s="12"/>
      <c r="L30" s="13">
        <f t="shared" si="2"/>
        <v>20</v>
      </c>
      <c r="M30" s="49">
        <v>53950</v>
      </c>
      <c r="N30" s="14">
        <v>3.6413120000000001</v>
      </c>
      <c r="O30" s="49">
        <v>53950</v>
      </c>
      <c r="P30" s="14">
        <v>3.6413120000000001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59"/>
      <c r="H31" s="10"/>
      <c r="I31" s="11"/>
      <c r="J31" s="12"/>
      <c r="L31" s="13">
        <f t="shared" si="2"/>
        <v>21</v>
      </c>
      <c r="M31" s="49">
        <v>55776</v>
      </c>
      <c r="N31" s="14">
        <v>3.552136</v>
      </c>
      <c r="O31" s="49">
        <v>55776</v>
      </c>
      <c r="P31" s="14">
        <v>3.552136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59"/>
      <c r="H32" s="10"/>
      <c r="I32" s="11"/>
      <c r="J32" s="12"/>
      <c r="L32" s="13">
        <f t="shared" si="2"/>
        <v>22</v>
      </c>
      <c r="M32" s="50"/>
      <c r="N32" s="19"/>
      <c r="O32" s="50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59"/>
      <c r="H33" s="10"/>
      <c r="I33" s="11"/>
      <c r="J33" s="12"/>
      <c r="L33" s="13">
        <f t="shared" si="2"/>
        <v>23</v>
      </c>
      <c r="M33" s="50"/>
      <c r="N33" s="19"/>
      <c r="O33" s="50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59"/>
      <c r="H34" s="10"/>
      <c r="I34" s="11"/>
      <c r="J34" s="12"/>
      <c r="L34" s="13">
        <f t="shared" si="2"/>
        <v>24</v>
      </c>
      <c r="M34" s="50"/>
      <c r="N34" s="19"/>
      <c r="O34" s="50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59"/>
      <c r="H35" s="10"/>
      <c r="I35" s="11"/>
      <c r="J35" s="12"/>
      <c r="L35" s="13">
        <f t="shared" si="2"/>
        <v>25</v>
      </c>
      <c r="M35" s="50"/>
      <c r="N35" s="19"/>
      <c r="O35" s="50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59"/>
      <c r="H36" s="10"/>
      <c r="I36" s="11"/>
      <c r="J36" s="12"/>
      <c r="L36" s="13">
        <f t="shared" si="2"/>
        <v>26</v>
      </c>
      <c r="M36" s="50"/>
      <c r="N36" s="19"/>
      <c r="O36" s="50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59"/>
      <c r="H37" s="10"/>
      <c r="I37" s="11"/>
      <c r="J37" s="12"/>
      <c r="L37" s="13">
        <f t="shared" si="2"/>
        <v>27</v>
      </c>
      <c r="M37" s="50"/>
      <c r="N37" s="19"/>
      <c r="O37" s="50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59"/>
      <c r="H38" s="10"/>
      <c r="I38" s="11"/>
      <c r="J38" s="12"/>
      <c r="L38" s="13">
        <f t="shared" si="2"/>
        <v>28</v>
      </c>
      <c r="M38" s="50"/>
      <c r="N38" s="19"/>
      <c r="O38" s="50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59"/>
      <c r="H39" s="10"/>
      <c r="I39" s="11"/>
      <c r="J39" s="12"/>
      <c r="L39" s="13">
        <f t="shared" si="2"/>
        <v>29</v>
      </c>
      <c r="M39" s="50"/>
      <c r="N39" s="19"/>
      <c r="O39" s="50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59"/>
      <c r="H40" s="10"/>
      <c r="I40" s="11"/>
      <c r="J40" s="12"/>
      <c r="L40" s="13">
        <f t="shared" si="2"/>
        <v>30</v>
      </c>
      <c r="M40" s="50"/>
      <c r="N40" s="19"/>
      <c r="O40" s="50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50"/>
      <c r="N41" s="19"/>
      <c r="O41" s="50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50"/>
      <c r="N42" s="19"/>
      <c r="O42" s="50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50"/>
      <c r="N43" s="19"/>
      <c r="O43" s="50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50"/>
      <c r="N44" s="19"/>
      <c r="O44" s="50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50"/>
      <c r="N45" s="19"/>
      <c r="O45" s="50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50"/>
      <c r="N46" s="19"/>
      <c r="O46" s="50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50"/>
      <c r="N47" s="19"/>
      <c r="O47" s="50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50"/>
      <c r="N48" s="19"/>
      <c r="O48" s="50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50"/>
      <c r="N49" s="19"/>
      <c r="O49" s="50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50"/>
      <c r="N50" s="19"/>
      <c r="O50" s="50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50"/>
      <c r="N51" s="19"/>
      <c r="O51" s="50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50"/>
      <c r="N52" s="19"/>
      <c r="O52" s="50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50"/>
      <c r="N53" s="19"/>
      <c r="O53" s="50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61"/>
  <sheetViews>
    <sheetView tabSelected="1" topLeftCell="E16" workbookViewId="0">
      <selection activeCell="P14" sqref="P14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2.5" style="48"/>
    <col min="33" max="35" width="12.5" style="44"/>
    <col min="36" max="36" width="12.5" style="46"/>
    <col min="37" max="37" width="12.5" style="48"/>
    <col min="38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148" t="s">
        <v>30</v>
      </c>
      <c r="C3" s="148"/>
      <c r="D3" s="149">
        <v>44815</v>
      </c>
      <c r="E3" s="87"/>
      <c r="F3" s="78" t="s">
        <v>31</v>
      </c>
      <c r="G3" s="78"/>
      <c r="H3" s="87">
        <v>0</v>
      </c>
      <c r="I3" s="87"/>
      <c r="J3" s="78" t="s">
        <v>32</v>
      </c>
      <c r="K3" s="78"/>
      <c r="L3" s="87">
        <v>10000</v>
      </c>
      <c r="M3" s="87"/>
      <c r="O3" s="112" t="s">
        <v>50</v>
      </c>
      <c r="P3" s="113"/>
      <c r="Q3" s="113"/>
      <c r="R3" s="114"/>
      <c r="T3" s="102" t="s">
        <v>56</v>
      </c>
      <c r="U3" s="103"/>
      <c r="W3" s="93" t="s">
        <v>77</v>
      </c>
      <c r="X3" s="94"/>
      <c r="Y3" s="93" t="s">
        <v>78</v>
      </c>
      <c r="Z3" s="94"/>
      <c r="AB3" s="72" t="s">
        <v>66</v>
      </c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4"/>
    </row>
    <row r="4" spans="1:57" x14ac:dyDescent="0.4">
      <c r="A4" s="22">
        <f t="shared" si="1"/>
        <v>4</v>
      </c>
      <c r="B4" s="21"/>
      <c r="C4" s="21"/>
      <c r="O4" s="115" t="s">
        <v>49</v>
      </c>
      <c r="P4" s="116"/>
      <c r="Q4" s="117">
        <v>44039</v>
      </c>
      <c r="R4" s="118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75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7"/>
    </row>
    <row r="5" spans="1:57" x14ac:dyDescent="0.4">
      <c r="A5" s="22">
        <f t="shared" si="1"/>
        <v>5</v>
      </c>
      <c r="B5" s="72" t="s">
        <v>48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4"/>
      <c r="O5" s="90" t="s">
        <v>51</v>
      </c>
      <c r="P5" s="123"/>
      <c r="Q5" s="124">
        <v>47691</v>
      </c>
      <c r="R5" s="125"/>
      <c r="T5" s="26">
        <v>45292</v>
      </c>
      <c r="U5" s="27">
        <v>45651</v>
      </c>
      <c r="W5" s="34">
        <v>45292</v>
      </c>
      <c r="X5" s="35">
        <v>3.6999999999999998E-2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75"/>
      <c r="C6" s="76"/>
      <c r="D6" s="76"/>
      <c r="E6" s="76"/>
      <c r="F6" s="76"/>
      <c r="G6" s="76"/>
      <c r="H6" s="76"/>
      <c r="I6" s="76"/>
      <c r="J6" s="76"/>
      <c r="K6" s="76"/>
      <c r="L6" s="76"/>
      <c r="M6" s="77"/>
      <c r="O6" s="121" t="s">
        <v>43</v>
      </c>
      <c r="P6" s="122"/>
      <c r="Q6" s="101">
        <v>1</v>
      </c>
      <c r="R6" s="84"/>
      <c r="W6" s="29">
        <v>44769</v>
      </c>
      <c r="X6" s="36">
        <v>3.6999999999999998E-2</v>
      </c>
      <c r="Y6" s="29">
        <v>44769</v>
      </c>
      <c r="Z6" s="38">
        <v>0.03</v>
      </c>
      <c r="AB6" s="78" t="s">
        <v>67</v>
      </c>
      <c r="AC6" s="78"/>
      <c r="AD6" s="87">
        <v>0</v>
      </c>
      <c r="AE6" s="87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78" t="s">
        <v>33</v>
      </c>
      <c r="C7" s="78"/>
      <c r="D7" s="79">
        <v>1</v>
      </c>
      <c r="E7" s="80"/>
      <c r="F7" s="78" t="s">
        <v>34</v>
      </c>
      <c r="G7" s="78"/>
      <c r="H7" s="79">
        <v>1</v>
      </c>
      <c r="I7" s="80"/>
      <c r="J7" s="23"/>
      <c r="K7" s="23"/>
      <c r="L7" s="23"/>
      <c r="M7" s="23"/>
      <c r="O7" s="102" t="str">
        <f>IF(Q6&gt;0,"Phase2날짜","")</f>
        <v>Phase2날짜</v>
      </c>
      <c r="P7" s="103"/>
      <c r="Q7" s="119">
        <v>45865</v>
      </c>
      <c r="R7" s="120"/>
      <c r="W7" s="29">
        <v>44815</v>
      </c>
      <c r="X7" s="36">
        <v>3.6999999999999998E-2</v>
      </c>
      <c r="Y7" s="29">
        <v>44815</v>
      </c>
      <c r="Z7" s="36">
        <v>0.03</v>
      </c>
      <c r="AB7" s="78" t="s">
        <v>80</v>
      </c>
      <c r="AC7" s="78"/>
      <c r="AD7" s="87">
        <v>0</v>
      </c>
      <c r="AE7" s="87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106" t="str">
        <f>"기초금리정보"</f>
        <v>기초금리정보</v>
      </c>
      <c r="C9" s="107"/>
      <c r="D9" s="126" t="s">
        <v>35</v>
      </c>
      <c r="E9" s="126"/>
      <c r="F9" s="83">
        <v>0</v>
      </c>
      <c r="G9" s="84"/>
      <c r="H9" s="25"/>
      <c r="I9" s="24"/>
      <c r="J9" s="127" t="str">
        <f>IF(OR(F10 = 0, F10 = 2, F10 = 4), "RefType = "&amp;F10&amp;" 이므로 Ref Swap 금리정보 사용안함", "사용")</f>
        <v>사용</v>
      </c>
      <c r="K9" s="128"/>
      <c r="L9" s="128"/>
      <c r="M9" s="129"/>
      <c r="O9" s="82" t="s">
        <v>53</v>
      </c>
      <c r="P9" s="82"/>
      <c r="Q9" s="82"/>
      <c r="R9" s="82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108"/>
      <c r="C10" s="109"/>
      <c r="D10" s="126" t="s">
        <v>36</v>
      </c>
      <c r="E10" s="130"/>
      <c r="F10" s="131">
        <v>1</v>
      </c>
      <c r="G10" s="132"/>
      <c r="H10" s="127" t="str">
        <f xml:space="preserve"> "Swap 레퍼런스금리정보"</f>
        <v>Swap 레퍼런스금리정보</v>
      </c>
      <c r="I10" s="128"/>
      <c r="J10" s="134" t="str">
        <f>IF(OR(F10 = 0, F10 = 2, F10 = 4), "", "연 지급횟수")</f>
        <v>연 지급횟수</v>
      </c>
      <c r="K10" s="135"/>
      <c r="L10" s="136">
        <v>4</v>
      </c>
      <c r="M10" s="137"/>
      <c r="O10" s="82" t="s">
        <v>52</v>
      </c>
      <c r="P10" s="82"/>
      <c r="Q10" s="101">
        <v>4</v>
      </c>
      <c r="R10" s="84"/>
      <c r="AB10" s="90" t="s">
        <v>79</v>
      </c>
      <c r="AC10" s="91"/>
      <c r="AD10" s="92">
        <v>-784.26794069573077</v>
      </c>
      <c r="AE10" s="92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108"/>
      <c r="C11" s="109"/>
      <c r="D11" s="82" t="s">
        <v>37</v>
      </c>
      <c r="E11" s="82"/>
      <c r="F11" s="83">
        <v>0</v>
      </c>
      <c r="G11" s="84"/>
      <c r="H11" s="133"/>
      <c r="I11" s="134"/>
      <c r="J11" s="134" t="str">
        <f>IF(F11=0, "만기", "입력X, 아래만기2개입력")</f>
        <v>만기</v>
      </c>
      <c r="K11" s="135"/>
      <c r="L11" s="144">
        <v>0.25</v>
      </c>
      <c r="M11" s="145"/>
      <c r="O11" s="82" t="s">
        <v>54</v>
      </c>
      <c r="P11" s="82"/>
      <c r="Q11" s="101">
        <v>0</v>
      </c>
      <c r="R11" s="84"/>
      <c r="AB11" s="21"/>
      <c r="AC11" s="21"/>
      <c r="AD11" s="21"/>
      <c r="AE11" s="21"/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108"/>
      <c r="C12" s="109"/>
      <c r="D12" s="82" t="s">
        <v>38</v>
      </c>
      <c r="E12" s="82"/>
      <c r="F12" s="85">
        <v>0.8</v>
      </c>
      <c r="G12" s="86"/>
      <c r="H12" s="146" t="str">
        <f>"ex) Deposit 3M -&gt; 연 지급횟수= 4, 만기= 0.25 ||  ex2) CMT 5Y 연 지급횟수=2, 만기 5"</f>
        <v>ex) Deposit 3M -&gt; 연 지급횟수= 4, 만기= 0.25 ||  ex2) CMT 5Y 연 지급횟수=2, 만기 5</v>
      </c>
      <c r="I12" s="146"/>
      <c r="J12" s="146"/>
      <c r="K12" s="146"/>
      <c r="L12" s="146"/>
      <c r="M12" s="147"/>
      <c r="O12" s="102" t="s">
        <v>55</v>
      </c>
      <c r="P12" s="103"/>
      <c r="Q12" s="101">
        <v>4</v>
      </c>
      <c r="R12" s="84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108"/>
      <c r="C13" s="109"/>
      <c r="D13" s="82" t="s">
        <v>39</v>
      </c>
      <c r="E13" s="126"/>
      <c r="F13" s="138">
        <v>-0.8</v>
      </c>
      <c r="G13" s="139"/>
      <c r="H13" s="140" t="str">
        <f>IF(F11&gt;0,"PowerSpreadFlag 1일때 입력","입력필요X")</f>
        <v>입력필요X</v>
      </c>
      <c r="I13" s="140"/>
      <c r="J13" s="140" t="str">
        <f>IF(F11&gt;0,"만기1","")</f>
        <v/>
      </c>
      <c r="K13" s="140"/>
      <c r="L13" s="104">
        <v>10</v>
      </c>
      <c r="M13" s="105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110"/>
      <c r="C14" s="111"/>
      <c r="D14" s="141" t="s">
        <v>40</v>
      </c>
      <c r="E14" s="141"/>
      <c r="F14" s="142">
        <v>1</v>
      </c>
      <c r="G14" s="143"/>
      <c r="H14" s="140"/>
      <c r="I14" s="140"/>
      <c r="J14" s="140" t="str">
        <f>IF(F11&gt;0,"만기2","")</f>
        <v/>
      </c>
      <c r="K14" s="140"/>
      <c r="L14" s="104">
        <v>5</v>
      </c>
      <c r="M14" s="105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88" t="s">
        <v>73</v>
      </c>
      <c r="AC15" s="89"/>
      <c r="AD15" s="89"/>
      <c r="AE15" s="89"/>
      <c r="AF15" s="89"/>
      <c r="AG15" s="88" t="s">
        <v>74</v>
      </c>
      <c r="AH15" s="89"/>
      <c r="AI15" s="89"/>
      <c r="AJ15" s="89"/>
      <c r="AK15" s="89"/>
    </row>
    <row r="16" spans="1:57" x14ac:dyDescent="0.4">
      <c r="A16" s="22">
        <f t="shared" si="1"/>
        <v>16</v>
      </c>
      <c r="B16" s="81" t="s">
        <v>41</v>
      </c>
      <c r="C16" s="81"/>
      <c r="D16" s="82" t="s">
        <v>81</v>
      </c>
      <c r="E16" s="82"/>
      <c r="F16" s="85">
        <v>0</v>
      </c>
      <c r="G16" s="86"/>
      <c r="H16" s="69" t="s">
        <v>84</v>
      </c>
      <c r="I16" s="70"/>
      <c r="J16" s="71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71"/>
      <c r="L16" s="71"/>
      <c r="M16" s="71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</row>
    <row r="17" spans="1:37" x14ac:dyDescent="0.4">
      <c r="A17" s="22">
        <f t="shared" si="1"/>
        <v>17</v>
      </c>
      <c r="B17" s="81"/>
      <c r="C17" s="81"/>
      <c r="D17" s="82" t="s">
        <v>44</v>
      </c>
      <c r="E17" s="82"/>
      <c r="F17" s="85">
        <v>0</v>
      </c>
      <c r="G17" s="86"/>
      <c r="H17" s="69" t="s">
        <v>82</v>
      </c>
      <c r="I17" s="70"/>
      <c r="J17" s="71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71"/>
      <c r="L17" s="71"/>
      <c r="M17" s="71"/>
      <c r="AB17" s="41">
        <v>20200727</v>
      </c>
      <c r="AC17" s="42">
        <v>20201027</v>
      </c>
      <c r="AD17" s="42">
        <v>20201027</v>
      </c>
      <c r="AE17" s="45">
        <v>0</v>
      </c>
      <c r="AF17" s="47">
        <v>0</v>
      </c>
      <c r="AG17" s="42">
        <v>20200727</v>
      </c>
      <c r="AH17" s="42">
        <v>20250728</v>
      </c>
      <c r="AI17" s="42">
        <v>20250728</v>
      </c>
      <c r="AJ17" s="45">
        <v>0</v>
      </c>
      <c r="AK17" s="47">
        <v>2000</v>
      </c>
    </row>
    <row r="18" spans="1:37" x14ac:dyDescent="0.4">
      <c r="A18" s="22">
        <f t="shared" si="1"/>
        <v>18</v>
      </c>
      <c r="B18" s="81"/>
      <c r="C18" s="81"/>
      <c r="D18" s="82" t="s">
        <v>45</v>
      </c>
      <c r="E18" s="82"/>
      <c r="F18" s="83">
        <v>1</v>
      </c>
      <c r="G18" s="84"/>
      <c r="H18" s="69"/>
      <c r="I18" s="70"/>
      <c r="J18" s="71"/>
      <c r="K18" s="71"/>
      <c r="L18" s="71"/>
      <c r="M18" s="71"/>
      <c r="AB18" s="43">
        <v>20201027</v>
      </c>
      <c r="AC18" s="44">
        <v>20210127</v>
      </c>
      <c r="AD18" s="44">
        <v>20210127</v>
      </c>
      <c r="AE18" s="46">
        <v>0</v>
      </c>
      <c r="AF18" s="48">
        <v>0</v>
      </c>
      <c r="AG18" s="44">
        <v>20250728</v>
      </c>
      <c r="AH18" s="44">
        <v>20300729</v>
      </c>
      <c r="AI18" s="44">
        <v>20300729</v>
      </c>
      <c r="AJ18" s="46">
        <v>3.8154961848425609E-2</v>
      </c>
      <c r="AK18" s="48">
        <v>1500</v>
      </c>
    </row>
    <row r="19" spans="1:37" x14ac:dyDescent="0.4">
      <c r="A19" s="22">
        <f t="shared" si="1"/>
        <v>19</v>
      </c>
      <c r="B19" s="21"/>
      <c r="C19" s="21"/>
      <c r="AB19" s="43">
        <v>20210127</v>
      </c>
      <c r="AC19" s="44">
        <v>20210427</v>
      </c>
      <c r="AD19" s="44">
        <v>20210427</v>
      </c>
      <c r="AE19" s="46">
        <v>0</v>
      </c>
      <c r="AF19" s="48">
        <v>0</v>
      </c>
    </row>
    <row r="20" spans="1:37" x14ac:dyDescent="0.4">
      <c r="A20" s="22">
        <f t="shared" si="1"/>
        <v>20</v>
      </c>
      <c r="B20" s="21"/>
      <c r="C20" s="21"/>
      <c r="AB20" s="43">
        <v>20210427</v>
      </c>
      <c r="AC20" s="44">
        <v>20210727</v>
      </c>
      <c r="AD20" s="44">
        <v>20210727</v>
      </c>
      <c r="AE20" s="46">
        <v>0</v>
      </c>
      <c r="AF20" s="48">
        <v>0</v>
      </c>
    </row>
    <row r="21" spans="1:37" x14ac:dyDescent="0.4">
      <c r="A21" s="22">
        <f t="shared" si="1"/>
        <v>21</v>
      </c>
      <c r="B21" s="81" t="s">
        <v>46</v>
      </c>
      <c r="C21" s="81"/>
      <c r="D21" s="82" t="s">
        <v>42</v>
      </c>
      <c r="E21" s="82"/>
      <c r="F21" s="85">
        <v>0</v>
      </c>
      <c r="G21" s="86"/>
      <c r="H21" s="69" t="s">
        <v>83</v>
      </c>
      <c r="I21" s="70"/>
      <c r="J21" s="71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71"/>
      <c r="L21" s="71"/>
      <c r="M21" s="71"/>
      <c r="AB21" s="43">
        <v>20210727</v>
      </c>
      <c r="AC21" s="44">
        <v>20211027</v>
      </c>
      <c r="AD21" s="44">
        <v>20211027</v>
      </c>
      <c r="AE21" s="46">
        <v>0</v>
      </c>
      <c r="AF21" s="48">
        <v>0</v>
      </c>
    </row>
    <row r="22" spans="1:37" x14ac:dyDescent="0.4">
      <c r="A22" s="22">
        <f t="shared" si="1"/>
        <v>22</v>
      </c>
      <c r="B22" s="81"/>
      <c r="C22" s="81"/>
      <c r="D22" s="82" t="s">
        <v>44</v>
      </c>
      <c r="E22" s="82"/>
      <c r="F22" s="85">
        <v>0</v>
      </c>
      <c r="G22" s="86"/>
      <c r="H22" s="69"/>
      <c r="I22" s="70"/>
      <c r="J22" s="71"/>
      <c r="K22" s="71"/>
      <c r="L22" s="71"/>
      <c r="M22" s="71"/>
      <c r="AB22" s="43">
        <v>20211027</v>
      </c>
      <c r="AC22" s="44">
        <v>20220127</v>
      </c>
      <c r="AD22" s="44">
        <v>20220127</v>
      </c>
      <c r="AE22" s="46">
        <v>0</v>
      </c>
      <c r="AF22" s="48">
        <v>0</v>
      </c>
    </row>
    <row r="23" spans="1:37" x14ac:dyDescent="0.4">
      <c r="A23" s="22">
        <f t="shared" si="1"/>
        <v>23</v>
      </c>
      <c r="B23" s="81"/>
      <c r="C23" s="81"/>
      <c r="D23" s="82" t="s">
        <v>45</v>
      </c>
      <c r="E23" s="82"/>
      <c r="F23" s="83">
        <v>1</v>
      </c>
      <c r="G23" s="84"/>
      <c r="AB23" s="43">
        <v>20220127</v>
      </c>
      <c r="AC23" s="44">
        <v>20220427</v>
      </c>
      <c r="AD23" s="44">
        <v>20220427</v>
      </c>
      <c r="AE23" s="46">
        <v>0</v>
      </c>
      <c r="AF23" s="48">
        <v>0</v>
      </c>
    </row>
    <row r="24" spans="1:37" x14ac:dyDescent="0.4">
      <c r="A24" s="22">
        <f t="shared" si="1"/>
        <v>24</v>
      </c>
      <c r="B24" s="21"/>
      <c r="C24" s="21"/>
      <c r="AB24" s="43">
        <v>20220427</v>
      </c>
      <c r="AC24" s="44">
        <v>20220727</v>
      </c>
      <c r="AD24" s="44">
        <v>20220727</v>
      </c>
      <c r="AE24" s="46">
        <v>0</v>
      </c>
      <c r="AF24" s="48">
        <v>0</v>
      </c>
    </row>
    <row r="25" spans="1:37" x14ac:dyDescent="0.4">
      <c r="A25" s="22">
        <f t="shared" si="1"/>
        <v>25</v>
      </c>
      <c r="B25" s="72" t="s">
        <v>47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4"/>
      <c r="AB25" s="43">
        <v>20220727</v>
      </c>
      <c r="AC25" s="44">
        <v>20221027</v>
      </c>
      <c r="AD25" s="44">
        <v>20221027</v>
      </c>
      <c r="AE25" s="46">
        <v>3.6999999999999998E-2</v>
      </c>
      <c r="AF25" s="48">
        <v>93.260273972602732</v>
      </c>
    </row>
    <row r="26" spans="1:37" x14ac:dyDescent="0.4">
      <c r="A26" s="22">
        <f t="shared" si="1"/>
        <v>26</v>
      </c>
      <c r="B26" s="75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7"/>
      <c r="AB26" s="43">
        <v>20221027</v>
      </c>
      <c r="AC26" s="44">
        <v>20230127</v>
      </c>
      <c r="AD26" s="44">
        <v>20230127</v>
      </c>
      <c r="AE26" s="46">
        <v>3.9445249602802407E-2</v>
      </c>
      <c r="AF26" s="48">
        <v>99.423642834460864</v>
      </c>
    </row>
    <row r="27" spans="1:37" x14ac:dyDescent="0.4">
      <c r="A27" s="22">
        <f t="shared" si="1"/>
        <v>27</v>
      </c>
      <c r="B27" s="78" t="s">
        <v>33</v>
      </c>
      <c r="C27" s="78"/>
      <c r="D27" s="79">
        <v>1</v>
      </c>
      <c r="E27" s="80"/>
      <c r="F27" s="78" t="s">
        <v>34</v>
      </c>
      <c r="G27" s="78"/>
      <c r="H27" s="79">
        <v>1</v>
      </c>
      <c r="I27" s="80"/>
      <c r="AB27" s="43">
        <v>20230127</v>
      </c>
      <c r="AC27" s="44">
        <v>20230427</v>
      </c>
      <c r="AD27" s="44">
        <v>20230427</v>
      </c>
      <c r="AE27" s="46">
        <v>3.9916389718166564E-2</v>
      </c>
      <c r="AF27" s="48">
        <v>98.423974647533981</v>
      </c>
    </row>
    <row r="28" spans="1:37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20230427</v>
      </c>
      <c r="AC28" s="44">
        <v>20230727</v>
      </c>
      <c r="AD28" s="44">
        <v>20230727</v>
      </c>
      <c r="AE28" s="46">
        <v>3.9904156162332789E-2</v>
      </c>
      <c r="AF28" s="48">
        <v>99.487074267733803</v>
      </c>
    </row>
    <row r="29" spans="1:37" x14ac:dyDescent="0.4">
      <c r="A29" s="22">
        <f t="shared" si="1"/>
        <v>29</v>
      </c>
      <c r="B29" s="106" t="str">
        <f>"기초금리정보"</f>
        <v>기초금리정보</v>
      </c>
      <c r="C29" s="107"/>
      <c r="D29" s="126" t="s">
        <v>35</v>
      </c>
      <c r="E29" s="126"/>
      <c r="F29" s="83">
        <v>3</v>
      </c>
      <c r="G29" s="84"/>
      <c r="H29" s="25"/>
      <c r="I29" s="24"/>
      <c r="J29" s="127" t="str">
        <f>IF(OR(F30 = 0, F30 = 2, F30 = 4), "RefType = "&amp;F30&amp;" 이므로 Ref Swap 금리정보 사용안함", "사용")</f>
        <v>사용</v>
      </c>
      <c r="K29" s="128"/>
      <c r="L29" s="128"/>
      <c r="M29" s="129"/>
      <c r="O29" s="82" t="s">
        <v>59</v>
      </c>
      <c r="P29" s="82"/>
      <c r="Q29" s="82"/>
      <c r="R29" s="82"/>
      <c r="AB29" s="43">
        <v>20230727</v>
      </c>
      <c r="AC29" s="44">
        <v>20231027</v>
      </c>
      <c r="AD29" s="44">
        <v>20231027</v>
      </c>
      <c r="AE29" s="46">
        <v>3.978421097944794E-2</v>
      </c>
      <c r="AF29" s="48">
        <v>100.27801123586877</v>
      </c>
    </row>
    <row r="30" spans="1:37" x14ac:dyDescent="0.4">
      <c r="A30" s="22">
        <f t="shared" si="1"/>
        <v>30</v>
      </c>
      <c r="B30" s="108"/>
      <c r="C30" s="109"/>
      <c r="D30" s="126" t="s">
        <v>36</v>
      </c>
      <c r="E30" s="130"/>
      <c r="F30" s="131">
        <v>1</v>
      </c>
      <c r="G30" s="132"/>
      <c r="H30" s="127" t="str">
        <f xml:space="preserve"> "Swap 레퍼런스금리정보"</f>
        <v>Swap 레퍼런스금리정보</v>
      </c>
      <c r="I30" s="128"/>
      <c r="J30" s="134" t="str">
        <f>IF(OR(F30 = 0, F30 = 2, F30 = 4), "", "연 지급횟수")</f>
        <v>연 지급횟수</v>
      </c>
      <c r="K30" s="135"/>
      <c r="L30" s="136">
        <v>4</v>
      </c>
      <c r="M30" s="137"/>
      <c r="O30" s="82" t="s">
        <v>52</v>
      </c>
      <c r="P30" s="82"/>
      <c r="Q30" s="101">
        <v>0</v>
      </c>
      <c r="R30" s="84"/>
      <c r="AB30" s="43">
        <v>20231027</v>
      </c>
      <c r="AC30" s="44">
        <v>20240129</v>
      </c>
      <c r="AD30" s="44">
        <v>20240129</v>
      </c>
      <c r="AE30" s="46">
        <v>3.9508040407280773E-2</v>
      </c>
      <c r="AF30" s="48">
        <v>101.7467341995724</v>
      </c>
    </row>
    <row r="31" spans="1:37" x14ac:dyDescent="0.4">
      <c r="A31" s="22">
        <f t="shared" si="1"/>
        <v>31</v>
      </c>
      <c r="B31" s="108"/>
      <c r="C31" s="109"/>
      <c r="D31" s="82" t="s">
        <v>37</v>
      </c>
      <c r="E31" s="82"/>
      <c r="F31" s="83">
        <v>0</v>
      </c>
      <c r="G31" s="84"/>
      <c r="H31" s="133"/>
      <c r="I31" s="134"/>
      <c r="J31" s="134" t="str">
        <f>IF(F31=0, "만기", "입력X, 아래만기2개입력")</f>
        <v>만기</v>
      </c>
      <c r="K31" s="135"/>
      <c r="L31" s="144">
        <v>10</v>
      </c>
      <c r="M31" s="145"/>
      <c r="O31" s="82" t="s">
        <v>54</v>
      </c>
      <c r="P31" s="82"/>
      <c r="Q31" s="101">
        <v>0</v>
      </c>
      <c r="R31" s="84"/>
      <c r="AB31" s="43">
        <v>20240129</v>
      </c>
      <c r="AC31" s="44">
        <v>20240429</v>
      </c>
      <c r="AD31" s="44">
        <v>20240429</v>
      </c>
      <c r="AE31" s="46">
        <v>3.9280972051566644E-2</v>
      </c>
      <c r="AF31" s="48">
        <v>97.933382375138748</v>
      </c>
    </row>
    <row r="32" spans="1:37" x14ac:dyDescent="0.4">
      <c r="A32" s="22">
        <f t="shared" si="1"/>
        <v>32</v>
      </c>
      <c r="B32" s="108"/>
      <c r="C32" s="109"/>
      <c r="D32" s="82" t="s">
        <v>38</v>
      </c>
      <c r="E32" s="82"/>
      <c r="F32" s="85">
        <v>0.8</v>
      </c>
      <c r="G32" s="86"/>
      <c r="H32" s="146" t="str">
        <f>"ex) Deposit 3M -&gt; 연 지급횟수= 4, 만기= 0.25 ||  ex2) CMT 5Y 연 지급횟수=2, 만기 5"</f>
        <v>ex) Deposit 3M -&gt; 연 지급횟수= 4, 만기= 0.25 ||  ex2) CMT 5Y 연 지급횟수=2, 만기 5</v>
      </c>
      <c r="I32" s="146"/>
      <c r="J32" s="146"/>
      <c r="K32" s="146"/>
      <c r="L32" s="146"/>
      <c r="M32" s="147"/>
      <c r="O32" s="102" t="s">
        <v>55</v>
      </c>
      <c r="P32" s="103"/>
      <c r="Q32" s="101">
        <v>0</v>
      </c>
      <c r="R32" s="84"/>
      <c r="AB32" s="43">
        <v>20240429</v>
      </c>
      <c r="AC32" s="44">
        <v>20240729</v>
      </c>
      <c r="AD32" s="44">
        <v>20240729</v>
      </c>
      <c r="AE32" s="46">
        <v>3.8936026698976257E-2</v>
      </c>
      <c r="AF32" s="48">
        <v>97.073381633064088</v>
      </c>
    </row>
    <row r="33" spans="1:32" x14ac:dyDescent="0.4">
      <c r="A33" s="22">
        <f t="shared" si="1"/>
        <v>33</v>
      </c>
      <c r="B33" s="108"/>
      <c r="C33" s="109"/>
      <c r="D33" s="82" t="s">
        <v>39</v>
      </c>
      <c r="E33" s="126"/>
      <c r="F33" s="138">
        <v>-0.8</v>
      </c>
      <c r="G33" s="139"/>
      <c r="H33" s="140" t="str">
        <f>IF(F31&gt;0,"PowerSpreadFlag 1일때 입력","입력필요X")</f>
        <v>입력필요X</v>
      </c>
      <c r="I33" s="140"/>
      <c r="J33" s="140" t="str">
        <f>IF(F31&gt;0,"만기1","")</f>
        <v/>
      </c>
      <c r="K33" s="140"/>
      <c r="L33" s="104">
        <v>10</v>
      </c>
      <c r="M33" s="105"/>
      <c r="AB33" s="43">
        <v>20240729</v>
      </c>
      <c r="AC33" s="44">
        <v>20241028</v>
      </c>
      <c r="AD33" s="44">
        <v>20241028</v>
      </c>
      <c r="AE33" s="46">
        <v>3.8942359873980537E-2</v>
      </c>
      <c r="AF33" s="48">
        <v>97.089171192663812</v>
      </c>
    </row>
    <row r="34" spans="1:32" x14ac:dyDescent="0.4">
      <c r="A34" s="22">
        <f t="shared" si="1"/>
        <v>34</v>
      </c>
      <c r="B34" s="110"/>
      <c r="C34" s="111"/>
      <c r="D34" s="141" t="s">
        <v>40</v>
      </c>
      <c r="E34" s="141"/>
      <c r="F34" s="142">
        <v>0</v>
      </c>
      <c r="G34" s="143"/>
      <c r="H34" s="140"/>
      <c r="I34" s="140"/>
      <c r="J34" s="140" t="str">
        <f>IF(F31&gt;0,"만기2","")</f>
        <v/>
      </c>
      <c r="K34" s="140"/>
      <c r="L34" s="104">
        <v>5</v>
      </c>
      <c r="M34" s="105"/>
      <c r="AB34" s="43">
        <v>20241028</v>
      </c>
      <c r="AC34" s="44">
        <v>20250127</v>
      </c>
      <c r="AD34" s="44">
        <v>20250127</v>
      </c>
      <c r="AE34" s="46">
        <v>3.9003731513414755E-2</v>
      </c>
      <c r="AF34" s="48">
        <v>97.242179937554596</v>
      </c>
    </row>
    <row r="35" spans="1:32" x14ac:dyDescent="0.4">
      <c r="A35" s="22">
        <f t="shared" si="1"/>
        <v>35</v>
      </c>
      <c r="B35" s="21"/>
      <c r="C35" s="21"/>
      <c r="AB35" s="43">
        <v>20250127</v>
      </c>
      <c r="AC35" s="44">
        <v>20250428</v>
      </c>
      <c r="AD35" s="44">
        <v>20250428</v>
      </c>
      <c r="AE35" s="46">
        <v>3.8934816274434542E-2</v>
      </c>
      <c r="AF35" s="48">
        <v>97.070363862288858</v>
      </c>
    </row>
    <row r="36" spans="1:32" x14ac:dyDescent="0.4">
      <c r="A36" s="22">
        <f t="shared" si="1"/>
        <v>36</v>
      </c>
      <c r="B36" s="81" t="s">
        <v>41</v>
      </c>
      <c r="C36" s="81"/>
      <c r="D36" s="82" t="s">
        <v>42</v>
      </c>
      <c r="E36" s="82"/>
      <c r="F36" s="85">
        <v>0.04</v>
      </c>
      <c r="G36" s="86"/>
      <c r="H36" s="69" t="s">
        <v>85</v>
      </c>
      <c r="I36" s="70"/>
      <c r="J36" s="71" t="str">
        <f>IF(F31&gt;0, F33&amp;" &lt; "&amp;F30&amp;" x Rate("&amp;L33&amp;"Y-"&amp;L34&amp;"Y) &lt; "&amp;F32,F33&amp;" &lt; "&amp;F30&amp;" x Rate("&amp;L31&amp;"Y) &lt; "&amp;F32)</f>
        <v>-0.8 &lt; 1 x Rate(10Y) &lt; 0.8</v>
      </c>
      <c r="K36" s="71"/>
      <c r="L36" s="71"/>
      <c r="M36" s="71"/>
      <c r="AB36" s="43">
        <v>20250428</v>
      </c>
      <c r="AC36" s="44">
        <v>20250728</v>
      </c>
      <c r="AD36" s="44">
        <v>20250728</v>
      </c>
      <c r="AE36" s="46">
        <v>3.8872863072125299E-2</v>
      </c>
      <c r="AF36" s="48">
        <v>96.915905193517872</v>
      </c>
    </row>
    <row r="37" spans="1:32" x14ac:dyDescent="0.4">
      <c r="A37" s="22">
        <f t="shared" si="1"/>
        <v>37</v>
      </c>
      <c r="B37" s="81"/>
      <c r="C37" s="81"/>
      <c r="D37" s="82" t="s">
        <v>44</v>
      </c>
      <c r="E37" s="82"/>
      <c r="F37" s="85">
        <v>0</v>
      </c>
      <c r="G37" s="86"/>
      <c r="H37" s="69" t="s">
        <v>82</v>
      </c>
      <c r="I37" s="70"/>
      <c r="J37" s="71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+ 0.04(고정) + 0(Range충족시)</v>
      </c>
      <c r="K37" s="71"/>
      <c r="L37" s="71"/>
      <c r="M37" s="71"/>
      <c r="AB37" s="43">
        <v>20250728</v>
      </c>
      <c r="AC37" s="44">
        <v>20251027</v>
      </c>
      <c r="AD37" s="44">
        <v>20251027</v>
      </c>
      <c r="AE37" s="46">
        <v>3.9043939128188362E-2</v>
      </c>
      <c r="AF37" s="48">
        <v>97.342423579866875</v>
      </c>
    </row>
    <row r="38" spans="1:32" x14ac:dyDescent="0.4">
      <c r="A38" s="22">
        <f t="shared" si="1"/>
        <v>38</v>
      </c>
      <c r="B38" s="81"/>
      <c r="C38" s="81"/>
      <c r="D38" s="82" t="s">
        <v>45</v>
      </c>
      <c r="E38" s="82"/>
      <c r="F38" s="83">
        <v>0</v>
      </c>
      <c r="G38" s="84"/>
      <c r="H38" s="69"/>
      <c r="I38" s="70"/>
      <c r="J38" s="71"/>
      <c r="K38" s="71"/>
      <c r="L38" s="71"/>
      <c r="M38" s="71"/>
      <c r="AB38" s="43">
        <v>20251027</v>
      </c>
      <c r="AC38" s="44">
        <v>20260127</v>
      </c>
      <c r="AD38" s="44">
        <v>20260127</v>
      </c>
      <c r="AE38" s="46">
        <v>3.9291019455205571E-2</v>
      </c>
      <c r="AF38" s="48">
        <v>99.034898352846923</v>
      </c>
    </row>
    <row r="39" spans="1:32" x14ac:dyDescent="0.4">
      <c r="A39" s="22">
        <f t="shared" si="1"/>
        <v>39</v>
      </c>
      <c r="B39" s="21"/>
      <c r="C39" s="21"/>
      <c r="AB39" s="43">
        <v>20260127</v>
      </c>
      <c r="AC39" s="44">
        <v>20260427</v>
      </c>
      <c r="AD39" s="44">
        <v>20260427</v>
      </c>
      <c r="AE39" s="46">
        <v>3.9301827427917838E-2</v>
      </c>
      <c r="AF39" s="48">
        <v>96.908615575687818</v>
      </c>
    </row>
    <row r="40" spans="1:32" x14ac:dyDescent="0.4">
      <c r="A40" s="22">
        <f t="shared" si="1"/>
        <v>40</v>
      </c>
      <c r="B40" s="21"/>
      <c r="C40" s="21"/>
      <c r="AB40" s="43">
        <v>20260427</v>
      </c>
      <c r="AC40" s="44">
        <v>20260727</v>
      </c>
      <c r="AD40" s="44">
        <v>20260727</v>
      </c>
      <c r="AE40" s="46">
        <v>3.9318896972075371E-2</v>
      </c>
      <c r="AF40" s="48">
        <v>98.027934916681062</v>
      </c>
    </row>
    <row r="41" spans="1:32" x14ac:dyDescent="0.4">
      <c r="A41" s="22">
        <f t="shared" si="1"/>
        <v>41</v>
      </c>
      <c r="B41" s="81" t="s">
        <v>46</v>
      </c>
      <c r="C41" s="81"/>
      <c r="D41" s="82" t="s">
        <v>42</v>
      </c>
      <c r="E41" s="82"/>
      <c r="F41" s="85">
        <v>0.03</v>
      </c>
      <c r="G41" s="86"/>
      <c r="H41" s="69" t="s">
        <v>83</v>
      </c>
      <c r="I41" s="70"/>
      <c r="J41" s="71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+ 0.03(고정) + 0(Range충족시)</v>
      </c>
      <c r="K41" s="71"/>
      <c r="L41" s="71"/>
      <c r="M41" s="71"/>
      <c r="AB41" s="43">
        <v>20260727</v>
      </c>
      <c r="AC41" s="44">
        <v>20261027</v>
      </c>
      <c r="AD41" s="44">
        <v>20261027</v>
      </c>
      <c r="AE41" s="46">
        <v>3.9284922672681848E-2</v>
      </c>
      <c r="AF41" s="48">
        <v>99.019531120184396</v>
      </c>
    </row>
    <row r="42" spans="1:32" x14ac:dyDescent="0.4">
      <c r="A42" s="22">
        <f t="shared" si="1"/>
        <v>42</v>
      </c>
      <c r="B42" s="81"/>
      <c r="C42" s="81"/>
      <c r="D42" s="82" t="s">
        <v>44</v>
      </c>
      <c r="E42" s="82"/>
      <c r="F42" s="85">
        <v>0</v>
      </c>
      <c r="G42" s="86"/>
      <c r="H42" s="69"/>
      <c r="I42" s="70"/>
      <c r="J42" s="71"/>
      <c r="K42" s="71"/>
      <c r="L42" s="71"/>
      <c r="M42" s="71"/>
      <c r="AB42" s="43">
        <v>20261027</v>
      </c>
      <c r="AC42" s="44">
        <v>20270127</v>
      </c>
      <c r="AD42" s="44">
        <v>20270127</v>
      </c>
      <c r="AE42" s="46">
        <v>3.9226281715140095E-2</v>
      </c>
      <c r="AF42" s="48">
        <v>98.871723775147643</v>
      </c>
    </row>
    <row r="43" spans="1:32" x14ac:dyDescent="0.4">
      <c r="A43" s="22">
        <f t="shared" si="1"/>
        <v>43</v>
      </c>
      <c r="B43" s="81"/>
      <c r="C43" s="81"/>
      <c r="D43" s="82" t="s">
        <v>45</v>
      </c>
      <c r="E43" s="82"/>
      <c r="F43" s="83">
        <v>0</v>
      </c>
      <c r="G43" s="84"/>
      <c r="AB43" s="43">
        <v>20270127</v>
      </c>
      <c r="AC43" s="44">
        <v>20270427</v>
      </c>
      <c r="AD43" s="44">
        <v>20270427</v>
      </c>
      <c r="AE43" s="46">
        <v>3.9223227079929555E-2</v>
      </c>
      <c r="AF43" s="48">
        <v>96.71480649845644</v>
      </c>
    </row>
    <row r="44" spans="1:32" x14ac:dyDescent="0.4">
      <c r="A44" s="22">
        <f t="shared" si="1"/>
        <v>44</v>
      </c>
      <c r="B44" s="21"/>
      <c r="C44" s="21"/>
      <c r="AB44" s="43">
        <v>20270427</v>
      </c>
      <c r="AC44" s="44">
        <v>20270727</v>
      </c>
      <c r="AD44" s="44">
        <v>20270727</v>
      </c>
      <c r="AE44" s="46">
        <v>3.9226488635927932E-2</v>
      </c>
      <c r="AF44" s="48">
        <v>97.797547010121704</v>
      </c>
    </row>
    <row r="45" spans="1:32" ht="17.399999999999999" customHeight="1" x14ac:dyDescent="0.4">
      <c r="A45" s="22">
        <f t="shared" si="1"/>
        <v>45</v>
      </c>
      <c r="B45" s="95" t="s">
        <v>61</v>
      </c>
      <c r="C45" s="96"/>
      <c r="D45" s="96"/>
      <c r="E45" s="96"/>
      <c r="F45" s="96"/>
      <c r="G45" s="97"/>
      <c r="AB45" s="43">
        <v>20270727</v>
      </c>
      <c r="AC45" s="44">
        <v>20271027</v>
      </c>
      <c r="AD45" s="44">
        <v>20271027</v>
      </c>
      <c r="AE45" s="46">
        <v>3.935708895502301E-2</v>
      </c>
      <c r="AF45" s="48">
        <v>99.201429694852521</v>
      </c>
    </row>
    <row r="46" spans="1:32" ht="17.399999999999999" customHeight="1" x14ac:dyDescent="0.4">
      <c r="A46" s="22">
        <f t="shared" si="1"/>
        <v>46</v>
      </c>
      <c r="B46" s="98"/>
      <c r="C46" s="99"/>
      <c r="D46" s="99"/>
      <c r="E46" s="99"/>
      <c r="F46" s="99"/>
      <c r="G46" s="100"/>
      <c r="AB46" s="43">
        <v>20271027</v>
      </c>
      <c r="AC46" s="44">
        <v>20280131</v>
      </c>
      <c r="AD46" s="44">
        <v>20280131</v>
      </c>
      <c r="AE46" s="46">
        <v>3.9538991508744827E-2</v>
      </c>
      <c r="AF46" s="48">
        <v>103.99296396820556</v>
      </c>
    </row>
    <row r="47" spans="1:32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20280131</v>
      </c>
      <c r="AC47" s="44">
        <v>20280427</v>
      </c>
      <c r="AD47" s="44">
        <v>20280427</v>
      </c>
      <c r="AE47" s="46">
        <v>3.9550426141176008E-2</v>
      </c>
      <c r="AF47" s="48">
        <v>94.270878747460628</v>
      </c>
    </row>
    <row r="48" spans="1:32" x14ac:dyDescent="0.4">
      <c r="A48" s="22">
        <f t="shared" si="1"/>
        <v>48</v>
      </c>
      <c r="B48" s="28">
        <v>45743</v>
      </c>
      <c r="C48" s="28">
        <v>45774</v>
      </c>
      <c r="D48" s="33">
        <v>1</v>
      </c>
      <c r="E48" s="33">
        <f>COUNT(B48:B1048576)</f>
        <v>2</v>
      </c>
      <c r="AB48" s="43">
        <v>20280427</v>
      </c>
      <c r="AC48" s="44">
        <v>20280727</v>
      </c>
      <c r="AD48" s="44">
        <v>20280727</v>
      </c>
      <c r="AE48" s="46">
        <v>3.958434546450227E-2</v>
      </c>
      <c r="AF48" s="48">
        <v>98.689738007389224</v>
      </c>
    </row>
    <row r="49" spans="1:32" x14ac:dyDescent="0.4">
      <c r="A49" s="22">
        <f t="shared" si="1"/>
        <v>49</v>
      </c>
      <c r="B49" s="28">
        <v>45378</v>
      </c>
      <c r="C49" s="28">
        <v>45411</v>
      </c>
      <c r="AB49" s="43">
        <v>20280727</v>
      </c>
      <c r="AC49" s="44">
        <v>20281027</v>
      </c>
      <c r="AD49" s="44">
        <v>20281027</v>
      </c>
      <c r="AE49" s="46">
        <v>3.9614915533315392E-2</v>
      </c>
      <c r="AF49" s="48">
        <v>99.851293946986758</v>
      </c>
    </row>
    <row r="50" spans="1:32" x14ac:dyDescent="0.4">
      <c r="A50" s="22">
        <f t="shared" si="1"/>
        <v>50</v>
      </c>
      <c r="AB50" s="43">
        <v>20281027</v>
      </c>
      <c r="AC50" s="44">
        <v>20290129</v>
      </c>
      <c r="AD50" s="44">
        <v>20290129</v>
      </c>
      <c r="AE50" s="46">
        <v>3.9648112091607381E-2</v>
      </c>
      <c r="AF50" s="48">
        <v>102.10746675646831</v>
      </c>
    </row>
    <row r="51" spans="1:32" x14ac:dyDescent="0.4">
      <c r="A51" s="22">
        <f t="shared" si="1"/>
        <v>51</v>
      </c>
      <c r="AB51" s="43">
        <v>20290129</v>
      </c>
      <c r="AC51" s="44">
        <v>20290427</v>
      </c>
      <c r="AD51" s="44">
        <v>20290427</v>
      </c>
      <c r="AE51" s="46">
        <v>3.9670381736591064E-2</v>
      </c>
      <c r="AF51" s="48">
        <v>95.643660077260662</v>
      </c>
    </row>
    <row r="52" spans="1:32" x14ac:dyDescent="0.4">
      <c r="A52" s="22">
        <f t="shared" si="1"/>
        <v>52</v>
      </c>
      <c r="AB52" s="43">
        <v>20290427</v>
      </c>
      <c r="AC52" s="44">
        <v>20290727</v>
      </c>
      <c r="AD52" s="44">
        <v>20290727</v>
      </c>
      <c r="AE52" s="46">
        <v>3.9697714941992202E-2</v>
      </c>
      <c r="AF52" s="48">
        <v>98.972385197843565</v>
      </c>
    </row>
    <row r="53" spans="1:32" x14ac:dyDescent="0.4">
      <c r="A53" s="22">
        <f t="shared" si="1"/>
        <v>53</v>
      </c>
      <c r="AB53" s="43">
        <v>20290727</v>
      </c>
      <c r="AC53" s="44">
        <v>20291029</v>
      </c>
      <c r="AD53" s="44">
        <v>20291029</v>
      </c>
      <c r="AE53" s="46">
        <v>3.9832480183468202E-2</v>
      </c>
      <c r="AF53" s="48">
        <v>102.58227773276742</v>
      </c>
    </row>
    <row r="54" spans="1:32" x14ac:dyDescent="0.4">
      <c r="A54" s="22">
        <f t="shared" si="1"/>
        <v>54</v>
      </c>
      <c r="AB54" s="43">
        <v>20291029</v>
      </c>
      <c r="AC54" s="44">
        <v>20300128</v>
      </c>
      <c r="AD54" s="44">
        <v>20300128</v>
      </c>
      <c r="AE54" s="46">
        <v>3.9976331130072762E-2</v>
      </c>
      <c r="AF54" s="48">
        <v>99.66701733798962</v>
      </c>
    </row>
    <row r="55" spans="1:32" x14ac:dyDescent="0.4">
      <c r="A55" s="22">
        <f t="shared" si="1"/>
        <v>55</v>
      </c>
      <c r="AB55" s="43">
        <v>20300128</v>
      </c>
      <c r="AC55" s="44">
        <v>20300429</v>
      </c>
      <c r="AD55" s="44">
        <v>20300429</v>
      </c>
      <c r="AE55" s="46">
        <v>4.0016697539659023E-2</v>
      </c>
      <c r="AF55" s="48">
        <v>99.767656879697839</v>
      </c>
    </row>
    <row r="56" spans="1:32" x14ac:dyDescent="0.4">
      <c r="A56" s="22">
        <f t="shared" si="1"/>
        <v>56</v>
      </c>
      <c r="AB56" s="43">
        <v>20300429</v>
      </c>
      <c r="AC56" s="44">
        <v>20300729</v>
      </c>
      <c r="AD56" s="44">
        <v>20300729</v>
      </c>
      <c r="AE56" s="46">
        <v>4.0059489070026717E-2</v>
      </c>
      <c r="AF56" s="48">
        <v>99.874342612943309</v>
      </c>
    </row>
    <row r="57" spans="1:32" x14ac:dyDescent="0.4">
      <c r="A57" s="22">
        <f t="shared" si="1"/>
        <v>57</v>
      </c>
    </row>
    <row r="58" spans="1:32" x14ac:dyDescent="0.4">
      <c r="A58" s="22">
        <f t="shared" si="1"/>
        <v>58</v>
      </c>
    </row>
    <row r="59" spans="1:32" x14ac:dyDescent="0.4">
      <c r="A59" s="22">
        <f t="shared" si="1"/>
        <v>59</v>
      </c>
    </row>
    <row r="60" spans="1:32" x14ac:dyDescent="0.4">
      <c r="A60" s="22">
        <f t="shared" si="1"/>
        <v>60</v>
      </c>
    </row>
    <row r="61" spans="1:32" x14ac:dyDescent="0.4">
      <c r="A61" s="22">
        <f t="shared" si="1"/>
        <v>61</v>
      </c>
    </row>
  </sheetData>
  <mergeCells count="142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F16:G16"/>
    <mergeCell ref="D17:E17"/>
    <mergeCell ref="F17:G17"/>
    <mergeCell ref="J16:M16"/>
    <mergeCell ref="D22:E22"/>
    <mergeCell ref="F22:G22"/>
    <mergeCell ref="D16:E16"/>
    <mergeCell ref="J11:K11"/>
    <mergeCell ref="L11:M11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29:G29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34:K34"/>
    <mergeCell ref="F31:G31"/>
    <mergeCell ref="J31:K31"/>
    <mergeCell ref="L31:M31"/>
    <mergeCell ref="D32:E32"/>
    <mergeCell ref="F32:G32"/>
    <mergeCell ref="H32:M32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H36:I36"/>
    <mergeCell ref="H17:I18"/>
    <mergeCell ref="J17:M18"/>
    <mergeCell ref="H21:I22"/>
    <mergeCell ref="J21:M22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2024-09-10T13:45:58Z</dcterms:modified>
</cp:coreProperties>
</file>