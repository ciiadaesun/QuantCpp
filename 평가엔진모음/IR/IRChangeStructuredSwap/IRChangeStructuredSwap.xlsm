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N70" i="1"/>
  <c r="A41" i="1" l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Q191" i="1" l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I7" i="4" l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6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K137" i="4" l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L11" i="3" l="1"/>
  <c r="K11" i="3"/>
  <c r="J11" i="3"/>
  <c r="E11" i="3"/>
  <c r="D11" i="3"/>
  <c r="C11" i="3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K16" i="2"/>
  <c r="K34" i="2"/>
  <c r="L44" i="2" l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<sst xmlns="http://schemas.openxmlformats.org/spreadsheetml/2006/main" count="268" uniqueCount="116">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</sst>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zoomScale="90" zoomScaleNormal="90" workbookViewId="0">
      <selection activeCell="I109" sqref="I109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6" t="s">
        <v>0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</row>
    <row r="3" spans="1:45" x14ac:dyDescent="0.4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</row>
    <row r="4" spans="1:45" x14ac:dyDescent="0.4">
      <c r="A4" s="9">
        <f>4</f>
        <v>4</v>
      </c>
      <c r="B4" s="91" t="s">
        <v>2</v>
      </c>
      <c r="C4" s="91"/>
      <c r="D4" s="92">
        <v>2</v>
      </c>
      <c r="E4" s="92"/>
    </row>
    <row r="5" spans="1:45" x14ac:dyDescent="0.4">
      <c r="A5" s="9">
        <f>A4+1</f>
        <v>5</v>
      </c>
      <c r="G5" s="95" t="s">
        <v>22</v>
      </c>
      <c r="H5" s="97" t="s">
        <v>21</v>
      </c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</row>
    <row r="6" spans="1:45" x14ac:dyDescent="0.4">
      <c r="A6" s="9">
        <f t="shared" ref="A6:A82" si="1">A5+1</f>
        <v>6</v>
      </c>
      <c r="B6" s="91" t="s">
        <v>3</v>
      </c>
      <c r="C6" s="91"/>
      <c r="D6" s="92">
        <v>1</v>
      </c>
      <c r="E6" s="92"/>
      <c r="G6" s="96"/>
      <c r="H6" s="98" t="s">
        <v>7</v>
      </c>
      <c r="I6" s="99"/>
      <c r="L6" s="102" t="s">
        <v>11</v>
      </c>
      <c r="M6" s="102"/>
      <c r="N6" s="102"/>
      <c r="Q6" s="102" t="s">
        <v>12</v>
      </c>
      <c r="R6" s="102"/>
      <c r="S6" s="102"/>
      <c r="V6" s="102" t="s">
        <v>13</v>
      </c>
      <c r="W6" s="102"/>
      <c r="X6" s="102"/>
    </row>
    <row r="7" spans="1:45" x14ac:dyDescent="0.4">
      <c r="A7" s="9">
        <f t="shared" si="1"/>
        <v>7</v>
      </c>
      <c r="B7" s="91" t="s">
        <v>4</v>
      </c>
      <c r="C7" s="91"/>
      <c r="D7" s="92">
        <v>1</v>
      </c>
      <c r="E7" s="92"/>
      <c r="G7" s="96"/>
      <c r="H7" s="100"/>
      <c r="I7" s="101"/>
      <c r="L7" s="102"/>
      <c r="M7" s="102"/>
      <c r="N7" s="102"/>
      <c r="Q7" s="102"/>
      <c r="R7" s="102"/>
      <c r="S7" s="102"/>
      <c r="V7" s="102"/>
      <c r="W7" s="102"/>
      <c r="X7" s="102"/>
    </row>
    <row r="8" spans="1:45" x14ac:dyDescent="0.4">
      <c r="A8" s="9">
        <f t="shared" si="1"/>
        <v>8</v>
      </c>
      <c r="B8" s="91" t="s">
        <v>1</v>
      </c>
      <c r="C8" s="91"/>
      <c r="D8" s="92">
        <v>0.01</v>
      </c>
      <c r="E8" s="92"/>
      <c r="G8" s="96"/>
      <c r="I8" s="2" t="s">
        <v>107</v>
      </c>
      <c r="J8" s="2" t="s">
        <v>108</v>
      </c>
      <c r="K8" s="2" t="s">
        <v>110</v>
      </c>
      <c r="V8" s="102" t="s">
        <v>14</v>
      </c>
      <c r="W8" s="102"/>
      <c r="X8" s="4">
        <v>3</v>
      </c>
    </row>
    <row r="9" spans="1:45" x14ac:dyDescent="0.4">
      <c r="A9" s="9">
        <f t="shared" si="1"/>
        <v>9</v>
      </c>
      <c r="G9" s="96"/>
      <c r="H9" s="2" t="s">
        <v>8</v>
      </c>
      <c r="I9" s="3">
        <v>0.01</v>
      </c>
      <c r="J9" s="78">
        <v>9.6050968278254614E-3</v>
      </c>
      <c r="K9" s="78">
        <v>0.5</v>
      </c>
      <c r="Q9" s="102" t="s">
        <v>15</v>
      </c>
      <c r="R9" s="102"/>
      <c r="S9" s="4">
        <v>3</v>
      </c>
      <c r="V9" s="93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6"/>
      <c r="H10" s="79" t="s">
        <v>9</v>
      </c>
      <c r="I10" s="103" t="s">
        <v>10</v>
      </c>
      <c r="J10" s="104"/>
      <c r="L10" s="83" t="s">
        <v>18</v>
      </c>
      <c r="M10" s="83" t="s">
        <v>19</v>
      </c>
      <c r="N10" s="79" t="s">
        <v>72</v>
      </c>
      <c r="Q10" s="83" t="s">
        <v>18</v>
      </c>
      <c r="R10" s="83" t="s">
        <v>19</v>
      </c>
      <c r="S10" s="79" t="s">
        <v>20</v>
      </c>
      <c r="V10" s="94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6"/>
      <c r="H11" s="80">
        <v>1</v>
      </c>
      <c r="I11" s="81">
        <v>1.3407782430569219E-2</v>
      </c>
      <c r="J11" s="82">
        <v>6.5594015289577815E-3</v>
      </c>
      <c r="L11" s="84">
        <v>1</v>
      </c>
      <c r="M11" s="85">
        <v>2.7397260273972603E-3</v>
      </c>
      <c r="N11" s="86">
        <v>3.1519999999999992E-2</v>
      </c>
      <c r="O11" s="31"/>
      <c r="Q11" s="84">
        <v>1</v>
      </c>
      <c r="R11" s="85">
        <v>1</v>
      </c>
      <c r="S11" s="86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6"/>
      <c r="H12" s="80">
        <v>2</v>
      </c>
      <c r="I12" s="81">
        <v>1.1750883187845299E-2</v>
      </c>
      <c r="J12" s="82">
        <v>5.8230479012307598E-3</v>
      </c>
      <c r="L12" s="84">
        <f>L11+1</f>
        <v>2</v>
      </c>
      <c r="M12" s="85">
        <v>0.25</v>
      </c>
      <c r="N12" s="86">
        <v>3.261E-2</v>
      </c>
      <c r="O12" s="31"/>
      <c r="Q12" s="84">
        <f>Q11+1</f>
        <v>2</v>
      </c>
      <c r="R12" s="85">
        <v>1.5</v>
      </c>
      <c r="S12" s="86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107" t="s">
        <v>6</v>
      </c>
      <c r="E13" s="107"/>
      <c r="G13" s="96"/>
      <c r="H13" s="80">
        <v>3</v>
      </c>
      <c r="I13" s="81">
        <v>1.2510628997503095E-2</v>
      </c>
      <c r="J13" s="82">
        <v>4.9461626800211995E-3</v>
      </c>
      <c r="L13" s="84">
        <f t="shared" ref="L13:L53" si="2">L12+1</f>
        <v>3</v>
      </c>
      <c r="M13" s="85">
        <v>0.5</v>
      </c>
      <c r="N13" s="86">
        <v>3.3500000000000002E-2</v>
      </c>
      <c r="O13" s="31"/>
      <c r="Q13" s="84">
        <f t="shared" ref="Q13:Q53" si="3">Q12+1</f>
        <v>3</v>
      </c>
      <c r="R13" s="85">
        <v>2</v>
      </c>
      <c r="S13" s="86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107"/>
      <c r="E14" s="107"/>
      <c r="G14" s="96"/>
      <c r="H14" s="80">
        <v>4</v>
      </c>
      <c r="I14" s="81">
        <v>1.1353112416772919E-2</v>
      </c>
      <c r="J14" s="82">
        <v>3.7345696160446442E-3</v>
      </c>
      <c r="L14" s="84">
        <f t="shared" si="2"/>
        <v>4</v>
      </c>
      <c r="M14" s="85">
        <v>1</v>
      </c>
      <c r="N14" s="86">
        <v>3.4509999999999999E-2</v>
      </c>
      <c r="O14" s="31"/>
      <c r="Q14" s="84">
        <f t="shared" si="3"/>
        <v>4</v>
      </c>
      <c r="R14" s="85">
        <v>2.5</v>
      </c>
      <c r="S14" s="86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107"/>
      <c r="E15" s="107"/>
      <c r="G15" s="96"/>
      <c r="H15" s="80">
        <v>5</v>
      </c>
      <c r="I15" s="81">
        <v>1.268017356247831E-2</v>
      </c>
      <c r="J15" s="82">
        <v>4.4454280811227868E-3</v>
      </c>
      <c r="L15" s="84">
        <f t="shared" si="2"/>
        <v>5</v>
      </c>
      <c r="M15" s="85">
        <v>1.5</v>
      </c>
      <c r="N15" s="86">
        <v>3.9999999999999994E-2</v>
      </c>
      <c r="O15" s="31"/>
      <c r="Q15" s="84">
        <f t="shared" si="3"/>
        <v>5</v>
      </c>
      <c r="R15" s="85">
        <v>3</v>
      </c>
      <c r="S15" s="86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109</v>
      </c>
      <c r="D16" s="90">
        <v>2.8299999999999999E-2</v>
      </c>
      <c r="G16" s="96"/>
      <c r="H16" s="80">
        <v>7</v>
      </c>
      <c r="I16" s="81">
        <v>1.1655130280878735E-2</v>
      </c>
      <c r="J16" s="82">
        <v>3.8199530523313962E-3</v>
      </c>
      <c r="L16" s="84">
        <f t="shared" si="2"/>
        <v>6</v>
      </c>
      <c r="M16" s="85">
        <v>2</v>
      </c>
      <c r="N16" s="86">
        <v>4.222999999999999E-2</v>
      </c>
      <c r="O16" s="31"/>
      <c r="Q16" s="84">
        <f t="shared" si="3"/>
        <v>6</v>
      </c>
      <c r="R16" s="85">
        <v>4</v>
      </c>
      <c r="S16" s="86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105">
        <v>45016.364976851852</v>
      </c>
      <c r="E17" s="105"/>
      <c r="G17" s="96"/>
      <c r="H17" s="80">
        <v>10</v>
      </c>
      <c r="I17" s="81">
        <v>1.0407980775703736E-2</v>
      </c>
      <c r="J17" s="82">
        <v>3.159422204856295E-3</v>
      </c>
      <c r="L17" s="84">
        <f t="shared" si="2"/>
        <v>7</v>
      </c>
      <c r="M17" s="85">
        <v>2</v>
      </c>
      <c r="N17" s="86">
        <v>4.222999999999999E-2</v>
      </c>
      <c r="O17" s="31"/>
      <c r="Q17" s="84">
        <f t="shared" si="3"/>
        <v>7</v>
      </c>
      <c r="R17" s="85">
        <v>5</v>
      </c>
      <c r="S17" s="86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105">
        <v>45016.364976851852</v>
      </c>
      <c r="E18" s="105"/>
      <c r="G18" s="96"/>
      <c r="H18" s="80"/>
      <c r="I18" s="81"/>
      <c r="J18" s="82"/>
      <c r="L18" s="84">
        <f t="shared" si="2"/>
        <v>8</v>
      </c>
      <c r="M18" s="85">
        <v>3</v>
      </c>
      <c r="N18" s="86">
        <v>4.2499999999999996E-2</v>
      </c>
      <c r="O18" s="31"/>
      <c r="Q18" s="84">
        <f t="shared" si="3"/>
        <v>8</v>
      </c>
      <c r="R18" s="85">
        <v>7</v>
      </c>
      <c r="S18" s="86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6"/>
      <c r="H19" s="80"/>
      <c r="I19" s="81"/>
      <c r="J19" s="82"/>
      <c r="L19" s="84">
        <f t="shared" si="2"/>
        <v>9</v>
      </c>
      <c r="M19" s="85">
        <v>4</v>
      </c>
      <c r="N19" s="86">
        <v>4.3450000000000003E-2</v>
      </c>
      <c r="O19" s="31"/>
      <c r="P19" s="31"/>
      <c r="Q19" s="84">
        <f t="shared" si="3"/>
        <v>9</v>
      </c>
      <c r="R19" s="85">
        <v>10</v>
      </c>
      <c r="S19" s="86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6"/>
      <c r="H20" s="80"/>
      <c r="I20" s="81"/>
      <c r="J20" s="82"/>
      <c r="L20" s="84">
        <f t="shared" si="2"/>
        <v>10</v>
      </c>
      <c r="M20" s="85">
        <v>5</v>
      </c>
      <c r="N20" s="86">
        <v>4.2889999999999998E-2</v>
      </c>
      <c r="O20" s="31"/>
      <c r="Q20" s="84">
        <f t="shared" si="3"/>
        <v>10</v>
      </c>
      <c r="R20" s="85"/>
      <c r="S20" s="86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6"/>
      <c r="H21" s="80"/>
      <c r="I21" s="81"/>
      <c r="J21" s="82"/>
      <c r="L21" s="84">
        <f t="shared" si="2"/>
        <v>11</v>
      </c>
      <c r="M21" s="85">
        <v>10</v>
      </c>
      <c r="N21" s="86">
        <v>4.274E-2</v>
      </c>
      <c r="O21" s="31"/>
      <c r="Q21" s="84">
        <f t="shared" si="3"/>
        <v>11</v>
      </c>
      <c r="R21" s="85"/>
      <c r="S21" s="86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6"/>
      <c r="H22" s="80"/>
      <c r="I22" s="81"/>
      <c r="J22" s="82"/>
      <c r="L22" s="84">
        <f t="shared" si="2"/>
        <v>12</v>
      </c>
      <c r="M22" s="85">
        <v>20</v>
      </c>
      <c r="N22" s="86">
        <v>4.1399999999999992E-2</v>
      </c>
      <c r="O22" s="31"/>
      <c r="P22" s="31"/>
      <c r="Q22" s="84">
        <f t="shared" si="3"/>
        <v>12</v>
      </c>
      <c r="R22" s="85"/>
      <c r="S22" s="86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G23" s="96"/>
      <c r="H23" s="80"/>
      <c r="I23" s="81"/>
      <c r="J23" s="82"/>
      <c r="L23" s="84">
        <f t="shared" si="2"/>
        <v>13</v>
      </c>
      <c r="M23" s="85">
        <v>30</v>
      </c>
      <c r="N23" s="86">
        <v>4.0489999999999998E-2</v>
      </c>
      <c r="O23" s="31"/>
      <c r="Q23" s="84">
        <f t="shared" si="3"/>
        <v>13</v>
      </c>
      <c r="R23" s="85"/>
      <c r="S23" s="86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91" t="s">
        <v>112</v>
      </c>
      <c r="C24" s="91"/>
      <c r="D24" s="92">
        <v>0</v>
      </c>
      <c r="E24" s="92"/>
      <c r="G24" s="96"/>
      <c r="H24" s="80"/>
      <c r="I24" s="81"/>
      <c r="J24" s="82"/>
      <c r="L24" s="84">
        <f t="shared" si="2"/>
        <v>14</v>
      </c>
      <c r="M24" s="85"/>
      <c r="N24" s="86"/>
      <c r="Q24" s="84">
        <f t="shared" si="3"/>
        <v>14</v>
      </c>
      <c r="R24" s="85"/>
      <c r="S24" s="86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91" t="s">
        <v>114</v>
      </c>
      <c r="C25" s="91"/>
      <c r="D25" s="92">
        <v>-0.1</v>
      </c>
      <c r="E25" s="92"/>
      <c r="G25" s="96"/>
      <c r="H25" s="80"/>
      <c r="I25" s="81"/>
      <c r="J25" s="82"/>
      <c r="L25" s="84">
        <f t="shared" si="2"/>
        <v>15</v>
      </c>
      <c r="M25" s="85"/>
      <c r="N25" s="86"/>
      <c r="Q25" s="84">
        <f t="shared" si="3"/>
        <v>15</v>
      </c>
      <c r="R25" s="85"/>
      <c r="S25" s="86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91" t="s">
        <v>113</v>
      </c>
      <c r="C26" s="91"/>
      <c r="D26" s="92">
        <v>0.15</v>
      </c>
      <c r="E26" s="92"/>
      <c r="G26" s="96"/>
      <c r="H26" s="80"/>
      <c r="I26" s="81"/>
      <c r="J26" s="82"/>
      <c r="L26" s="84">
        <f t="shared" si="2"/>
        <v>16</v>
      </c>
      <c r="M26" s="85"/>
      <c r="N26" s="86"/>
      <c r="Q26" s="84">
        <f t="shared" si="3"/>
        <v>16</v>
      </c>
      <c r="R26" s="85"/>
      <c r="S26" s="86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6"/>
      <c r="H27" s="80"/>
      <c r="I27" s="81"/>
      <c r="J27" s="82"/>
      <c r="L27" s="84">
        <f t="shared" si="2"/>
        <v>17</v>
      </c>
      <c r="M27" s="85"/>
      <c r="N27" s="86"/>
      <c r="Q27" s="84">
        <f t="shared" si="3"/>
        <v>17</v>
      </c>
      <c r="R27" s="85"/>
      <c r="S27" s="86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6"/>
      <c r="H28" s="80"/>
      <c r="I28" s="81"/>
      <c r="J28" s="82"/>
      <c r="L28" s="84">
        <f t="shared" si="2"/>
        <v>18</v>
      </c>
      <c r="M28" s="85"/>
      <c r="N28" s="86"/>
      <c r="Q28" s="84">
        <f t="shared" si="3"/>
        <v>18</v>
      </c>
      <c r="R28" s="85"/>
      <c r="S28" s="86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6"/>
      <c r="H29" s="80"/>
      <c r="I29" s="81"/>
      <c r="J29" s="82"/>
      <c r="L29" s="84">
        <f t="shared" si="2"/>
        <v>19</v>
      </c>
      <c r="M29" s="87"/>
      <c r="N29" s="88"/>
      <c r="Q29" s="84">
        <f t="shared" si="3"/>
        <v>19</v>
      </c>
      <c r="R29" s="89"/>
      <c r="S29" s="88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6"/>
      <c r="H30" s="80"/>
      <c r="I30" s="81"/>
      <c r="J30" s="82"/>
      <c r="L30" s="84">
        <f t="shared" si="2"/>
        <v>20</v>
      </c>
      <c r="M30" s="87"/>
      <c r="N30" s="88"/>
      <c r="Q30" s="84">
        <f t="shared" si="3"/>
        <v>20</v>
      </c>
      <c r="R30" s="89"/>
      <c r="S30" s="88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6"/>
      <c r="H31" s="80"/>
      <c r="I31" s="81"/>
      <c r="J31" s="82"/>
      <c r="L31" s="84">
        <f t="shared" si="2"/>
        <v>21</v>
      </c>
      <c r="M31" s="87"/>
      <c r="N31" s="88"/>
      <c r="Q31" s="84">
        <f t="shared" si="3"/>
        <v>21</v>
      </c>
      <c r="R31" s="89"/>
      <c r="S31" s="88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6"/>
      <c r="H32" s="80"/>
      <c r="I32" s="81"/>
      <c r="J32" s="82"/>
      <c r="L32" s="84">
        <f t="shared" si="2"/>
        <v>22</v>
      </c>
      <c r="M32" s="87"/>
      <c r="N32" s="88"/>
      <c r="Q32" s="84">
        <f t="shared" si="3"/>
        <v>22</v>
      </c>
      <c r="R32" s="89"/>
      <c r="S32" s="88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6"/>
      <c r="H33" s="80"/>
      <c r="I33" s="81"/>
      <c r="J33" s="82"/>
      <c r="L33" s="84">
        <f t="shared" si="2"/>
        <v>23</v>
      </c>
      <c r="M33" s="87"/>
      <c r="N33" s="88"/>
      <c r="Q33" s="84">
        <f t="shared" si="3"/>
        <v>23</v>
      </c>
      <c r="R33" s="89"/>
      <c r="S33" s="88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6"/>
      <c r="H34" s="80"/>
      <c r="I34" s="81"/>
      <c r="J34" s="82"/>
      <c r="L34" s="84">
        <f t="shared" si="2"/>
        <v>24</v>
      </c>
      <c r="M34" s="87"/>
      <c r="N34" s="88"/>
      <c r="Q34" s="84">
        <f t="shared" si="3"/>
        <v>24</v>
      </c>
      <c r="R34" s="89"/>
      <c r="S34" s="88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6"/>
      <c r="H35" s="80"/>
      <c r="I35" s="81"/>
      <c r="J35" s="82"/>
      <c r="L35" s="84">
        <f t="shared" si="2"/>
        <v>25</v>
      </c>
      <c r="M35" s="87"/>
      <c r="N35" s="88"/>
      <c r="Q35" s="84">
        <f t="shared" si="3"/>
        <v>25</v>
      </c>
      <c r="R35" s="89"/>
      <c r="S35" s="88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6"/>
      <c r="H36" s="80"/>
      <c r="I36" s="81"/>
      <c r="J36" s="82"/>
      <c r="L36" s="84">
        <f t="shared" si="2"/>
        <v>26</v>
      </c>
      <c r="M36" s="87"/>
      <c r="N36" s="88"/>
      <c r="Q36" s="84">
        <f t="shared" si="3"/>
        <v>26</v>
      </c>
      <c r="R36" s="89"/>
      <c r="S36" s="88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6"/>
      <c r="H37" s="80"/>
      <c r="I37" s="81"/>
      <c r="J37" s="82"/>
      <c r="L37" s="84">
        <f t="shared" si="2"/>
        <v>27</v>
      </c>
      <c r="M37" s="87"/>
      <c r="N37" s="88"/>
      <c r="Q37" s="84">
        <f t="shared" si="3"/>
        <v>27</v>
      </c>
      <c r="R37" s="89"/>
      <c r="S37" s="88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6"/>
      <c r="H38" s="80"/>
      <c r="I38" s="81"/>
      <c r="J38" s="82"/>
      <c r="L38" s="84">
        <f t="shared" si="2"/>
        <v>28</v>
      </c>
      <c r="M38" s="87"/>
      <c r="N38" s="88"/>
      <c r="Q38" s="84">
        <f t="shared" si="3"/>
        <v>28</v>
      </c>
      <c r="R38" s="89"/>
      <c r="S38" s="88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6"/>
      <c r="H39" s="80"/>
      <c r="I39" s="81"/>
      <c r="J39" s="82"/>
      <c r="L39" s="84">
        <f t="shared" si="2"/>
        <v>29</v>
      </c>
      <c r="M39" s="87"/>
      <c r="N39" s="88"/>
      <c r="Q39" s="84">
        <f t="shared" si="3"/>
        <v>29</v>
      </c>
      <c r="R39" s="89"/>
      <c r="S39" s="88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6"/>
      <c r="H40" s="80"/>
      <c r="I40" s="81"/>
      <c r="J40" s="82"/>
      <c r="L40" s="84">
        <f t="shared" si="2"/>
        <v>30</v>
      </c>
      <c r="M40" s="87"/>
      <c r="N40" s="88"/>
      <c r="Q40" s="84">
        <f t="shared" si="3"/>
        <v>30</v>
      </c>
      <c r="R40" s="89"/>
      <c r="S40" s="88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75"/>
      <c r="H41" s="80"/>
      <c r="I41" s="81"/>
      <c r="J41" s="82"/>
      <c r="L41" s="84">
        <f t="shared" si="2"/>
        <v>31</v>
      </c>
      <c r="M41" s="87"/>
      <c r="N41" s="88"/>
      <c r="Q41" s="84">
        <f t="shared" si="3"/>
        <v>31</v>
      </c>
      <c r="R41" s="89"/>
      <c r="S41" s="88"/>
      <c r="V41" s="76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</row>
    <row r="42" spans="1:40" x14ac:dyDescent="0.35">
      <c r="A42" s="9">
        <f t="shared" si="1"/>
        <v>42</v>
      </c>
      <c r="G42" s="75"/>
      <c r="H42" s="80"/>
      <c r="I42" s="81"/>
      <c r="J42" s="82"/>
      <c r="L42" s="84">
        <f t="shared" si="2"/>
        <v>32</v>
      </c>
      <c r="M42" s="87"/>
      <c r="N42" s="88"/>
      <c r="Q42" s="84">
        <f t="shared" si="3"/>
        <v>32</v>
      </c>
      <c r="R42" s="89"/>
      <c r="S42" s="88"/>
      <c r="V42" s="76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</row>
    <row r="43" spans="1:40" x14ac:dyDescent="0.35">
      <c r="A43" s="9">
        <f t="shared" si="1"/>
        <v>43</v>
      </c>
      <c r="G43" s="75"/>
      <c r="H43" s="80"/>
      <c r="I43" s="81"/>
      <c r="J43" s="82"/>
      <c r="L43" s="84">
        <f t="shared" si="2"/>
        <v>33</v>
      </c>
      <c r="M43" s="87"/>
      <c r="N43" s="88"/>
      <c r="Q43" s="84">
        <f t="shared" si="3"/>
        <v>33</v>
      </c>
      <c r="R43" s="89"/>
      <c r="S43" s="88"/>
      <c r="V43" s="76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</row>
    <row r="44" spans="1:40" x14ac:dyDescent="0.35">
      <c r="A44" s="9">
        <f t="shared" si="1"/>
        <v>44</v>
      </c>
      <c r="G44" s="75"/>
      <c r="H44" s="80"/>
      <c r="I44" s="81"/>
      <c r="J44" s="82"/>
      <c r="L44" s="84">
        <f t="shared" si="2"/>
        <v>34</v>
      </c>
      <c r="M44" s="87"/>
      <c r="N44" s="88"/>
      <c r="Q44" s="84">
        <f t="shared" si="3"/>
        <v>34</v>
      </c>
      <c r="R44" s="89"/>
      <c r="S44" s="88"/>
      <c r="V44" s="76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</row>
    <row r="45" spans="1:40" x14ac:dyDescent="0.35">
      <c r="A45" s="9">
        <f t="shared" si="1"/>
        <v>45</v>
      </c>
      <c r="G45" s="75"/>
      <c r="H45" s="80"/>
      <c r="I45" s="81"/>
      <c r="J45" s="82"/>
      <c r="L45" s="84">
        <f t="shared" si="2"/>
        <v>35</v>
      </c>
      <c r="M45" s="87"/>
      <c r="N45" s="88"/>
      <c r="Q45" s="84">
        <f t="shared" si="3"/>
        <v>35</v>
      </c>
      <c r="R45" s="89"/>
      <c r="S45" s="88"/>
      <c r="V45" s="76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</row>
    <row r="46" spans="1:40" x14ac:dyDescent="0.35">
      <c r="A46" s="9">
        <f t="shared" si="1"/>
        <v>46</v>
      </c>
      <c r="G46" s="75"/>
      <c r="H46" s="80"/>
      <c r="I46" s="81"/>
      <c r="J46" s="82"/>
      <c r="L46" s="84">
        <f t="shared" si="2"/>
        <v>36</v>
      </c>
      <c r="M46" s="87"/>
      <c r="N46" s="88"/>
      <c r="Q46" s="84">
        <f t="shared" si="3"/>
        <v>36</v>
      </c>
      <c r="R46" s="89"/>
      <c r="S46" s="88"/>
      <c r="V46" s="76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</row>
    <row r="47" spans="1:40" x14ac:dyDescent="0.35">
      <c r="A47" s="9">
        <f t="shared" si="1"/>
        <v>47</v>
      </c>
      <c r="G47" s="75"/>
      <c r="H47" s="80"/>
      <c r="I47" s="81"/>
      <c r="J47" s="82"/>
      <c r="L47" s="84">
        <f t="shared" si="2"/>
        <v>37</v>
      </c>
      <c r="M47" s="87"/>
      <c r="N47" s="88"/>
      <c r="Q47" s="84">
        <f t="shared" si="3"/>
        <v>37</v>
      </c>
      <c r="R47" s="89"/>
      <c r="S47" s="88"/>
      <c r="V47" s="76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</row>
    <row r="48" spans="1:40" x14ac:dyDescent="0.35">
      <c r="A48" s="9">
        <f t="shared" si="1"/>
        <v>48</v>
      </c>
      <c r="G48" s="75"/>
      <c r="H48" s="80"/>
      <c r="I48" s="81"/>
      <c r="J48" s="82"/>
      <c r="L48" s="84">
        <f t="shared" si="2"/>
        <v>38</v>
      </c>
      <c r="M48" s="87"/>
      <c r="N48" s="88"/>
      <c r="Q48" s="84">
        <f t="shared" si="3"/>
        <v>38</v>
      </c>
      <c r="R48" s="89"/>
      <c r="S48" s="88"/>
      <c r="V48" s="76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</row>
    <row r="49" spans="1:40" x14ac:dyDescent="0.35">
      <c r="A49" s="9">
        <f t="shared" si="1"/>
        <v>49</v>
      </c>
      <c r="G49" s="75"/>
      <c r="H49" s="80"/>
      <c r="I49" s="81"/>
      <c r="J49" s="82"/>
      <c r="L49" s="84">
        <f t="shared" si="2"/>
        <v>39</v>
      </c>
      <c r="M49" s="87"/>
      <c r="N49" s="88"/>
      <c r="Q49" s="84">
        <f t="shared" si="3"/>
        <v>39</v>
      </c>
      <c r="R49" s="89"/>
      <c r="S49" s="88"/>
      <c r="V49" s="76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35">
      <c r="A50" s="9">
        <f t="shared" si="1"/>
        <v>50</v>
      </c>
      <c r="G50" s="75"/>
      <c r="H50" s="80"/>
      <c r="I50" s="81"/>
      <c r="J50" s="82"/>
      <c r="L50" s="84">
        <f t="shared" si="2"/>
        <v>40</v>
      </c>
      <c r="M50" s="87"/>
      <c r="N50" s="88"/>
      <c r="Q50" s="84">
        <f t="shared" si="3"/>
        <v>40</v>
      </c>
      <c r="R50" s="89"/>
      <c r="S50" s="88"/>
      <c r="V50" s="76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</row>
    <row r="51" spans="1:40" x14ac:dyDescent="0.35">
      <c r="A51" s="9">
        <f t="shared" si="1"/>
        <v>51</v>
      </c>
      <c r="G51" s="75"/>
      <c r="H51" s="80"/>
      <c r="I51" s="81"/>
      <c r="J51" s="82"/>
      <c r="L51" s="84">
        <f t="shared" si="2"/>
        <v>41</v>
      </c>
      <c r="M51" s="87"/>
      <c r="N51" s="88"/>
      <c r="Q51" s="84">
        <f t="shared" si="3"/>
        <v>41</v>
      </c>
      <c r="R51" s="89"/>
      <c r="S51" s="88"/>
      <c r="V51" s="76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</row>
    <row r="52" spans="1:40" x14ac:dyDescent="0.35">
      <c r="A52" s="9">
        <f t="shared" si="1"/>
        <v>52</v>
      </c>
      <c r="G52" s="75"/>
      <c r="H52" s="80"/>
      <c r="I52" s="81"/>
      <c r="J52" s="82"/>
      <c r="L52" s="84">
        <f t="shared" si="2"/>
        <v>42</v>
      </c>
      <c r="M52" s="87"/>
      <c r="N52" s="88"/>
      <c r="Q52" s="84">
        <f t="shared" si="3"/>
        <v>42</v>
      </c>
      <c r="R52" s="89"/>
      <c r="S52" s="88"/>
      <c r="V52" s="76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</row>
    <row r="53" spans="1:40" x14ac:dyDescent="0.35">
      <c r="A53" s="9">
        <f t="shared" si="1"/>
        <v>53</v>
      </c>
      <c r="G53" s="75"/>
      <c r="H53" s="80"/>
      <c r="I53" s="81"/>
      <c r="J53" s="82"/>
      <c r="L53" s="84">
        <f t="shared" si="2"/>
        <v>43</v>
      </c>
      <c r="M53" s="87"/>
      <c r="N53" s="88"/>
      <c r="Q53" s="84">
        <f t="shared" si="3"/>
        <v>43</v>
      </c>
      <c r="R53" s="89"/>
      <c r="S53" s="88"/>
      <c r="V53" s="76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5" t="s">
        <v>24</v>
      </c>
      <c r="H55" s="97" t="s">
        <v>23</v>
      </c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</row>
    <row r="56" spans="1:40" x14ac:dyDescent="0.4">
      <c r="A56" s="9">
        <f t="shared" si="1"/>
        <v>56</v>
      </c>
      <c r="B56" s="91" t="s">
        <v>3</v>
      </c>
      <c r="C56" s="91"/>
      <c r="D56" s="92">
        <v>1</v>
      </c>
      <c r="E56" s="92"/>
      <c r="G56" s="96"/>
      <c r="H56" s="98" t="s">
        <v>7</v>
      </c>
      <c r="I56" s="99"/>
      <c r="L56" s="102" t="s">
        <v>11</v>
      </c>
      <c r="M56" s="102"/>
      <c r="N56" s="102"/>
      <c r="Q56" s="102" t="s">
        <v>12</v>
      </c>
      <c r="R56" s="102"/>
      <c r="S56" s="102"/>
      <c r="V56" s="102" t="s">
        <v>13</v>
      </c>
      <c r="W56" s="102"/>
      <c r="X56" s="102"/>
    </row>
    <row r="57" spans="1:40" x14ac:dyDescent="0.4">
      <c r="A57" s="9">
        <f t="shared" si="1"/>
        <v>57</v>
      </c>
      <c r="B57" s="91" t="s">
        <v>4</v>
      </c>
      <c r="C57" s="91"/>
      <c r="D57" s="92">
        <v>1</v>
      </c>
      <c r="E57" s="92"/>
      <c r="G57" s="96"/>
      <c r="H57" s="100"/>
      <c r="I57" s="101"/>
      <c r="L57" s="102"/>
      <c r="M57" s="102"/>
      <c r="N57" s="102"/>
      <c r="Q57" s="102"/>
      <c r="R57" s="102"/>
      <c r="S57" s="102"/>
      <c r="V57" s="102"/>
      <c r="W57" s="102"/>
      <c r="X57" s="102"/>
    </row>
    <row r="58" spans="1:40" x14ac:dyDescent="0.4">
      <c r="A58" s="9">
        <f t="shared" si="1"/>
        <v>58</v>
      </c>
      <c r="B58" s="91" t="s">
        <v>1</v>
      </c>
      <c r="C58" s="91"/>
      <c r="D58" s="92">
        <v>0.01</v>
      </c>
      <c r="E58" s="92"/>
      <c r="G58" s="96"/>
      <c r="I58" s="2" t="s">
        <v>107</v>
      </c>
      <c r="J58" s="2" t="s">
        <v>108</v>
      </c>
      <c r="K58" s="2" t="s">
        <v>110</v>
      </c>
      <c r="V58" s="102" t="s">
        <v>14</v>
      </c>
      <c r="W58" s="102"/>
      <c r="X58" s="4">
        <v>3</v>
      </c>
    </row>
    <row r="59" spans="1:40" x14ac:dyDescent="0.4">
      <c r="A59" s="9">
        <f t="shared" si="1"/>
        <v>59</v>
      </c>
      <c r="G59" s="96"/>
      <c r="H59" s="2" t="s">
        <v>8</v>
      </c>
      <c r="I59" s="3">
        <v>0.01</v>
      </c>
      <c r="J59" s="78">
        <v>0.01</v>
      </c>
      <c r="K59" s="78">
        <v>0.9</v>
      </c>
      <c r="Q59" s="102" t="s">
        <v>15</v>
      </c>
      <c r="R59" s="102"/>
      <c r="S59" s="4">
        <v>3</v>
      </c>
      <c r="V59" s="93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6"/>
      <c r="H60" s="79" t="s">
        <v>9</v>
      </c>
      <c r="I60" s="103" t="s">
        <v>10</v>
      </c>
      <c r="J60" s="104"/>
      <c r="L60" s="83" t="s">
        <v>18</v>
      </c>
      <c r="M60" s="83" t="s">
        <v>19</v>
      </c>
      <c r="N60" s="79" t="s">
        <v>72</v>
      </c>
      <c r="Q60" s="83" t="s">
        <v>18</v>
      </c>
      <c r="R60" s="83" t="s">
        <v>19</v>
      </c>
      <c r="S60" s="79" t="s">
        <v>20</v>
      </c>
      <c r="V60" s="94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6"/>
      <c r="H61" s="80">
        <v>1</v>
      </c>
      <c r="I61" s="81">
        <v>1.3179794086105324E-2</v>
      </c>
      <c r="J61" s="82">
        <v>7.9480132039241695E-3</v>
      </c>
      <c r="L61" s="84">
        <v>1</v>
      </c>
      <c r="M61" s="85">
        <v>0.25</v>
      </c>
      <c r="N61" s="86">
        <v>4.2140000000000004E-2</v>
      </c>
      <c r="O61" s="31"/>
      <c r="Q61" s="84">
        <v>1</v>
      </c>
      <c r="R61" s="85">
        <v>1</v>
      </c>
      <c r="S61" s="86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6"/>
      <c r="H62" s="80">
        <v>2</v>
      </c>
      <c r="I62" s="81">
        <v>1.2003347093782295E-2</v>
      </c>
      <c r="J62" s="82">
        <v>6.8935927128934531E-3</v>
      </c>
      <c r="L62" s="84">
        <f>L61+1</f>
        <v>2</v>
      </c>
      <c r="M62" s="85">
        <v>0.5</v>
      </c>
      <c r="N62" s="86">
        <v>4.5100000000000001E-2</v>
      </c>
      <c r="O62" s="31"/>
      <c r="Q62" s="84">
        <f>Q61+1</f>
        <v>2</v>
      </c>
      <c r="R62" s="85">
        <v>2</v>
      </c>
      <c r="S62" s="86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107" t="s">
        <v>6</v>
      </c>
      <c r="E63" s="107"/>
      <c r="G63" s="96"/>
      <c r="H63" s="80">
        <v>3</v>
      </c>
      <c r="I63" s="81">
        <v>1.1763422778972145E-2</v>
      </c>
      <c r="J63" s="82">
        <v>5.728919982521256E-3</v>
      </c>
      <c r="L63" s="84">
        <f t="shared" ref="L63:L103" si="4">L62+1</f>
        <v>3</v>
      </c>
      <c r="M63" s="85">
        <v>1</v>
      </c>
      <c r="N63" s="86">
        <v>4.8210000000000003E-2</v>
      </c>
      <c r="O63" s="31"/>
      <c r="Q63" s="84">
        <f t="shared" ref="Q63:Q103" si="5">Q62+1</f>
        <v>3</v>
      </c>
      <c r="R63" s="85">
        <v>3</v>
      </c>
      <c r="S63" s="86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107"/>
      <c r="E64" s="107"/>
      <c r="G64" s="96"/>
      <c r="H64" s="80">
        <v>4</v>
      </c>
      <c r="I64" s="81">
        <v>1.2245700586857295E-2</v>
      </c>
      <c r="J64" s="82">
        <v>4.1859844426167959E-3</v>
      </c>
      <c r="L64" s="84">
        <f t="shared" si="4"/>
        <v>4</v>
      </c>
      <c r="M64" s="85">
        <v>2</v>
      </c>
      <c r="N64" s="86">
        <v>4.7410000000000001E-2</v>
      </c>
      <c r="O64" s="31"/>
      <c r="Q64" s="84">
        <f t="shared" si="5"/>
        <v>4</v>
      </c>
      <c r="R64" s="85">
        <v>4</v>
      </c>
      <c r="S64" s="86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107"/>
      <c r="E65" s="107"/>
      <c r="G65" s="96"/>
      <c r="H65" s="80">
        <v>5</v>
      </c>
      <c r="I65" s="81">
        <v>1.2995777704928289E-2</v>
      </c>
      <c r="J65" s="82">
        <v>4.9759111242057424E-3</v>
      </c>
      <c r="L65" s="84">
        <f t="shared" si="4"/>
        <v>5</v>
      </c>
      <c r="M65" s="85">
        <v>3</v>
      </c>
      <c r="N65" s="86">
        <v>4.727E-2</v>
      </c>
      <c r="O65" s="31"/>
      <c r="Q65" s="84">
        <f t="shared" si="5"/>
        <v>5</v>
      </c>
      <c r="R65" s="85">
        <v>5</v>
      </c>
      <c r="S65" s="86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109</v>
      </c>
      <c r="D66" s="90">
        <v>3.3799999999999997E-2</v>
      </c>
      <c r="G66" s="96"/>
      <c r="H66" s="80">
        <v>7</v>
      </c>
      <c r="I66" s="81">
        <v>1.3388249104174767E-2</v>
      </c>
      <c r="J66" s="82">
        <v>4.1755378054619983E-3</v>
      </c>
      <c r="L66" s="84">
        <f t="shared" si="4"/>
        <v>6</v>
      </c>
      <c r="M66" s="85">
        <v>5</v>
      </c>
      <c r="N66" s="86">
        <v>4.5089999999999998E-2</v>
      </c>
      <c r="O66" s="31"/>
      <c r="Q66" s="84">
        <f t="shared" si="5"/>
        <v>6</v>
      </c>
      <c r="R66" s="85">
        <v>7</v>
      </c>
      <c r="S66" s="86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105">
        <v>45016.364976851852</v>
      </c>
      <c r="E67" s="105"/>
      <c r="G67" s="96"/>
      <c r="H67" s="80">
        <v>10</v>
      </c>
      <c r="I67" s="81">
        <v>1.5966173861409756E-2</v>
      </c>
      <c r="J67" s="82">
        <v>3.3345664623276776E-3</v>
      </c>
      <c r="L67" s="84">
        <f t="shared" si="4"/>
        <v>7</v>
      </c>
      <c r="M67" s="85">
        <v>7</v>
      </c>
      <c r="N67" s="86">
        <v>4.4120000000000006E-2</v>
      </c>
      <c r="O67" s="31"/>
      <c r="Q67" s="84">
        <f t="shared" si="5"/>
        <v>7</v>
      </c>
      <c r="R67" s="85">
        <v>10</v>
      </c>
      <c r="S67" s="86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105">
        <v>45016.364976851852</v>
      </c>
      <c r="E68" s="105"/>
      <c r="G68" s="96"/>
      <c r="H68" s="80"/>
      <c r="I68" s="81"/>
      <c r="J68" s="82"/>
      <c r="L68" s="84">
        <f t="shared" si="4"/>
        <v>8</v>
      </c>
      <c r="M68" s="85">
        <v>10</v>
      </c>
      <c r="N68" s="86">
        <v>4.2840000000000003E-2</v>
      </c>
      <c r="O68" s="31"/>
      <c r="Q68" s="84">
        <f t="shared" si="5"/>
        <v>8</v>
      </c>
      <c r="R68" s="85"/>
      <c r="S68" s="86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6"/>
      <c r="H69" s="80"/>
      <c r="I69" s="81"/>
      <c r="J69" s="82"/>
      <c r="L69" s="84">
        <f t="shared" si="4"/>
        <v>9</v>
      </c>
      <c r="M69" s="85">
        <v>20</v>
      </c>
      <c r="N69" s="86">
        <v>4.5839999999999999E-2</v>
      </c>
      <c r="O69" s="31"/>
      <c r="Q69" s="84">
        <f t="shared" si="5"/>
        <v>9</v>
      </c>
      <c r="R69" s="85"/>
      <c r="S69" s="86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6"/>
      <c r="H70" s="80"/>
      <c r="I70" s="81"/>
      <c r="J70" s="82"/>
      <c r="L70" s="84">
        <f t="shared" si="4"/>
        <v>10</v>
      </c>
      <c r="M70" s="85">
        <v>30</v>
      </c>
      <c r="N70" s="86">
        <f>N69+0.001</f>
        <v>4.684E-2</v>
      </c>
      <c r="O70" s="31"/>
      <c r="Q70" s="84">
        <f t="shared" si="5"/>
        <v>10</v>
      </c>
      <c r="R70" s="85"/>
      <c r="S70" s="86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6"/>
      <c r="H71" s="80"/>
      <c r="I71" s="81"/>
      <c r="J71" s="82"/>
      <c r="L71" s="84">
        <f t="shared" si="4"/>
        <v>11</v>
      </c>
      <c r="M71" s="85"/>
      <c r="N71" s="86"/>
      <c r="Q71" s="84">
        <f t="shared" si="5"/>
        <v>11</v>
      </c>
      <c r="R71" s="85"/>
      <c r="S71" s="86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6"/>
      <c r="H72" s="80"/>
      <c r="I72" s="81"/>
      <c r="J72" s="82"/>
      <c r="L72" s="84">
        <f t="shared" si="4"/>
        <v>12</v>
      </c>
      <c r="M72" s="85"/>
      <c r="N72" s="86"/>
      <c r="Q72" s="84">
        <f t="shared" si="5"/>
        <v>12</v>
      </c>
      <c r="R72" s="85"/>
      <c r="S72" s="86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G73" s="96"/>
      <c r="H73" s="80"/>
      <c r="I73" s="81"/>
      <c r="J73" s="82"/>
      <c r="L73" s="84">
        <f t="shared" si="4"/>
        <v>13</v>
      </c>
      <c r="M73" s="85"/>
      <c r="N73" s="86"/>
      <c r="Q73" s="84">
        <f t="shared" si="5"/>
        <v>13</v>
      </c>
      <c r="R73" s="85"/>
      <c r="S73" s="86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91" t="s">
        <v>112</v>
      </c>
      <c r="C74" s="91"/>
      <c r="D74" s="92">
        <v>1</v>
      </c>
      <c r="E74" s="92"/>
      <c r="G74" s="96"/>
      <c r="H74" s="80"/>
      <c r="I74" s="81"/>
      <c r="J74" s="82"/>
      <c r="L74" s="84">
        <f t="shared" si="4"/>
        <v>14</v>
      </c>
      <c r="M74" s="85"/>
      <c r="N74" s="86"/>
      <c r="Q74" s="84">
        <f t="shared" si="5"/>
        <v>14</v>
      </c>
      <c r="R74" s="85"/>
      <c r="S74" s="86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91" t="s">
        <v>114</v>
      </c>
      <c r="C75" s="91"/>
      <c r="D75" s="92">
        <v>-0.12</v>
      </c>
      <c r="E75" s="92"/>
      <c r="G75" s="96"/>
      <c r="H75" s="80"/>
      <c r="I75" s="81"/>
      <c r="J75" s="82"/>
      <c r="L75" s="84">
        <f t="shared" si="4"/>
        <v>15</v>
      </c>
      <c r="M75" s="85"/>
      <c r="N75" s="86"/>
      <c r="Q75" s="84">
        <f t="shared" si="5"/>
        <v>15</v>
      </c>
      <c r="R75" s="85"/>
      <c r="S75" s="86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91" t="s">
        <v>113</v>
      </c>
      <c r="C76" s="91"/>
      <c r="D76" s="92">
        <v>0.24</v>
      </c>
      <c r="E76" s="92"/>
      <c r="G76" s="96"/>
      <c r="H76" s="80"/>
      <c r="I76" s="81"/>
      <c r="J76" s="82"/>
      <c r="L76" s="84">
        <f t="shared" si="4"/>
        <v>16</v>
      </c>
      <c r="M76" s="85"/>
      <c r="N76" s="86"/>
      <c r="Q76" s="84">
        <f t="shared" si="5"/>
        <v>16</v>
      </c>
      <c r="R76" s="85"/>
      <c r="S76" s="86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6"/>
      <c r="H77" s="80"/>
      <c r="I77" s="81"/>
      <c r="J77" s="82"/>
      <c r="L77" s="84">
        <f t="shared" si="4"/>
        <v>17</v>
      </c>
      <c r="M77" s="85"/>
      <c r="N77" s="86"/>
      <c r="Q77" s="84">
        <f t="shared" si="5"/>
        <v>17</v>
      </c>
      <c r="R77" s="85"/>
      <c r="S77" s="86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6"/>
      <c r="H78" s="80"/>
      <c r="I78" s="81"/>
      <c r="J78" s="82"/>
      <c r="L78" s="84">
        <f t="shared" si="4"/>
        <v>18</v>
      </c>
      <c r="M78" s="85"/>
      <c r="N78" s="86"/>
      <c r="Q78" s="84">
        <f t="shared" si="5"/>
        <v>18</v>
      </c>
      <c r="R78" s="85"/>
      <c r="S78" s="86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6"/>
      <c r="H79" s="80"/>
      <c r="I79" s="81"/>
      <c r="J79" s="82"/>
      <c r="L79" s="84">
        <f t="shared" si="4"/>
        <v>19</v>
      </c>
      <c r="M79" s="87"/>
      <c r="N79" s="88"/>
      <c r="Q79" s="84">
        <f t="shared" si="5"/>
        <v>19</v>
      </c>
      <c r="R79" s="89"/>
      <c r="S79" s="88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6"/>
      <c r="H80" s="80"/>
      <c r="I80" s="81"/>
      <c r="J80" s="82"/>
      <c r="L80" s="84">
        <f t="shared" si="4"/>
        <v>20</v>
      </c>
      <c r="M80" s="87"/>
      <c r="N80" s="88"/>
      <c r="Q80" s="84">
        <f t="shared" si="5"/>
        <v>20</v>
      </c>
      <c r="R80" s="89"/>
      <c r="S80" s="88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6"/>
      <c r="H81" s="80"/>
      <c r="I81" s="81"/>
      <c r="J81" s="82"/>
      <c r="L81" s="84">
        <f t="shared" si="4"/>
        <v>21</v>
      </c>
      <c r="M81" s="87"/>
      <c r="N81" s="88"/>
      <c r="Q81" s="84">
        <f t="shared" si="5"/>
        <v>21</v>
      </c>
      <c r="R81" s="89"/>
      <c r="S81" s="88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6"/>
      <c r="H82" s="80"/>
      <c r="I82" s="81"/>
      <c r="J82" s="82"/>
      <c r="L82" s="84">
        <f t="shared" si="4"/>
        <v>22</v>
      </c>
      <c r="M82" s="87"/>
      <c r="N82" s="88"/>
      <c r="Q82" s="84">
        <f t="shared" si="5"/>
        <v>22</v>
      </c>
      <c r="R82" s="89"/>
      <c r="S82" s="88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6"/>
      <c r="H83" s="80"/>
      <c r="I83" s="81"/>
      <c r="J83" s="82"/>
      <c r="L83" s="84">
        <f t="shared" si="4"/>
        <v>23</v>
      </c>
      <c r="M83" s="87"/>
      <c r="N83" s="88"/>
      <c r="Q83" s="84">
        <f t="shared" si="5"/>
        <v>23</v>
      </c>
      <c r="R83" s="89"/>
      <c r="S83" s="88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6"/>
      <c r="H84" s="80"/>
      <c r="I84" s="81"/>
      <c r="J84" s="82"/>
      <c r="L84" s="84">
        <f t="shared" si="4"/>
        <v>24</v>
      </c>
      <c r="M84" s="87"/>
      <c r="N84" s="88"/>
      <c r="Q84" s="84">
        <f t="shared" si="5"/>
        <v>24</v>
      </c>
      <c r="R84" s="89"/>
      <c r="S84" s="88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6"/>
      <c r="H85" s="80"/>
      <c r="I85" s="81"/>
      <c r="J85" s="82"/>
      <c r="L85" s="84">
        <f t="shared" si="4"/>
        <v>25</v>
      </c>
      <c r="M85" s="87"/>
      <c r="N85" s="88"/>
      <c r="Q85" s="84">
        <f t="shared" si="5"/>
        <v>25</v>
      </c>
      <c r="R85" s="89"/>
      <c r="S85" s="88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6"/>
      <c r="H86" s="80"/>
      <c r="I86" s="81"/>
      <c r="J86" s="82"/>
      <c r="L86" s="84">
        <f t="shared" si="4"/>
        <v>26</v>
      </c>
      <c r="M86" s="87"/>
      <c r="N86" s="88"/>
      <c r="Q86" s="84">
        <f t="shared" si="5"/>
        <v>26</v>
      </c>
      <c r="R86" s="89"/>
      <c r="S86" s="88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6"/>
      <c r="H87" s="80"/>
      <c r="I87" s="81"/>
      <c r="J87" s="82"/>
      <c r="L87" s="84">
        <f t="shared" si="4"/>
        <v>27</v>
      </c>
      <c r="M87" s="87"/>
      <c r="N87" s="88"/>
      <c r="Q87" s="84">
        <f t="shared" si="5"/>
        <v>27</v>
      </c>
      <c r="R87" s="89"/>
      <c r="S87" s="88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6"/>
      <c r="H88" s="80"/>
      <c r="I88" s="81"/>
      <c r="J88" s="82"/>
      <c r="L88" s="84">
        <f t="shared" si="4"/>
        <v>28</v>
      </c>
      <c r="M88" s="87"/>
      <c r="N88" s="88"/>
      <c r="Q88" s="84">
        <f t="shared" si="5"/>
        <v>28</v>
      </c>
      <c r="R88" s="89"/>
      <c r="S88" s="88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6"/>
      <c r="H89" s="80"/>
      <c r="I89" s="81"/>
      <c r="J89" s="82"/>
      <c r="L89" s="84">
        <f t="shared" si="4"/>
        <v>29</v>
      </c>
      <c r="M89" s="87"/>
      <c r="N89" s="88"/>
      <c r="Q89" s="84">
        <f t="shared" si="5"/>
        <v>29</v>
      </c>
      <c r="R89" s="89"/>
      <c r="S89" s="88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6"/>
      <c r="H90" s="80"/>
      <c r="I90" s="81"/>
      <c r="J90" s="82"/>
      <c r="L90" s="84">
        <f t="shared" si="4"/>
        <v>30</v>
      </c>
      <c r="M90" s="87"/>
      <c r="N90" s="88"/>
      <c r="Q90" s="84">
        <f t="shared" si="5"/>
        <v>30</v>
      </c>
      <c r="R90" s="89"/>
      <c r="S90" s="88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75"/>
      <c r="H91" s="80"/>
      <c r="I91" s="81"/>
      <c r="J91" s="82"/>
      <c r="L91" s="84">
        <f t="shared" si="4"/>
        <v>31</v>
      </c>
      <c r="M91" s="87"/>
      <c r="N91" s="88"/>
      <c r="Q91" s="84">
        <f t="shared" si="5"/>
        <v>31</v>
      </c>
      <c r="R91" s="89"/>
      <c r="S91" s="88"/>
      <c r="V91" s="76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35">
      <c r="A92" s="9">
        <f t="shared" si="6"/>
        <v>92</v>
      </c>
      <c r="G92" s="75"/>
      <c r="H92" s="80"/>
      <c r="I92" s="81"/>
      <c r="J92" s="82"/>
      <c r="L92" s="84">
        <f t="shared" si="4"/>
        <v>32</v>
      </c>
      <c r="M92" s="87"/>
      <c r="N92" s="88"/>
      <c r="Q92" s="84">
        <f t="shared" si="5"/>
        <v>32</v>
      </c>
      <c r="R92" s="89"/>
      <c r="S92" s="88"/>
      <c r="V92" s="76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</row>
    <row r="93" spans="1:40" x14ac:dyDescent="0.35">
      <c r="A93" s="9">
        <f t="shared" si="6"/>
        <v>93</v>
      </c>
      <c r="G93" s="75"/>
      <c r="H93" s="80"/>
      <c r="I93" s="81"/>
      <c r="J93" s="82"/>
      <c r="L93" s="84">
        <f t="shared" si="4"/>
        <v>33</v>
      </c>
      <c r="M93" s="87"/>
      <c r="N93" s="88"/>
      <c r="Q93" s="84">
        <f t="shared" si="5"/>
        <v>33</v>
      </c>
      <c r="R93" s="89"/>
      <c r="S93" s="88"/>
      <c r="V93" s="76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</row>
    <row r="94" spans="1:40" x14ac:dyDescent="0.35">
      <c r="A94" s="9">
        <f t="shared" si="6"/>
        <v>94</v>
      </c>
      <c r="G94" s="75"/>
      <c r="H94" s="80"/>
      <c r="I94" s="81"/>
      <c r="J94" s="82"/>
      <c r="L94" s="84">
        <f t="shared" si="4"/>
        <v>34</v>
      </c>
      <c r="M94" s="87"/>
      <c r="N94" s="88"/>
      <c r="Q94" s="84">
        <f t="shared" si="5"/>
        <v>34</v>
      </c>
      <c r="R94" s="89"/>
      <c r="S94" s="88"/>
      <c r="V94" s="76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</row>
    <row r="95" spans="1:40" x14ac:dyDescent="0.35">
      <c r="A95" s="9">
        <f t="shared" si="6"/>
        <v>95</v>
      </c>
      <c r="G95" s="75"/>
      <c r="H95" s="80"/>
      <c r="I95" s="81"/>
      <c r="J95" s="82"/>
      <c r="L95" s="84">
        <f t="shared" si="4"/>
        <v>35</v>
      </c>
      <c r="M95" s="87"/>
      <c r="N95" s="88"/>
      <c r="Q95" s="84">
        <f t="shared" si="5"/>
        <v>35</v>
      </c>
      <c r="R95" s="89"/>
      <c r="S95" s="88"/>
      <c r="V95" s="76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</row>
    <row r="96" spans="1:40" x14ac:dyDescent="0.35">
      <c r="A96" s="9">
        <f t="shared" si="6"/>
        <v>96</v>
      </c>
      <c r="G96" s="75"/>
      <c r="H96" s="80"/>
      <c r="I96" s="81"/>
      <c r="J96" s="82"/>
      <c r="L96" s="84">
        <f t="shared" si="4"/>
        <v>36</v>
      </c>
      <c r="M96" s="87"/>
      <c r="N96" s="88"/>
      <c r="Q96" s="84">
        <f t="shared" si="5"/>
        <v>36</v>
      </c>
      <c r="R96" s="89"/>
      <c r="S96" s="88"/>
      <c r="V96" s="76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</row>
    <row r="97" spans="1:40" x14ac:dyDescent="0.35">
      <c r="A97" s="9">
        <f t="shared" si="6"/>
        <v>97</v>
      </c>
      <c r="G97" s="75"/>
      <c r="H97" s="80"/>
      <c r="I97" s="81"/>
      <c r="J97" s="82"/>
      <c r="L97" s="84">
        <f t="shared" si="4"/>
        <v>37</v>
      </c>
      <c r="M97" s="87"/>
      <c r="N97" s="88"/>
      <c r="Q97" s="84">
        <f t="shared" si="5"/>
        <v>37</v>
      </c>
      <c r="R97" s="89"/>
      <c r="S97" s="88"/>
      <c r="V97" s="76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</row>
    <row r="98" spans="1:40" x14ac:dyDescent="0.35">
      <c r="A98" s="9">
        <f t="shared" si="6"/>
        <v>98</v>
      </c>
      <c r="G98" s="75"/>
      <c r="H98" s="80"/>
      <c r="I98" s="81"/>
      <c r="J98" s="82"/>
      <c r="L98" s="84">
        <f t="shared" si="4"/>
        <v>38</v>
      </c>
      <c r="M98" s="87"/>
      <c r="N98" s="88"/>
      <c r="Q98" s="84">
        <f t="shared" si="5"/>
        <v>38</v>
      </c>
      <c r="R98" s="89"/>
      <c r="S98" s="88"/>
      <c r="V98" s="76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</row>
    <row r="99" spans="1:40" x14ac:dyDescent="0.35">
      <c r="A99" s="9">
        <f t="shared" si="6"/>
        <v>99</v>
      </c>
      <c r="G99" s="75"/>
      <c r="H99" s="80"/>
      <c r="I99" s="81"/>
      <c r="J99" s="82"/>
      <c r="L99" s="84">
        <f t="shared" si="4"/>
        <v>39</v>
      </c>
      <c r="M99" s="87"/>
      <c r="N99" s="88"/>
      <c r="Q99" s="84">
        <f t="shared" si="5"/>
        <v>39</v>
      </c>
      <c r="R99" s="89"/>
      <c r="S99" s="88"/>
      <c r="V99" s="76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</row>
    <row r="100" spans="1:40" x14ac:dyDescent="0.35">
      <c r="A100" s="9">
        <f t="shared" si="6"/>
        <v>100</v>
      </c>
      <c r="G100" s="75"/>
      <c r="H100" s="80"/>
      <c r="I100" s="81"/>
      <c r="J100" s="82"/>
      <c r="L100" s="84">
        <f t="shared" si="4"/>
        <v>40</v>
      </c>
      <c r="M100" s="87"/>
      <c r="N100" s="88"/>
      <c r="Q100" s="84">
        <f t="shared" si="5"/>
        <v>40</v>
      </c>
      <c r="R100" s="89"/>
      <c r="S100" s="88"/>
      <c r="V100" s="76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</row>
    <row r="101" spans="1:40" x14ac:dyDescent="0.35">
      <c r="A101" s="9">
        <f t="shared" si="6"/>
        <v>101</v>
      </c>
      <c r="G101" s="75"/>
      <c r="H101" s="80"/>
      <c r="I101" s="81"/>
      <c r="J101" s="82"/>
      <c r="L101" s="84">
        <f t="shared" si="4"/>
        <v>41</v>
      </c>
      <c r="M101" s="87"/>
      <c r="N101" s="88"/>
      <c r="Q101" s="84">
        <f t="shared" si="5"/>
        <v>41</v>
      </c>
      <c r="R101" s="89"/>
      <c r="S101" s="88"/>
      <c r="V101" s="76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</row>
    <row r="102" spans="1:40" x14ac:dyDescent="0.35">
      <c r="A102" s="9">
        <f t="shared" si="6"/>
        <v>102</v>
      </c>
      <c r="G102" s="75"/>
      <c r="H102" s="80"/>
      <c r="I102" s="81"/>
      <c r="J102" s="82"/>
      <c r="L102" s="84">
        <f t="shared" si="4"/>
        <v>42</v>
      </c>
      <c r="M102" s="87"/>
      <c r="N102" s="88"/>
      <c r="Q102" s="84">
        <f t="shared" si="5"/>
        <v>42</v>
      </c>
      <c r="R102" s="89"/>
      <c r="S102" s="88"/>
      <c r="V102" s="76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</row>
    <row r="103" spans="1:40" x14ac:dyDescent="0.35">
      <c r="A103" s="9">
        <f t="shared" si="6"/>
        <v>103</v>
      </c>
      <c r="G103" s="75"/>
      <c r="H103" s="80"/>
      <c r="I103" s="81"/>
      <c r="J103" s="82"/>
      <c r="L103" s="84">
        <f t="shared" si="4"/>
        <v>43</v>
      </c>
      <c r="M103" s="87"/>
      <c r="N103" s="88"/>
      <c r="Q103" s="84">
        <f t="shared" si="5"/>
        <v>43</v>
      </c>
      <c r="R103" s="89"/>
      <c r="S103" s="88"/>
      <c r="V103" s="76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5" t="s">
        <v>26</v>
      </c>
      <c r="H105" s="97" t="s">
        <v>25</v>
      </c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</row>
    <row r="106" spans="1:40" x14ac:dyDescent="0.4">
      <c r="A106" s="9">
        <f t="shared" si="6"/>
        <v>106</v>
      </c>
      <c r="B106" s="91" t="s">
        <v>3</v>
      </c>
      <c r="C106" s="91"/>
      <c r="D106" s="92">
        <v>1</v>
      </c>
      <c r="E106" s="92"/>
      <c r="G106" s="96"/>
      <c r="H106" s="98" t="s">
        <v>7</v>
      </c>
      <c r="I106" s="99"/>
      <c r="L106" s="102" t="s">
        <v>11</v>
      </c>
      <c r="M106" s="102"/>
      <c r="N106" s="102"/>
      <c r="Q106" s="102" t="s">
        <v>12</v>
      </c>
      <c r="R106" s="102"/>
      <c r="S106" s="102"/>
      <c r="V106" s="102" t="s">
        <v>13</v>
      </c>
      <c r="W106" s="102"/>
      <c r="X106" s="102"/>
    </row>
    <row r="107" spans="1:40" x14ac:dyDescent="0.4">
      <c r="A107" s="9">
        <f t="shared" si="6"/>
        <v>107</v>
      </c>
      <c r="B107" s="91" t="s">
        <v>4</v>
      </c>
      <c r="C107" s="91"/>
      <c r="D107" s="92">
        <v>1</v>
      </c>
      <c r="E107" s="92"/>
      <c r="G107" s="96"/>
      <c r="H107" s="100"/>
      <c r="I107" s="101"/>
      <c r="L107" s="102"/>
      <c r="M107" s="102"/>
      <c r="N107" s="102"/>
      <c r="Q107" s="102"/>
      <c r="R107" s="102"/>
      <c r="S107" s="102"/>
      <c r="V107" s="102"/>
      <c r="W107" s="102"/>
      <c r="X107" s="102"/>
    </row>
    <row r="108" spans="1:40" x14ac:dyDescent="0.4">
      <c r="A108" s="9">
        <f t="shared" si="6"/>
        <v>108</v>
      </c>
      <c r="B108" s="91" t="s">
        <v>1</v>
      </c>
      <c r="C108" s="91"/>
      <c r="D108" s="92">
        <v>0.01</v>
      </c>
      <c r="E108" s="92"/>
      <c r="G108" s="96"/>
      <c r="I108" s="2" t="s">
        <v>107</v>
      </c>
      <c r="J108" s="2" t="s">
        <v>108</v>
      </c>
      <c r="K108" s="2" t="s">
        <v>110</v>
      </c>
      <c r="V108" s="102" t="s">
        <v>14</v>
      </c>
      <c r="W108" s="102"/>
      <c r="X108" s="4">
        <v>3</v>
      </c>
    </row>
    <row r="109" spans="1:40" x14ac:dyDescent="0.4">
      <c r="A109" s="9">
        <f t="shared" si="6"/>
        <v>109</v>
      </c>
      <c r="G109" s="96"/>
      <c r="H109" s="2" t="s">
        <v>8</v>
      </c>
      <c r="I109" s="3">
        <v>0.01</v>
      </c>
      <c r="J109" s="78">
        <v>0.01</v>
      </c>
      <c r="K109" s="78">
        <v>0.9</v>
      </c>
      <c r="Q109" s="102" t="s">
        <v>15</v>
      </c>
      <c r="R109" s="102"/>
      <c r="S109" s="4">
        <v>3</v>
      </c>
      <c r="V109" s="93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6"/>
      <c r="H110" s="79" t="s">
        <v>9</v>
      </c>
      <c r="I110" s="103" t="s">
        <v>10</v>
      </c>
      <c r="J110" s="104"/>
      <c r="L110" s="83" t="s">
        <v>18</v>
      </c>
      <c r="M110" s="83" t="s">
        <v>19</v>
      </c>
      <c r="N110" s="79" t="s">
        <v>72</v>
      </c>
      <c r="Q110" s="83" t="s">
        <v>18</v>
      </c>
      <c r="R110" s="83" t="s">
        <v>19</v>
      </c>
      <c r="S110" s="79" t="s">
        <v>20</v>
      </c>
      <c r="V110" s="94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6"/>
      <c r="H111" s="80">
        <v>0.5</v>
      </c>
      <c r="I111" s="81">
        <v>2.8000000000000004E-3</v>
      </c>
      <c r="J111" s="82">
        <v>1.2999999999999999E-2</v>
      </c>
      <c r="L111" s="84">
        <v>1</v>
      </c>
      <c r="M111" s="85">
        <v>2.7397260273972603E-3</v>
      </c>
      <c r="N111" s="86">
        <v>9.2987051584846429E-3</v>
      </c>
      <c r="Q111" s="84">
        <v>1</v>
      </c>
      <c r="R111" s="85">
        <v>1</v>
      </c>
      <c r="S111" s="86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6"/>
      <c r="H112" s="80">
        <v>1</v>
      </c>
      <c r="I112" s="81">
        <v>3.2000000000000002E-3</v>
      </c>
      <c r="J112" s="82">
        <v>1.3600000000000001E-2</v>
      </c>
      <c r="L112" s="84">
        <f>L111+1</f>
        <v>2</v>
      </c>
      <c r="M112" s="85">
        <v>0.25</v>
      </c>
      <c r="N112" s="86">
        <v>1.0100494925245816E-2</v>
      </c>
      <c r="Q112" s="84">
        <f>Q111+1</f>
        <v>2</v>
      </c>
      <c r="R112" s="85">
        <v>2</v>
      </c>
      <c r="S112" s="86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107" t="s">
        <v>6</v>
      </c>
      <c r="E113" s="107"/>
      <c r="G113" s="96"/>
      <c r="H113" s="80">
        <v>1.5</v>
      </c>
      <c r="I113" s="81">
        <v>3.2000000000000002E-3</v>
      </c>
      <c r="J113" s="82">
        <v>1.2199999999999999E-2</v>
      </c>
      <c r="L113" s="84">
        <f t="shared" ref="L113:L140" si="7">L112+1</f>
        <v>3</v>
      </c>
      <c r="M113" s="85">
        <v>0.5</v>
      </c>
      <c r="N113" s="86">
        <v>1.0585744906933231E-2</v>
      </c>
      <c r="Q113" s="84">
        <f t="shared" ref="Q113:Q140" si="8">Q112+1</f>
        <v>3</v>
      </c>
      <c r="R113" s="85">
        <v>3</v>
      </c>
      <c r="S113" s="86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107"/>
      <c r="E114" s="107"/>
      <c r="G114" s="96"/>
      <c r="H114" s="80">
        <v>2</v>
      </c>
      <c r="I114" s="81">
        <v>3.2000000000000002E-3</v>
      </c>
      <c r="J114" s="82">
        <v>1.2199999999999999E-2</v>
      </c>
      <c r="L114" s="84">
        <f t="shared" si="7"/>
        <v>4</v>
      </c>
      <c r="M114" s="85">
        <v>1</v>
      </c>
      <c r="N114" s="86">
        <v>1.1364206149595617E-2</v>
      </c>
      <c r="Q114" s="84">
        <f t="shared" si="8"/>
        <v>4</v>
      </c>
      <c r="R114" s="85">
        <v>4</v>
      </c>
      <c r="S114" s="86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107"/>
      <c r="E115" s="107"/>
      <c r="G115" s="96"/>
      <c r="H115" s="80">
        <v>3</v>
      </c>
      <c r="I115" s="81">
        <v>3.0000000000000001E-3</v>
      </c>
      <c r="J115" s="82">
        <v>1.14E-2</v>
      </c>
      <c r="L115" s="84">
        <f t="shared" si="7"/>
        <v>5</v>
      </c>
      <c r="M115" s="85">
        <v>1.5</v>
      </c>
      <c r="N115" s="86">
        <v>1.1240699512420845E-2</v>
      </c>
      <c r="Q115" s="84">
        <f t="shared" si="8"/>
        <v>5</v>
      </c>
      <c r="R115" s="85">
        <v>5</v>
      </c>
      <c r="S115" s="86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109</v>
      </c>
      <c r="D116" s="90"/>
      <c r="G116" s="96"/>
      <c r="H116" s="80">
        <v>4</v>
      </c>
      <c r="I116" s="81">
        <v>3.2000000000000002E-3</v>
      </c>
      <c r="J116" s="82">
        <v>1.1800000000000001E-2</v>
      </c>
      <c r="L116" s="84">
        <f t="shared" si="7"/>
        <v>6</v>
      </c>
      <c r="M116" s="85">
        <v>2</v>
      </c>
      <c r="N116" s="86">
        <v>1.2560340009797765E-2</v>
      </c>
      <c r="Q116" s="84">
        <f t="shared" si="8"/>
        <v>6</v>
      </c>
      <c r="R116" s="85">
        <v>7</v>
      </c>
      <c r="S116" s="86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105">
        <v>44931.461863425924</v>
      </c>
      <c r="E117" s="105"/>
      <c r="G117" s="96"/>
      <c r="H117" s="80">
        <v>5</v>
      </c>
      <c r="I117" s="81">
        <v>3.2000000000000002E-3</v>
      </c>
      <c r="J117" s="82">
        <v>1.2799999999999999E-2</v>
      </c>
      <c r="L117" s="84">
        <f t="shared" si="7"/>
        <v>7</v>
      </c>
      <c r="M117" s="85">
        <v>3</v>
      </c>
      <c r="N117" s="86">
        <v>1.344051633469635E-2</v>
      </c>
      <c r="Q117" s="84">
        <f t="shared" si="8"/>
        <v>7</v>
      </c>
      <c r="R117" s="85">
        <v>10</v>
      </c>
      <c r="S117" s="86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105">
        <v>44931.461875000001</v>
      </c>
      <c r="E118" s="105"/>
      <c r="G118" s="96"/>
      <c r="H118" s="80">
        <v>7</v>
      </c>
      <c r="I118" s="81">
        <v>3.2000000000000002E-3</v>
      </c>
      <c r="J118" s="82">
        <v>1.1200000000000002E-2</v>
      </c>
      <c r="L118" s="84">
        <f t="shared" si="7"/>
        <v>8</v>
      </c>
      <c r="M118" s="85">
        <v>4</v>
      </c>
      <c r="N118" s="86">
        <v>1.5128217867816219E-2</v>
      </c>
      <c r="Q118" s="84">
        <f t="shared" si="8"/>
        <v>8</v>
      </c>
      <c r="R118" s="85"/>
      <c r="S118" s="86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6"/>
      <c r="H119" s="80">
        <v>10</v>
      </c>
      <c r="I119" s="81">
        <v>3.4000000000000002E-3</v>
      </c>
      <c r="J119" s="82">
        <v>1.1599999999999999E-2</v>
      </c>
      <c r="L119" s="84">
        <f t="shared" si="7"/>
        <v>9</v>
      </c>
      <c r="M119" s="85">
        <v>5</v>
      </c>
      <c r="N119" s="86">
        <v>1.6145008698489109E-2</v>
      </c>
      <c r="Q119" s="84">
        <f t="shared" si="8"/>
        <v>9</v>
      </c>
      <c r="R119" s="85"/>
      <c r="S119" s="86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6"/>
      <c r="H120" s="80"/>
      <c r="I120" s="81"/>
      <c r="J120" s="82"/>
      <c r="L120" s="84">
        <f t="shared" si="7"/>
        <v>10</v>
      </c>
      <c r="M120" s="85">
        <v>6</v>
      </c>
      <c r="N120" s="86">
        <v>1.6196912530765887E-2</v>
      </c>
      <c r="Q120" s="84">
        <f t="shared" si="8"/>
        <v>10</v>
      </c>
      <c r="R120" s="85"/>
      <c r="S120" s="86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6"/>
      <c r="H121" s="80"/>
      <c r="I121" s="81"/>
      <c r="J121" s="82"/>
      <c r="L121" s="84">
        <f t="shared" si="7"/>
        <v>11</v>
      </c>
      <c r="M121" s="85">
        <v>7</v>
      </c>
      <c r="N121" s="86">
        <v>1.7576413300879615E-2</v>
      </c>
      <c r="Q121" s="84">
        <f t="shared" si="8"/>
        <v>11</v>
      </c>
      <c r="R121" s="85"/>
      <c r="S121" s="86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6"/>
      <c r="H122" s="80"/>
      <c r="I122" s="81"/>
      <c r="J122" s="82"/>
      <c r="L122" s="84">
        <f t="shared" si="7"/>
        <v>12</v>
      </c>
      <c r="M122" s="85">
        <v>8</v>
      </c>
      <c r="N122" s="86">
        <v>1.7788002445556443E-2</v>
      </c>
      <c r="Q122" s="84">
        <f t="shared" si="8"/>
        <v>12</v>
      </c>
      <c r="R122" s="85"/>
      <c r="S122" s="86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G123" s="96"/>
      <c r="H123" s="80"/>
      <c r="I123" s="81"/>
      <c r="J123" s="82"/>
      <c r="L123" s="84">
        <f t="shared" si="7"/>
        <v>13</v>
      </c>
      <c r="M123" s="85">
        <v>9</v>
      </c>
      <c r="N123" s="86">
        <v>1.8387991814191845E-2</v>
      </c>
      <c r="Q123" s="84">
        <f t="shared" si="8"/>
        <v>13</v>
      </c>
      <c r="R123" s="85"/>
      <c r="S123" s="86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91" t="s">
        <v>112</v>
      </c>
      <c r="C124" s="91"/>
      <c r="D124" s="92">
        <v>0</v>
      </c>
      <c r="E124" s="92"/>
      <c r="G124" s="96"/>
      <c r="H124" s="80"/>
      <c r="I124" s="81"/>
      <c r="J124" s="82"/>
      <c r="L124" s="84">
        <f t="shared" si="7"/>
        <v>14</v>
      </c>
      <c r="M124" s="85">
        <v>10</v>
      </c>
      <c r="N124" s="86">
        <v>1.8834234363904127E-2</v>
      </c>
      <c r="Q124" s="84">
        <f t="shared" si="8"/>
        <v>14</v>
      </c>
      <c r="R124" s="85"/>
      <c r="S124" s="86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91" t="s">
        <v>114</v>
      </c>
      <c r="C125" s="91"/>
      <c r="D125" s="92">
        <v>-0.1</v>
      </c>
      <c r="E125" s="92"/>
      <c r="G125" s="96"/>
      <c r="H125" s="80"/>
      <c r="I125" s="81"/>
      <c r="J125" s="82"/>
      <c r="L125" s="84">
        <f t="shared" si="7"/>
        <v>15</v>
      </c>
      <c r="M125" s="85">
        <v>12</v>
      </c>
      <c r="N125" s="86">
        <v>1.8971011340666574E-2</v>
      </c>
      <c r="Q125" s="84">
        <f t="shared" si="8"/>
        <v>15</v>
      </c>
      <c r="R125" s="85"/>
      <c r="S125" s="86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91" t="s">
        <v>113</v>
      </c>
      <c r="C126" s="91"/>
      <c r="D126" s="92">
        <v>0.15</v>
      </c>
      <c r="E126" s="92"/>
      <c r="G126" s="96"/>
      <c r="H126" s="80"/>
      <c r="I126" s="81"/>
      <c r="J126" s="82"/>
      <c r="L126" s="84">
        <f t="shared" si="7"/>
        <v>16</v>
      </c>
      <c r="M126" s="85">
        <v>15</v>
      </c>
      <c r="N126" s="86">
        <v>1.9495973300093089E-2</v>
      </c>
      <c r="Q126" s="84">
        <f t="shared" si="8"/>
        <v>16</v>
      </c>
      <c r="R126" s="85"/>
      <c r="S126" s="86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6"/>
      <c r="H127" s="80"/>
      <c r="I127" s="81"/>
      <c r="J127" s="82"/>
      <c r="L127" s="84">
        <f t="shared" si="7"/>
        <v>17</v>
      </c>
      <c r="M127" s="85">
        <v>20</v>
      </c>
      <c r="N127" s="86">
        <v>2.117680539084018E-2</v>
      </c>
      <c r="Q127" s="84">
        <f t="shared" si="8"/>
        <v>17</v>
      </c>
      <c r="R127" s="85"/>
      <c r="S127" s="86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6"/>
      <c r="H128" s="80"/>
      <c r="I128" s="81"/>
      <c r="J128" s="82"/>
      <c r="L128" s="84">
        <f t="shared" si="7"/>
        <v>18</v>
      </c>
      <c r="M128" s="85"/>
      <c r="N128" s="86"/>
      <c r="Q128" s="84">
        <f t="shared" si="8"/>
        <v>18</v>
      </c>
      <c r="R128" s="85"/>
      <c r="S128" s="86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6"/>
      <c r="H129" s="80"/>
      <c r="I129" s="81"/>
      <c r="J129" s="82"/>
      <c r="L129" s="84">
        <f t="shared" si="7"/>
        <v>19</v>
      </c>
      <c r="M129" s="87"/>
      <c r="N129" s="88"/>
      <c r="Q129" s="84">
        <f t="shared" si="8"/>
        <v>19</v>
      </c>
      <c r="R129" s="89"/>
      <c r="S129" s="88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6"/>
      <c r="H130" s="80"/>
      <c r="I130" s="81"/>
      <c r="J130" s="82"/>
      <c r="L130" s="84">
        <f t="shared" si="7"/>
        <v>20</v>
      </c>
      <c r="M130" s="87"/>
      <c r="N130" s="88"/>
      <c r="Q130" s="84">
        <f t="shared" si="8"/>
        <v>20</v>
      </c>
      <c r="R130" s="89"/>
      <c r="S130" s="88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6"/>
      <c r="H131" s="80"/>
      <c r="I131" s="81"/>
      <c r="J131" s="82"/>
      <c r="L131" s="84">
        <f t="shared" si="7"/>
        <v>21</v>
      </c>
      <c r="M131" s="87"/>
      <c r="N131" s="88"/>
      <c r="Q131" s="84">
        <f t="shared" si="8"/>
        <v>21</v>
      </c>
      <c r="R131" s="89"/>
      <c r="S131" s="88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6"/>
      <c r="H132" s="80"/>
      <c r="I132" s="81"/>
      <c r="J132" s="82"/>
      <c r="L132" s="84">
        <f t="shared" si="7"/>
        <v>22</v>
      </c>
      <c r="M132" s="87"/>
      <c r="N132" s="88"/>
      <c r="Q132" s="84">
        <f t="shared" si="8"/>
        <v>22</v>
      </c>
      <c r="R132" s="89"/>
      <c r="S132" s="88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6"/>
      <c r="H133" s="80"/>
      <c r="I133" s="81"/>
      <c r="J133" s="82"/>
      <c r="L133" s="84">
        <f t="shared" si="7"/>
        <v>23</v>
      </c>
      <c r="M133" s="87"/>
      <c r="N133" s="88"/>
      <c r="Q133" s="84">
        <f t="shared" si="8"/>
        <v>23</v>
      </c>
      <c r="R133" s="89"/>
      <c r="S133" s="88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6"/>
      <c r="H134" s="80"/>
      <c r="I134" s="81"/>
      <c r="J134" s="82"/>
      <c r="L134" s="84">
        <f t="shared" si="7"/>
        <v>24</v>
      </c>
      <c r="M134" s="87"/>
      <c r="N134" s="88"/>
      <c r="Q134" s="84">
        <f t="shared" si="8"/>
        <v>24</v>
      </c>
      <c r="R134" s="89"/>
      <c r="S134" s="88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6"/>
      <c r="H135" s="80"/>
      <c r="I135" s="81"/>
      <c r="J135" s="82"/>
      <c r="L135" s="84">
        <f t="shared" si="7"/>
        <v>25</v>
      </c>
      <c r="M135" s="87"/>
      <c r="N135" s="88"/>
      <c r="Q135" s="84">
        <f t="shared" si="8"/>
        <v>25</v>
      </c>
      <c r="R135" s="89"/>
      <c r="S135" s="88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6"/>
      <c r="H136" s="80"/>
      <c r="I136" s="81"/>
      <c r="J136" s="82"/>
      <c r="L136" s="84">
        <f t="shared" si="7"/>
        <v>26</v>
      </c>
      <c r="M136" s="87"/>
      <c r="N136" s="88"/>
      <c r="Q136" s="84">
        <f t="shared" si="8"/>
        <v>26</v>
      </c>
      <c r="R136" s="89"/>
      <c r="S136" s="88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6"/>
      <c r="H137" s="80"/>
      <c r="I137" s="81"/>
      <c r="J137" s="82"/>
      <c r="L137" s="84">
        <f t="shared" si="7"/>
        <v>27</v>
      </c>
      <c r="M137" s="87"/>
      <c r="N137" s="88"/>
      <c r="Q137" s="84">
        <f t="shared" si="8"/>
        <v>27</v>
      </c>
      <c r="R137" s="89"/>
      <c r="S137" s="88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6"/>
      <c r="H138" s="80"/>
      <c r="I138" s="81"/>
      <c r="J138" s="82"/>
      <c r="L138" s="84">
        <f t="shared" si="7"/>
        <v>28</v>
      </c>
      <c r="M138" s="87"/>
      <c r="N138" s="88"/>
      <c r="Q138" s="84">
        <f t="shared" si="8"/>
        <v>28</v>
      </c>
      <c r="R138" s="89"/>
      <c r="S138" s="88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6"/>
      <c r="H139" s="80"/>
      <c r="I139" s="81"/>
      <c r="J139" s="82"/>
      <c r="L139" s="84">
        <f t="shared" si="7"/>
        <v>29</v>
      </c>
      <c r="M139" s="87"/>
      <c r="N139" s="88"/>
      <c r="Q139" s="84">
        <f t="shared" si="8"/>
        <v>29</v>
      </c>
      <c r="R139" s="89"/>
      <c r="S139" s="88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6"/>
      <c r="H140" s="80"/>
      <c r="I140" s="81"/>
      <c r="J140" s="82"/>
      <c r="L140" s="84">
        <f t="shared" si="7"/>
        <v>30</v>
      </c>
      <c r="M140" s="87"/>
      <c r="N140" s="88"/>
      <c r="Q140" s="84">
        <f t="shared" si="8"/>
        <v>30</v>
      </c>
      <c r="R140" s="89"/>
      <c r="S140" s="88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75"/>
      <c r="H141" s="80"/>
      <c r="I141" s="81"/>
      <c r="J141" s="82"/>
      <c r="L141" s="84"/>
      <c r="M141" s="87"/>
      <c r="N141" s="88"/>
      <c r="Q141" s="84"/>
      <c r="R141" s="89"/>
      <c r="S141" s="88"/>
      <c r="V141" s="76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</row>
    <row r="142" spans="1:40" x14ac:dyDescent="0.35">
      <c r="A142" s="9">
        <f t="shared" si="6"/>
        <v>142</v>
      </c>
      <c r="G142" s="75"/>
      <c r="H142" s="80"/>
      <c r="I142" s="81"/>
      <c r="J142" s="82"/>
      <c r="L142" s="84"/>
      <c r="M142" s="87"/>
      <c r="N142" s="88"/>
      <c r="Q142" s="84"/>
      <c r="R142" s="89"/>
      <c r="S142" s="88"/>
      <c r="V142" s="76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</row>
    <row r="143" spans="1:40" x14ac:dyDescent="0.35">
      <c r="A143" s="9">
        <f t="shared" si="6"/>
        <v>143</v>
      </c>
      <c r="G143" s="75"/>
      <c r="H143" s="80"/>
      <c r="I143" s="81"/>
      <c r="J143" s="82"/>
      <c r="L143" s="84"/>
      <c r="M143" s="87"/>
      <c r="N143" s="88"/>
      <c r="Q143" s="84"/>
      <c r="R143" s="89"/>
      <c r="S143" s="88"/>
      <c r="V143" s="76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</row>
    <row r="144" spans="1:40" x14ac:dyDescent="0.35">
      <c r="A144" s="9">
        <f t="shared" si="6"/>
        <v>144</v>
      </c>
      <c r="G144" s="75"/>
      <c r="H144" s="80"/>
      <c r="I144" s="81"/>
      <c r="J144" s="82"/>
      <c r="L144" s="84"/>
      <c r="M144" s="87"/>
      <c r="N144" s="88"/>
      <c r="Q144" s="84"/>
      <c r="R144" s="89"/>
      <c r="S144" s="88"/>
      <c r="V144" s="76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</row>
    <row r="145" spans="1:40" x14ac:dyDescent="0.35">
      <c r="A145" s="9">
        <f t="shared" si="6"/>
        <v>145</v>
      </c>
      <c r="G145" s="75"/>
      <c r="H145" s="80"/>
      <c r="I145" s="81"/>
      <c r="J145" s="82"/>
      <c r="L145" s="84"/>
      <c r="M145" s="87"/>
      <c r="N145" s="88"/>
      <c r="Q145" s="84"/>
      <c r="R145" s="89"/>
      <c r="S145" s="88"/>
      <c r="V145" s="76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</row>
    <row r="146" spans="1:40" x14ac:dyDescent="0.35">
      <c r="A146" s="9">
        <f t="shared" si="6"/>
        <v>146</v>
      </c>
      <c r="G146" s="75"/>
      <c r="H146" s="80"/>
      <c r="I146" s="81"/>
      <c r="J146" s="82"/>
      <c r="L146" s="84"/>
      <c r="M146" s="87"/>
      <c r="N146" s="88"/>
      <c r="Q146" s="84"/>
      <c r="R146" s="89"/>
      <c r="S146" s="88"/>
      <c r="V146" s="76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</row>
    <row r="147" spans="1:40" x14ac:dyDescent="0.35">
      <c r="A147" s="9">
        <f t="shared" ref="A147:A204" si="9">A146+1</f>
        <v>147</v>
      </c>
      <c r="G147" s="75"/>
      <c r="H147" s="80"/>
      <c r="I147" s="81"/>
      <c r="J147" s="82"/>
      <c r="L147" s="84"/>
      <c r="M147" s="87"/>
      <c r="N147" s="88"/>
      <c r="Q147" s="84"/>
      <c r="R147" s="89"/>
      <c r="S147" s="88"/>
      <c r="V147" s="76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</row>
    <row r="148" spans="1:40" x14ac:dyDescent="0.35">
      <c r="A148" s="9">
        <f t="shared" si="9"/>
        <v>148</v>
      </c>
      <c r="G148" s="75"/>
      <c r="H148" s="80"/>
      <c r="I148" s="81"/>
      <c r="J148" s="82"/>
      <c r="L148" s="84"/>
      <c r="M148" s="87"/>
      <c r="N148" s="88"/>
      <c r="Q148" s="84"/>
      <c r="R148" s="89"/>
      <c r="S148" s="88"/>
      <c r="V148" s="76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</row>
    <row r="149" spans="1:40" x14ac:dyDescent="0.35">
      <c r="A149" s="9">
        <f t="shared" si="9"/>
        <v>149</v>
      </c>
      <c r="G149" s="75"/>
      <c r="H149" s="80"/>
      <c r="I149" s="81"/>
      <c r="J149" s="82"/>
      <c r="L149" s="84"/>
      <c r="M149" s="87"/>
      <c r="N149" s="88"/>
      <c r="Q149" s="84"/>
      <c r="R149" s="89"/>
      <c r="S149" s="88"/>
      <c r="V149" s="76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</row>
    <row r="150" spans="1:40" x14ac:dyDescent="0.35">
      <c r="A150" s="9">
        <f t="shared" si="9"/>
        <v>150</v>
      </c>
      <c r="G150" s="75"/>
      <c r="H150" s="80"/>
      <c r="I150" s="81"/>
      <c r="J150" s="82"/>
      <c r="L150" s="84"/>
      <c r="M150" s="87"/>
      <c r="N150" s="88"/>
      <c r="Q150" s="84"/>
      <c r="R150" s="89"/>
      <c r="S150" s="88"/>
      <c r="V150" s="76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</row>
    <row r="151" spans="1:40" x14ac:dyDescent="0.35">
      <c r="A151" s="9">
        <f t="shared" si="9"/>
        <v>151</v>
      </c>
      <c r="G151" s="75"/>
      <c r="H151" s="80"/>
      <c r="I151" s="81"/>
      <c r="J151" s="82"/>
      <c r="L151" s="84"/>
      <c r="M151" s="87"/>
      <c r="N151" s="88"/>
      <c r="Q151" s="84"/>
      <c r="R151" s="89"/>
      <c r="S151" s="88"/>
      <c r="V151" s="76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</row>
    <row r="152" spans="1:40" x14ac:dyDescent="0.35">
      <c r="A152" s="9">
        <f t="shared" si="9"/>
        <v>152</v>
      </c>
      <c r="G152" s="75"/>
      <c r="H152" s="80"/>
      <c r="I152" s="81"/>
      <c r="J152" s="82"/>
      <c r="L152" s="84"/>
      <c r="M152" s="87"/>
      <c r="N152" s="88"/>
      <c r="Q152" s="84"/>
      <c r="R152" s="89"/>
      <c r="S152" s="88"/>
      <c r="V152" s="76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</row>
    <row r="153" spans="1:40" x14ac:dyDescent="0.35">
      <c r="A153" s="9">
        <f t="shared" si="9"/>
        <v>153</v>
      </c>
      <c r="G153" s="75"/>
      <c r="H153" s="80"/>
      <c r="I153" s="81"/>
      <c r="J153" s="82"/>
      <c r="L153" s="84"/>
      <c r="M153" s="87"/>
      <c r="N153" s="88"/>
      <c r="Q153" s="84"/>
      <c r="R153" s="89"/>
      <c r="S153" s="88"/>
      <c r="V153" s="76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5" t="s">
        <v>28</v>
      </c>
      <c r="H155" s="97" t="s">
        <v>27</v>
      </c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</row>
    <row r="156" spans="1:40" x14ac:dyDescent="0.4">
      <c r="A156" s="9">
        <f t="shared" si="9"/>
        <v>156</v>
      </c>
      <c r="B156" s="91" t="s">
        <v>3</v>
      </c>
      <c r="C156" s="91"/>
      <c r="D156" s="92">
        <v>1</v>
      </c>
      <c r="E156" s="92"/>
      <c r="G156" s="96"/>
      <c r="H156" s="98" t="s">
        <v>7</v>
      </c>
      <c r="I156" s="99"/>
      <c r="L156" s="102" t="s">
        <v>11</v>
      </c>
      <c r="M156" s="102"/>
      <c r="N156" s="102"/>
      <c r="Q156" s="102" t="s">
        <v>12</v>
      </c>
      <c r="R156" s="102"/>
      <c r="S156" s="102"/>
      <c r="V156" s="102" t="s">
        <v>13</v>
      </c>
      <c r="W156" s="102"/>
      <c r="X156" s="102"/>
    </row>
    <row r="157" spans="1:40" x14ac:dyDescent="0.4">
      <c r="A157" s="9">
        <f t="shared" si="9"/>
        <v>157</v>
      </c>
      <c r="B157" s="91" t="s">
        <v>4</v>
      </c>
      <c r="C157" s="91"/>
      <c r="D157" s="92">
        <v>1</v>
      </c>
      <c r="E157" s="92"/>
      <c r="G157" s="96"/>
      <c r="H157" s="100"/>
      <c r="I157" s="101"/>
      <c r="L157" s="102"/>
      <c r="M157" s="102"/>
      <c r="N157" s="102"/>
      <c r="Q157" s="102"/>
      <c r="R157" s="102"/>
      <c r="S157" s="102"/>
      <c r="V157" s="102"/>
      <c r="W157" s="102"/>
      <c r="X157" s="102"/>
    </row>
    <row r="158" spans="1:40" x14ac:dyDescent="0.4">
      <c r="A158" s="9">
        <f t="shared" si="9"/>
        <v>158</v>
      </c>
      <c r="B158" s="91" t="s">
        <v>1</v>
      </c>
      <c r="C158" s="91"/>
      <c r="D158" s="92">
        <v>0.01</v>
      </c>
      <c r="E158" s="92"/>
      <c r="G158" s="96"/>
      <c r="I158" s="2" t="s">
        <v>107</v>
      </c>
      <c r="J158" s="2" t="s">
        <v>108</v>
      </c>
      <c r="K158" s="2" t="s">
        <v>110</v>
      </c>
      <c r="V158" s="102" t="s">
        <v>14</v>
      </c>
      <c r="W158" s="102"/>
      <c r="X158" s="4">
        <v>3</v>
      </c>
    </row>
    <row r="159" spans="1:40" x14ac:dyDescent="0.4">
      <c r="A159" s="9">
        <f t="shared" si="9"/>
        <v>159</v>
      </c>
      <c r="G159" s="96"/>
      <c r="H159" s="2" t="s">
        <v>8</v>
      </c>
      <c r="I159" s="3">
        <v>0.01</v>
      </c>
      <c r="J159" s="78">
        <v>0.01</v>
      </c>
      <c r="K159" s="78">
        <v>0.9</v>
      </c>
      <c r="Q159" s="102" t="s">
        <v>15</v>
      </c>
      <c r="R159" s="102"/>
      <c r="S159" s="4">
        <v>3</v>
      </c>
      <c r="V159" s="93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6"/>
      <c r="H160" s="79" t="s">
        <v>9</v>
      </c>
      <c r="I160" s="103" t="s">
        <v>10</v>
      </c>
      <c r="J160" s="104"/>
      <c r="L160" s="83" t="s">
        <v>18</v>
      </c>
      <c r="M160" s="83" t="s">
        <v>19</v>
      </c>
      <c r="N160" s="79" t="s">
        <v>72</v>
      </c>
      <c r="Q160" s="83" t="s">
        <v>18</v>
      </c>
      <c r="R160" s="83" t="s">
        <v>19</v>
      </c>
      <c r="S160" s="79" t="s">
        <v>20</v>
      </c>
      <c r="V160" s="94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6"/>
      <c r="H161" s="80">
        <v>0.5</v>
      </c>
      <c r="I161" s="81">
        <v>3.0000000000000001E-3</v>
      </c>
      <c r="J161" s="82">
        <v>1.2999999999999999E-2</v>
      </c>
      <c r="L161" s="84">
        <v>1</v>
      </c>
      <c r="M161" s="85">
        <v>2.7397260273972603E-3</v>
      </c>
      <c r="N161" s="86">
        <v>1.0027029778086581E-2</v>
      </c>
      <c r="Q161" s="84">
        <v>1</v>
      </c>
      <c r="R161" s="85">
        <v>1</v>
      </c>
      <c r="S161" s="86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6"/>
      <c r="H162" s="80">
        <v>1</v>
      </c>
      <c r="I162" s="81">
        <v>3.2000000000000002E-3</v>
      </c>
      <c r="J162" s="82">
        <v>1.3600000000000001E-2</v>
      </c>
      <c r="L162" s="84">
        <f>L161+1</f>
        <v>2</v>
      </c>
      <c r="M162" s="85">
        <v>0.25</v>
      </c>
      <c r="N162" s="86">
        <v>1.1065709845408186E-2</v>
      </c>
      <c r="Q162" s="84">
        <f>Q161+1</f>
        <v>2</v>
      </c>
      <c r="R162" s="85">
        <v>2</v>
      </c>
      <c r="S162" s="86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107" t="s">
        <v>6</v>
      </c>
      <c r="E163" s="107"/>
      <c r="G163" s="96"/>
      <c r="H163" s="80">
        <v>1.5</v>
      </c>
      <c r="I163" s="81">
        <v>3.2000000000000002E-3</v>
      </c>
      <c r="J163" s="82">
        <v>1.2199999999999999E-2</v>
      </c>
      <c r="L163" s="84">
        <f t="shared" ref="L163:L203" si="10">L162+1</f>
        <v>3</v>
      </c>
      <c r="M163" s="85">
        <v>0.5</v>
      </c>
      <c r="N163" s="86">
        <v>1.1370283877900454E-2</v>
      </c>
      <c r="Q163" s="84">
        <f t="shared" ref="Q163:Q203" si="11">Q162+1</f>
        <v>3</v>
      </c>
      <c r="R163" s="85">
        <v>3</v>
      </c>
      <c r="S163" s="86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107"/>
      <c r="E164" s="107"/>
      <c r="G164" s="96"/>
      <c r="H164" s="80">
        <v>2</v>
      </c>
      <c r="I164" s="81">
        <v>3.4000000000000002E-3</v>
      </c>
      <c r="J164" s="82">
        <v>1.2199999999999999E-2</v>
      </c>
      <c r="L164" s="84">
        <f t="shared" si="10"/>
        <v>4</v>
      </c>
      <c r="M164" s="85">
        <v>1</v>
      </c>
      <c r="N164" s="86">
        <v>1.1758753303254273E-2</v>
      </c>
      <c r="Q164" s="84">
        <f t="shared" si="11"/>
        <v>4</v>
      </c>
      <c r="R164" s="85">
        <v>4</v>
      </c>
      <c r="S164" s="86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107"/>
      <c r="E165" s="107"/>
      <c r="G165" s="96"/>
      <c r="H165" s="80">
        <v>3</v>
      </c>
      <c r="I165" s="81">
        <v>3.0000000000000001E-3</v>
      </c>
      <c r="J165" s="82">
        <v>1.14E-2</v>
      </c>
      <c r="L165" s="84">
        <f t="shared" si="10"/>
        <v>5</v>
      </c>
      <c r="M165" s="85">
        <v>1.5</v>
      </c>
      <c r="N165" s="86">
        <v>1.1661190571769517E-2</v>
      </c>
      <c r="Q165" s="84">
        <f t="shared" si="11"/>
        <v>5</v>
      </c>
      <c r="R165" s="85">
        <v>5</v>
      </c>
      <c r="S165" s="86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109</v>
      </c>
      <c r="D166" s="90"/>
      <c r="G166" s="96"/>
      <c r="H166" s="80">
        <v>4</v>
      </c>
      <c r="I166" s="81">
        <v>3.6000000000000003E-3</v>
      </c>
      <c r="J166" s="82">
        <v>1.1800000000000001E-2</v>
      </c>
      <c r="L166" s="84">
        <f t="shared" si="10"/>
        <v>6</v>
      </c>
      <c r="M166" s="85">
        <v>2</v>
      </c>
      <c r="N166" s="86">
        <v>1.3153899088696243E-2</v>
      </c>
      <c r="Q166" s="84">
        <f t="shared" si="11"/>
        <v>6</v>
      </c>
      <c r="R166" s="85">
        <v>7</v>
      </c>
      <c r="S166" s="86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105">
        <v>44931.461875000001</v>
      </c>
      <c r="E167" s="105"/>
      <c r="G167" s="96"/>
      <c r="H167" s="80">
        <v>5</v>
      </c>
      <c r="I167" s="81">
        <v>3.6000000000000003E-3</v>
      </c>
      <c r="J167" s="82">
        <v>1.2799999999999999E-2</v>
      </c>
      <c r="L167" s="84">
        <f t="shared" si="10"/>
        <v>7</v>
      </c>
      <c r="M167" s="85">
        <v>3</v>
      </c>
      <c r="N167" s="86">
        <v>1.4038279155587861E-2</v>
      </c>
      <c r="Q167" s="84">
        <f t="shared" si="11"/>
        <v>7</v>
      </c>
      <c r="R167" s="85">
        <v>10</v>
      </c>
      <c r="S167" s="86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105">
        <v>44931.461875000001</v>
      </c>
      <c r="E168" s="105"/>
      <c r="G168" s="96"/>
      <c r="H168" s="80">
        <v>7</v>
      </c>
      <c r="I168" s="81">
        <v>3.2000000000000002E-3</v>
      </c>
      <c r="J168" s="82">
        <v>1.1200000000000002E-2</v>
      </c>
      <c r="L168" s="84">
        <f t="shared" si="10"/>
        <v>8</v>
      </c>
      <c r="M168" s="85">
        <v>4</v>
      </c>
      <c r="N168" s="86">
        <v>1.5228465405965569E-2</v>
      </c>
      <c r="Q168" s="84">
        <f t="shared" si="11"/>
        <v>8</v>
      </c>
      <c r="R168" s="85"/>
      <c r="S168" s="86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6"/>
      <c r="H169" s="80">
        <v>10</v>
      </c>
      <c r="I169" s="81">
        <v>3.2000000000000002E-3</v>
      </c>
      <c r="J169" s="82">
        <v>1.1599999999999999E-2</v>
      </c>
      <c r="L169" s="84">
        <f t="shared" si="10"/>
        <v>9</v>
      </c>
      <c r="M169" s="85">
        <v>5</v>
      </c>
      <c r="N169" s="86">
        <v>1.6590447672740104E-2</v>
      </c>
      <c r="Q169" s="84">
        <f t="shared" si="11"/>
        <v>9</v>
      </c>
      <c r="R169" s="85"/>
      <c r="S169" s="86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6"/>
      <c r="H170" s="80"/>
      <c r="I170" s="81"/>
      <c r="J170" s="82"/>
      <c r="L170" s="84">
        <f t="shared" si="10"/>
        <v>10</v>
      </c>
      <c r="M170" s="85">
        <v>6</v>
      </c>
      <c r="N170" s="86">
        <v>1.6691768173297903E-2</v>
      </c>
      <c r="Q170" s="84">
        <f t="shared" si="11"/>
        <v>10</v>
      </c>
      <c r="R170" s="85"/>
      <c r="S170" s="86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6"/>
      <c r="H171" s="80"/>
      <c r="I171" s="81"/>
      <c r="J171" s="82"/>
      <c r="L171" s="84">
        <f t="shared" si="10"/>
        <v>11</v>
      </c>
      <c r="M171" s="85">
        <v>7</v>
      </c>
      <c r="N171" s="86">
        <v>1.7631946842794257E-2</v>
      </c>
      <c r="Q171" s="84">
        <f t="shared" si="11"/>
        <v>11</v>
      </c>
      <c r="R171" s="85"/>
      <c r="S171" s="86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6"/>
      <c r="H172" s="80"/>
      <c r="I172" s="81"/>
      <c r="J172" s="82"/>
      <c r="L172" s="84">
        <f t="shared" si="10"/>
        <v>12</v>
      </c>
      <c r="M172" s="85">
        <v>8</v>
      </c>
      <c r="N172" s="86">
        <v>1.8396889713374068E-2</v>
      </c>
      <c r="Q172" s="84">
        <f t="shared" si="11"/>
        <v>12</v>
      </c>
      <c r="R172" s="85"/>
      <c r="S172" s="86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G173" s="96"/>
      <c r="H173" s="80"/>
      <c r="I173" s="81"/>
      <c r="J173" s="82"/>
      <c r="L173" s="84">
        <f t="shared" si="10"/>
        <v>13</v>
      </c>
      <c r="M173" s="85">
        <v>9</v>
      </c>
      <c r="N173" s="86">
        <v>1.8841970262082976E-2</v>
      </c>
      <c r="Q173" s="84">
        <f t="shared" si="11"/>
        <v>13</v>
      </c>
      <c r="R173" s="85"/>
      <c r="S173" s="86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91" t="s">
        <v>112</v>
      </c>
      <c r="C174" s="91"/>
      <c r="D174" s="92">
        <v>0</v>
      </c>
      <c r="E174" s="92"/>
      <c r="G174" s="96"/>
      <c r="H174" s="80"/>
      <c r="I174" s="81"/>
      <c r="J174" s="82"/>
      <c r="L174" s="84">
        <f t="shared" si="10"/>
        <v>14</v>
      </c>
      <c r="M174" s="85">
        <v>10</v>
      </c>
      <c r="N174" s="86">
        <v>1.9635269154900388E-2</v>
      </c>
      <c r="Q174" s="84">
        <f t="shared" si="11"/>
        <v>14</v>
      </c>
      <c r="R174" s="85"/>
      <c r="S174" s="86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91" t="s">
        <v>114</v>
      </c>
      <c r="C175" s="91"/>
      <c r="D175" s="92">
        <v>-0.1</v>
      </c>
      <c r="E175" s="92"/>
      <c r="G175" s="96"/>
      <c r="H175" s="80"/>
      <c r="I175" s="81"/>
      <c r="J175" s="82"/>
      <c r="L175" s="84">
        <f t="shared" si="10"/>
        <v>15</v>
      </c>
      <c r="M175" s="85">
        <v>12</v>
      </c>
      <c r="N175" s="86">
        <v>1.9609676088898114E-2</v>
      </c>
      <c r="Q175" s="84">
        <f t="shared" si="11"/>
        <v>15</v>
      </c>
      <c r="R175" s="85"/>
      <c r="S175" s="86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91" t="s">
        <v>113</v>
      </c>
      <c r="C176" s="91"/>
      <c r="D176" s="92">
        <v>0.15</v>
      </c>
      <c r="E176" s="92"/>
      <c r="G176" s="96"/>
      <c r="H176" s="80"/>
      <c r="I176" s="81"/>
      <c r="J176" s="82"/>
      <c r="L176" s="84">
        <f t="shared" si="10"/>
        <v>16</v>
      </c>
      <c r="M176" s="85">
        <v>15</v>
      </c>
      <c r="N176" s="86">
        <v>2.0188153773473286E-2</v>
      </c>
      <c r="Q176" s="84">
        <f t="shared" si="11"/>
        <v>16</v>
      </c>
      <c r="R176" s="85"/>
      <c r="S176" s="86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6"/>
      <c r="H177" s="80"/>
      <c r="I177" s="81"/>
      <c r="J177" s="82"/>
      <c r="L177" s="84">
        <f t="shared" si="10"/>
        <v>17</v>
      </c>
      <c r="M177" s="85">
        <v>20</v>
      </c>
      <c r="N177" s="86">
        <v>2.1266724635835076E-2</v>
      </c>
      <c r="Q177" s="84">
        <f t="shared" si="11"/>
        <v>17</v>
      </c>
      <c r="R177" s="85"/>
      <c r="S177" s="86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6"/>
      <c r="H178" s="80"/>
      <c r="I178" s="81"/>
      <c r="J178" s="82"/>
      <c r="L178" s="84">
        <f t="shared" si="10"/>
        <v>18</v>
      </c>
      <c r="M178" s="85"/>
      <c r="N178" s="86"/>
      <c r="Q178" s="84">
        <f t="shared" si="11"/>
        <v>18</v>
      </c>
      <c r="R178" s="85"/>
      <c r="S178" s="86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6"/>
      <c r="H179" s="80"/>
      <c r="I179" s="81"/>
      <c r="J179" s="82"/>
      <c r="L179" s="84">
        <f t="shared" si="10"/>
        <v>19</v>
      </c>
      <c r="M179" s="87"/>
      <c r="N179" s="88"/>
      <c r="Q179" s="84">
        <f t="shared" si="11"/>
        <v>19</v>
      </c>
      <c r="R179" s="89"/>
      <c r="S179" s="88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6"/>
      <c r="H180" s="80"/>
      <c r="I180" s="81"/>
      <c r="J180" s="82"/>
      <c r="L180" s="84">
        <f t="shared" si="10"/>
        <v>20</v>
      </c>
      <c r="M180" s="87"/>
      <c r="N180" s="88"/>
      <c r="Q180" s="84">
        <f t="shared" si="11"/>
        <v>20</v>
      </c>
      <c r="R180" s="89"/>
      <c r="S180" s="88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6"/>
      <c r="H181" s="80"/>
      <c r="I181" s="81"/>
      <c r="J181" s="82"/>
      <c r="L181" s="84">
        <f t="shared" si="10"/>
        <v>21</v>
      </c>
      <c r="M181" s="87"/>
      <c r="N181" s="88"/>
      <c r="Q181" s="84">
        <f t="shared" si="11"/>
        <v>21</v>
      </c>
      <c r="R181" s="89"/>
      <c r="S181" s="88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6"/>
      <c r="H182" s="80"/>
      <c r="I182" s="81"/>
      <c r="J182" s="82"/>
      <c r="L182" s="84">
        <f t="shared" si="10"/>
        <v>22</v>
      </c>
      <c r="M182" s="87"/>
      <c r="N182" s="88"/>
      <c r="Q182" s="84">
        <f t="shared" si="11"/>
        <v>22</v>
      </c>
      <c r="R182" s="89"/>
      <c r="S182" s="88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6"/>
      <c r="H183" s="80"/>
      <c r="I183" s="81"/>
      <c r="J183" s="82"/>
      <c r="L183" s="84">
        <f t="shared" si="10"/>
        <v>23</v>
      </c>
      <c r="M183" s="87"/>
      <c r="N183" s="88"/>
      <c r="Q183" s="84">
        <f t="shared" si="11"/>
        <v>23</v>
      </c>
      <c r="R183" s="89"/>
      <c r="S183" s="88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6"/>
      <c r="H184" s="80"/>
      <c r="I184" s="81"/>
      <c r="J184" s="82"/>
      <c r="L184" s="84">
        <f t="shared" si="10"/>
        <v>24</v>
      </c>
      <c r="M184" s="87"/>
      <c r="N184" s="88"/>
      <c r="Q184" s="84">
        <f t="shared" si="11"/>
        <v>24</v>
      </c>
      <c r="R184" s="89"/>
      <c r="S184" s="88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6"/>
      <c r="H185" s="80"/>
      <c r="I185" s="81"/>
      <c r="J185" s="82"/>
      <c r="L185" s="84">
        <f t="shared" si="10"/>
        <v>25</v>
      </c>
      <c r="M185" s="87"/>
      <c r="N185" s="88"/>
      <c r="Q185" s="84">
        <f t="shared" si="11"/>
        <v>25</v>
      </c>
      <c r="R185" s="89"/>
      <c r="S185" s="88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6"/>
      <c r="H186" s="80"/>
      <c r="I186" s="81"/>
      <c r="J186" s="82"/>
      <c r="L186" s="84">
        <f t="shared" si="10"/>
        <v>26</v>
      </c>
      <c r="M186" s="87"/>
      <c r="N186" s="88"/>
      <c r="Q186" s="84">
        <f t="shared" si="11"/>
        <v>26</v>
      </c>
      <c r="R186" s="89"/>
      <c r="S186" s="88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6"/>
      <c r="H187" s="80"/>
      <c r="I187" s="81"/>
      <c r="J187" s="82"/>
      <c r="L187" s="84">
        <f t="shared" si="10"/>
        <v>27</v>
      </c>
      <c r="M187" s="87"/>
      <c r="N187" s="88"/>
      <c r="Q187" s="84">
        <f t="shared" si="11"/>
        <v>27</v>
      </c>
      <c r="R187" s="89"/>
      <c r="S187" s="88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6"/>
      <c r="H188" s="80"/>
      <c r="I188" s="81"/>
      <c r="J188" s="82"/>
      <c r="L188" s="84">
        <f t="shared" si="10"/>
        <v>28</v>
      </c>
      <c r="M188" s="87"/>
      <c r="N188" s="88"/>
      <c r="Q188" s="84">
        <f t="shared" si="11"/>
        <v>28</v>
      </c>
      <c r="R188" s="89"/>
      <c r="S188" s="88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6"/>
      <c r="H189" s="80"/>
      <c r="I189" s="81"/>
      <c r="J189" s="82"/>
      <c r="L189" s="84">
        <f t="shared" si="10"/>
        <v>29</v>
      </c>
      <c r="M189" s="87"/>
      <c r="N189" s="88"/>
      <c r="Q189" s="84">
        <f t="shared" si="11"/>
        <v>29</v>
      </c>
      <c r="R189" s="89"/>
      <c r="S189" s="88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6"/>
      <c r="H190" s="80"/>
      <c r="I190" s="81"/>
      <c r="J190" s="82"/>
      <c r="L190" s="84">
        <f t="shared" si="10"/>
        <v>30</v>
      </c>
      <c r="M190" s="87"/>
      <c r="N190" s="88"/>
      <c r="Q190" s="84">
        <f t="shared" si="11"/>
        <v>30</v>
      </c>
      <c r="R190" s="89"/>
      <c r="S190" s="88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75"/>
      <c r="H191" s="80"/>
      <c r="I191" s="81"/>
      <c r="J191" s="82"/>
      <c r="L191" s="84">
        <f t="shared" si="10"/>
        <v>31</v>
      </c>
      <c r="M191" s="87"/>
      <c r="N191" s="88"/>
      <c r="Q191" s="84">
        <f t="shared" si="11"/>
        <v>31</v>
      </c>
      <c r="R191" s="89"/>
      <c r="S191" s="88"/>
      <c r="V191" s="76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</row>
    <row r="192" spans="1:40" x14ac:dyDescent="0.35">
      <c r="A192" s="9">
        <f t="shared" si="9"/>
        <v>192</v>
      </c>
      <c r="G192" s="75"/>
      <c r="H192" s="80"/>
      <c r="I192" s="81"/>
      <c r="J192" s="82"/>
      <c r="L192" s="84">
        <f t="shared" si="10"/>
        <v>32</v>
      </c>
      <c r="M192" s="87"/>
      <c r="N192" s="88"/>
      <c r="Q192" s="84">
        <f t="shared" si="11"/>
        <v>32</v>
      </c>
      <c r="R192" s="89"/>
      <c r="S192" s="88"/>
      <c r="V192" s="76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</row>
    <row r="193" spans="1:40" x14ac:dyDescent="0.35">
      <c r="A193" s="9">
        <f t="shared" si="9"/>
        <v>193</v>
      </c>
      <c r="G193" s="75"/>
      <c r="H193" s="80"/>
      <c r="I193" s="81"/>
      <c r="J193" s="82"/>
      <c r="L193" s="84">
        <f t="shared" si="10"/>
        <v>33</v>
      </c>
      <c r="M193" s="87"/>
      <c r="N193" s="88"/>
      <c r="Q193" s="84">
        <f t="shared" si="11"/>
        <v>33</v>
      </c>
      <c r="R193" s="89"/>
      <c r="S193" s="88"/>
      <c r="V193" s="76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</row>
    <row r="194" spans="1:40" x14ac:dyDescent="0.35">
      <c r="A194" s="9">
        <f t="shared" si="9"/>
        <v>194</v>
      </c>
      <c r="G194" s="75"/>
      <c r="H194" s="80"/>
      <c r="I194" s="81"/>
      <c r="J194" s="82"/>
      <c r="L194" s="84">
        <f t="shared" si="10"/>
        <v>34</v>
      </c>
      <c r="M194" s="87"/>
      <c r="N194" s="88"/>
      <c r="Q194" s="84">
        <f t="shared" si="11"/>
        <v>34</v>
      </c>
      <c r="R194" s="89"/>
      <c r="S194" s="88"/>
      <c r="V194" s="76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</row>
    <row r="195" spans="1:40" x14ac:dyDescent="0.35">
      <c r="A195" s="9">
        <f t="shared" si="9"/>
        <v>195</v>
      </c>
      <c r="G195" s="75"/>
      <c r="H195" s="80"/>
      <c r="I195" s="81"/>
      <c r="J195" s="82"/>
      <c r="L195" s="84">
        <f t="shared" si="10"/>
        <v>35</v>
      </c>
      <c r="M195" s="87"/>
      <c r="N195" s="88"/>
      <c r="Q195" s="84">
        <f t="shared" si="11"/>
        <v>35</v>
      </c>
      <c r="R195" s="89"/>
      <c r="S195" s="88"/>
      <c r="V195" s="76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</row>
    <row r="196" spans="1:40" x14ac:dyDescent="0.35">
      <c r="A196" s="9">
        <f t="shared" si="9"/>
        <v>196</v>
      </c>
      <c r="G196" s="75"/>
      <c r="H196" s="80"/>
      <c r="I196" s="81"/>
      <c r="J196" s="82"/>
      <c r="L196" s="84">
        <f t="shared" si="10"/>
        <v>36</v>
      </c>
      <c r="M196" s="87"/>
      <c r="N196" s="88"/>
      <c r="Q196" s="84">
        <f t="shared" si="11"/>
        <v>36</v>
      </c>
      <c r="R196" s="89"/>
      <c r="S196" s="88"/>
      <c r="V196" s="76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</row>
    <row r="197" spans="1:40" x14ac:dyDescent="0.35">
      <c r="A197" s="9">
        <f t="shared" si="9"/>
        <v>197</v>
      </c>
      <c r="G197" s="75"/>
      <c r="H197" s="80"/>
      <c r="I197" s="81"/>
      <c r="J197" s="82"/>
      <c r="L197" s="84">
        <f t="shared" si="10"/>
        <v>37</v>
      </c>
      <c r="M197" s="87"/>
      <c r="N197" s="88"/>
      <c r="Q197" s="84">
        <f t="shared" si="11"/>
        <v>37</v>
      </c>
      <c r="R197" s="89"/>
      <c r="S197" s="88"/>
      <c r="V197" s="76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</row>
    <row r="198" spans="1:40" x14ac:dyDescent="0.35">
      <c r="A198" s="9">
        <f t="shared" si="9"/>
        <v>198</v>
      </c>
      <c r="G198" s="75"/>
      <c r="H198" s="80"/>
      <c r="I198" s="81"/>
      <c r="J198" s="82"/>
      <c r="L198" s="84">
        <f t="shared" si="10"/>
        <v>38</v>
      </c>
      <c r="M198" s="87"/>
      <c r="N198" s="88"/>
      <c r="Q198" s="84">
        <f t="shared" si="11"/>
        <v>38</v>
      </c>
      <c r="R198" s="89"/>
      <c r="S198" s="88"/>
      <c r="V198" s="76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</row>
    <row r="199" spans="1:40" x14ac:dyDescent="0.35">
      <c r="A199" s="9">
        <f t="shared" si="9"/>
        <v>199</v>
      </c>
      <c r="G199" s="75"/>
      <c r="H199" s="80"/>
      <c r="I199" s="81"/>
      <c r="J199" s="82"/>
      <c r="L199" s="84">
        <f t="shared" si="10"/>
        <v>39</v>
      </c>
      <c r="M199" s="87"/>
      <c r="N199" s="88"/>
      <c r="Q199" s="84">
        <f t="shared" si="11"/>
        <v>39</v>
      </c>
      <c r="R199" s="89"/>
      <c r="S199" s="88"/>
      <c r="V199" s="76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</row>
    <row r="200" spans="1:40" x14ac:dyDescent="0.35">
      <c r="A200" s="9">
        <f t="shared" si="9"/>
        <v>200</v>
      </c>
      <c r="G200" s="75"/>
      <c r="H200" s="80"/>
      <c r="I200" s="81"/>
      <c r="J200" s="82"/>
      <c r="L200" s="84">
        <f t="shared" si="10"/>
        <v>40</v>
      </c>
      <c r="M200" s="87"/>
      <c r="N200" s="88"/>
      <c r="Q200" s="84">
        <f t="shared" si="11"/>
        <v>40</v>
      </c>
      <c r="R200" s="89"/>
      <c r="S200" s="88"/>
      <c r="V200" s="76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</row>
    <row r="201" spans="1:40" x14ac:dyDescent="0.35">
      <c r="A201" s="9">
        <f t="shared" si="9"/>
        <v>201</v>
      </c>
      <c r="G201" s="75"/>
      <c r="H201" s="80"/>
      <c r="I201" s="81"/>
      <c r="J201" s="82"/>
      <c r="L201" s="84">
        <f t="shared" si="10"/>
        <v>41</v>
      </c>
      <c r="M201" s="87"/>
      <c r="N201" s="88"/>
      <c r="Q201" s="84">
        <f t="shared" si="11"/>
        <v>41</v>
      </c>
      <c r="R201" s="89"/>
      <c r="S201" s="88"/>
      <c r="V201" s="76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</row>
    <row r="202" spans="1:40" x14ac:dyDescent="0.35">
      <c r="A202" s="9">
        <f t="shared" si="9"/>
        <v>202</v>
      </c>
      <c r="G202" s="75"/>
      <c r="H202" s="80"/>
      <c r="I202" s="81"/>
      <c r="J202" s="82"/>
      <c r="L202" s="84">
        <f t="shared" si="10"/>
        <v>42</v>
      </c>
      <c r="M202" s="87"/>
      <c r="N202" s="88"/>
      <c r="Q202" s="84">
        <f t="shared" si="11"/>
        <v>42</v>
      </c>
      <c r="R202" s="89"/>
      <c r="S202" s="88"/>
      <c r="V202" s="76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</row>
    <row r="203" spans="1:40" x14ac:dyDescent="0.35">
      <c r="A203" s="9">
        <f t="shared" si="9"/>
        <v>203</v>
      </c>
      <c r="G203" s="75"/>
      <c r="H203" s="80"/>
      <c r="I203" s="81"/>
      <c r="J203" s="82"/>
      <c r="L203" s="84">
        <f t="shared" si="10"/>
        <v>43</v>
      </c>
      <c r="M203" s="87"/>
      <c r="N203" s="88"/>
      <c r="Q203" s="84">
        <f t="shared" si="11"/>
        <v>43</v>
      </c>
      <c r="R203" s="89"/>
      <c r="S203" s="88"/>
      <c r="V203" s="76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</row>
    <row r="204" spans="1:40" x14ac:dyDescent="0.4">
      <c r="A204" s="9">
        <f t="shared" si="9"/>
        <v>204</v>
      </c>
    </row>
  </sheetData>
  <mergeCells count="103"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24:C24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107:C107"/>
    <mergeCell ref="D107:E107"/>
    <mergeCell ref="B108:C108"/>
    <mergeCell ref="D108:E108"/>
    <mergeCell ref="V59:V60"/>
    <mergeCell ref="V109:V110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60:J60"/>
    <mergeCell ref="I110:J110"/>
    <mergeCell ref="I160:J160"/>
    <mergeCell ref="D117:E117"/>
    <mergeCell ref="V159:V1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G43" sqref="G43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9"/>
    <col min="4" max="9" width="11.3984375" style="39"/>
    <col min="10" max="11" width="11.3984375" style="63"/>
    <col min="12" max="12" width="11.3984375" style="62"/>
    <col min="13" max="13" width="11.3984375" style="35"/>
    <col min="14" max="21" width="11.3984375" style="43"/>
    <col min="22" max="26" width="11.3984375" style="35"/>
    <col min="27" max="28" width="0" style="35" hidden="1" customWidth="1"/>
    <col min="29" max="41" width="11.3984375" style="35"/>
    <col min="42" max="43" width="11.3984375" style="43"/>
    <col min="44" max="46" width="11.3984375" style="44"/>
    <col min="47" max="48" width="11.3984375" style="45"/>
    <col min="49" max="49" width="11.3984375" style="39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77" t="s">
        <v>29</v>
      </c>
      <c r="C3" s="177"/>
      <c r="D3" s="180">
        <v>44848</v>
      </c>
      <c r="E3" s="175"/>
      <c r="F3" s="172" t="s">
        <v>31</v>
      </c>
      <c r="G3" s="172"/>
      <c r="H3" s="175">
        <v>0</v>
      </c>
      <c r="I3" s="175"/>
      <c r="J3" s="172" t="s">
        <v>67</v>
      </c>
      <c r="K3" s="172"/>
      <c r="L3" s="175">
        <v>10000</v>
      </c>
      <c r="M3" s="175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76" t="s">
        <v>46</v>
      </c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D5" s="176" t="s">
        <v>47</v>
      </c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</row>
    <row r="6" spans="1:57" ht="16.2" customHeight="1" x14ac:dyDescent="0.4">
      <c r="A6" s="34">
        <f t="shared" si="1"/>
        <v>6</v>
      </c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</row>
    <row r="7" spans="1:57" ht="16.2" customHeight="1" x14ac:dyDescent="0.4">
      <c r="A7" s="34">
        <f t="shared" si="1"/>
        <v>7</v>
      </c>
      <c r="B7" s="177" t="str">
        <f>IF(D7&gt;0,"레퍼런스금리 개수","기초금리는 1개 - 3개 입력가능")</f>
        <v>레퍼런스금리 개수</v>
      </c>
      <c r="C7" s="177"/>
      <c r="D7" s="174">
        <v>1</v>
      </c>
      <c r="E7" s="174"/>
      <c r="F7" s="178" t="s">
        <v>32</v>
      </c>
      <c r="G7" s="179"/>
      <c r="H7" s="175">
        <v>1</v>
      </c>
      <c r="I7" s="175"/>
      <c r="J7" s="172" t="s">
        <v>92</v>
      </c>
      <c r="K7" s="172"/>
      <c r="L7" s="175">
        <v>0</v>
      </c>
      <c r="M7" s="175"/>
      <c r="N7" s="35"/>
      <c r="O7" s="35"/>
      <c r="P7" s="35"/>
      <c r="Q7" s="35"/>
      <c r="R7" s="35"/>
      <c r="S7" s="35"/>
      <c r="T7" s="35"/>
      <c r="U7" s="35"/>
      <c r="AD7" s="177" t="str">
        <f>IF(AF7&gt;0,"레퍼런스금리 개수","기초금리는 1개 - 3개 입력가능")</f>
        <v>레퍼런스금리 개수</v>
      </c>
      <c r="AE7" s="177"/>
      <c r="AF7" s="174">
        <v>1</v>
      </c>
      <c r="AG7" s="174"/>
      <c r="AH7" s="178" t="s">
        <v>32</v>
      </c>
      <c r="AI7" s="179"/>
      <c r="AJ7" s="175">
        <v>0</v>
      </c>
      <c r="AK7" s="175"/>
      <c r="AL7" s="172" t="s">
        <v>92</v>
      </c>
      <c r="AM7" s="172"/>
      <c r="AN7" s="175">
        <v>0</v>
      </c>
      <c r="AO7" s="175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72" t="s">
        <v>50</v>
      </c>
      <c r="C8" s="172"/>
      <c r="D8" s="173">
        <v>1</v>
      </c>
      <c r="E8" s="174"/>
      <c r="F8" s="172" t="s">
        <v>51</v>
      </c>
      <c r="G8" s="172"/>
      <c r="H8" s="173">
        <v>1</v>
      </c>
      <c r="I8" s="174"/>
      <c r="J8" s="172" t="s">
        <v>42</v>
      </c>
      <c r="K8" s="172"/>
      <c r="L8" s="175">
        <v>0</v>
      </c>
      <c r="M8" s="175"/>
      <c r="N8" s="35"/>
      <c r="O8" s="35"/>
      <c r="P8" s="35"/>
      <c r="Q8" s="35"/>
      <c r="R8" s="35"/>
      <c r="S8" s="35"/>
      <c r="T8" s="35"/>
      <c r="U8" s="35"/>
      <c r="AD8" s="172" t="s">
        <v>50</v>
      </c>
      <c r="AE8" s="172"/>
      <c r="AF8" s="173">
        <v>1</v>
      </c>
      <c r="AG8" s="174"/>
      <c r="AH8" s="172" t="s">
        <v>51</v>
      </c>
      <c r="AI8" s="172"/>
      <c r="AJ8" s="173">
        <v>1</v>
      </c>
      <c r="AK8" s="174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87" t="str">
        <f>IF(D7&gt;=1,"기초금리1", "")</f>
        <v>기초금리1</v>
      </c>
      <c r="C10" s="170" t="str">
        <f>IF($D$7&gt;=1,"커브번호", "")</f>
        <v>커브번호</v>
      </c>
      <c r="D10" s="170"/>
      <c r="E10" s="135">
        <v>1</v>
      </c>
      <c r="F10" s="135"/>
      <c r="G10" s="71"/>
      <c r="H10" s="36"/>
      <c r="I10" s="148" t="str">
        <f>IF(OR(E11 = 0, E11 = 2, E11 = 4), "RefType = "&amp;E11&amp;" 이므로 Ref Swap 금리정보 사용안함", "사용")</f>
        <v>RefType = 0 이므로 Ref Swap 금리정보 사용안함</v>
      </c>
      <c r="J10" s="149"/>
      <c r="K10" s="149"/>
      <c r="L10" s="150"/>
      <c r="N10" s="164" t="s">
        <v>34</v>
      </c>
      <c r="O10" s="164"/>
      <c r="P10" s="164"/>
      <c r="Q10" s="164"/>
      <c r="R10" s="34"/>
      <c r="S10" s="34"/>
      <c r="T10" s="34"/>
      <c r="U10" s="34"/>
      <c r="W10" s="164" t="s">
        <v>52</v>
      </c>
      <c r="X10" s="164"/>
      <c r="Y10" s="164"/>
      <c r="AD10" s="138" t="str">
        <f>IF($AF$7&gt;=1,"기초금리1", "")</f>
        <v>기초금리1</v>
      </c>
      <c r="AE10" s="134" t="str">
        <f>IF($AF$7&gt;=1,"커브번호", "")</f>
        <v>커브번호</v>
      </c>
      <c r="AF10" s="134"/>
      <c r="AG10" s="135">
        <v>2</v>
      </c>
      <c r="AH10" s="135"/>
      <c r="AI10" s="71"/>
      <c r="AJ10" s="36"/>
      <c r="AK10" s="132" t="str">
        <f>IF(OR(AG11 = 0, AG11 = 2, AG11 = 4), "RefType = "&amp;AG11&amp;" 이므로 Ref Swap 금리정보 사용안함", "사용")</f>
        <v>RefType = 0 이므로 Ref Swap 금리정보 사용안함</v>
      </c>
      <c r="AL10" s="132"/>
      <c r="AM10" s="132"/>
      <c r="AN10" s="133"/>
      <c r="AP10" s="164" t="s">
        <v>54</v>
      </c>
      <c r="AQ10" s="164"/>
      <c r="AR10" s="164"/>
      <c r="AS10" s="164"/>
      <c r="AT10" s="34"/>
      <c r="AU10" s="34"/>
      <c r="AV10" s="34"/>
      <c r="AW10" s="34"/>
      <c r="AY10" s="164" t="s">
        <v>53</v>
      </c>
      <c r="AZ10" s="164"/>
      <c r="BA10" s="164"/>
    </row>
    <row r="11" spans="1:57" ht="16.2" customHeight="1" x14ac:dyDescent="0.4">
      <c r="A11" s="34">
        <f t="shared" si="1"/>
        <v>11</v>
      </c>
      <c r="B11" s="167"/>
      <c r="C11" s="156" t="str">
        <f>IF($D$7&gt;=1,"Reference Rate Type", "")</f>
        <v>Reference Rate Type</v>
      </c>
      <c r="D11" s="157"/>
      <c r="E11" s="171">
        <v>0</v>
      </c>
      <c r="F11" s="184"/>
      <c r="G11" s="148" t="str">
        <f>IF(OR(E11 = 0, E11 = 2, E11 = 4), "", "Zero/Swap 레퍼런스금리정보")</f>
        <v/>
      </c>
      <c r="H11" s="149"/>
      <c r="I11" s="140" t="str">
        <f>IF(OR(E11 = 0, E11 = 2, E11 = 4), "", "연 지급횟수")</f>
        <v/>
      </c>
      <c r="J11" s="141"/>
      <c r="K11" s="127">
        <v>4</v>
      </c>
      <c r="L11" s="128"/>
      <c r="M11" s="34"/>
      <c r="N11" s="186" t="str">
        <f>IF(OR(E11 = 0, E11 = 2, E11 = 4), "ForwardStart", "ResetStart")</f>
        <v>ForwardStart</v>
      </c>
      <c r="O11" s="186" t="str">
        <f>IF(OR(E11 = 0, E11 = 2, E11 = 4), "ForwardEnd", "ResetEnd")</f>
        <v>ForwardEnd</v>
      </c>
      <c r="P11" s="129" t="s">
        <v>35</v>
      </c>
      <c r="Q11" s="129" t="s">
        <v>36</v>
      </c>
      <c r="R11" s="129" t="s">
        <v>37</v>
      </c>
      <c r="S11" s="129" t="s">
        <v>38</v>
      </c>
      <c r="T11" s="129" t="s">
        <v>91</v>
      </c>
      <c r="U11" s="129" t="s">
        <v>71</v>
      </c>
      <c r="W11" s="37" t="s">
        <v>43</v>
      </c>
      <c r="X11" s="152">
        <v>0</v>
      </c>
      <c r="Y11" s="152"/>
      <c r="AD11" s="139"/>
      <c r="AE11" s="123" t="str">
        <f>IF($AF$7&gt;=1,"Reference Rate Type", "")</f>
        <v>Reference Rate Type</v>
      </c>
      <c r="AF11" s="136"/>
      <c r="AG11" s="171">
        <v>0</v>
      </c>
      <c r="AH11" s="171"/>
      <c r="AI11" s="125" t="str">
        <f>IF(OR(AG11 = 0, AG11 = 2, AG11 = 4), "", "Zero/Swap 레퍼런스금리정보")</f>
        <v/>
      </c>
      <c r="AJ11" s="125"/>
      <c r="AK11" s="125" t="str">
        <f>IF(OR(AG11 = 0, AG11 = 2, AG11 = 4), "", "연 지급횟수")</f>
        <v/>
      </c>
      <c r="AL11" s="126"/>
      <c r="AM11" s="127">
        <v>4</v>
      </c>
      <c r="AN11" s="128"/>
      <c r="AO11" s="34"/>
      <c r="AP11" s="129" t="str">
        <f>IF(OR(AG11 = 0, AG11 = 2, AG11 = 4), "ForwardStart", "ResetEnd")</f>
        <v>ForwardStart</v>
      </c>
      <c r="AQ11" s="129" t="str">
        <f>IF(OR(AG11 = 0, AG11 = 2, AG11 = 4), "ForwardEnd", "ResetEnd")</f>
        <v>ForwardEnd</v>
      </c>
      <c r="AR11" s="129" t="s">
        <v>35</v>
      </c>
      <c r="AS11" s="129" t="s">
        <v>36</v>
      </c>
      <c r="AT11" s="129" t="s">
        <v>37</v>
      </c>
      <c r="AU11" s="129" t="s">
        <v>38</v>
      </c>
      <c r="AV11" s="129" t="s">
        <v>91</v>
      </c>
      <c r="AW11" s="129" t="s">
        <v>71</v>
      </c>
      <c r="AY11" s="37" t="s">
        <v>43</v>
      </c>
      <c r="AZ11" s="152">
        <v>0</v>
      </c>
      <c r="BA11" s="152"/>
    </row>
    <row r="12" spans="1:57" ht="16.2" customHeight="1" x14ac:dyDescent="0.4">
      <c r="A12" s="34">
        <f t="shared" si="1"/>
        <v>12</v>
      </c>
      <c r="B12" s="167"/>
      <c r="C12" s="156" t="str">
        <f>IF($D$7&gt;=1,"DayCount", "")</f>
        <v>DayCount</v>
      </c>
      <c r="D12" s="156"/>
      <c r="E12" s="114">
        <v>0</v>
      </c>
      <c r="F12" s="185"/>
      <c r="G12" s="181"/>
      <c r="H12" s="140"/>
      <c r="I12" s="140" t="str">
        <f>IF(OR(E11 = 0, E11 = 2, E11 = 4,E14=1), "", "만기")</f>
        <v/>
      </c>
      <c r="J12" s="141"/>
      <c r="K12" s="182">
        <v>0.25</v>
      </c>
      <c r="L12" s="183"/>
      <c r="N12" s="129"/>
      <c r="O12" s="129"/>
      <c r="P12" s="129"/>
      <c r="Q12" s="129"/>
      <c r="R12" s="129"/>
      <c r="S12" s="129"/>
      <c r="T12" s="129"/>
      <c r="U12" s="129"/>
      <c r="W12" s="37" t="s">
        <v>44</v>
      </c>
      <c r="X12" s="152">
        <v>0</v>
      </c>
      <c r="Y12" s="152"/>
      <c r="AD12" s="139"/>
      <c r="AE12" s="123" t="str">
        <f>IF($AF$7&gt;=1,"DayCount", "")</f>
        <v>DayCount</v>
      </c>
      <c r="AF12" s="123"/>
      <c r="AG12" s="114">
        <v>0</v>
      </c>
      <c r="AH12" s="114"/>
      <c r="AI12" s="125"/>
      <c r="AJ12" s="125"/>
      <c r="AK12" s="140" t="str">
        <f>IF(OR(AG11 = 0, AG11 = 2, AG11 = 4,AG14=1), "", "만기")</f>
        <v/>
      </c>
      <c r="AL12" s="141"/>
      <c r="AM12" s="142">
        <v>0.25</v>
      </c>
      <c r="AN12" s="143"/>
      <c r="AP12" s="129"/>
      <c r="AQ12" s="129"/>
      <c r="AR12" s="129"/>
      <c r="AS12" s="129"/>
      <c r="AT12" s="129"/>
      <c r="AU12" s="129"/>
      <c r="AV12" s="129"/>
      <c r="AW12" s="129"/>
      <c r="AY12" s="37" t="s">
        <v>44</v>
      </c>
      <c r="AZ12" s="152">
        <v>0</v>
      </c>
      <c r="BA12" s="152"/>
    </row>
    <row r="13" spans="1:57" ht="16.2" customHeight="1" x14ac:dyDescent="0.4">
      <c r="A13" s="34">
        <f t="shared" si="1"/>
        <v>13</v>
      </c>
      <c r="B13" s="167"/>
      <c r="C13" s="156" t="str">
        <f>IF($D$7&gt;=1,"금리결정조건Multiple", "")</f>
        <v>금리결정조건Multiple</v>
      </c>
      <c r="D13" s="157"/>
      <c r="E13" s="113">
        <v>1</v>
      </c>
      <c r="F13" s="169"/>
      <c r="G13" s="109" t="str">
        <f>IF(OR(E11 = 0, E11 = 2, E11 = 4), "", "ex) Zero Rate 5년 -&gt; 연 지급횟수= 0, 만기= 5 // CD91일 -&gt; 연 지급횟수= 4, 만기= 0.25")</f>
        <v/>
      </c>
      <c r="H13" s="109"/>
      <c r="I13" s="109"/>
      <c r="J13" s="109"/>
      <c r="K13" s="109"/>
      <c r="L13" s="110"/>
      <c r="M13" s="34"/>
      <c r="N13" s="38">
        <v>43109</v>
      </c>
      <c r="O13" s="38">
        <v>43199</v>
      </c>
      <c r="P13" s="38">
        <v>43109</v>
      </c>
      <c r="Q13" s="38">
        <v>43199</v>
      </c>
      <c r="R13" s="38">
        <v>43202</v>
      </c>
      <c r="S13" s="39">
        <v>0</v>
      </c>
      <c r="T13" s="39">
        <v>0</v>
      </c>
      <c r="U13" s="39"/>
      <c r="W13" s="37" t="s">
        <v>45</v>
      </c>
      <c r="X13" s="152">
        <v>0</v>
      </c>
      <c r="Y13" s="152"/>
      <c r="AD13" s="139"/>
      <c r="AE13" s="123" t="str">
        <f>IF($AF$7&gt;=1,"금리결정조건Multiple", "")</f>
        <v>금리결정조건Multiple</v>
      </c>
      <c r="AF13" s="136"/>
      <c r="AG13" s="113">
        <v>1</v>
      </c>
      <c r="AH13" s="113"/>
      <c r="AI13" s="109" t="str">
        <f>IF(OR(AG11 = 0, AG11 = 2, AG11 = 4), "", "ex) Zero Rate 5년 -&gt; 연 지급횟수= 0, 만기= 5 // CD91일 -&gt; 연 지급횟수= 4, 만기= 0.25")</f>
        <v/>
      </c>
      <c r="AJ13" s="109"/>
      <c r="AK13" s="109"/>
      <c r="AL13" s="109"/>
      <c r="AM13" s="109"/>
      <c r="AN13" s="110"/>
      <c r="AO13" s="34"/>
      <c r="AP13" s="38">
        <v>43109</v>
      </c>
      <c r="AQ13" s="38">
        <v>43199</v>
      </c>
      <c r="AR13" s="38">
        <v>43109</v>
      </c>
      <c r="AS13" s="38">
        <v>43199</v>
      </c>
      <c r="AT13" s="38">
        <v>43202</v>
      </c>
      <c r="AU13" s="39">
        <v>0</v>
      </c>
      <c r="AV13" s="39">
        <v>0</v>
      </c>
      <c r="AW13" s="39">
        <v>2E-3</v>
      </c>
      <c r="AY13" s="37" t="s">
        <v>45</v>
      </c>
      <c r="AZ13" s="152">
        <v>0</v>
      </c>
      <c r="BA13" s="152"/>
    </row>
    <row r="14" spans="1:57" ht="16.2" customHeight="1" x14ac:dyDescent="0.4">
      <c r="A14" s="34">
        <f t="shared" si="1"/>
        <v>14</v>
      </c>
      <c r="B14" s="167"/>
      <c r="C14" s="155" t="str">
        <f>IF($D$7&gt;=1,"Power Spread Flag", "")</f>
        <v>Power Spread Flag</v>
      </c>
      <c r="D14" s="155"/>
      <c r="E14" s="114">
        <v>0</v>
      </c>
      <c r="F14" s="185"/>
      <c r="G14" s="162" t="str">
        <f>IF(E14&gt;0,"PowerSpreadFlag 1일때 입력","입력필요X")</f>
        <v>입력필요X</v>
      </c>
      <c r="H14" s="162"/>
      <c r="I14" s="162" t="str">
        <f>IF(E14&gt;0,"만기1","")</f>
        <v/>
      </c>
      <c r="J14" s="162"/>
      <c r="K14" s="116">
        <v>10</v>
      </c>
      <c r="L14" s="117"/>
      <c r="M14" s="34"/>
      <c r="N14" s="38">
        <v>43199</v>
      </c>
      <c r="O14" s="38">
        <v>43290</v>
      </c>
      <c r="P14" s="38">
        <v>43199</v>
      </c>
      <c r="Q14" s="38">
        <v>43290</v>
      </c>
      <c r="R14" s="38">
        <v>43293</v>
      </c>
      <c r="S14" s="39">
        <v>0</v>
      </c>
      <c r="T14" s="39">
        <v>0</v>
      </c>
      <c r="U14" s="39"/>
      <c r="W14" s="40" t="s">
        <v>39</v>
      </c>
      <c r="X14" s="40" t="s">
        <v>40</v>
      </c>
      <c r="Y14" s="40" t="s">
        <v>41</v>
      </c>
      <c r="AD14" s="139"/>
      <c r="AE14" s="122" t="str">
        <f>IF($AF$7&gt;=1,"Power Spread Flag", "")</f>
        <v>Power Spread Flag</v>
      </c>
      <c r="AF14" s="122"/>
      <c r="AG14" s="114">
        <v>0</v>
      </c>
      <c r="AH14" s="114"/>
      <c r="AI14" s="115" t="str">
        <f>IF(AG14&gt;0,"PowerSpreadFlag 1일때 입력","입력필요X")</f>
        <v>입력필요X</v>
      </c>
      <c r="AJ14" s="115"/>
      <c r="AK14" s="115" t="str">
        <f>IF(AG14&gt;0,"만기1","")</f>
        <v/>
      </c>
      <c r="AL14" s="115"/>
      <c r="AM14" s="116">
        <v>10</v>
      </c>
      <c r="AN14" s="117"/>
      <c r="AP14" s="38">
        <v>43199</v>
      </c>
      <c r="AQ14" s="38">
        <v>43290</v>
      </c>
      <c r="AR14" s="38">
        <v>43199</v>
      </c>
      <c r="AS14" s="38">
        <v>43290</v>
      </c>
      <c r="AT14" s="38">
        <v>43293</v>
      </c>
      <c r="AU14" s="39">
        <v>0</v>
      </c>
      <c r="AV14" s="39">
        <v>0</v>
      </c>
      <c r="AW14" s="39">
        <v>2E-3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67" t="str">
        <f>IF($D$7&gt;0, "사용", "커브개수"&amp;"="&amp;$D$7&amp;"이므로 사용안함")</f>
        <v>사용</v>
      </c>
      <c r="C15" s="155" t="str">
        <f>IF($D$7&gt;=1,"기초금리 Range상한", "")</f>
        <v>기초금리 Range상한</v>
      </c>
      <c r="D15" s="155"/>
      <c r="E15" s="144">
        <v>10</v>
      </c>
      <c r="F15" s="165"/>
      <c r="G15" s="162"/>
      <c r="H15" s="162"/>
      <c r="I15" s="162" t="str">
        <f>IF(E14&gt;0,"만기2","")</f>
        <v/>
      </c>
      <c r="J15" s="162"/>
      <c r="K15" s="116">
        <v>5</v>
      </c>
      <c r="L15" s="117"/>
      <c r="M15" s="34"/>
      <c r="N15" s="38">
        <v>43290</v>
      </c>
      <c r="O15" s="38">
        <v>43382</v>
      </c>
      <c r="P15" s="38">
        <v>43290</v>
      </c>
      <c r="Q15" s="38">
        <v>43382</v>
      </c>
      <c r="R15" s="38">
        <v>43385</v>
      </c>
      <c r="S15" s="39">
        <v>0</v>
      </c>
      <c r="T15" s="39">
        <v>0</v>
      </c>
      <c r="U15" s="39"/>
      <c r="W15" s="41">
        <v>41188</v>
      </c>
      <c r="X15" s="41">
        <v>41188</v>
      </c>
      <c r="Y15" s="41">
        <v>41188</v>
      </c>
      <c r="AD15" s="139" t="str">
        <f>IF($AF$7&gt;0, "사용", "커브개수"&amp;"="&amp;$AF$7&amp;"이므로 사용안함")</f>
        <v>사용</v>
      </c>
      <c r="AE15" s="122" t="str">
        <f>IF($AF$7&gt;=1,"기초금리 Range상한", "")</f>
        <v>기초금리 Range상한</v>
      </c>
      <c r="AF15" s="122"/>
      <c r="AG15" s="144">
        <v>10</v>
      </c>
      <c r="AH15" s="144"/>
      <c r="AI15" s="115"/>
      <c r="AJ15" s="115"/>
      <c r="AK15" s="115" t="str">
        <f>IF(AG14&gt;0,"만기2","")</f>
        <v/>
      </c>
      <c r="AL15" s="115"/>
      <c r="AM15" s="116">
        <v>5</v>
      </c>
      <c r="AN15" s="117"/>
      <c r="AP15" s="38">
        <v>43290</v>
      </c>
      <c r="AQ15" s="38">
        <v>43382</v>
      </c>
      <c r="AR15" s="38">
        <v>43290</v>
      </c>
      <c r="AS15" s="38">
        <v>43382</v>
      </c>
      <c r="AT15" s="38">
        <v>43385</v>
      </c>
      <c r="AU15" s="39">
        <v>0</v>
      </c>
      <c r="AV15" s="39">
        <v>0</v>
      </c>
      <c r="AW15" s="39">
        <v>2E-3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67"/>
      <c r="C16" s="155" t="str">
        <f>IF($D$7&gt;=1,"기초금리 Range하한", "")</f>
        <v>기초금리 Range하한</v>
      </c>
      <c r="D16" s="156"/>
      <c r="E16" s="124">
        <v>-1</v>
      </c>
      <c r="F16" s="166"/>
      <c r="G16" s="168"/>
      <c r="H16" s="168"/>
      <c r="I16" s="163" t="str">
        <f>IF(E14&gt;0,"Spread1","")</f>
        <v/>
      </c>
      <c r="J16" s="163"/>
      <c r="K16" s="153" t="str">
        <f>IF(E14&gt;0, I14&amp;"-"&amp;I15, "")</f>
        <v/>
      </c>
      <c r="L16" s="154"/>
      <c r="M16" s="34"/>
      <c r="N16" s="38">
        <v>43382</v>
      </c>
      <c r="O16" s="38">
        <v>43474</v>
      </c>
      <c r="P16" s="38">
        <v>43382</v>
      </c>
      <c r="Q16" s="38">
        <v>43474</v>
      </c>
      <c r="R16" s="38">
        <v>43477</v>
      </c>
      <c r="S16" s="39">
        <v>0</v>
      </c>
      <c r="T16" s="39">
        <v>0</v>
      </c>
      <c r="U16" s="39"/>
      <c r="W16" s="41">
        <v>41189</v>
      </c>
      <c r="X16" s="41">
        <v>41189</v>
      </c>
      <c r="Y16" s="41">
        <v>41189</v>
      </c>
      <c r="AD16" s="139"/>
      <c r="AE16" s="122" t="str">
        <f>IF($AF$7&gt;=1,"기초금리 Range하한", "")</f>
        <v>기초금리 Range하한</v>
      </c>
      <c r="AF16" s="123"/>
      <c r="AG16" s="124">
        <v>-1</v>
      </c>
      <c r="AH16" s="124"/>
      <c r="AI16" s="121"/>
      <c r="AJ16" s="121"/>
      <c r="AK16" s="118" t="str">
        <f>IF(AG14&gt;0,"Spread1","")</f>
        <v/>
      </c>
      <c r="AL16" s="118"/>
      <c r="AM16" s="119" t="str">
        <f>IF(AG14&gt;0, AK14&amp;"-"&amp;AK15, "")</f>
        <v/>
      </c>
      <c r="AN16" s="120"/>
      <c r="AO16" s="34"/>
      <c r="AP16" s="38">
        <v>43382</v>
      </c>
      <c r="AQ16" s="38">
        <v>43474</v>
      </c>
      <c r="AR16" s="38">
        <v>43382</v>
      </c>
      <c r="AS16" s="38">
        <v>43474</v>
      </c>
      <c r="AT16" s="38">
        <v>43477</v>
      </c>
      <c r="AU16" s="39">
        <v>0</v>
      </c>
      <c r="AV16" s="39">
        <v>0</v>
      </c>
      <c r="AW16" s="39">
        <v>2E-3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45" t="str">
        <f>IF($D$7&gt;=1,"Payoff조건Multiple", "")</f>
        <v>Payoff조건Multiple</v>
      </c>
      <c r="D17" s="145"/>
      <c r="E17" s="130">
        <v>1</v>
      </c>
      <c r="F17" s="151"/>
      <c r="G17" s="111" t="str">
        <f>IF(E14&gt;0,"예시) 10년-5년 스왑: 연 지급횟수=4, 만기1=10, 만기2=5","")</f>
        <v/>
      </c>
      <c r="H17" s="111"/>
      <c r="I17" s="111"/>
      <c r="J17" s="111"/>
      <c r="K17" s="111"/>
      <c r="L17" s="112"/>
      <c r="M17" s="34"/>
      <c r="N17" s="38">
        <v>43474</v>
      </c>
      <c r="O17" s="38">
        <v>43564</v>
      </c>
      <c r="P17" s="38">
        <v>43474</v>
      </c>
      <c r="Q17" s="38">
        <v>43564</v>
      </c>
      <c r="R17" s="38">
        <v>43567</v>
      </c>
      <c r="S17" s="39">
        <v>0</v>
      </c>
      <c r="T17" s="39">
        <v>0</v>
      </c>
      <c r="U17" s="39"/>
      <c r="W17" s="41">
        <v>41195</v>
      </c>
      <c r="X17" s="41">
        <v>41195</v>
      </c>
      <c r="Y17" s="41">
        <v>41195</v>
      </c>
      <c r="AD17" s="32"/>
      <c r="AE17" s="131" t="str">
        <f>IF($AF$7&gt;=1,"Payoff조건Multiple", "")</f>
        <v>Payoff조건Multiple</v>
      </c>
      <c r="AF17" s="131"/>
      <c r="AG17" s="130">
        <v>1</v>
      </c>
      <c r="AH17" s="130"/>
      <c r="AI17" s="111" t="str">
        <f>IF(AG14&gt;0,"예시) 10년-5년 스왑: 연 지급횟수=4, 만기1=10, 만기2=5","")</f>
        <v/>
      </c>
      <c r="AJ17" s="111"/>
      <c r="AK17" s="111"/>
      <c r="AL17" s="111"/>
      <c r="AM17" s="111"/>
      <c r="AN17" s="112"/>
      <c r="AO17" s="34"/>
      <c r="AP17" s="38">
        <v>43474</v>
      </c>
      <c r="AQ17" s="38">
        <v>43564</v>
      </c>
      <c r="AR17" s="38">
        <v>43474</v>
      </c>
      <c r="AS17" s="38">
        <v>43564</v>
      </c>
      <c r="AT17" s="38">
        <v>43567</v>
      </c>
      <c r="AU17" s="39">
        <v>0</v>
      </c>
      <c r="AV17" s="39">
        <v>0</v>
      </c>
      <c r="AW17" s="39">
        <v>2E-3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v>43564</v>
      </c>
      <c r="O18" s="38">
        <v>43655</v>
      </c>
      <c r="P18" s="38">
        <v>43564</v>
      </c>
      <c r="Q18" s="38">
        <v>43655</v>
      </c>
      <c r="R18" s="38">
        <v>43658</v>
      </c>
      <c r="S18" s="39">
        <v>0</v>
      </c>
      <c r="T18" s="39">
        <v>0</v>
      </c>
      <c r="U18" s="39"/>
      <c r="W18" s="41">
        <v>41196</v>
      </c>
      <c r="X18" s="41">
        <v>41196</v>
      </c>
      <c r="Y18" s="41">
        <v>41196</v>
      </c>
      <c r="AP18" s="38">
        <v>43564</v>
      </c>
      <c r="AQ18" s="38">
        <v>43655</v>
      </c>
      <c r="AR18" s="38">
        <v>43564</v>
      </c>
      <c r="AS18" s="38">
        <v>43655</v>
      </c>
      <c r="AT18" s="38">
        <v>43658</v>
      </c>
      <c r="AU18" s="39">
        <v>0</v>
      </c>
      <c r="AV18" s="39">
        <v>0</v>
      </c>
      <c r="AW18" s="39">
        <v>2E-3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87" t="str">
        <f>IF(D7&gt;=2,"기초금리2", "")</f>
        <v/>
      </c>
      <c r="C19" s="170" t="str">
        <f>IF($D$7&gt;=2,"커브번호", "")</f>
        <v/>
      </c>
      <c r="D19" s="170"/>
      <c r="E19" s="135">
        <v>2</v>
      </c>
      <c r="F19" s="135"/>
      <c r="G19" s="71"/>
      <c r="H19" s="36"/>
      <c r="I19" s="149" t="str">
        <f>IF(OR(E20 = 0, E20 = 2, E20 = 4), "RefType = "&amp;E20&amp;" 이므로 Ref Swap 금리정보 사용안함", "사용")</f>
        <v>RefType = 0 이므로 Ref Swap 금리정보 사용안함</v>
      </c>
      <c r="J19" s="149"/>
      <c r="K19" s="149"/>
      <c r="L19" s="150"/>
      <c r="M19" s="34"/>
      <c r="N19" s="38">
        <v>43655</v>
      </c>
      <c r="O19" s="38">
        <v>43747</v>
      </c>
      <c r="P19" s="38">
        <v>43655</v>
      </c>
      <c r="Q19" s="38">
        <v>43747</v>
      </c>
      <c r="R19" s="38">
        <v>43750</v>
      </c>
      <c r="S19" s="39">
        <v>0</v>
      </c>
      <c r="T19" s="39">
        <v>0</v>
      </c>
      <c r="U19" s="39"/>
      <c r="W19" s="41">
        <v>41202</v>
      </c>
      <c r="X19" s="41">
        <v>41202</v>
      </c>
      <c r="Y19" s="41">
        <v>41202</v>
      </c>
      <c r="AD19" s="138" t="str">
        <f>IF($AF$7&gt;=2,"기초금리2", "")</f>
        <v/>
      </c>
      <c r="AE19" s="134" t="str">
        <f>IF($AF$7&gt;=2,"커브번호", "")</f>
        <v/>
      </c>
      <c r="AF19" s="134"/>
      <c r="AG19" s="135">
        <v>2</v>
      </c>
      <c r="AH19" s="135"/>
      <c r="AI19" s="71"/>
      <c r="AJ19" s="36"/>
      <c r="AK19" s="132" t="str">
        <f>IF(OR(AG20 = 0, AG20 = 2, AG20 = 4), "RefType = "&amp;AG20&amp;" 이므로 Ref Swap 금리정보 사용안함", "사용")</f>
        <v>RefType = 0 이므로 Ref Swap 금리정보 사용안함</v>
      </c>
      <c r="AL19" s="132"/>
      <c r="AM19" s="132"/>
      <c r="AN19" s="133"/>
      <c r="AP19" s="38">
        <v>43655</v>
      </c>
      <c r="AQ19" s="38">
        <v>43747</v>
      </c>
      <c r="AR19" s="38">
        <v>43655</v>
      </c>
      <c r="AS19" s="38">
        <v>43747</v>
      </c>
      <c r="AT19" s="38">
        <v>43750</v>
      </c>
      <c r="AU19" s="39">
        <v>0</v>
      </c>
      <c r="AV19" s="39">
        <v>0</v>
      </c>
      <c r="AW19" s="39">
        <v>2E-3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67"/>
      <c r="C20" s="156" t="str">
        <f>IF($D$7&gt;=2,"Reference Rate Type", "")</f>
        <v/>
      </c>
      <c r="D20" s="157"/>
      <c r="E20" s="137">
        <v>0</v>
      </c>
      <c r="F20" s="137"/>
      <c r="G20" s="140" t="str">
        <f>IF(OR(E20 = 0, E20 = 2, E20 = 4), "", "Zero/Swap 레퍼런스금리정보")</f>
        <v/>
      </c>
      <c r="H20" s="140"/>
      <c r="I20" s="140" t="str">
        <f>IF(OR(E20 = 0, E20 = 2, E20 = 4), "", "연 지급횟수")</f>
        <v/>
      </c>
      <c r="J20" s="141"/>
      <c r="K20" s="127">
        <v>4</v>
      </c>
      <c r="L20" s="128"/>
      <c r="M20" s="34"/>
      <c r="N20" s="38">
        <v>43747</v>
      </c>
      <c r="O20" s="38">
        <v>43839</v>
      </c>
      <c r="P20" s="38">
        <v>43747</v>
      </c>
      <c r="Q20" s="38">
        <v>43839</v>
      </c>
      <c r="R20" s="38">
        <v>43842</v>
      </c>
      <c r="S20" s="39">
        <v>0</v>
      </c>
      <c r="T20" s="39">
        <v>0</v>
      </c>
      <c r="U20" s="39"/>
      <c r="W20" s="41">
        <v>41203</v>
      </c>
      <c r="X20" s="41">
        <v>41203</v>
      </c>
      <c r="Y20" s="41">
        <v>41203</v>
      </c>
      <c r="AD20" s="139"/>
      <c r="AE20" s="123" t="str">
        <f>IF($AF$7&gt;=2,"Reference Rate Type", "")</f>
        <v/>
      </c>
      <c r="AF20" s="136"/>
      <c r="AG20" s="137">
        <v>0</v>
      </c>
      <c r="AH20" s="137"/>
      <c r="AI20" s="125" t="str">
        <f>IF(OR(AG20 = 0, AG20 = 2, AG20 = 4), "", "Zero/Swap 레퍼런스금리정보")</f>
        <v/>
      </c>
      <c r="AJ20" s="125"/>
      <c r="AK20" s="125" t="str">
        <f>IF(OR(AG20 = 0, AG20 = 2, AG20 = 4), "", "연 지급횟수")</f>
        <v/>
      </c>
      <c r="AL20" s="126"/>
      <c r="AM20" s="127">
        <v>4</v>
      </c>
      <c r="AN20" s="128"/>
      <c r="AP20" s="38">
        <v>43747</v>
      </c>
      <c r="AQ20" s="38">
        <v>43839</v>
      </c>
      <c r="AR20" s="38">
        <v>43747</v>
      </c>
      <c r="AS20" s="38">
        <v>43839</v>
      </c>
      <c r="AT20" s="38">
        <v>43842</v>
      </c>
      <c r="AU20" s="39">
        <v>0</v>
      </c>
      <c r="AV20" s="39">
        <v>0</v>
      </c>
      <c r="AW20" s="39">
        <v>2E-3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67"/>
      <c r="C21" s="156" t="str">
        <f>IF($D$7&gt;=2,"DayCount", "")</f>
        <v/>
      </c>
      <c r="D21" s="156"/>
      <c r="E21" s="114">
        <v>0</v>
      </c>
      <c r="F21" s="114"/>
      <c r="G21" s="140"/>
      <c r="H21" s="140"/>
      <c r="I21" s="140" t="str">
        <f>IF(OR(E20 = 0, E20 = 2, E20 = 4,E23=1), "", "만기")</f>
        <v/>
      </c>
      <c r="J21" s="141"/>
      <c r="K21" s="142">
        <v>1</v>
      </c>
      <c r="L21" s="143"/>
      <c r="M21" s="34"/>
      <c r="N21" s="38">
        <v>43839</v>
      </c>
      <c r="O21" s="38">
        <v>43930</v>
      </c>
      <c r="P21" s="38">
        <v>43839</v>
      </c>
      <c r="Q21" s="38">
        <v>43930</v>
      </c>
      <c r="R21" s="38">
        <v>43933</v>
      </c>
      <c r="S21" s="39">
        <v>0</v>
      </c>
      <c r="T21" s="39">
        <v>0</v>
      </c>
      <c r="U21" s="39"/>
      <c r="W21" s="41">
        <v>41209</v>
      </c>
      <c r="X21" s="41">
        <v>41209</v>
      </c>
      <c r="Y21" s="41">
        <v>41209</v>
      </c>
      <c r="AD21" s="139"/>
      <c r="AE21" s="123" t="str">
        <f>IF($AF$7&gt;=2,"DayCount", "")</f>
        <v/>
      </c>
      <c r="AF21" s="123"/>
      <c r="AG21" s="114">
        <v>0</v>
      </c>
      <c r="AH21" s="114"/>
      <c r="AI21" s="125"/>
      <c r="AJ21" s="125"/>
      <c r="AK21" s="140" t="str">
        <f>IF(OR(AG20 = 0, AG20 = 2, AG20 = 4,AG23=1), "", "만기")</f>
        <v/>
      </c>
      <c r="AL21" s="141"/>
      <c r="AM21" s="142">
        <v>5</v>
      </c>
      <c r="AN21" s="143"/>
      <c r="AP21" s="38">
        <v>43839</v>
      </c>
      <c r="AQ21" s="38">
        <v>43930</v>
      </c>
      <c r="AR21" s="38">
        <v>43839</v>
      </c>
      <c r="AS21" s="38">
        <v>43930</v>
      </c>
      <c r="AT21" s="38">
        <v>43933</v>
      </c>
      <c r="AU21" s="39">
        <v>0</v>
      </c>
      <c r="AV21" s="39">
        <v>0</v>
      </c>
      <c r="AW21" s="39">
        <v>2E-3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67"/>
      <c r="C22" s="156" t="str">
        <f>IF($D$7&gt;=2,"금리결정조건Multiple", "")</f>
        <v/>
      </c>
      <c r="D22" s="157"/>
      <c r="E22" s="113">
        <v>1</v>
      </c>
      <c r="F22" s="113"/>
      <c r="G22" s="109" t="str">
        <f>IF(OR(E20 = 0, E20 = 2, E20 = 4), "", "ex) Zero Rate 5년 -&gt; 연 지급횟수= 0, 만기= 5 // CD91일 -&gt; 연 지급횟수= 4, 만기= 0.25")</f>
        <v/>
      </c>
      <c r="H22" s="109"/>
      <c r="I22" s="109"/>
      <c r="J22" s="109"/>
      <c r="K22" s="109"/>
      <c r="L22" s="110"/>
      <c r="M22" s="34"/>
      <c r="N22" s="38">
        <v>43930</v>
      </c>
      <c r="O22" s="38">
        <v>44021</v>
      </c>
      <c r="P22" s="38">
        <v>43930</v>
      </c>
      <c r="Q22" s="38">
        <v>44021</v>
      </c>
      <c r="R22" s="38">
        <v>44024</v>
      </c>
      <c r="S22" s="39">
        <v>0</v>
      </c>
      <c r="T22" s="39">
        <v>0</v>
      </c>
      <c r="U22" s="39"/>
      <c r="W22" s="41">
        <v>41210</v>
      </c>
      <c r="X22" s="41">
        <v>41210</v>
      </c>
      <c r="Y22" s="41">
        <v>41210</v>
      </c>
      <c r="AD22" s="139"/>
      <c r="AE22" s="123" t="str">
        <f>IF($AF$7&gt;=2,"금리결정조건Multiple", "")</f>
        <v/>
      </c>
      <c r="AF22" s="136"/>
      <c r="AG22" s="113">
        <v>1</v>
      </c>
      <c r="AH22" s="113"/>
      <c r="AI22" s="109" t="str">
        <f>IF(OR(AG20 = 0, AG20 = 2, AG20 = 4), "", "ex) Zero Rate 5년 -&gt; 연 지급횟수= 0, 만기= 5 // CD91일 -&gt; 연 지급횟수= 4, 만기= 0.25")</f>
        <v/>
      </c>
      <c r="AJ22" s="109"/>
      <c r="AK22" s="109"/>
      <c r="AL22" s="109"/>
      <c r="AM22" s="109"/>
      <c r="AN22" s="110"/>
      <c r="AP22" s="38">
        <v>43930</v>
      </c>
      <c r="AQ22" s="38">
        <v>44021</v>
      </c>
      <c r="AR22" s="38">
        <v>43930</v>
      </c>
      <c r="AS22" s="38">
        <v>44021</v>
      </c>
      <c r="AT22" s="38">
        <v>44024</v>
      </c>
      <c r="AU22" s="39">
        <v>0</v>
      </c>
      <c r="AV22" s="39">
        <v>0</v>
      </c>
      <c r="AW22" s="39">
        <v>2E-3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67"/>
      <c r="C23" s="155" t="str">
        <f>IF($D$7&gt;=2,"Power Spread Flag", "")</f>
        <v/>
      </c>
      <c r="D23" s="155"/>
      <c r="E23" s="114">
        <v>0</v>
      </c>
      <c r="F23" s="114"/>
      <c r="G23" s="162" t="str">
        <f>IF(E23&gt;0,"PowerSpreadFlag 1일때 입력","입력필요X")</f>
        <v>입력필요X</v>
      </c>
      <c r="H23" s="162"/>
      <c r="I23" s="162" t="str">
        <f>IF(E23&gt;0,"만기1","")</f>
        <v/>
      </c>
      <c r="J23" s="162"/>
      <c r="K23" s="116">
        <v>10</v>
      </c>
      <c r="L23" s="117"/>
      <c r="M23" s="34"/>
      <c r="N23" s="38">
        <v>44021</v>
      </c>
      <c r="O23" s="38">
        <v>44113</v>
      </c>
      <c r="P23" s="38">
        <v>44021</v>
      </c>
      <c r="Q23" s="38">
        <v>44113</v>
      </c>
      <c r="R23" s="38">
        <v>44116</v>
      </c>
      <c r="S23" s="39">
        <v>0</v>
      </c>
      <c r="T23" s="39">
        <v>0</v>
      </c>
      <c r="U23" s="39"/>
      <c r="W23" s="41">
        <v>41216</v>
      </c>
      <c r="X23" s="41">
        <v>41216</v>
      </c>
      <c r="Y23" s="41">
        <v>41216</v>
      </c>
      <c r="AD23" s="139"/>
      <c r="AE23" s="122" t="str">
        <f>IF($AF$7&gt;=2,"Power Spread Flag", "")</f>
        <v/>
      </c>
      <c r="AF23" s="122"/>
      <c r="AG23" s="114">
        <v>0</v>
      </c>
      <c r="AH23" s="114"/>
      <c r="AI23" s="115" t="str">
        <f>IF(AG23&gt;0,"PowerSpreadFlag 1일때 입력","입력필요X")</f>
        <v>입력필요X</v>
      </c>
      <c r="AJ23" s="115"/>
      <c r="AK23" s="115" t="str">
        <f>IF(AG23&gt;0,"만기1","")</f>
        <v/>
      </c>
      <c r="AL23" s="115"/>
      <c r="AM23" s="116">
        <v>10</v>
      </c>
      <c r="AN23" s="117"/>
      <c r="AP23" s="38">
        <v>44021</v>
      </c>
      <c r="AQ23" s="38">
        <v>44113</v>
      </c>
      <c r="AR23" s="38">
        <v>44021</v>
      </c>
      <c r="AS23" s="38">
        <v>44113</v>
      </c>
      <c r="AT23" s="38">
        <v>44116</v>
      </c>
      <c r="AU23" s="39">
        <v>0</v>
      </c>
      <c r="AV23" s="39">
        <v>0</v>
      </c>
      <c r="AW23" s="39">
        <v>2E-3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67" t="str">
        <f>IF($D$7&gt;1, "사용", "커브개수"&amp;"="&amp;$D$7&amp;"이므로 사용안함")</f>
        <v>커브개수=1이므로 사용안함</v>
      </c>
      <c r="C24" s="155" t="str">
        <f>IF($D$7&gt;=2,"기초금리 Range상한", "")</f>
        <v/>
      </c>
      <c r="D24" s="155"/>
      <c r="E24" s="144">
        <v>10</v>
      </c>
      <c r="F24" s="144"/>
      <c r="G24" s="162"/>
      <c r="H24" s="162"/>
      <c r="I24" s="162" t="str">
        <f>IF(E23&gt;0,"만기2","")</f>
        <v/>
      </c>
      <c r="J24" s="162"/>
      <c r="K24" s="116">
        <v>5</v>
      </c>
      <c r="L24" s="117"/>
      <c r="M24" s="34"/>
      <c r="N24" s="38">
        <v>44113</v>
      </c>
      <c r="O24" s="38">
        <v>44205</v>
      </c>
      <c r="P24" s="38">
        <v>44113</v>
      </c>
      <c r="Q24" s="38">
        <v>44205</v>
      </c>
      <c r="R24" s="38">
        <v>44208</v>
      </c>
      <c r="S24" s="39">
        <v>0</v>
      </c>
      <c r="T24" s="39">
        <v>0</v>
      </c>
      <c r="U24" s="39"/>
      <c r="W24" s="41">
        <v>41217</v>
      </c>
      <c r="X24" s="41">
        <v>41217</v>
      </c>
      <c r="Y24" s="41">
        <v>41217</v>
      </c>
      <c r="AD24" s="139" t="str">
        <f>IF($AF$7&gt;1, "사용", "커브개수"&amp;"="&amp;$AF$7&amp;"이므로 사용안함")</f>
        <v>커브개수=1이므로 사용안함</v>
      </c>
      <c r="AE24" s="122" t="str">
        <f>IF($AF$7&gt;=2,"기초금리 Range상한", "")</f>
        <v/>
      </c>
      <c r="AF24" s="122"/>
      <c r="AG24" s="144">
        <v>0.5</v>
      </c>
      <c r="AH24" s="144"/>
      <c r="AI24" s="115"/>
      <c r="AJ24" s="115"/>
      <c r="AK24" s="115" t="str">
        <f>IF(AG23&gt;0,"만기2","")</f>
        <v/>
      </c>
      <c r="AL24" s="115"/>
      <c r="AM24" s="116">
        <v>5</v>
      </c>
      <c r="AN24" s="117"/>
      <c r="AP24" s="38">
        <v>44113</v>
      </c>
      <c r="AQ24" s="38">
        <v>44205</v>
      </c>
      <c r="AR24" s="38">
        <v>44113</v>
      </c>
      <c r="AS24" s="38">
        <v>44205</v>
      </c>
      <c r="AT24" s="38">
        <v>44208</v>
      </c>
      <c r="AU24" s="39">
        <v>0</v>
      </c>
      <c r="AV24" s="39">
        <v>0</v>
      </c>
      <c r="AW24" s="39">
        <v>2E-3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67"/>
      <c r="C25" s="155" t="str">
        <f>IF($D$7&gt;=2,"기초금리 Range하한", "")</f>
        <v/>
      </c>
      <c r="D25" s="156"/>
      <c r="E25" s="124">
        <v>-1</v>
      </c>
      <c r="F25" s="124"/>
      <c r="G25" s="168"/>
      <c r="H25" s="168"/>
      <c r="I25" s="163" t="str">
        <f>IF(E23&gt;0,"Spread1","")</f>
        <v/>
      </c>
      <c r="J25" s="163"/>
      <c r="K25" s="153" t="str">
        <f>IF(E23&gt;0, I23&amp;"-"&amp;I24, "")</f>
        <v/>
      </c>
      <c r="L25" s="154"/>
      <c r="N25" s="38">
        <v>44205</v>
      </c>
      <c r="O25" s="38">
        <v>44295</v>
      </c>
      <c r="P25" s="38">
        <v>44205</v>
      </c>
      <c r="Q25" s="38">
        <v>44295</v>
      </c>
      <c r="R25" s="38">
        <v>44298</v>
      </c>
      <c r="S25" s="39">
        <v>0</v>
      </c>
      <c r="T25" s="39">
        <v>0</v>
      </c>
      <c r="U25" s="39"/>
      <c r="W25" s="41">
        <v>41223</v>
      </c>
      <c r="X25" s="41">
        <v>41223</v>
      </c>
      <c r="Y25" s="41">
        <v>41223</v>
      </c>
      <c r="AD25" s="139"/>
      <c r="AE25" s="122" t="str">
        <f>IF($AF$7&gt;=2,"기초금리 Range하한", "")</f>
        <v/>
      </c>
      <c r="AF25" s="123"/>
      <c r="AG25" s="124">
        <v>-0.1</v>
      </c>
      <c r="AH25" s="124"/>
      <c r="AI25" s="121"/>
      <c r="AJ25" s="121"/>
      <c r="AK25" s="118" t="str">
        <f>IF(AG23&gt;0,"Spread1","")</f>
        <v/>
      </c>
      <c r="AL25" s="118"/>
      <c r="AM25" s="119" t="str">
        <f>IF(AG23&gt;0, AK23&amp;"-"&amp;AK24, "")</f>
        <v/>
      </c>
      <c r="AN25" s="120"/>
      <c r="AP25" s="38">
        <v>44205</v>
      </c>
      <c r="AQ25" s="38">
        <v>44295</v>
      </c>
      <c r="AR25" s="38">
        <v>44205</v>
      </c>
      <c r="AS25" s="38">
        <v>44295</v>
      </c>
      <c r="AT25" s="38">
        <v>44298</v>
      </c>
      <c r="AU25" s="39">
        <v>0</v>
      </c>
      <c r="AV25" s="39">
        <v>0</v>
      </c>
      <c r="AW25" s="39">
        <v>2E-3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45" t="str">
        <f>IF($D$7&gt;=2,"Payoff조건Multiple", "")</f>
        <v/>
      </c>
      <c r="D26" s="145"/>
      <c r="E26" s="130">
        <v>0</v>
      </c>
      <c r="F26" s="130"/>
      <c r="G26" s="111" t="str">
        <f>IF(E23&gt;0,"예시) 10년-5년 스왑: 연 지급횟수=4, 만기1=10, 만기2=5","")</f>
        <v/>
      </c>
      <c r="H26" s="111"/>
      <c r="I26" s="111"/>
      <c r="J26" s="111"/>
      <c r="K26" s="111"/>
      <c r="L26" s="112"/>
      <c r="N26" s="38">
        <v>44295</v>
      </c>
      <c r="O26" s="38">
        <v>44386</v>
      </c>
      <c r="P26" s="38">
        <v>44295</v>
      </c>
      <c r="Q26" s="38">
        <v>44386</v>
      </c>
      <c r="R26" s="38">
        <v>44389</v>
      </c>
      <c r="S26" s="39">
        <v>0</v>
      </c>
      <c r="T26" s="39">
        <v>0</v>
      </c>
      <c r="U26" s="39"/>
      <c r="W26" s="41">
        <v>41224</v>
      </c>
      <c r="X26" s="41">
        <v>41224</v>
      </c>
      <c r="Y26" s="41">
        <v>41224</v>
      </c>
      <c r="AD26" s="32"/>
      <c r="AE26" s="131" t="str">
        <f>IF($AF$7&gt;=2,"Payoff조건Multiple", "")</f>
        <v/>
      </c>
      <c r="AF26" s="131"/>
      <c r="AG26" s="130">
        <v>0</v>
      </c>
      <c r="AH26" s="130"/>
      <c r="AI26" s="111" t="str">
        <f>IF(AG23&gt;0,"예시) 10년-5년 스왑: 연 지급횟수=4, 만기1=10, 만기2=5","")</f>
        <v/>
      </c>
      <c r="AJ26" s="111"/>
      <c r="AK26" s="111"/>
      <c r="AL26" s="111"/>
      <c r="AM26" s="111"/>
      <c r="AN26" s="112"/>
      <c r="AP26" s="38">
        <v>44295</v>
      </c>
      <c r="AQ26" s="38">
        <v>44386</v>
      </c>
      <c r="AR26" s="38">
        <v>44295</v>
      </c>
      <c r="AS26" s="38">
        <v>44386</v>
      </c>
      <c r="AT26" s="38">
        <v>44389</v>
      </c>
      <c r="AU26" s="39">
        <v>0</v>
      </c>
      <c r="AV26" s="39">
        <v>0</v>
      </c>
      <c r="AW26" s="39">
        <v>2E-3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v>44386</v>
      </c>
      <c r="O27" s="38">
        <v>44478</v>
      </c>
      <c r="P27" s="38">
        <v>44386</v>
      </c>
      <c r="Q27" s="38">
        <v>44478</v>
      </c>
      <c r="R27" s="38">
        <v>44481</v>
      </c>
      <c r="S27" s="39">
        <v>0</v>
      </c>
      <c r="T27" s="39">
        <v>0</v>
      </c>
      <c r="U27" s="39"/>
      <c r="W27" s="41">
        <v>41230</v>
      </c>
      <c r="X27" s="41">
        <v>41230</v>
      </c>
      <c r="Y27" s="41">
        <v>41230</v>
      </c>
      <c r="AP27" s="38">
        <v>44386</v>
      </c>
      <c r="AQ27" s="38">
        <v>44478</v>
      </c>
      <c r="AR27" s="38">
        <v>44386</v>
      </c>
      <c r="AS27" s="38">
        <v>44478</v>
      </c>
      <c r="AT27" s="38">
        <v>44481</v>
      </c>
      <c r="AU27" s="39">
        <v>0</v>
      </c>
      <c r="AV27" s="39">
        <v>0</v>
      </c>
      <c r="AW27" s="39">
        <v>2E-3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87" t="str">
        <f>IF($D$7&gt;=3,"기초금리3", "")</f>
        <v/>
      </c>
      <c r="C28" s="170" t="str">
        <f>IF($D$7&gt;=3,"커브번호", "")</f>
        <v/>
      </c>
      <c r="D28" s="170"/>
      <c r="E28" s="135">
        <v>3</v>
      </c>
      <c r="F28" s="135"/>
      <c r="G28" s="71"/>
      <c r="H28" s="36"/>
      <c r="I28" s="149" t="str">
        <f>IF(OR(E29 = 0, E29 = 2, E29 = 4), "RefType = "&amp;E29&amp;" 이므로 Ref Swap 금리정보 사용안함", "사용")</f>
        <v>RefType = 0 이므로 Ref Swap 금리정보 사용안함</v>
      </c>
      <c r="J28" s="149"/>
      <c r="K28" s="149"/>
      <c r="L28" s="150"/>
      <c r="N28" s="38">
        <v>44478</v>
      </c>
      <c r="O28" s="38">
        <v>44570</v>
      </c>
      <c r="P28" s="38">
        <v>44478</v>
      </c>
      <c r="Q28" s="38">
        <v>44570</v>
      </c>
      <c r="R28" s="38">
        <v>44573</v>
      </c>
      <c r="S28" s="39">
        <v>0</v>
      </c>
      <c r="T28" s="39">
        <v>0</v>
      </c>
      <c r="U28" s="39"/>
      <c r="W28" s="41">
        <v>41231</v>
      </c>
      <c r="X28" s="41">
        <v>41231</v>
      </c>
      <c r="Y28" s="41">
        <v>41231</v>
      </c>
      <c r="AD28" s="138" t="str">
        <f>IF($AF$7&gt;=3,"기초금리3", "")</f>
        <v/>
      </c>
      <c r="AE28" s="134" t="str">
        <f>IF($AF$7&gt;=3,"커브번호", "")</f>
        <v/>
      </c>
      <c r="AF28" s="134"/>
      <c r="AG28" s="135">
        <v>3</v>
      </c>
      <c r="AH28" s="135"/>
      <c r="AI28" s="71"/>
      <c r="AJ28" s="36"/>
      <c r="AK28" s="132" t="str">
        <f>IF(OR(AG29 = 0, AG29 = 2, AG29 = 4), "RefType = "&amp;AG29&amp;" 이므로 Ref Swap 금리정보 사용안함", "사용")</f>
        <v>RefType = 0 이므로 Ref Swap 금리정보 사용안함</v>
      </c>
      <c r="AL28" s="132"/>
      <c r="AM28" s="132"/>
      <c r="AN28" s="133"/>
      <c r="AP28" s="38">
        <v>44478</v>
      </c>
      <c r="AQ28" s="38">
        <v>44570</v>
      </c>
      <c r="AR28" s="38">
        <v>44478</v>
      </c>
      <c r="AS28" s="38">
        <v>44570</v>
      </c>
      <c r="AT28" s="38">
        <v>44573</v>
      </c>
      <c r="AU28" s="39">
        <v>0</v>
      </c>
      <c r="AV28" s="39">
        <v>0</v>
      </c>
      <c r="AW28" s="39">
        <v>2E-3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67"/>
      <c r="C29" s="156" t="str">
        <f>IF($D$7&gt;=3,"Reference Rate Type", "")</f>
        <v/>
      </c>
      <c r="D29" s="157"/>
      <c r="E29" s="137">
        <v>0</v>
      </c>
      <c r="F29" s="137"/>
      <c r="G29" s="140" t="str">
        <f>IF(OR(E29 = 0, E29 = 2, E29 = 4), "", "Zero/Swap 레퍼런스금리정보")</f>
        <v/>
      </c>
      <c r="H29" s="140"/>
      <c r="I29" s="140" t="str">
        <f>IF(OR(E29 = 0, E29 = 2, E29 = 4), "", "연 지급횟수")</f>
        <v/>
      </c>
      <c r="J29" s="141"/>
      <c r="K29" s="127">
        <v>4</v>
      </c>
      <c r="L29" s="128"/>
      <c r="N29" s="38">
        <v>44570</v>
      </c>
      <c r="O29" s="38">
        <v>44660</v>
      </c>
      <c r="P29" s="38">
        <v>44570</v>
      </c>
      <c r="Q29" s="38">
        <v>44660</v>
      </c>
      <c r="R29" s="38">
        <v>44663</v>
      </c>
      <c r="S29" s="39">
        <v>0</v>
      </c>
      <c r="T29" s="39">
        <v>0</v>
      </c>
      <c r="U29" s="39"/>
      <c r="W29" s="41">
        <v>41237</v>
      </c>
      <c r="X29" s="41">
        <v>41237</v>
      </c>
      <c r="Y29" s="41">
        <v>41237</v>
      </c>
      <c r="AD29" s="139"/>
      <c r="AE29" s="123" t="str">
        <f>IF($AF$7&gt;=3,"Reference Rate Type", "")</f>
        <v/>
      </c>
      <c r="AF29" s="136"/>
      <c r="AG29" s="137">
        <v>0</v>
      </c>
      <c r="AH29" s="137"/>
      <c r="AI29" s="125" t="str">
        <f>IF(OR(AG29 = 0, AG29 = 2, AG29 = 4), "", "Zero/Swap 레퍼런스금리정보")</f>
        <v/>
      </c>
      <c r="AJ29" s="125"/>
      <c r="AK29" s="125" t="str">
        <f>IF(OR(AG29 = 0, AG29 = 2, AG29 = 4), "", "연 지급횟수")</f>
        <v/>
      </c>
      <c r="AL29" s="126"/>
      <c r="AM29" s="127">
        <v>4</v>
      </c>
      <c r="AN29" s="128"/>
      <c r="AP29" s="38">
        <v>44570</v>
      </c>
      <c r="AQ29" s="38">
        <v>44660</v>
      </c>
      <c r="AR29" s="38">
        <v>44570</v>
      </c>
      <c r="AS29" s="38">
        <v>44660</v>
      </c>
      <c r="AT29" s="38">
        <v>44663</v>
      </c>
      <c r="AU29" s="39">
        <v>0</v>
      </c>
      <c r="AV29" s="39">
        <v>0</v>
      </c>
      <c r="AW29" s="39">
        <v>2E-3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67"/>
      <c r="C30" s="156" t="str">
        <f>IF($D$7&gt;=3,"DayCount", "")</f>
        <v/>
      </c>
      <c r="D30" s="156"/>
      <c r="E30" s="114">
        <v>0</v>
      </c>
      <c r="F30" s="114"/>
      <c r="G30" s="140"/>
      <c r="H30" s="140"/>
      <c r="I30" s="140" t="str">
        <f>IF(OR(E29 = 0, E29 = 2, E29 = 4,E32=1), "", "만기")</f>
        <v/>
      </c>
      <c r="J30" s="141"/>
      <c r="K30" s="142">
        <v>5</v>
      </c>
      <c r="L30" s="143"/>
      <c r="N30" s="38">
        <v>44660</v>
      </c>
      <c r="O30" s="38">
        <v>44751</v>
      </c>
      <c r="P30" s="38">
        <v>44660</v>
      </c>
      <c r="Q30" s="38">
        <v>44751</v>
      </c>
      <c r="R30" s="38">
        <v>44754</v>
      </c>
      <c r="S30" s="39">
        <v>0</v>
      </c>
      <c r="T30" s="39">
        <v>0</v>
      </c>
      <c r="U30" s="39"/>
      <c r="W30" s="41">
        <v>41238</v>
      </c>
      <c r="X30" s="41">
        <v>41238</v>
      </c>
      <c r="Y30" s="41">
        <v>41238</v>
      </c>
      <c r="AD30" s="139"/>
      <c r="AE30" s="123" t="str">
        <f>IF($AF$7&gt;=3,"DayCount", "")</f>
        <v/>
      </c>
      <c r="AF30" s="123"/>
      <c r="AG30" s="114">
        <v>0</v>
      </c>
      <c r="AH30" s="114"/>
      <c r="AI30" s="125"/>
      <c r="AJ30" s="125"/>
      <c r="AK30" s="140" t="str">
        <f>IF(OR(AG29 = 0, AG29 = 2, AG29 = 4,AG32=1), "", "만기")</f>
        <v/>
      </c>
      <c r="AL30" s="141"/>
      <c r="AM30" s="142">
        <v>5</v>
      </c>
      <c r="AN30" s="143"/>
      <c r="AP30" s="38">
        <v>44660</v>
      </c>
      <c r="AQ30" s="38">
        <v>44751</v>
      </c>
      <c r="AR30" s="38">
        <v>44660</v>
      </c>
      <c r="AS30" s="38">
        <v>44751</v>
      </c>
      <c r="AT30" s="38">
        <v>44754</v>
      </c>
      <c r="AU30" s="39">
        <v>0</v>
      </c>
      <c r="AV30" s="39">
        <v>0</v>
      </c>
      <c r="AW30" s="39">
        <v>2E-3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67"/>
      <c r="C31" s="156" t="str">
        <f>IF($D$7&gt;=3,"금리결정조건Multiple", "")</f>
        <v/>
      </c>
      <c r="D31" s="157"/>
      <c r="E31" s="113">
        <v>1</v>
      </c>
      <c r="F31" s="113"/>
      <c r="G31" s="109" t="str">
        <f>IF(OR(E29 = 0, E29 = 2, E29 = 4), "", "ex) Zero Rate 5년 -&gt; 연 지급횟수= 0, 만기= 5 // CD91일 -&gt; 연 지급횟수= 4, 만기= 0.25")</f>
        <v/>
      </c>
      <c r="H31" s="109"/>
      <c r="I31" s="109"/>
      <c r="J31" s="109"/>
      <c r="K31" s="109"/>
      <c r="L31" s="110"/>
      <c r="N31" s="38">
        <v>44751</v>
      </c>
      <c r="O31" s="38">
        <v>44843</v>
      </c>
      <c r="P31" s="38">
        <v>44751</v>
      </c>
      <c r="Q31" s="38">
        <v>44843</v>
      </c>
      <c r="R31" s="38">
        <v>44846</v>
      </c>
      <c r="S31" s="39">
        <v>0</v>
      </c>
      <c r="T31" s="39">
        <v>0</v>
      </c>
      <c r="U31" s="39"/>
      <c r="W31" s="41">
        <v>41244</v>
      </c>
      <c r="X31" s="41">
        <v>41244</v>
      </c>
      <c r="Y31" s="41">
        <v>41244</v>
      </c>
      <c r="AD31" s="139"/>
      <c r="AE31" s="123" t="str">
        <f>IF($AF$7&gt;=3,"금리결정조건Multiple", "")</f>
        <v/>
      </c>
      <c r="AF31" s="136"/>
      <c r="AG31" s="113">
        <v>1</v>
      </c>
      <c r="AH31" s="113"/>
      <c r="AI31" s="109" t="str">
        <f>IF(OR(AG29 = 0, AG29 = 2, AG29 = 4), "", "ex) Zero Rate 5년 -&gt; 연 지급횟수= 0, 만기= 5 // CD91일 -&gt; 연 지급횟수= 4, 만기= 0.25")</f>
        <v/>
      </c>
      <c r="AJ31" s="109"/>
      <c r="AK31" s="109"/>
      <c r="AL31" s="109"/>
      <c r="AM31" s="109"/>
      <c r="AN31" s="110"/>
      <c r="AP31" s="38">
        <v>44751</v>
      </c>
      <c r="AQ31" s="38">
        <v>44843</v>
      </c>
      <c r="AR31" s="38">
        <v>44751</v>
      </c>
      <c r="AS31" s="38">
        <v>44843</v>
      </c>
      <c r="AT31" s="38">
        <v>44846</v>
      </c>
      <c r="AU31" s="39">
        <v>0</v>
      </c>
      <c r="AV31" s="39">
        <v>0</v>
      </c>
      <c r="AW31" s="39">
        <v>2E-3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67"/>
      <c r="C32" s="155" t="str">
        <f>IF($D$7&gt;=3,"Power Spread Flag", "")</f>
        <v/>
      </c>
      <c r="D32" s="155"/>
      <c r="E32" s="114">
        <v>0</v>
      </c>
      <c r="F32" s="114"/>
      <c r="G32" s="162" t="str">
        <f>IF(E32&gt;0,"PowerSpreadFlag 1일때 입력","입력필요X")</f>
        <v>입력필요X</v>
      </c>
      <c r="H32" s="162"/>
      <c r="I32" s="162" t="str">
        <f>IF(E32&gt;0,"만기1","")</f>
        <v/>
      </c>
      <c r="J32" s="162"/>
      <c r="K32" s="116">
        <v>10</v>
      </c>
      <c r="L32" s="117"/>
      <c r="N32" s="38">
        <v>44843</v>
      </c>
      <c r="O32" s="38">
        <v>44935</v>
      </c>
      <c r="P32" s="38">
        <v>44843</v>
      </c>
      <c r="Q32" s="38">
        <v>44935</v>
      </c>
      <c r="R32" s="38">
        <v>44938</v>
      </c>
      <c r="S32" s="39">
        <v>0</v>
      </c>
      <c r="T32" s="39">
        <v>0</v>
      </c>
      <c r="U32" s="39"/>
      <c r="W32" s="41">
        <v>41245</v>
      </c>
      <c r="X32" s="41">
        <v>41245</v>
      </c>
      <c r="Y32" s="41">
        <v>41245</v>
      </c>
      <c r="AD32" s="139"/>
      <c r="AE32" s="122" t="str">
        <f>IF($AF$7&gt;=3,"Power Spread Flag", "")</f>
        <v/>
      </c>
      <c r="AF32" s="122"/>
      <c r="AG32" s="114">
        <v>0</v>
      </c>
      <c r="AH32" s="114"/>
      <c r="AI32" s="115" t="str">
        <f>IF(AG32&gt;0,"PowerSpreadFlag 1일때 입력","입력필요X")</f>
        <v>입력필요X</v>
      </c>
      <c r="AJ32" s="115"/>
      <c r="AK32" s="115" t="str">
        <f>IF(AG32&gt;0,"만기1","")</f>
        <v/>
      </c>
      <c r="AL32" s="115"/>
      <c r="AM32" s="116">
        <v>10</v>
      </c>
      <c r="AN32" s="117"/>
      <c r="AP32" s="38">
        <v>44843</v>
      </c>
      <c r="AQ32" s="38">
        <v>44935</v>
      </c>
      <c r="AR32" s="38">
        <v>44843</v>
      </c>
      <c r="AS32" s="38">
        <v>44935</v>
      </c>
      <c r="AT32" s="38">
        <v>44938</v>
      </c>
      <c r="AU32" s="39">
        <v>0</v>
      </c>
      <c r="AV32" s="39">
        <v>0</v>
      </c>
      <c r="AW32" s="39">
        <v>2E-3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67" t="str">
        <f>IF($D$7&gt;2, "사용", "커브개수"&amp;"="&amp;$D$7&amp;"이므로 사용안함")</f>
        <v>커브개수=1이므로 사용안함</v>
      </c>
      <c r="C33" s="155" t="str">
        <f>IF($D$7&gt;=3,"기초금리 Range상한", "")</f>
        <v/>
      </c>
      <c r="D33" s="155"/>
      <c r="E33" s="144">
        <v>0.5</v>
      </c>
      <c r="F33" s="144"/>
      <c r="G33" s="162"/>
      <c r="H33" s="162"/>
      <c r="I33" s="162" t="str">
        <f>IF(E32&gt;0,"만기2","")</f>
        <v/>
      </c>
      <c r="J33" s="162"/>
      <c r="K33" s="116">
        <v>5</v>
      </c>
      <c r="L33" s="117"/>
      <c r="N33" s="38">
        <v>44935</v>
      </c>
      <c r="O33" s="38">
        <v>45025</v>
      </c>
      <c r="P33" s="38">
        <v>44935</v>
      </c>
      <c r="Q33" s="38">
        <v>45025</v>
      </c>
      <c r="R33" s="38">
        <v>45028</v>
      </c>
      <c r="S33" s="39">
        <v>0</v>
      </c>
      <c r="T33" s="39">
        <v>0</v>
      </c>
      <c r="U33" s="39"/>
      <c r="W33" s="41">
        <v>41251</v>
      </c>
      <c r="X33" s="41">
        <v>41251</v>
      </c>
      <c r="Y33" s="41">
        <v>41251</v>
      </c>
      <c r="AD33" s="139" t="str">
        <f>IF($AF$7&gt;2, "사용", "커브개수"&amp;"="&amp;$AF$7&amp;"이므로 사용안함")</f>
        <v>커브개수=1이므로 사용안함</v>
      </c>
      <c r="AE33" s="122" t="str">
        <f>IF($AF$7&gt;=3,"기초금리 Range상한", "")</f>
        <v/>
      </c>
      <c r="AF33" s="122"/>
      <c r="AG33" s="144">
        <v>0.5</v>
      </c>
      <c r="AH33" s="144"/>
      <c r="AI33" s="115"/>
      <c r="AJ33" s="115"/>
      <c r="AK33" s="115" t="str">
        <f>IF(AG32&gt;0,"만기2","")</f>
        <v/>
      </c>
      <c r="AL33" s="115"/>
      <c r="AM33" s="116">
        <v>5</v>
      </c>
      <c r="AN33" s="117"/>
      <c r="AP33" s="38">
        <v>44935</v>
      </c>
      <c r="AQ33" s="38">
        <v>45025</v>
      </c>
      <c r="AR33" s="38">
        <v>44935</v>
      </c>
      <c r="AS33" s="38">
        <v>45025</v>
      </c>
      <c r="AT33" s="38">
        <v>45028</v>
      </c>
      <c r="AU33" s="39">
        <v>0</v>
      </c>
      <c r="AV33" s="39">
        <v>0</v>
      </c>
      <c r="AW33" s="39">
        <v>2E-3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67"/>
      <c r="C34" s="155" t="str">
        <f>IF($D$7&gt;=3,"기초금리 Range하한", "")</f>
        <v/>
      </c>
      <c r="D34" s="156"/>
      <c r="E34" s="124">
        <v>-0.1</v>
      </c>
      <c r="F34" s="124"/>
      <c r="G34" s="168"/>
      <c r="H34" s="168"/>
      <c r="I34" s="163" t="str">
        <f>IF(E32&gt;0,"Spread1","")</f>
        <v/>
      </c>
      <c r="J34" s="163"/>
      <c r="K34" s="153" t="str">
        <f>IF(E32&gt;0, I32&amp;"-"&amp;I33, "")</f>
        <v/>
      </c>
      <c r="L34" s="154"/>
      <c r="N34" s="38">
        <v>45025</v>
      </c>
      <c r="O34" s="38">
        <v>45116</v>
      </c>
      <c r="P34" s="38">
        <v>45025</v>
      </c>
      <c r="Q34" s="38">
        <v>45116</v>
      </c>
      <c r="R34" s="38">
        <v>45119</v>
      </c>
      <c r="S34" s="39">
        <v>0</v>
      </c>
      <c r="T34" s="39">
        <v>0</v>
      </c>
      <c r="U34" s="39"/>
      <c r="W34" s="41">
        <v>41252</v>
      </c>
      <c r="X34" s="41">
        <v>41252</v>
      </c>
      <c r="Y34" s="41">
        <v>41252</v>
      </c>
      <c r="AD34" s="139"/>
      <c r="AE34" s="122" t="str">
        <f>IF($AF$7&gt;=3,"기초금리 Range하한", "")</f>
        <v/>
      </c>
      <c r="AF34" s="123"/>
      <c r="AG34" s="124">
        <v>-0.1</v>
      </c>
      <c r="AH34" s="124"/>
      <c r="AI34" s="121"/>
      <c r="AJ34" s="121"/>
      <c r="AK34" s="118" t="str">
        <f>IF(AG32&gt;0,"Spread1","")</f>
        <v/>
      </c>
      <c r="AL34" s="118"/>
      <c r="AM34" s="119" t="str">
        <f>IF(AG32&gt;0, AK32&amp;"-"&amp;AK33, "")</f>
        <v/>
      </c>
      <c r="AN34" s="120"/>
      <c r="AP34" s="38">
        <v>45025</v>
      </c>
      <c r="AQ34" s="38">
        <v>45116</v>
      </c>
      <c r="AR34" s="38">
        <v>45025</v>
      </c>
      <c r="AS34" s="38">
        <v>45116</v>
      </c>
      <c r="AT34" s="38">
        <v>45119</v>
      </c>
      <c r="AU34" s="39">
        <v>0</v>
      </c>
      <c r="AV34" s="39">
        <v>0</v>
      </c>
      <c r="AW34" s="39">
        <v>2E-3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45" t="str">
        <f>IF($D$7&gt;=3,"Payoff조건Multiple", "")</f>
        <v/>
      </c>
      <c r="D35" s="145"/>
      <c r="E35" s="130">
        <v>0</v>
      </c>
      <c r="F35" s="130"/>
      <c r="G35" s="111" t="str">
        <f>IF(E32&gt;0,"예시) 10년-5년 스왑: 연 지급횟수=4, 만기1=10, 만기2=5","")</f>
        <v/>
      </c>
      <c r="H35" s="111"/>
      <c r="I35" s="111"/>
      <c r="J35" s="111"/>
      <c r="K35" s="111"/>
      <c r="L35" s="112"/>
      <c r="N35" s="38">
        <v>45116</v>
      </c>
      <c r="O35" s="38">
        <v>45208</v>
      </c>
      <c r="P35" s="38">
        <v>45116</v>
      </c>
      <c r="Q35" s="38">
        <v>45208</v>
      </c>
      <c r="R35" s="38">
        <v>45211</v>
      </c>
      <c r="S35" s="39">
        <v>0</v>
      </c>
      <c r="T35" s="39">
        <v>0</v>
      </c>
      <c r="U35" s="39"/>
      <c r="W35" s="41">
        <v>41258</v>
      </c>
      <c r="X35" s="41">
        <v>41258</v>
      </c>
      <c r="Y35" s="41">
        <v>41258</v>
      </c>
      <c r="AD35" s="32"/>
      <c r="AE35" s="131" t="str">
        <f>IF($AF$7&gt;=3,"Payoff조건Multiple", "")</f>
        <v/>
      </c>
      <c r="AF35" s="131"/>
      <c r="AG35" s="130">
        <v>0</v>
      </c>
      <c r="AH35" s="130"/>
      <c r="AI35" s="111" t="str">
        <f>IF(AG32&gt;0,"예시) 10년-5년 스왑: 연 지급횟수=4, 만기1=10, 만기2=5","")</f>
        <v/>
      </c>
      <c r="AJ35" s="111"/>
      <c r="AK35" s="111"/>
      <c r="AL35" s="111"/>
      <c r="AM35" s="111"/>
      <c r="AN35" s="112"/>
      <c r="AP35" s="38">
        <v>45116</v>
      </c>
      <c r="AQ35" s="38">
        <v>45208</v>
      </c>
      <c r="AR35" s="38">
        <v>45116</v>
      </c>
      <c r="AS35" s="38">
        <v>45208</v>
      </c>
      <c r="AT35" s="38">
        <v>45211</v>
      </c>
      <c r="AU35" s="39">
        <v>0</v>
      </c>
      <c r="AV35" s="39">
        <v>0</v>
      </c>
      <c r="AW35" s="39">
        <v>2E-3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v>45208</v>
      </c>
      <c r="O36" s="38">
        <v>45300</v>
      </c>
      <c r="P36" s="38">
        <v>45208</v>
      </c>
      <c r="Q36" s="38">
        <v>45300</v>
      </c>
      <c r="R36" s="38">
        <v>45303</v>
      </c>
      <c r="S36" s="39">
        <v>0</v>
      </c>
      <c r="T36" s="39">
        <v>0</v>
      </c>
      <c r="U36" s="39"/>
      <c r="W36" s="41">
        <v>41259</v>
      </c>
      <c r="X36" s="41">
        <v>41259</v>
      </c>
      <c r="Y36" s="41">
        <v>41259</v>
      </c>
      <c r="AP36" s="38">
        <v>45208</v>
      </c>
      <c r="AQ36" s="38">
        <v>45300</v>
      </c>
      <c r="AR36" s="38">
        <v>45208</v>
      </c>
      <c r="AS36" s="38">
        <v>45300</v>
      </c>
      <c r="AT36" s="38">
        <v>45303</v>
      </c>
      <c r="AU36" s="39">
        <v>0</v>
      </c>
      <c r="AV36" s="39">
        <v>0</v>
      </c>
      <c r="AW36" s="39">
        <v>2E-3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58" t="s">
        <v>94</v>
      </c>
      <c r="C37" s="134" t="s">
        <v>33</v>
      </c>
      <c r="D37" s="134"/>
      <c r="E37" s="196">
        <v>1</v>
      </c>
      <c r="F37" s="197"/>
      <c r="G37" s="35"/>
      <c r="H37" s="138" t="s">
        <v>48</v>
      </c>
      <c r="I37" s="158"/>
      <c r="J37" s="146">
        <v>0</v>
      </c>
      <c r="K37" s="146"/>
      <c r="L37" s="147"/>
      <c r="N37" s="38">
        <v>45300</v>
      </c>
      <c r="O37" s="38">
        <v>45391</v>
      </c>
      <c r="P37" s="38">
        <v>45300</v>
      </c>
      <c r="Q37" s="38">
        <v>45391</v>
      </c>
      <c r="R37" s="38">
        <v>45394</v>
      </c>
      <c r="S37" s="39">
        <v>0</v>
      </c>
      <c r="T37" s="39">
        <v>0</v>
      </c>
      <c r="U37" s="39"/>
      <c r="W37" s="41">
        <v>41262</v>
      </c>
      <c r="X37" s="41">
        <v>41262</v>
      </c>
      <c r="Y37" s="41">
        <v>41262</v>
      </c>
      <c r="AD37" s="158" t="s">
        <v>94</v>
      </c>
      <c r="AE37" s="134" t="s">
        <v>33</v>
      </c>
      <c r="AF37" s="134"/>
      <c r="AG37" s="196">
        <v>1</v>
      </c>
      <c r="AH37" s="197"/>
      <c r="AJ37" s="138" t="s">
        <v>48</v>
      </c>
      <c r="AK37" s="158"/>
      <c r="AL37" s="146">
        <v>0</v>
      </c>
      <c r="AM37" s="146"/>
      <c r="AN37" s="147"/>
      <c r="AP37" s="38">
        <v>45300</v>
      </c>
      <c r="AQ37" s="38">
        <v>45391</v>
      </c>
      <c r="AR37" s="38">
        <v>45300</v>
      </c>
      <c r="AS37" s="38">
        <v>45391</v>
      </c>
      <c r="AT37" s="38">
        <v>45394</v>
      </c>
      <c r="AU37" s="39">
        <v>0</v>
      </c>
      <c r="AV37" s="39">
        <v>0</v>
      </c>
      <c r="AW37" s="39">
        <v>2E-3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94"/>
      <c r="C38" s="131"/>
      <c r="D38" s="131"/>
      <c r="E38" s="198"/>
      <c r="F38" s="199"/>
      <c r="G38" s="35"/>
      <c r="H38" s="159" t="s">
        <v>49</v>
      </c>
      <c r="I38" s="160"/>
      <c r="J38" s="160"/>
      <c r="K38" s="160"/>
      <c r="L38" s="161"/>
      <c r="N38" s="38">
        <v>45391</v>
      </c>
      <c r="O38" s="38">
        <v>45482</v>
      </c>
      <c r="P38" s="38">
        <v>45391</v>
      </c>
      <c r="Q38" s="38">
        <v>45482</v>
      </c>
      <c r="R38" s="38">
        <v>45485</v>
      </c>
      <c r="S38" s="39">
        <v>0</v>
      </c>
      <c r="T38" s="39">
        <v>0</v>
      </c>
      <c r="U38" s="39"/>
      <c r="W38" s="41">
        <v>41265</v>
      </c>
      <c r="X38" s="41">
        <v>41265</v>
      </c>
      <c r="Y38" s="41">
        <v>41265</v>
      </c>
      <c r="AD38" s="194"/>
      <c r="AE38" s="131"/>
      <c r="AF38" s="131"/>
      <c r="AG38" s="198"/>
      <c r="AH38" s="199"/>
      <c r="AJ38" s="159" t="s">
        <v>49</v>
      </c>
      <c r="AK38" s="160"/>
      <c r="AL38" s="160"/>
      <c r="AM38" s="160"/>
      <c r="AN38" s="161"/>
      <c r="AP38" s="38">
        <v>45391</v>
      </c>
      <c r="AQ38" s="38">
        <v>45482</v>
      </c>
      <c r="AR38" s="38">
        <v>45391</v>
      </c>
      <c r="AS38" s="38">
        <v>45482</v>
      </c>
      <c r="AT38" s="38">
        <v>45485</v>
      </c>
      <c r="AU38" s="39">
        <v>0</v>
      </c>
      <c r="AV38" s="39">
        <v>0</v>
      </c>
      <c r="AW38" s="39">
        <v>2E-3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94"/>
      <c r="C39" s="195"/>
      <c r="D39" s="195"/>
      <c r="E39" s="195"/>
      <c r="F39" s="195"/>
      <c r="G39" s="35"/>
      <c r="H39" s="191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92"/>
      <c r="J39" s="192"/>
      <c r="K39" s="192"/>
      <c r="L39" s="193"/>
      <c r="N39" s="38">
        <v>45482</v>
      </c>
      <c r="O39" s="38">
        <v>45574</v>
      </c>
      <c r="P39" s="38">
        <v>45482</v>
      </c>
      <c r="Q39" s="38">
        <v>45574</v>
      </c>
      <c r="R39" s="38">
        <v>45577</v>
      </c>
      <c r="S39" s="39">
        <v>0</v>
      </c>
      <c r="T39" s="39">
        <v>0</v>
      </c>
      <c r="U39" s="39"/>
      <c r="W39" s="41">
        <v>41266</v>
      </c>
      <c r="X39" s="41">
        <v>41266</v>
      </c>
      <c r="Y39" s="41">
        <v>41266</v>
      </c>
      <c r="AD39" s="194"/>
      <c r="AE39" s="195"/>
      <c r="AF39" s="195"/>
      <c r="AG39" s="195"/>
      <c r="AH39" s="195"/>
      <c r="AJ39" s="188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89"/>
      <c r="AL39" s="189"/>
      <c r="AM39" s="189"/>
      <c r="AN39" s="190"/>
      <c r="AP39" s="38">
        <v>45482</v>
      </c>
      <c r="AQ39" s="38">
        <v>45574</v>
      </c>
      <c r="AR39" s="38">
        <v>45482</v>
      </c>
      <c r="AS39" s="38">
        <v>45574</v>
      </c>
      <c r="AT39" s="38">
        <v>45577</v>
      </c>
      <c r="AU39" s="39">
        <v>0</v>
      </c>
      <c r="AV39" s="39">
        <v>0</v>
      </c>
      <c r="AW39" s="39">
        <v>2E-3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v>45574</v>
      </c>
      <c r="O40" s="38">
        <v>45666</v>
      </c>
      <c r="P40" s="38">
        <v>45574</v>
      </c>
      <c r="Q40" s="38">
        <v>45666</v>
      </c>
      <c r="R40" s="38">
        <v>45669</v>
      </c>
      <c r="S40" s="39">
        <v>0</v>
      </c>
      <c r="T40" s="39">
        <v>0</v>
      </c>
      <c r="U40" s="39"/>
      <c r="W40" s="41">
        <v>41268</v>
      </c>
      <c r="X40" s="41">
        <v>41268</v>
      </c>
      <c r="Y40" s="41">
        <v>41268</v>
      </c>
      <c r="AP40" s="38">
        <v>45574</v>
      </c>
      <c r="AQ40" s="38">
        <v>45666</v>
      </c>
      <c r="AR40" s="38">
        <v>45574</v>
      </c>
      <c r="AS40" s="38">
        <v>45666</v>
      </c>
      <c r="AT40" s="38">
        <v>45669</v>
      </c>
      <c r="AU40" s="39">
        <v>0</v>
      </c>
      <c r="AV40" s="39">
        <v>0</v>
      </c>
      <c r="AW40" s="39">
        <v>2E-3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v>45666</v>
      </c>
      <c r="O41" s="38">
        <v>45756</v>
      </c>
      <c r="P41" s="38">
        <v>45666</v>
      </c>
      <c r="Q41" s="38">
        <v>45756</v>
      </c>
      <c r="R41" s="38">
        <v>45759</v>
      </c>
      <c r="S41" s="39">
        <v>0</v>
      </c>
      <c r="T41" s="39">
        <v>0</v>
      </c>
      <c r="U41" s="39"/>
      <c r="W41" s="41">
        <v>41272</v>
      </c>
      <c r="X41" s="41">
        <v>41272</v>
      </c>
      <c r="Y41" s="41">
        <v>41272</v>
      </c>
      <c r="AP41" s="38">
        <v>45666</v>
      </c>
      <c r="AQ41" s="38">
        <v>45756</v>
      </c>
      <c r="AR41" s="38">
        <v>45666</v>
      </c>
      <c r="AS41" s="38">
        <v>45756</v>
      </c>
      <c r="AT41" s="38">
        <v>45759</v>
      </c>
      <c r="AU41" s="39">
        <v>0</v>
      </c>
      <c r="AV41" s="39">
        <v>0</v>
      </c>
      <c r="AW41" s="39">
        <v>2E-3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08" t="s">
        <v>89</v>
      </c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N42" s="38">
        <v>45756</v>
      </c>
      <c r="O42" s="38">
        <v>45847</v>
      </c>
      <c r="P42" s="38">
        <v>45756</v>
      </c>
      <c r="Q42" s="38">
        <v>45847</v>
      </c>
      <c r="R42" s="38">
        <v>45850</v>
      </c>
      <c r="S42" s="39">
        <v>0</v>
      </c>
      <c r="T42" s="39">
        <v>0</v>
      </c>
      <c r="U42" s="39"/>
      <c r="W42" s="41">
        <v>41273</v>
      </c>
      <c r="X42" s="41">
        <v>41273</v>
      </c>
      <c r="Y42" s="41">
        <v>41273</v>
      </c>
      <c r="AP42" s="38">
        <v>45756</v>
      </c>
      <c r="AQ42" s="38">
        <v>45847</v>
      </c>
      <c r="AR42" s="38">
        <v>45756</v>
      </c>
      <c r="AS42" s="38">
        <v>45847</v>
      </c>
      <c r="AT42" s="38">
        <v>45850</v>
      </c>
      <c r="AU42" s="39">
        <v>0</v>
      </c>
      <c r="AV42" s="39">
        <v>0</v>
      </c>
      <c r="AW42" s="39">
        <v>2E-3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8" t="s">
        <v>78</v>
      </c>
      <c r="C43" s="58" t="s">
        <v>90</v>
      </c>
      <c r="D43" s="58" t="s">
        <v>79</v>
      </c>
      <c r="E43" s="58" t="s">
        <v>80</v>
      </c>
      <c r="F43" s="58" t="s">
        <v>81</v>
      </c>
      <c r="G43" s="58" t="s">
        <v>82</v>
      </c>
      <c r="H43" s="58" t="s">
        <v>83</v>
      </c>
      <c r="I43" s="58" t="s">
        <v>87</v>
      </c>
      <c r="J43" s="58" t="s">
        <v>84</v>
      </c>
      <c r="K43" s="58" t="s">
        <v>85</v>
      </c>
      <c r="L43" s="58" t="s">
        <v>86</v>
      </c>
      <c r="N43" s="38">
        <v>45847</v>
      </c>
      <c r="O43" s="38">
        <v>45939</v>
      </c>
      <c r="P43" s="38">
        <v>45847</v>
      </c>
      <c r="Q43" s="38">
        <v>45939</v>
      </c>
      <c r="R43" s="38">
        <v>45942</v>
      </c>
      <c r="S43" s="39">
        <v>0</v>
      </c>
      <c r="T43" s="39">
        <v>0</v>
      </c>
      <c r="U43" s="39"/>
      <c r="W43" s="41">
        <v>41275</v>
      </c>
      <c r="X43" s="41">
        <v>41275</v>
      </c>
      <c r="Y43" s="41">
        <v>41275</v>
      </c>
      <c r="AP43" s="38">
        <v>45847</v>
      </c>
      <c r="AQ43" s="38">
        <v>45939</v>
      </c>
      <c r="AR43" s="38">
        <v>45847</v>
      </c>
      <c r="AS43" s="38">
        <v>45939</v>
      </c>
      <c r="AT43" s="38">
        <v>45942</v>
      </c>
      <c r="AU43" s="39">
        <v>0</v>
      </c>
      <c r="AV43" s="39">
        <v>0</v>
      </c>
      <c r="AW43" s="39">
        <v>2E-3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43187</v>
      </c>
      <c r="C44" s="59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60">
        <v>2</v>
      </c>
      <c r="K44" s="42">
        <v>1</v>
      </c>
      <c r="L44" s="42">
        <f>COUNT(B44:B1048576)</f>
        <v>40</v>
      </c>
      <c r="N44" s="38">
        <v>45939</v>
      </c>
      <c r="O44" s="38">
        <v>46031</v>
      </c>
      <c r="P44" s="38">
        <v>45939</v>
      </c>
      <c r="Q44" s="38">
        <v>46031</v>
      </c>
      <c r="R44" s="38">
        <v>46034</v>
      </c>
      <c r="S44" s="39">
        <v>0</v>
      </c>
      <c r="T44" s="39">
        <v>0</v>
      </c>
      <c r="U44" s="39"/>
      <c r="W44" s="41">
        <v>41279</v>
      </c>
      <c r="X44" s="41">
        <v>41279</v>
      </c>
      <c r="Y44" s="41">
        <v>41279</v>
      </c>
      <c r="AD44" s="61"/>
      <c r="AE44" s="61"/>
      <c r="AF44" s="61"/>
      <c r="AG44" s="61"/>
      <c r="AH44" s="61"/>
      <c r="AI44" s="61"/>
      <c r="AJ44" s="61"/>
      <c r="AK44" s="61"/>
      <c r="AL44" s="61"/>
      <c r="AP44" s="38">
        <v>45939</v>
      </c>
      <c r="AQ44" s="38">
        <v>46031</v>
      </c>
      <c r="AR44" s="38">
        <v>45939</v>
      </c>
      <c r="AS44" s="38">
        <v>46031</v>
      </c>
      <c r="AT44" s="38">
        <v>46034</v>
      </c>
      <c r="AU44" s="39">
        <v>0</v>
      </c>
      <c r="AV44" s="39">
        <v>0</v>
      </c>
      <c r="AW44" s="39">
        <v>2E-3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2">R14-15</f>
        <v>43278</v>
      </c>
      <c r="C45" s="59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v>46031</v>
      </c>
      <c r="O45" s="38">
        <v>46121</v>
      </c>
      <c r="P45" s="38">
        <v>46031</v>
      </c>
      <c r="Q45" s="38">
        <v>46121</v>
      </c>
      <c r="R45" s="38">
        <v>46124</v>
      </c>
      <c r="S45" s="39">
        <v>0</v>
      </c>
      <c r="T45" s="39">
        <v>0</v>
      </c>
      <c r="U45" s="39"/>
      <c r="W45" s="41">
        <v>41280</v>
      </c>
      <c r="X45" s="41">
        <v>41280</v>
      </c>
      <c r="Y45" s="41">
        <v>41280</v>
      </c>
      <c r="AP45" s="38">
        <v>46031</v>
      </c>
      <c r="AQ45" s="38">
        <v>46121</v>
      </c>
      <c r="AR45" s="38">
        <v>46031</v>
      </c>
      <c r="AS45" s="38">
        <v>46121</v>
      </c>
      <c r="AT45" s="38">
        <v>46124</v>
      </c>
      <c r="AU45" s="39">
        <v>0</v>
      </c>
      <c r="AV45" s="39">
        <v>0</v>
      </c>
      <c r="AW45" s="39">
        <v>2E-3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2"/>
        <v>43370</v>
      </c>
      <c r="C46" s="59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>
        <v>46121</v>
      </c>
      <c r="O46" s="38">
        <v>46212</v>
      </c>
      <c r="P46" s="38">
        <v>46121</v>
      </c>
      <c r="Q46" s="38">
        <v>46212</v>
      </c>
      <c r="R46" s="38">
        <v>46215</v>
      </c>
      <c r="S46" s="39">
        <v>0</v>
      </c>
      <c r="T46" s="39">
        <v>0</v>
      </c>
      <c r="U46" s="39"/>
      <c r="W46" s="41">
        <v>41286</v>
      </c>
      <c r="X46" s="41">
        <v>41286</v>
      </c>
      <c r="Y46" s="41">
        <v>41286</v>
      </c>
      <c r="AP46" s="43">
        <v>46121</v>
      </c>
      <c r="AQ46" s="43">
        <v>46212</v>
      </c>
      <c r="AR46" s="44">
        <v>46121</v>
      </c>
      <c r="AS46" s="44">
        <v>46212</v>
      </c>
      <c r="AT46" s="38">
        <v>46215</v>
      </c>
      <c r="AU46" s="45">
        <v>0</v>
      </c>
      <c r="AV46" s="39">
        <v>0</v>
      </c>
      <c r="AW46" s="39">
        <v>2E-3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2"/>
        <v>43462</v>
      </c>
      <c r="C47" s="59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>
        <v>46212</v>
      </c>
      <c r="O47" s="38">
        <v>46304</v>
      </c>
      <c r="P47" s="38">
        <v>46212</v>
      </c>
      <c r="Q47" s="38">
        <v>46304</v>
      </c>
      <c r="R47" s="38">
        <v>46307</v>
      </c>
      <c r="S47" s="39">
        <v>0</v>
      </c>
      <c r="T47" s="39">
        <v>0</v>
      </c>
      <c r="U47" s="39"/>
      <c r="W47" s="41">
        <v>41287</v>
      </c>
      <c r="X47" s="41">
        <v>41287</v>
      </c>
      <c r="Y47" s="41">
        <v>41287</v>
      </c>
      <c r="AP47" s="43">
        <v>46212</v>
      </c>
      <c r="AQ47" s="43">
        <v>46304</v>
      </c>
      <c r="AR47" s="44">
        <v>46212</v>
      </c>
      <c r="AS47" s="44">
        <v>46304</v>
      </c>
      <c r="AT47" s="38">
        <v>46307</v>
      </c>
      <c r="AU47" s="45">
        <v>0</v>
      </c>
      <c r="AV47" s="39">
        <v>0</v>
      </c>
      <c r="AW47" s="39">
        <v>2E-3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2"/>
        <v>43552</v>
      </c>
      <c r="C48" s="59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v>46304</v>
      </c>
      <c r="O48" s="38">
        <v>46396</v>
      </c>
      <c r="P48" s="38">
        <v>46304</v>
      </c>
      <c r="Q48" s="38">
        <v>46396</v>
      </c>
      <c r="R48" s="38">
        <v>46399</v>
      </c>
      <c r="S48" s="39">
        <v>0</v>
      </c>
      <c r="T48" s="39">
        <v>0</v>
      </c>
      <c r="U48" s="39"/>
      <c r="W48" s="41">
        <v>41293</v>
      </c>
      <c r="X48" s="41">
        <v>41293</v>
      </c>
      <c r="Y48" s="41">
        <v>41293</v>
      </c>
      <c r="AP48" s="43">
        <v>46304</v>
      </c>
      <c r="AQ48" s="43">
        <v>46396</v>
      </c>
      <c r="AR48" s="44">
        <v>46304</v>
      </c>
      <c r="AS48" s="44">
        <v>46396</v>
      </c>
      <c r="AT48" s="38">
        <v>46399</v>
      </c>
      <c r="AU48" s="45">
        <v>0</v>
      </c>
      <c r="AV48" s="39">
        <v>0</v>
      </c>
      <c r="AW48" s="39">
        <v>2E-3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2"/>
        <v>43643</v>
      </c>
      <c r="C49" s="59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v>46396</v>
      </c>
      <c r="O49" s="38">
        <v>46486</v>
      </c>
      <c r="P49" s="38">
        <v>46396</v>
      </c>
      <c r="Q49" s="38">
        <v>46486</v>
      </c>
      <c r="R49" s="38">
        <v>46489</v>
      </c>
      <c r="S49" s="39">
        <v>0</v>
      </c>
      <c r="T49" s="39">
        <v>0</v>
      </c>
      <c r="U49" s="39"/>
      <c r="W49" s="41">
        <v>41294</v>
      </c>
      <c r="X49" s="41">
        <v>41294</v>
      </c>
      <c r="Y49" s="41">
        <v>41294</v>
      </c>
      <c r="AP49" s="43">
        <v>46396</v>
      </c>
      <c r="AQ49" s="43">
        <v>46486</v>
      </c>
      <c r="AR49" s="44">
        <v>46396</v>
      </c>
      <c r="AS49" s="44">
        <v>46486</v>
      </c>
      <c r="AT49" s="38">
        <v>46489</v>
      </c>
      <c r="AU49" s="45">
        <v>0</v>
      </c>
      <c r="AV49" s="39">
        <v>0</v>
      </c>
      <c r="AW49" s="39">
        <v>2E-3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2"/>
        <v>43735</v>
      </c>
      <c r="C50" s="59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v>46486</v>
      </c>
      <c r="O50" s="38">
        <v>46577</v>
      </c>
      <c r="P50" s="38">
        <v>46486</v>
      </c>
      <c r="Q50" s="38">
        <v>46577</v>
      </c>
      <c r="R50" s="38">
        <v>46580</v>
      </c>
      <c r="S50" s="39">
        <v>0</v>
      </c>
      <c r="T50" s="39">
        <v>0</v>
      </c>
      <c r="U50" s="39"/>
      <c r="W50" s="41">
        <v>41300</v>
      </c>
      <c r="X50" s="41">
        <v>41300</v>
      </c>
      <c r="Y50" s="41">
        <v>41300</v>
      </c>
      <c r="AP50" s="43">
        <v>46486</v>
      </c>
      <c r="AQ50" s="43">
        <v>46577</v>
      </c>
      <c r="AR50" s="44">
        <v>46486</v>
      </c>
      <c r="AS50" s="44">
        <v>46577</v>
      </c>
      <c r="AT50" s="38">
        <v>46580</v>
      </c>
      <c r="AU50" s="45">
        <v>0</v>
      </c>
      <c r="AV50" s="39">
        <v>0</v>
      </c>
      <c r="AW50" s="39">
        <v>2E-3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2"/>
        <v>43827</v>
      </c>
      <c r="C51" s="59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v>46577</v>
      </c>
      <c r="O51" s="38">
        <v>46669</v>
      </c>
      <c r="P51" s="38">
        <v>46577</v>
      </c>
      <c r="Q51" s="38">
        <v>46669</v>
      </c>
      <c r="R51" s="38">
        <v>46672</v>
      </c>
      <c r="S51" s="39">
        <v>0</v>
      </c>
      <c r="T51" s="39">
        <v>0</v>
      </c>
      <c r="U51" s="39"/>
      <c r="W51" s="41">
        <v>41301</v>
      </c>
      <c r="X51" s="41">
        <v>41301</v>
      </c>
      <c r="Y51" s="41">
        <v>41301</v>
      </c>
      <c r="AP51" s="43">
        <v>46577</v>
      </c>
      <c r="AQ51" s="43">
        <v>46669</v>
      </c>
      <c r="AR51" s="44">
        <v>46577</v>
      </c>
      <c r="AS51" s="44">
        <v>46669</v>
      </c>
      <c r="AT51" s="38">
        <v>46672</v>
      </c>
      <c r="AU51" s="45">
        <v>0</v>
      </c>
      <c r="AV51" s="39">
        <v>0</v>
      </c>
      <c r="AW51" s="39">
        <v>2E-3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2"/>
        <v>43918</v>
      </c>
      <c r="C52" s="59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v>46669</v>
      </c>
      <c r="O52" s="38">
        <v>46761</v>
      </c>
      <c r="P52" s="38">
        <v>46669</v>
      </c>
      <c r="Q52" s="38">
        <v>46761</v>
      </c>
      <c r="R52" s="38">
        <v>46764</v>
      </c>
      <c r="S52" s="39">
        <v>0</v>
      </c>
      <c r="T52" s="39">
        <v>0</v>
      </c>
      <c r="U52" s="39"/>
      <c r="W52" s="41">
        <v>41307</v>
      </c>
      <c r="X52" s="41">
        <v>41307</v>
      </c>
      <c r="Y52" s="41">
        <v>41307</v>
      </c>
      <c r="AP52" s="43">
        <v>46669</v>
      </c>
      <c r="AQ52" s="43">
        <v>46761</v>
      </c>
      <c r="AR52" s="44">
        <v>46669</v>
      </c>
      <c r="AS52" s="44">
        <v>46761</v>
      </c>
      <c r="AT52" s="38">
        <v>46764</v>
      </c>
      <c r="AU52" s="45">
        <v>0</v>
      </c>
      <c r="AV52" s="39">
        <v>0</v>
      </c>
      <c r="AW52" s="39">
        <v>2E-3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2"/>
        <v>44009</v>
      </c>
      <c r="C53" s="59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N53" s="38"/>
      <c r="O53" s="38"/>
      <c r="P53" s="38"/>
      <c r="Q53" s="38"/>
      <c r="R53" s="38"/>
      <c r="S53" s="39"/>
      <c r="T53" s="39"/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2"/>
        <v>44101</v>
      </c>
      <c r="C54" s="59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2"/>
        <v>44193</v>
      </c>
      <c r="C55" s="59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2"/>
        <v>44283</v>
      </c>
      <c r="C56" s="59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2"/>
        <v>44374</v>
      </c>
      <c r="C57" s="59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2"/>
        <v>44466</v>
      </c>
      <c r="C58" s="59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2"/>
        <v>44558</v>
      </c>
      <c r="C59" s="59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2"/>
        <v>44648</v>
      </c>
      <c r="C60" s="59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2"/>
        <v>44739</v>
      </c>
      <c r="C61" s="59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2"/>
        <v>44831</v>
      </c>
      <c r="C62" s="59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2"/>
        <v>44923</v>
      </c>
      <c r="C63" s="59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2"/>
        <v>45013</v>
      </c>
      <c r="C64" s="59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2"/>
        <v>45104</v>
      </c>
      <c r="C65" s="59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2"/>
        <v>45196</v>
      </c>
      <c r="C66" s="59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2"/>
        <v>45288</v>
      </c>
      <c r="C67" s="59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2"/>
        <v>45379</v>
      </c>
      <c r="C68" s="59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2"/>
        <v>45470</v>
      </c>
      <c r="C69" s="59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2"/>
        <v>45562</v>
      </c>
      <c r="C70" s="59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2"/>
        <v>45654</v>
      </c>
      <c r="C71" s="59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2"/>
        <v>45744</v>
      </c>
      <c r="C72" s="59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2"/>
        <v>45835</v>
      </c>
      <c r="C73" s="59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2"/>
        <v>45927</v>
      </c>
      <c r="C74" s="59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2"/>
        <v>46019</v>
      </c>
      <c r="C75" s="59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2"/>
        <v>46109</v>
      </c>
      <c r="C76" s="59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2"/>
        <v>46200</v>
      </c>
      <c r="C77" s="59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2"/>
        <v>46292</v>
      </c>
      <c r="C78" s="59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2"/>
        <v>46384</v>
      </c>
      <c r="C79" s="59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2"/>
        <v>46474</v>
      </c>
      <c r="C80" s="59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2"/>
        <v>46565</v>
      </c>
      <c r="C81" s="59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2"/>
        <v>46657</v>
      </c>
      <c r="C82" s="59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2"/>
        <v>46749</v>
      </c>
      <c r="C83" s="59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E15" sqref="E15:E16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9.8984375" style="27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6" bestFit="1" customWidth="1"/>
    <col min="17" max="17" width="9.8984375" style="47"/>
    <col min="18" max="18" width="9.8984375" style="46"/>
    <col min="19" max="19" width="9.8984375" style="47"/>
    <col min="20" max="20" width="9.8984375" style="46"/>
    <col min="21" max="21" width="9.8984375" style="47"/>
    <col min="22" max="22" width="9.8984375" style="46"/>
    <col min="23" max="23" width="9.8984375" style="47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0" t="s">
        <v>56</v>
      </c>
      <c r="B3" s="200"/>
      <c r="C3" s="200"/>
      <c r="D3" s="200"/>
      <c r="E3" s="200"/>
      <c r="G3" s="200" t="s">
        <v>76</v>
      </c>
      <c r="H3" s="200"/>
      <c r="I3" s="200"/>
      <c r="J3" s="200"/>
      <c r="K3" s="200"/>
      <c r="L3" s="13"/>
      <c r="M3" s="13"/>
      <c r="N3" s="13"/>
      <c r="P3" s="200" t="s">
        <v>77</v>
      </c>
      <c r="Q3" s="200"/>
      <c r="R3" s="200"/>
      <c r="S3" s="200"/>
      <c r="T3" s="200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44843</v>
      </c>
      <c r="H5" s="29">
        <v>3.04E-2</v>
      </c>
      <c r="I5" s="24">
        <v>44843</v>
      </c>
      <c r="J5" s="29">
        <f>커브정보!N61</f>
        <v>4.2140000000000004E-2</v>
      </c>
      <c r="K5" s="26">
        <v>44489</v>
      </c>
      <c r="L5" s="29">
        <v>1.0999999999999999E-2</v>
      </c>
      <c r="M5" s="26"/>
      <c r="N5" s="29"/>
      <c r="P5" s="24">
        <v>44843</v>
      </c>
      <c r="Q5" s="29">
        <v>3.9140000000000001E-2</v>
      </c>
      <c r="R5" s="24">
        <v>44843</v>
      </c>
      <c r="S5" s="29">
        <v>3.9140000000000001E-2</v>
      </c>
      <c r="T5" s="26">
        <v>44489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44844</v>
      </c>
      <c r="H6" s="29">
        <f>H5</f>
        <v>3.04E-2</v>
      </c>
      <c r="I6" s="24">
        <f>I5+1</f>
        <v>44844</v>
      </c>
      <c r="J6" s="29">
        <f>J5</f>
        <v>4.2140000000000004E-2</v>
      </c>
      <c r="K6" s="26">
        <v>44490</v>
      </c>
      <c r="L6" s="29">
        <v>1.0999999999999999E-2</v>
      </c>
      <c r="M6" s="26"/>
      <c r="N6" s="29"/>
      <c r="P6" s="24">
        <v>44844</v>
      </c>
      <c r="Q6" s="29">
        <v>3.9140000000000001E-2</v>
      </c>
      <c r="R6" s="24">
        <v>44844</v>
      </c>
      <c r="S6" s="29">
        <v>3.9140000000000001E-2</v>
      </c>
      <c r="T6" s="26">
        <v>44490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44845</v>
      </c>
      <c r="H7" s="29">
        <f t="shared" ref="H7:H70" si="9">H6</f>
        <v>3.04E-2</v>
      </c>
      <c r="I7" s="24">
        <f t="shared" ref="I7:I70" si="10">I6+1</f>
        <v>44845</v>
      </c>
      <c r="J7" s="29">
        <f t="shared" ref="J7:J70" si="11">J6</f>
        <v>4.2140000000000004E-2</v>
      </c>
      <c r="K7" s="26">
        <v>44491</v>
      </c>
      <c r="L7" s="29">
        <v>1.0999999999999999E-2</v>
      </c>
      <c r="M7" s="26"/>
      <c r="N7" s="29"/>
      <c r="P7" s="24">
        <v>44845</v>
      </c>
      <c r="Q7" s="29">
        <v>3.9140000000000001E-2</v>
      </c>
      <c r="R7" s="24">
        <v>44845</v>
      </c>
      <c r="S7" s="29">
        <v>3.9140000000000001E-2</v>
      </c>
      <c r="T7" s="26">
        <v>44491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44846</v>
      </c>
      <c r="H8" s="29">
        <f t="shared" si="9"/>
        <v>3.04E-2</v>
      </c>
      <c r="I8" s="24">
        <f t="shared" si="10"/>
        <v>44846</v>
      </c>
      <c r="J8" s="29">
        <f t="shared" si="11"/>
        <v>4.2140000000000004E-2</v>
      </c>
      <c r="K8" s="26">
        <v>44492</v>
      </c>
      <c r="L8" s="29">
        <v>1.0999999999999999E-2</v>
      </c>
      <c r="M8" s="26"/>
      <c r="N8" s="29"/>
      <c r="P8" s="24">
        <v>44846</v>
      </c>
      <c r="Q8" s="29">
        <v>3.9140000000000001E-2</v>
      </c>
      <c r="R8" s="24">
        <v>44846</v>
      </c>
      <c r="S8" s="29">
        <v>3.9140000000000001E-2</v>
      </c>
      <c r="T8" s="26">
        <v>44492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44847</v>
      </c>
      <c r="H9" s="29">
        <f t="shared" si="9"/>
        <v>3.04E-2</v>
      </c>
      <c r="I9" s="24">
        <f t="shared" si="10"/>
        <v>44847</v>
      </c>
      <c r="J9" s="29">
        <f t="shared" si="11"/>
        <v>4.2140000000000004E-2</v>
      </c>
      <c r="K9" s="26">
        <v>44493</v>
      </c>
      <c r="L9" s="29">
        <v>1.0999999999999999E-2</v>
      </c>
      <c r="N9" s="29"/>
      <c r="P9" s="24">
        <v>44847</v>
      </c>
      <c r="Q9" s="29">
        <v>3.9140000000000001E-2</v>
      </c>
      <c r="R9" s="24">
        <v>44847</v>
      </c>
      <c r="S9" s="29">
        <v>3.9140000000000001E-2</v>
      </c>
      <c r="T9" s="26">
        <v>44493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44848</v>
      </c>
      <c r="H10" s="29">
        <f t="shared" si="9"/>
        <v>3.04E-2</v>
      </c>
      <c r="I10" s="24">
        <f t="shared" si="10"/>
        <v>44848</v>
      </c>
      <c r="J10" s="29">
        <f t="shared" si="11"/>
        <v>4.2140000000000004E-2</v>
      </c>
      <c r="K10" s="26">
        <v>44494</v>
      </c>
      <c r="L10" s="29">
        <v>1.0999999999999999E-2</v>
      </c>
      <c r="N10" s="29"/>
      <c r="P10" s="24">
        <v>44848</v>
      </c>
      <c r="Q10" s="29">
        <v>3.9140000000000001E-2</v>
      </c>
      <c r="R10" s="24">
        <v>44848</v>
      </c>
      <c r="S10" s="29">
        <v>3.9140000000000001E-2</v>
      </c>
      <c r="T10" s="26">
        <v>44494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44849</v>
      </c>
      <c r="H11" s="29">
        <f t="shared" si="9"/>
        <v>3.04E-2</v>
      </c>
      <c r="I11" s="24">
        <f t="shared" si="10"/>
        <v>44849</v>
      </c>
      <c r="J11" s="29">
        <f t="shared" si="11"/>
        <v>4.2140000000000004E-2</v>
      </c>
      <c r="K11" s="26">
        <v>44495</v>
      </c>
      <c r="L11" s="29">
        <v>1.0999999999999999E-2</v>
      </c>
      <c r="N11" s="29"/>
      <c r="P11" s="24">
        <v>44849</v>
      </c>
      <c r="Q11" s="29">
        <v>3.9140000000000001E-2</v>
      </c>
      <c r="R11" s="24">
        <v>44849</v>
      </c>
      <c r="S11" s="29">
        <v>3.9140000000000001E-2</v>
      </c>
      <c r="T11" s="26">
        <v>44495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44850</v>
      </c>
      <c r="H12" s="29">
        <f t="shared" si="9"/>
        <v>3.04E-2</v>
      </c>
      <c r="I12" s="24">
        <f t="shared" si="10"/>
        <v>44850</v>
      </c>
      <c r="J12" s="29">
        <f t="shared" si="11"/>
        <v>4.2140000000000004E-2</v>
      </c>
      <c r="K12" s="26">
        <v>44496</v>
      </c>
      <c r="L12" s="29">
        <v>1.0999999999999999E-2</v>
      </c>
      <c r="N12" s="29"/>
      <c r="P12" s="24">
        <v>44850</v>
      </c>
      <c r="Q12" s="29">
        <v>3.9140000000000001E-2</v>
      </c>
      <c r="R12" s="24">
        <v>44850</v>
      </c>
      <c r="S12" s="29">
        <v>3.9140000000000001E-2</v>
      </c>
      <c r="T12" s="26">
        <v>44496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44851</v>
      </c>
      <c r="H13" s="29">
        <f t="shared" si="9"/>
        <v>3.04E-2</v>
      </c>
      <c r="I13" s="24">
        <f t="shared" si="10"/>
        <v>44851</v>
      </c>
      <c r="J13" s="29">
        <f t="shared" si="11"/>
        <v>4.2140000000000004E-2</v>
      </c>
      <c r="K13" s="26">
        <v>44497</v>
      </c>
      <c r="L13" s="29">
        <v>1.0999999999999999E-2</v>
      </c>
      <c r="N13" s="29"/>
      <c r="P13" s="24">
        <v>44851</v>
      </c>
      <c r="Q13" s="29">
        <v>3.9140000000000001E-2</v>
      </c>
      <c r="R13" s="24">
        <v>44851</v>
      </c>
      <c r="S13" s="29">
        <v>3.9140000000000001E-2</v>
      </c>
      <c r="T13" s="26">
        <v>44497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44852</v>
      </c>
      <c r="H14" s="29">
        <f t="shared" si="9"/>
        <v>3.04E-2</v>
      </c>
      <c r="I14" s="24">
        <f t="shared" si="10"/>
        <v>44852</v>
      </c>
      <c r="J14" s="29">
        <f t="shared" si="11"/>
        <v>4.2140000000000004E-2</v>
      </c>
      <c r="K14" s="24">
        <v>44498</v>
      </c>
      <c r="L14" s="29">
        <v>1.0999999999999999E-2</v>
      </c>
      <c r="P14" s="24">
        <v>44852</v>
      </c>
      <c r="Q14" s="29">
        <v>3.9140000000000001E-2</v>
      </c>
      <c r="R14" s="24">
        <v>44852</v>
      </c>
      <c r="S14" s="29">
        <v>3.9140000000000001E-2</v>
      </c>
      <c r="T14" s="24">
        <v>44498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44853</v>
      </c>
      <c r="H15" s="29">
        <f t="shared" si="9"/>
        <v>3.04E-2</v>
      </c>
      <c r="I15" s="24">
        <f t="shared" si="10"/>
        <v>44853</v>
      </c>
      <c r="J15" s="29">
        <f t="shared" si="11"/>
        <v>4.2140000000000004E-2</v>
      </c>
      <c r="K15" s="24">
        <v>44499</v>
      </c>
      <c r="L15" s="29">
        <v>1.0999999999999999E-2</v>
      </c>
      <c r="P15" s="24">
        <v>44853</v>
      </c>
      <c r="Q15" s="29">
        <v>3.9140000000000001E-2</v>
      </c>
      <c r="R15" s="24">
        <v>44853</v>
      </c>
      <c r="S15" s="29">
        <v>3.9140000000000001E-2</v>
      </c>
      <c r="T15" s="24">
        <v>44499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44854</v>
      </c>
      <c r="H16" s="29">
        <f t="shared" si="9"/>
        <v>3.04E-2</v>
      </c>
      <c r="I16" s="24">
        <f t="shared" si="10"/>
        <v>44854</v>
      </c>
      <c r="J16" s="29">
        <f t="shared" si="11"/>
        <v>4.2140000000000004E-2</v>
      </c>
      <c r="K16" s="24">
        <v>44500</v>
      </c>
      <c r="L16" s="29">
        <v>1.0999999999999999E-2</v>
      </c>
      <c r="P16" s="24">
        <v>44854</v>
      </c>
      <c r="Q16" s="29">
        <v>3.9140000000000001E-2</v>
      </c>
      <c r="R16" s="24">
        <v>44854</v>
      </c>
      <c r="S16" s="29">
        <v>3.9140000000000001E-2</v>
      </c>
      <c r="T16" s="24">
        <v>44500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44855</v>
      </c>
      <c r="H17" s="29">
        <f t="shared" si="9"/>
        <v>3.04E-2</v>
      </c>
      <c r="I17" s="24">
        <f t="shared" si="10"/>
        <v>44855</v>
      </c>
      <c r="J17" s="29">
        <f t="shared" si="11"/>
        <v>4.2140000000000004E-2</v>
      </c>
      <c r="K17" s="24">
        <v>44501</v>
      </c>
      <c r="L17" s="29">
        <v>1.0999999999999999E-2</v>
      </c>
      <c r="P17" s="24">
        <v>44855</v>
      </c>
      <c r="Q17" s="29">
        <v>3.9140000000000001E-2</v>
      </c>
      <c r="R17" s="24">
        <v>44855</v>
      </c>
      <c r="S17" s="29">
        <v>3.9140000000000001E-2</v>
      </c>
      <c r="T17" s="24">
        <v>44501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44856</v>
      </c>
      <c r="H18" s="29">
        <f t="shared" si="9"/>
        <v>3.04E-2</v>
      </c>
      <c r="I18" s="24">
        <f t="shared" si="10"/>
        <v>44856</v>
      </c>
      <c r="J18" s="29">
        <f t="shared" si="11"/>
        <v>4.2140000000000004E-2</v>
      </c>
      <c r="K18" s="24">
        <v>44502</v>
      </c>
      <c r="L18" s="29">
        <v>1.0999999999999999E-2</v>
      </c>
      <c r="P18" s="24">
        <v>44856</v>
      </c>
      <c r="Q18" s="29">
        <v>3.9140000000000001E-2</v>
      </c>
      <c r="R18" s="24">
        <v>44856</v>
      </c>
      <c r="S18" s="29">
        <v>3.9140000000000001E-2</v>
      </c>
      <c r="T18" s="24">
        <v>44502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44857</v>
      </c>
      <c r="H19" s="29">
        <f t="shared" si="9"/>
        <v>3.04E-2</v>
      </c>
      <c r="I19" s="24">
        <f t="shared" si="10"/>
        <v>44857</v>
      </c>
      <c r="J19" s="29">
        <f t="shared" si="11"/>
        <v>4.2140000000000004E-2</v>
      </c>
      <c r="K19" s="24">
        <v>44503</v>
      </c>
      <c r="L19" s="29">
        <v>1.0999999999999999E-2</v>
      </c>
      <c r="P19" s="24">
        <v>44857</v>
      </c>
      <c r="Q19" s="29">
        <v>3.9140000000000001E-2</v>
      </c>
      <c r="R19" s="24">
        <v>44857</v>
      </c>
      <c r="S19" s="29">
        <v>3.9140000000000001E-2</v>
      </c>
      <c r="T19" s="24">
        <v>44503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44858</v>
      </c>
      <c r="H20" s="29">
        <f t="shared" si="9"/>
        <v>3.04E-2</v>
      </c>
      <c r="I20" s="24">
        <f t="shared" si="10"/>
        <v>44858</v>
      </c>
      <c r="J20" s="29">
        <f t="shared" si="11"/>
        <v>4.2140000000000004E-2</v>
      </c>
      <c r="K20" s="24">
        <v>44504</v>
      </c>
      <c r="L20" s="29">
        <v>1.0999999999999999E-2</v>
      </c>
      <c r="P20" s="24">
        <v>44858</v>
      </c>
      <c r="Q20" s="29">
        <v>3.9140000000000001E-2</v>
      </c>
      <c r="R20" s="24">
        <v>44858</v>
      </c>
      <c r="S20" s="29">
        <v>3.9140000000000001E-2</v>
      </c>
      <c r="T20" s="24">
        <v>44504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44859</v>
      </c>
      <c r="H21" s="29">
        <f t="shared" si="9"/>
        <v>3.04E-2</v>
      </c>
      <c r="I21" s="24">
        <f t="shared" si="10"/>
        <v>44859</v>
      </c>
      <c r="J21" s="29">
        <f t="shared" si="11"/>
        <v>4.2140000000000004E-2</v>
      </c>
      <c r="K21" s="24">
        <v>44505</v>
      </c>
      <c r="L21" s="29">
        <v>1.0999999999999999E-2</v>
      </c>
      <c r="P21" s="24">
        <v>44859</v>
      </c>
      <c r="Q21" s="29">
        <v>3.9140000000000001E-2</v>
      </c>
      <c r="R21" s="24">
        <v>44859</v>
      </c>
      <c r="S21" s="29">
        <v>3.9140000000000001E-2</v>
      </c>
      <c r="T21" s="24">
        <v>44505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44860</v>
      </c>
      <c r="H22" s="29">
        <f t="shared" si="9"/>
        <v>3.04E-2</v>
      </c>
      <c r="I22" s="24">
        <f t="shared" si="10"/>
        <v>44860</v>
      </c>
      <c r="J22" s="29">
        <f t="shared" si="11"/>
        <v>4.2140000000000004E-2</v>
      </c>
      <c r="K22" s="24">
        <v>44506</v>
      </c>
      <c r="L22" s="29">
        <v>1.0999999999999999E-2</v>
      </c>
      <c r="P22" s="24">
        <v>44860</v>
      </c>
      <c r="Q22" s="29">
        <v>3.9140000000000001E-2</v>
      </c>
      <c r="R22" s="24">
        <v>44860</v>
      </c>
      <c r="S22" s="29">
        <v>3.9140000000000001E-2</v>
      </c>
      <c r="T22" s="24">
        <v>44506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44861</v>
      </c>
      <c r="H23" s="29">
        <f t="shared" si="9"/>
        <v>3.04E-2</v>
      </c>
      <c r="I23" s="24">
        <f t="shared" si="10"/>
        <v>44861</v>
      </c>
      <c r="J23" s="29">
        <f t="shared" si="11"/>
        <v>4.2140000000000004E-2</v>
      </c>
      <c r="K23" s="24">
        <v>44507</v>
      </c>
      <c r="L23" s="29">
        <v>1.0999999999999999E-2</v>
      </c>
      <c r="P23" s="24">
        <v>44861</v>
      </c>
      <c r="Q23" s="29">
        <v>3.9140000000000001E-2</v>
      </c>
      <c r="R23" s="24">
        <v>44861</v>
      </c>
      <c r="S23" s="29">
        <v>3.9140000000000001E-2</v>
      </c>
      <c r="T23" s="24">
        <v>44507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44862</v>
      </c>
      <c r="H24" s="29">
        <f t="shared" si="9"/>
        <v>3.04E-2</v>
      </c>
      <c r="I24" s="24">
        <f t="shared" si="10"/>
        <v>44862</v>
      </c>
      <c r="J24" s="29">
        <f t="shared" si="11"/>
        <v>4.2140000000000004E-2</v>
      </c>
      <c r="K24" s="24">
        <v>44508</v>
      </c>
      <c r="L24" s="29">
        <v>1.0999999999999999E-2</v>
      </c>
      <c r="P24" s="24">
        <v>44862</v>
      </c>
      <c r="Q24" s="29">
        <v>3.9140000000000001E-2</v>
      </c>
      <c r="R24" s="24">
        <v>44862</v>
      </c>
      <c r="S24" s="29">
        <v>3.9140000000000001E-2</v>
      </c>
      <c r="T24" s="24">
        <v>44508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44863</v>
      </c>
      <c r="H25" s="29">
        <f t="shared" si="9"/>
        <v>3.04E-2</v>
      </c>
      <c r="I25" s="24">
        <f t="shared" si="10"/>
        <v>44863</v>
      </c>
      <c r="J25" s="29">
        <f t="shared" si="11"/>
        <v>4.2140000000000004E-2</v>
      </c>
      <c r="K25" s="24">
        <v>44509</v>
      </c>
      <c r="L25" s="29">
        <v>1.0999999999999999E-2</v>
      </c>
      <c r="P25" s="24">
        <v>44863</v>
      </c>
      <c r="Q25" s="29">
        <v>3.9140000000000001E-2</v>
      </c>
      <c r="R25" s="24">
        <v>44863</v>
      </c>
      <c r="S25" s="29">
        <v>3.9140000000000001E-2</v>
      </c>
      <c r="T25" s="24">
        <v>44509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44864</v>
      </c>
      <c r="H26" s="29">
        <f t="shared" si="9"/>
        <v>3.04E-2</v>
      </c>
      <c r="I26" s="24">
        <f t="shared" si="10"/>
        <v>44864</v>
      </c>
      <c r="J26" s="29">
        <f t="shared" si="11"/>
        <v>4.2140000000000004E-2</v>
      </c>
      <c r="K26" s="24">
        <f>K25+1</f>
        <v>44510</v>
      </c>
      <c r="L26" s="29">
        <v>1.0999999999999999E-2</v>
      </c>
      <c r="P26" s="24">
        <v>44864</v>
      </c>
      <c r="Q26" s="29">
        <v>3.9140000000000001E-2</v>
      </c>
      <c r="R26" s="24">
        <v>44864</v>
      </c>
      <c r="S26" s="29">
        <v>3.9140000000000001E-2</v>
      </c>
      <c r="T26" s="24">
        <v>44510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44865</v>
      </c>
      <c r="H27" s="29">
        <f t="shared" si="9"/>
        <v>3.04E-2</v>
      </c>
      <c r="I27" s="24">
        <f t="shared" si="10"/>
        <v>44865</v>
      </c>
      <c r="J27" s="29">
        <f t="shared" si="11"/>
        <v>4.2140000000000004E-2</v>
      </c>
      <c r="K27" s="24">
        <f t="shared" ref="K27:K90" si="12">K26+1</f>
        <v>44511</v>
      </c>
      <c r="L27" s="29">
        <v>1.0999999999999999E-2</v>
      </c>
      <c r="P27" s="24">
        <v>44865</v>
      </c>
      <c r="Q27" s="29">
        <v>3.9140000000000001E-2</v>
      </c>
      <c r="R27" s="24">
        <v>44865</v>
      </c>
      <c r="S27" s="29">
        <v>3.9140000000000001E-2</v>
      </c>
      <c r="T27" s="24">
        <v>44511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44866</v>
      </c>
      <c r="H28" s="29">
        <f t="shared" si="9"/>
        <v>3.04E-2</v>
      </c>
      <c r="I28" s="24">
        <f t="shared" si="10"/>
        <v>44866</v>
      </c>
      <c r="J28" s="29">
        <f t="shared" si="11"/>
        <v>4.2140000000000004E-2</v>
      </c>
      <c r="K28" s="24">
        <f t="shared" si="12"/>
        <v>44512</v>
      </c>
      <c r="L28" s="29">
        <v>1.0999999999999999E-2</v>
      </c>
      <c r="P28" s="24">
        <v>44866</v>
      </c>
      <c r="Q28" s="29">
        <v>3.9140000000000001E-2</v>
      </c>
      <c r="R28" s="24">
        <v>44866</v>
      </c>
      <c r="S28" s="29">
        <v>3.9140000000000001E-2</v>
      </c>
      <c r="T28" s="24">
        <v>44512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44867</v>
      </c>
      <c r="H29" s="29">
        <f t="shared" si="9"/>
        <v>3.04E-2</v>
      </c>
      <c r="I29" s="24">
        <f t="shared" si="10"/>
        <v>44867</v>
      </c>
      <c r="J29" s="29">
        <f t="shared" si="11"/>
        <v>4.2140000000000004E-2</v>
      </c>
      <c r="K29" s="24">
        <f t="shared" si="12"/>
        <v>44513</v>
      </c>
      <c r="L29" s="29">
        <v>1.0999999999999999E-2</v>
      </c>
      <c r="P29" s="24">
        <v>44867</v>
      </c>
      <c r="Q29" s="29">
        <v>3.9140000000000001E-2</v>
      </c>
      <c r="R29" s="24">
        <v>44867</v>
      </c>
      <c r="S29" s="29">
        <v>3.9140000000000001E-2</v>
      </c>
      <c r="T29" s="24">
        <v>44513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44868</v>
      </c>
      <c r="H30" s="29">
        <f t="shared" si="9"/>
        <v>3.04E-2</v>
      </c>
      <c r="I30" s="24">
        <f t="shared" si="10"/>
        <v>44868</v>
      </c>
      <c r="J30" s="29">
        <f t="shared" si="11"/>
        <v>4.2140000000000004E-2</v>
      </c>
      <c r="K30" s="24">
        <f t="shared" si="12"/>
        <v>44514</v>
      </c>
      <c r="L30" s="29">
        <v>1.0999999999999999E-2</v>
      </c>
      <c r="P30" s="24">
        <v>44868</v>
      </c>
      <c r="Q30" s="29">
        <v>3.9140000000000001E-2</v>
      </c>
      <c r="R30" s="24">
        <v>44868</v>
      </c>
      <c r="S30" s="29">
        <v>3.9140000000000001E-2</v>
      </c>
      <c r="T30" s="24">
        <v>44514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44869</v>
      </c>
      <c r="H31" s="29">
        <f t="shared" si="9"/>
        <v>3.04E-2</v>
      </c>
      <c r="I31" s="24">
        <f t="shared" si="10"/>
        <v>44869</v>
      </c>
      <c r="J31" s="29">
        <f t="shared" si="11"/>
        <v>4.2140000000000004E-2</v>
      </c>
      <c r="K31" s="24">
        <f t="shared" si="12"/>
        <v>44515</v>
      </c>
      <c r="L31" s="29">
        <v>1.0999999999999999E-2</v>
      </c>
      <c r="P31" s="24">
        <v>44869</v>
      </c>
      <c r="Q31" s="29">
        <v>3.9140000000000001E-2</v>
      </c>
      <c r="R31" s="24">
        <v>44869</v>
      </c>
      <c r="S31" s="29">
        <v>3.9140000000000001E-2</v>
      </c>
      <c r="T31" s="24">
        <v>44515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44870</v>
      </c>
      <c r="H32" s="29">
        <f t="shared" si="9"/>
        <v>3.04E-2</v>
      </c>
      <c r="I32" s="24">
        <f t="shared" si="10"/>
        <v>44870</v>
      </c>
      <c r="J32" s="29">
        <f t="shared" si="11"/>
        <v>4.2140000000000004E-2</v>
      </c>
      <c r="K32" s="24">
        <f t="shared" si="12"/>
        <v>44516</v>
      </c>
      <c r="L32" s="29">
        <v>1.0999999999999999E-2</v>
      </c>
      <c r="P32" s="24">
        <v>44870</v>
      </c>
      <c r="Q32" s="29">
        <v>3.9140000000000001E-2</v>
      </c>
      <c r="R32" s="24">
        <v>44870</v>
      </c>
      <c r="S32" s="29">
        <v>3.9140000000000001E-2</v>
      </c>
      <c r="T32" s="24">
        <v>44516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44871</v>
      </c>
      <c r="H33" s="29">
        <f t="shared" si="9"/>
        <v>3.04E-2</v>
      </c>
      <c r="I33" s="24">
        <f t="shared" si="10"/>
        <v>44871</v>
      </c>
      <c r="J33" s="29">
        <f t="shared" si="11"/>
        <v>4.2140000000000004E-2</v>
      </c>
      <c r="K33" s="24">
        <f t="shared" si="12"/>
        <v>44517</v>
      </c>
      <c r="L33" s="29">
        <v>1.0999999999999999E-2</v>
      </c>
      <c r="P33" s="24">
        <v>44871</v>
      </c>
      <c r="Q33" s="29">
        <v>3.9140000000000001E-2</v>
      </c>
      <c r="R33" s="24">
        <v>44871</v>
      </c>
      <c r="S33" s="29">
        <v>3.9140000000000001E-2</v>
      </c>
      <c r="T33" s="24">
        <v>44517</v>
      </c>
      <c r="U33" s="29">
        <v>1.0999999999999999E-2</v>
      </c>
    </row>
    <row r="34" spans="7:21" ht="18" customHeight="1" x14ac:dyDescent="0.4">
      <c r="G34" s="24">
        <f t="shared" si="8"/>
        <v>44872</v>
      </c>
      <c r="H34" s="29">
        <f t="shared" si="9"/>
        <v>3.04E-2</v>
      </c>
      <c r="I34" s="24">
        <f t="shared" si="10"/>
        <v>44872</v>
      </c>
      <c r="J34" s="29">
        <f t="shared" si="11"/>
        <v>4.2140000000000004E-2</v>
      </c>
      <c r="K34" s="24">
        <f t="shared" si="12"/>
        <v>44518</v>
      </c>
      <c r="L34" s="29">
        <v>1.0999999999999999E-2</v>
      </c>
      <c r="P34" s="24">
        <v>44872</v>
      </c>
      <c r="Q34" s="29">
        <v>3.9140000000000001E-2</v>
      </c>
      <c r="R34" s="24">
        <v>44872</v>
      </c>
      <c r="S34" s="29">
        <v>3.9140000000000001E-2</v>
      </c>
      <c r="T34" s="24">
        <v>44518</v>
      </c>
      <c r="U34" s="29">
        <v>1.0999999999999999E-2</v>
      </c>
    </row>
    <row r="35" spans="7:21" ht="18" customHeight="1" x14ac:dyDescent="0.4">
      <c r="G35" s="24">
        <f t="shared" si="8"/>
        <v>44873</v>
      </c>
      <c r="H35" s="29">
        <f t="shared" si="9"/>
        <v>3.04E-2</v>
      </c>
      <c r="I35" s="24">
        <f t="shared" si="10"/>
        <v>44873</v>
      </c>
      <c r="J35" s="29">
        <f t="shared" si="11"/>
        <v>4.2140000000000004E-2</v>
      </c>
      <c r="K35" s="24">
        <f t="shared" si="12"/>
        <v>44519</v>
      </c>
      <c r="L35" s="29">
        <v>1.0999999999999999E-2</v>
      </c>
      <c r="P35" s="24">
        <v>44873</v>
      </c>
      <c r="Q35" s="29">
        <v>3.9140000000000001E-2</v>
      </c>
      <c r="R35" s="24">
        <v>44873</v>
      </c>
      <c r="S35" s="29">
        <v>3.9140000000000001E-2</v>
      </c>
      <c r="T35" s="24">
        <v>44519</v>
      </c>
      <c r="U35" s="29">
        <v>1.0999999999999999E-2</v>
      </c>
    </row>
    <row r="36" spans="7:21" ht="18" customHeight="1" x14ac:dyDescent="0.4">
      <c r="G36" s="24">
        <f t="shared" si="8"/>
        <v>44874</v>
      </c>
      <c r="H36" s="29">
        <f t="shared" si="9"/>
        <v>3.04E-2</v>
      </c>
      <c r="I36" s="24">
        <f t="shared" si="10"/>
        <v>44874</v>
      </c>
      <c r="J36" s="29">
        <f t="shared" si="11"/>
        <v>4.2140000000000004E-2</v>
      </c>
      <c r="K36" s="24">
        <f t="shared" si="12"/>
        <v>44520</v>
      </c>
      <c r="L36" s="29">
        <v>1.0999999999999999E-2</v>
      </c>
      <c r="P36" s="24">
        <v>44874</v>
      </c>
      <c r="Q36" s="29">
        <v>3.9140000000000001E-2</v>
      </c>
      <c r="R36" s="24">
        <v>44874</v>
      </c>
      <c r="S36" s="29">
        <v>3.9140000000000001E-2</v>
      </c>
      <c r="T36" s="24">
        <v>44520</v>
      </c>
      <c r="U36" s="29">
        <v>1.0999999999999999E-2</v>
      </c>
    </row>
    <row r="37" spans="7:21" ht="18" customHeight="1" x14ac:dyDescent="0.4">
      <c r="G37" s="24">
        <f t="shared" si="8"/>
        <v>44875</v>
      </c>
      <c r="H37" s="29">
        <f t="shared" si="9"/>
        <v>3.04E-2</v>
      </c>
      <c r="I37" s="24">
        <f t="shared" si="10"/>
        <v>44875</v>
      </c>
      <c r="J37" s="29">
        <f t="shared" si="11"/>
        <v>4.2140000000000004E-2</v>
      </c>
      <c r="K37" s="24">
        <f t="shared" si="12"/>
        <v>44521</v>
      </c>
      <c r="L37" s="29">
        <v>1.0999999999999999E-2</v>
      </c>
      <c r="P37" s="24">
        <v>44875</v>
      </c>
      <c r="Q37" s="29">
        <v>3.9140000000000001E-2</v>
      </c>
      <c r="R37" s="24">
        <v>44875</v>
      </c>
      <c r="S37" s="29">
        <v>3.9140000000000001E-2</v>
      </c>
      <c r="T37" s="24">
        <v>44521</v>
      </c>
      <c r="U37" s="29">
        <v>1.0999999999999999E-2</v>
      </c>
    </row>
    <row r="38" spans="7:21" ht="18" customHeight="1" x14ac:dyDescent="0.4">
      <c r="G38" s="24">
        <f t="shared" si="8"/>
        <v>44876</v>
      </c>
      <c r="H38" s="29">
        <f t="shared" si="9"/>
        <v>3.04E-2</v>
      </c>
      <c r="I38" s="24">
        <f t="shared" si="10"/>
        <v>44876</v>
      </c>
      <c r="J38" s="29">
        <f t="shared" si="11"/>
        <v>4.2140000000000004E-2</v>
      </c>
      <c r="K38" s="24">
        <f t="shared" si="12"/>
        <v>44522</v>
      </c>
      <c r="L38" s="29">
        <v>1.0999999999999999E-2</v>
      </c>
      <c r="P38" s="24">
        <v>44876</v>
      </c>
      <c r="Q38" s="29">
        <v>3.9140000000000001E-2</v>
      </c>
      <c r="R38" s="24">
        <v>44876</v>
      </c>
      <c r="S38" s="29">
        <v>3.9140000000000001E-2</v>
      </c>
      <c r="T38" s="24">
        <v>44522</v>
      </c>
      <c r="U38" s="29">
        <v>1.0999999999999999E-2</v>
      </c>
    </row>
    <row r="39" spans="7:21" ht="18" customHeight="1" x14ac:dyDescent="0.4">
      <c r="G39" s="24">
        <f t="shared" si="8"/>
        <v>44877</v>
      </c>
      <c r="H39" s="29">
        <f t="shared" si="9"/>
        <v>3.04E-2</v>
      </c>
      <c r="I39" s="24">
        <f t="shared" si="10"/>
        <v>44877</v>
      </c>
      <c r="J39" s="29">
        <f t="shared" si="11"/>
        <v>4.2140000000000004E-2</v>
      </c>
      <c r="K39" s="24">
        <f t="shared" si="12"/>
        <v>44523</v>
      </c>
      <c r="L39" s="29">
        <v>1.0999999999999999E-2</v>
      </c>
      <c r="P39" s="24">
        <v>44877</v>
      </c>
      <c r="Q39" s="29">
        <v>3.9140000000000001E-2</v>
      </c>
      <c r="R39" s="24">
        <v>44877</v>
      </c>
      <c r="S39" s="29">
        <v>3.9140000000000001E-2</v>
      </c>
      <c r="T39" s="24">
        <v>44523</v>
      </c>
      <c r="U39" s="29">
        <v>1.0999999999999999E-2</v>
      </c>
    </row>
    <row r="40" spans="7:21" ht="18" customHeight="1" x14ac:dyDescent="0.4">
      <c r="G40" s="24">
        <f t="shared" si="8"/>
        <v>44878</v>
      </c>
      <c r="H40" s="29">
        <f t="shared" si="9"/>
        <v>3.04E-2</v>
      </c>
      <c r="I40" s="24">
        <f t="shared" si="10"/>
        <v>44878</v>
      </c>
      <c r="J40" s="29">
        <f t="shared" si="11"/>
        <v>4.2140000000000004E-2</v>
      </c>
      <c r="K40" s="24">
        <f t="shared" si="12"/>
        <v>44524</v>
      </c>
      <c r="L40" s="29">
        <v>1.0999999999999999E-2</v>
      </c>
      <c r="P40" s="24">
        <v>44878</v>
      </c>
      <c r="Q40" s="29">
        <v>3.9140000000000001E-2</v>
      </c>
      <c r="R40" s="24">
        <v>44878</v>
      </c>
      <c r="S40" s="29">
        <v>3.9140000000000001E-2</v>
      </c>
      <c r="T40" s="24">
        <v>44524</v>
      </c>
      <c r="U40" s="29">
        <v>1.0999999999999999E-2</v>
      </c>
    </row>
    <row r="41" spans="7:21" ht="18" customHeight="1" x14ac:dyDescent="0.4">
      <c r="G41" s="24">
        <f t="shared" si="8"/>
        <v>44879</v>
      </c>
      <c r="H41" s="29">
        <f t="shared" si="9"/>
        <v>3.04E-2</v>
      </c>
      <c r="I41" s="24">
        <f t="shared" si="10"/>
        <v>44879</v>
      </c>
      <c r="J41" s="29">
        <f t="shared" si="11"/>
        <v>4.2140000000000004E-2</v>
      </c>
      <c r="K41" s="24">
        <f t="shared" si="12"/>
        <v>44525</v>
      </c>
      <c r="L41" s="29">
        <v>1.0999999999999999E-2</v>
      </c>
      <c r="P41" s="24">
        <v>44879</v>
      </c>
      <c r="Q41" s="29">
        <v>3.9140000000000001E-2</v>
      </c>
      <c r="R41" s="24">
        <v>44879</v>
      </c>
      <c r="S41" s="29">
        <v>3.9140000000000001E-2</v>
      </c>
      <c r="T41" s="24">
        <v>44525</v>
      </c>
      <c r="U41" s="29">
        <v>1.0999999999999999E-2</v>
      </c>
    </row>
    <row r="42" spans="7:21" ht="18" customHeight="1" x14ac:dyDescent="0.4">
      <c r="G42" s="24">
        <f t="shared" si="8"/>
        <v>44880</v>
      </c>
      <c r="H42" s="29">
        <f t="shared" si="9"/>
        <v>3.04E-2</v>
      </c>
      <c r="I42" s="24">
        <f t="shared" si="10"/>
        <v>44880</v>
      </c>
      <c r="J42" s="29">
        <f t="shared" si="11"/>
        <v>4.2140000000000004E-2</v>
      </c>
      <c r="K42" s="24">
        <f t="shared" si="12"/>
        <v>44526</v>
      </c>
      <c r="L42" s="29">
        <v>1.0999999999999999E-2</v>
      </c>
      <c r="P42" s="24">
        <v>44880</v>
      </c>
      <c r="Q42" s="29">
        <v>3.9140000000000001E-2</v>
      </c>
      <c r="R42" s="24">
        <v>44880</v>
      </c>
      <c r="S42" s="29">
        <v>3.9140000000000001E-2</v>
      </c>
      <c r="T42" s="24">
        <v>44526</v>
      </c>
      <c r="U42" s="29">
        <v>1.0999999999999999E-2</v>
      </c>
    </row>
    <row r="43" spans="7:21" ht="18" customHeight="1" x14ac:dyDescent="0.4">
      <c r="G43" s="24">
        <f t="shared" si="8"/>
        <v>44881</v>
      </c>
      <c r="H43" s="29">
        <f t="shared" si="9"/>
        <v>3.04E-2</v>
      </c>
      <c r="I43" s="24">
        <f t="shared" si="10"/>
        <v>44881</v>
      </c>
      <c r="J43" s="29">
        <f t="shared" si="11"/>
        <v>4.2140000000000004E-2</v>
      </c>
      <c r="K43" s="24">
        <f t="shared" si="12"/>
        <v>44527</v>
      </c>
      <c r="L43" s="29">
        <v>1.0999999999999999E-2</v>
      </c>
      <c r="P43" s="24">
        <v>44881</v>
      </c>
      <c r="Q43" s="29">
        <v>3.9140000000000001E-2</v>
      </c>
      <c r="R43" s="24">
        <v>44881</v>
      </c>
      <c r="S43" s="29">
        <v>3.9140000000000001E-2</v>
      </c>
      <c r="T43" s="24">
        <v>44527</v>
      </c>
      <c r="U43" s="29">
        <v>1.0999999999999999E-2</v>
      </c>
    </row>
    <row r="44" spans="7:21" ht="18" customHeight="1" x14ac:dyDescent="0.4">
      <c r="G44" s="24">
        <f t="shared" si="8"/>
        <v>44882</v>
      </c>
      <c r="H44" s="29">
        <f t="shared" si="9"/>
        <v>3.04E-2</v>
      </c>
      <c r="I44" s="24">
        <f t="shared" si="10"/>
        <v>44882</v>
      </c>
      <c r="J44" s="29">
        <f t="shared" si="11"/>
        <v>4.2140000000000004E-2</v>
      </c>
      <c r="K44" s="24">
        <f t="shared" si="12"/>
        <v>44528</v>
      </c>
      <c r="L44" s="29">
        <v>1.0999999999999999E-2</v>
      </c>
      <c r="P44" s="24">
        <v>44882</v>
      </c>
      <c r="Q44" s="29">
        <v>3.9140000000000001E-2</v>
      </c>
      <c r="R44" s="24">
        <v>44882</v>
      </c>
      <c r="S44" s="29">
        <v>3.9140000000000001E-2</v>
      </c>
      <c r="T44" s="24">
        <v>44528</v>
      </c>
      <c r="U44" s="29">
        <v>1.0999999999999999E-2</v>
      </c>
    </row>
    <row r="45" spans="7:21" ht="18" customHeight="1" x14ac:dyDescent="0.4">
      <c r="G45" s="24">
        <f t="shared" si="8"/>
        <v>44883</v>
      </c>
      <c r="H45" s="29">
        <f t="shared" si="9"/>
        <v>3.04E-2</v>
      </c>
      <c r="I45" s="24">
        <f t="shared" si="10"/>
        <v>44883</v>
      </c>
      <c r="J45" s="29">
        <f t="shared" si="11"/>
        <v>4.2140000000000004E-2</v>
      </c>
      <c r="K45" s="24">
        <f t="shared" si="12"/>
        <v>44529</v>
      </c>
      <c r="L45" s="29">
        <v>1.0999999999999999E-2</v>
      </c>
      <c r="P45" s="24">
        <v>44883</v>
      </c>
      <c r="Q45" s="29">
        <v>3.9140000000000001E-2</v>
      </c>
      <c r="R45" s="24">
        <v>44883</v>
      </c>
      <c r="S45" s="29">
        <v>3.9140000000000001E-2</v>
      </c>
      <c r="T45" s="24">
        <v>44529</v>
      </c>
      <c r="U45" s="29">
        <v>1.0999999999999999E-2</v>
      </c>
    </row>
    <row r="46" spans="7:21" ht="18" customHeight="1" x14ac:dyDescent="0.4">
      <c r="G46" s="24">
        <f t="shared" si="8"/>
        <v>44884</v>
      </c>
      <c r="H46" s="29">
        <f t="shared" si="9"/>
        <v>3.04E-2</v>
      </c>
      <c r="I46" s="24">
        <f t="shared" si="10"/>
        <v>44884</v>
      </c>
      <c r="J46" s="29">
        <f t="shared" si="11"/>
        <v>4.2140000000000004E-2</v>
      </c>
      <c r="K46" s="24">
        <f t="shared" si="12"/>
        <v>44530</v>
      </c>
      <c r="L46" s="29">
        <v>1.0999999999999999E-2</v>
      </c>
      <c r="P46" s="24">
        <v>44884</v>
      </c>
      <c r="Q46" s="29">
        <v>3.9140000000000001E-2</v>
      </c>
      <c r="R46" s="24">
        <v>44884</v>
      </c>
      <c r="S46" s="29">
        <v>3.9140000000000001E-2</v>
      </c>
      <c r="T46" s="24">
        <v>44530</v>
      </c>
      <c r="U46" s="29">
        <v>1.0999999999999999E-2</v>
      </c>
    </row>
    <row r="47" spans="7:21" ht="18" customHeight="1" x14ac:dyDescent="0.4">
      <c r="G47" s="24">
        <f t="shared" si="8"/>
        <v>44885</v>
      </c>
      <c r="H47" s="29">
        <f t="shared" si="9"/>
        <v>3.04E-2</v>
      </c>
      <c r="I47" s="24">
        <f t="shared" si="10"/>
        <v>44885</v>
      </c>
      <c r="J47" s="29">
        <f t="shared" si="11"/>
        <v>4.2140000000000004E-2</v>
      </c>
      <c r="K47" s="24">
        <f t="shared" si="12"/>
        <v>44531</v>
      </c>
      <c r="L47" s="29">
        <v>1.0999999999999999E-2</v>
      </c>
      <c r="P47" s="24">
        <v>44885</v>
      </c>
      <c r="Q47" s="29">
        <v>3.9140000000000001E-2</v>
      </c>
      <c r="R47" s="24">
        <v>44885</v>
      </c>
      <c r="S47" s="29">
        <v>3.9140000000000001E-2</v>
      </c>
      <c r="T47" s="24">
        <v>44531</v>
      </c>
      <c r="U47" s="29">
        <v>1.0999999999999999E-2</v>
      </c>
    </row>
    <row r="48" spans="7:21" ht="18" customHeight="1" x14ac:dyDescent="0.4">
      <c r="G48" s="24">
        <f t="shared" si="8"/>
        <v>44886</v>
      </c>
      <c r="H48" s="29">
        <f t="shared" si="9"/>
        <v>3.04E-2</v>
      </c>
      <c r="I48" s="24">
        <f t="shared" si="10"/>
        <v>44886</v>
      </c>
      <c r="J48" s="29">
        <f t="shared" si="11"/>
        <v>4.2140000000000004E-2</v>
      </c>
      <c r="K48" s="24">
        <f t="shared" si="12"/>
        <v>44532</v>
      </c>
      <c r="L48" s="29">
        <v>1.0999999999999999E-2</v>
      </c>
      <c r="P48" s="24">
        <v>44886</v>
      </c>
      <c r="Q48" s="29">
        <v>3.9140000000000001E-2</v>
      </c>
      <c r="R48" s="24">
        <v>44886</v>
      </c>
      <c r="S48" s="29">
        <v>3.9140000000000001E-2</v>
      </c>
      <c r="T48" s="24">
        <v>44532</v>
      </c>
      <c r="U48" s="29">
        <v>1.0999999999999999E-2</v>
      </c>
    </row>
    <row r="49" spans="7:21" ht="18" customHeight="1" x14ac:dyDescent="0.4">
      <c r="G49" s="24">
        <f t="shared" si="8"/>
        <v>44887</v>
      </c>
      <c r="H49" s="29">
        <f t="shared" si="9"/>
        <v>3.04E-2</v>
      </c>
      <c r="I49" s="24">
        <f t="shared" si="10"/>
        <v>44887</v>
      </c>
      <c r="J49" s="29">
        <f t="shared" si="11"/>
        <v>4.2140000000000004E-2</v>
      </c>
      <c r="K49" s="24">
        <f t="shared" si="12"/>
        <v>44533</v>
      </c>
      <c r="L49" s="29">
        <v>1.0999999999999999E-2</v>
      </c>
      <c r="P49" s="24">
        <v>44887</v>
      </c>
      <c r="Q49" s="29">
        <v>3.9140000000000001E-2</v>
      </c>
      <c r="R49" s="24">
        <v>44887</v>
      </c>
      <c r="S49" s="29">
        <v>3.9140000000000001E-2</v>
      </c>
      <c r="T49" s="24">
        <v>44533</v>
      </c>
      <c r="U49" s="29">
        <v>1.0999999999999999E-2</v>
      </c>
    </row>
    <row r="50" spans="7:21" ht="18" customHeight="1" x14ac:dyDescent="0.4">
      <c r="G50" s="24">
        <f t="shared" si="8"/>
        <v>44888</v>
      </c>
      <c r="H50" s="29">
        <f t="shared" si="9"/>
        <v>3.04E-2</v>
      </c>
      <c r="I50" s="24">
        <f t="shared" si="10"/>
        <v>44888</v>
      </c>
      <c r="J50" s="29">
        <f t="shared" si="11"/>
        <v>4.2140000000000004E-2</v>
      </c>
      <c r="K50" s="24">
        <f t="shared" si="12"/>
        <v>44534</v>
      </c>
      <c r="L50" s="29">
        <v>1.0999999999999999E-2</v>
      </c>
      <c r="P50" s="24">
        <v>44888</v>
      </c>
      <c r="Q50" s="29">
        <v>3.9140000000000001E-2</v>
      </c>
      <c r="R50" s="24">
        <v>44888</v>
      </c>
      <c r="S50" s="29">
        <v>3.9140000000000001E-2</v>
      </c>
      <c r="T50" s="24">
        <v>44534</v>
      </c>
      <c r="U50" s="29">
        <v>1.0999999999999999E-2</v>
      </c>
    </row>
    <row r="51" spans="7:21" ht="18" customHeight="1" x14ac:dyDescent="0.4">
      <c r="G51" s="24">
        <f t="shared" si="8"/>
        <v>44889</v>
      </c>
      <c r="H51" s="29">
        <f t="shared" si="9"/>
        <v>3.04E-2</v>
      </c>
      <c r="I51" s="24">
        <f t="shared" si="10"/>
        <v>44889</v>
      </c>
      <c r="J51" s="29">
        <f t="shared" si="11"/>
        <v>4.2140000000000004E-2</v>
      </c>
      <c r="K51" s="24">
        <f t="shared" si="12"/>
        <v>44535</v>
      </c>
      <c r="L51" s="29">
        <v>1.0999999999999999E-2</v>
      </c>
      <c r="P51" s="24">
        <v>44889</v>
      </c>
      <c r="Q51" s="29">
        <v>3.9140000000000001E-2</v>
      </c>
      <c r="R51" s="24">
        <v>44889</v>
      </c>
      <c r="S51" s="29">
        <v>3.9140000000000001E-2</v>
      </c>
      <c r="T51" s="24">
        <v>44535</v>
      </c>
      <c r="U51" s="29">
        <v>1.0999999999999999E-2</v>
      </c>
    </row>
    <row r="52" spans="7:21" ht="18" customHeight="1" x14ac:dyDescent="0.4">
      <c r="G52" s="24">
        <f t="shared" si="8"/>
        <v>44890</v>
      </c>
      <c r="H52" s="29">
        <f t="shared" si="9"/>
        <v>3.04E-2</v>
      </c>
      <c r="I52" s="24">
        <f t="shared" si="10"/>
        <v>44890</v>
      </c>
      <c r="J52" s="29">
        <f t="shared" si="11"/>
        <v>4.2140000000000004E-2</v>
      </c>
      <c r="K52" s="24">
        <f t="shared" si="12"/>
        <v>44536</v>
      </c>
      <c r="L52" s="29">
        <v>1.0999999999999999E-2</v>
      </c>
      <c r="P52" s="24">
        <v>44890</v>
      </c>
      <c r="Q52" s="29">
        <v>3.9140000000000001E-2</v>
      </c>
      <c r="R52" s="24">
        <v>44890</v>
      </c>
      <c r="S52" s="29">
        <v>3.9140000000000001E-2</v>
      </c>
      <c r="T52" s="24">
        <v>44536</v>
      </c>
      <c r="U52" s="29">
        <v>1.0999999999999999E-2</v>
      </c>
    </row>
    <row r="53" spans="7:21" ht="18" customHeight="1" x14ac:dyDescent="0.4">
      <c r="G53" s="24">
        <f t="shared" si="8"/>
        <v>44891</v>
      </c>
      <c r="H53" s="29">
        <f t="shared" si="9"/>
        <v>3.04E-2</v>
      </c>
      <c r="I53" s="24">
        <f t="shared" si="10"/>
        <v>44891</v>
      </c>
      <c r="J53" s="29">
        <f t="shared" si="11"/>
        <v>4.2140000000000004E-2</v>
      </c>
      <c r="K53" s="24">
        <f t="shared" si="12"/>
        <v>44537</v>
      </c>
      <c r="L53" s="29">
        <v>1.0999999999999999E-2</v>
      </c>
      <c r="P53" s="24">
        <v>44891</v>
      </c>
      <c r="Q53" s="29">
        <v>3.9140000000000001E-2</v>
      </c>
      <c r="R53" s="24">
        <v>44891</v>
      </c>
      <c r="S53" s="29">
        <v>3.9140000000000001E-2</v>
      </c>
      <c r="T53" s="24">
        <v>44537</v>
      </c>
      <c r="U53" s="29">
        <v>1.0999999999999999E-2</v>
      </c>
    </row>
    <row r="54" spans="7:21" ht="18" customHeight="1" x14ac:dyDescent="0.4">
      <c r="G54" s="24">
        <f t="shared" si="8"/>
        <v>44892</v>
      </c>
      <c r="H54" s="29">
        <f t="shared" si="9"/>
        <v>3.04E-2</v>
      </c>
      <c r="I54" s="24">
        <f t="shared" si="10"/>
        <v>44892</v>
      </c>
      <c r="J54" s="29">
        <f t="shared" si="11"/>
        <v>4.2140000000000004E-2</v>
      </c>
      <c r="K54" s="24">
        <f t="shared" si="12"/>
        <v>44538</v>
      </c>
      <c r="L54" s="29">
        <v>1.0999999999999999E-2</v>
      </c>
      <c r="P54" s="24">
        <v>44892</v>
      </c>
      <c r="Q54" s="29">
        <v>3.9140000000000001E-2</v>
      </c>
      <c r="R54" s="24">
        <v>44892</v>
      </c>
      <c r="S54" s="29">
        <v>3.9140000000000001E-2</v>
      </c>
      <c r="T54" s="24">
        <v>44538</v>
      </c>
      <c r="U54" s="29">
        <v>1.0999999999999999E-2</v>
      </c>
    </row>
    <row r="55" spans="7:21" ht="18" customHeight="1" x14ac:dyDescent="0.4">
      <c r="G55" s="24">
        <f t="shared" si="8"/>
        <v>44893</v>
      </c>
      <c r="H55" s="29">
        <f t="shared" si="9"/>
        <v>3.04E-2</v>
      </c>
      <c r="I55" s="24">
        <f t="shared" si="10"/>
        <v>44893</v>
      </c>
      <c r="J55" s="29">
        <f t="shared" si="11"/>
        <v>4.2140000000000004E-2</v>
      </c>
      <c r="K55" s="24">
        <f t="shared" si="12"/>
        <v>44539</v>
      </c>
      <c r="L55" s="29">
        <v>1.0999999999999999E-2</v>
      </c>
      <c r="P55" s="24">
        <v>44893</v>
      </c>
      <c r="Q55" s="29">
        <v>3.9140000000000001E-2</v>
      </c>
      <c r="R55" s="24">
        <v>44893</v>
      </c>
      <c r="S55" s="29">
        <v>3.9140000000000001E-2</v>
      </c>
      <c r="T55" s="24">
        <v>44539</v>
      </c>
      <c r="U55" s="29">
        <v>1.0999999999999999E-2</v>
      </c>
    </row>
    <row r="56" spans="7:21" ht="18" customHeight="1" x14ac:dyDescent="0.4">
      <c r="G56" s="24">
        <f t="shared" si="8"/>
        <v>44894</v>
      </c>
      <c r="H56" s="29">
        <f t="shared" si="9"/>
        <v>3.04E-2</v>
      </c>
      <c r="I56" s="24">
        <f t="shared" si="10"/>
        <v>44894</v>
      </c>
      <c r="J56" s="29">
        <f t="shared" si="11"/>
        <v>4.2140000000000004E-2</v>
      </c>
      <c r="K56" s="24">
        <f t="shared" si="12"/>
        <v>44540</v>
      </c>
      <c r="L56" s="29">
        <v>1.0999999999999999E-2</v>
      </c>
      <c r="P56" s="24">
        <v>44894</v>
      </c>
      <c r="Q56" s="29">
        <v>3.9140000000000001E-2</v>
      </c>
      <c r="R56" s="24">
        <v>44894</v>
      </c>
      <c r="S56" s="29">
        <v>3.9140000000000001E-2</v>
      </c>
      <c r="T56" s="24">
        <v>44540</v>
      </c>
      <c r="U56" s="29">
        <v>1.0999999999999999E-2</v>
      </c>
    </row>
    <row r="57" spans="7:21" ht="18" customHeight="1" x14ac:dyDescent="0.4">
      <c r="G57" s="24">
        <f t="shared" si="8"/>
        <v>44895</v>
      </c>
      <c r="H57" s="29">
        <f t="shared" si="9"/>
        <v>3.04E-2</v>
      </c>
      <c r="I57" s="24">
        <f t="shared" si="10"/>
        <v>44895</v>
      </c>
      <c r="J57" s="29">
        <f t="shared" si="11"/>
        <v>4.2140000000000004E-2</v>
      </c>
      <c r="K57" s="24">
        <f t="shared" si="12"/>
        <v>44541</v>
      </c>
      <c r="L57" s="29">
        <v>1.0999999999999999E-2</v>
      </c>
      <c r="P57" s="24">
        <v>44895</v>
      </c>
      <c r="Q57" s="29">
        <v>3.9140000000000001E-2</v>
      </c>
      <c r="R57" s="24">
        <v>44895</v>
      </c>
      <c r="S57" s="29">
        <v>3.9140000000000001E-2</v>
      </c>
      <c r="T57" s="24">
        <v>44541</v>
      </c>
      <c r="U57" s="29">
        <v>1.0999999999999999E-2</v>
      </c>
    </row>
    <row r="58" spans="7:21" ht="18" customHeight="1" x14ac:dyDescent="0.4">
      <c r="G58" s="24">
        <f t="shared" si="8"/>
        <v>44896</v>
      </c>
      <c r="H58" s="29">
        <f t="shared" si="9"/>
        <v>3.04E-2</v>
      </c>
      <c r="I58" s="24">
        <f t="shared" si="10"/>
        <v>44896</v>
      </c>
      <c r="J58" s="29">
        <f t="shared" si="11"/>
        <v>4.2140000000000004E-2</v>
      </c>
      <c r="K58" s="24">
        <f t="shared" si="12"/>
        <v>44542</v>
      </c>
      <c r="L58" s="29">
        <v>1.0999999999999999E-2</v>
      </c>
      <c r="P58" s="24">
        <v>44896</v>
      </c>
      <c r="Q58" s="29">
        <v>3.9140000000000001E-2</v>
      </c>
      <c r="R58" s="24">
        <v>44896</v>
      </c>
      <c r="S58" s="29">
        <v>3.9140000000000001E-2</v>
      </c>
      <c r="T58" s="24">
        <v>44542</v>
      </c>
      <c r="U58" s="29">
        <v>1.0999999999999999E-2</v>
      </c>
    </row>
    <row r="59" spans="7:21" ht="18" customHeight="1" x14ac:dyDescent="0.4">
      <c r="G59" s="24">
        <f t="shared" si="8"/>
        <v>44897</v>
      </c>
      <c r="H59" s="29">
        <f t="shared" si="9"/>
        <v>3.04E-2</v>
      </c>
      <c r="I59" s="24">
        <f t="shared" si="10"/>
        <v>44897</v>
      </c>
      <c r="J59" s="29">
        <f t="shared" si="11"/>
        <v>4.2140000000000004E-2</v>
      </c>
      <c r="K59" s="24">
        <f t="shared" si="12"/>
        <v>44543</v>
      </c>
      <c r="L59" s="29">
        <v>1.0999999999999999E-2</v>
      </c>
      <c r="P59" s="24">
        <v>44897</v>
      </c>
      <c r="Q59" s="29">
        <v>3.9140000000000001E-2</v>
      </c>
      <c r="R59" s="24">
        <v>44897</v>
      </c>
      <c r="S59" s="29">
        <v>3.9140000000000001E-2</v>
      </c>
      <c r="T59" s="24">
        <v>44543</v>
      </c>
      <c r="U59" s="29">
        <v>1.0999999999999999E-2</v>
      </c>
    </row>
    <row r="60" spans="7:21" ht="18" customHeight="1" x14ac:dyDescent="0.4">
      <c r="G60" s="24">
        <f t="shared" si="8"/>
        <v>44898</v>
      </c>
      <c r="H60" s="29">
        <f t="shared" si="9"/>
        <v>3.04E-2</v>
      </c>
      <c r="I60" s="24">
        <f t="shared" si="10"/>
        <v>44898</v>
      </c>
      <c r="J60" s="29">
        <f t="shared" si="11"/>
        <v>4.2140000000000004E-2</v>
      </c>
      <c r="K60" s="24">
        <f t="shared" si="12"/>
        <v>44544</v>
      </c>
      <c r="L60" s="29">
        <v>1.0999999999999999E-2</v>
      </c>
      <c r="P60" s="24">
        <v>44898</v>
      </c>
      <c r="Q60" s="29">
        <v>3.9140000000000001E-2</v>
      </c>
      <c r="R60" s="24">
        <v>44898</v>
      </c>
      <c r="S60" s="29">
        <v>3.9140000000000001E-2</v>
      </c>
      <c r="T60" s="24">
        <v>44544</v>
      </c>
      <c r="U60" s="29">
        <v>1.0999999999999999E-2</v>
      </c>
    </row>
    <row r="61" spans="7:21" ht="18" customHeight="1" x14ac:dyDescent="0.4">
      <c r="G61" s="24">
        <f t="shared" si="8"/>
        <v>44899</v>
      </c>
      <c r="H61" s="29">
        <f t="shared" si="9"/>
        <v>3.04E-2</v>
      </c>
      <c r="I61" s="24">
        <f t="shared" si="10"/>
        <v>44899</v>
      </c>
      <c r="J61" s="29">
        <f t="shared" si="11"/>
        <v>4.2140000000000004E-2</v>
      </c>
      <c r="K61" s="24">
        <f t="shared" si="12"/>
        <v>44545</v>
      </c>
      <c r="L61" s="29">
        <v>1.0999999999999999E-2</v>
      </c>
      <c r="P61" s="24">
        <v>44899</v>
      </c>
      <c r="Q61" s="29">
        <v>3.9140000000000001E-2</v>
      </c>
      <c r="R61" s="24">
        <v>44899</v>
      </c>
      <c r="S61" s="29">
        <v>3.9140000000000001E-2</v>
      </c>
      <c r="T61" s="24">
        <v>44545</v>
      </c>
      <c r="U61" s="29">
        <v>1.0999999999999999E-2</v>
      </c>
    </row>
    <row r="62" spans="7:21" ht="18" customHeight="1" x14ac:dyDescent="0.4">
      <c r="G62" s="24">
        <f t="shared" si="8"/>
        <v>44900</v>
      </c>
      <c r="H62" s="29">
        <f t="shared" si="9"/>
        <v>3.04E-2</v>
      </c>
      <c r="I62" s="24">
        <f t="shared" si="10"/>
        <v>44900</v>
      </c>
      <c r="J62" s="29">
        <f t="shared" si="11"/>
        <v>4.2140000000000004E-2</v>
      </c>
      <c r="K62" s="24">
        <f t="shared" si="12"/>
        <v>44546</v>
      </c>
      <c r="L62" s="29">
        <v>1.0999999999999999E-2</v>
      </c>
      <c r="P62" s="24">
        <v>44900</v>
      </c>
      <c r="Q62" s="29">
        <v>3.9140000000000001E-2</v>
      </c>
      <c r="R62" s="24">
        <v>44900</v>
      </c>
      <c r="S62" s="29">
        <v>3.9140000000000001E-2</v>
      </c>
      <c r="T62" s="24">
        <v>44546</v>
      </c>
      <c r="U62" s="29">
        <v>1.0999999999999999E-2</v>
      </c>
    </row>
    <row r="63" spans="7:21" ht="18" customHeight="1" x14ac:dyDescent="0.4">
      <c r="G63" s="24">
        <f t="shared" si="8"/>
        <v>44901</v>
      </c>
      <c r="H63" s="29">
        <f t="shared" si="9"/>
        <v>3.04E-2</v>
      </c>
      <c r="I63" s="24">
        <f t="shared" si="10"/>
        <v>44901</v>
      </c>
      <c r="J63" s="29">
        <f t="shared" si="11"/>
        <v>4.2140000000000004E-2</v>
      </c>
      <c r="K63" s="24">
        <f t="shared" si="12"/>
        <v>44547</v>
      </c>
      <c r="L63" s="29">
        <v>1.0999999999999999E-2</v>
      </c>
      <c r="P63" s="24">
        <v>44901</v>
      </c>
      <c r="Q63" s="29">
        <v>3.9140000000000001E-2</v>
      </c>
      <c r="R63" s="24">
        <v>44901</v>
      </c>
      <c r="S63" s="29">
        <v>3.9140000000000001E-2</v>
      </c>
      <c r="T63" s="24">
        <v>44547</v>
      </c>
      <c r="U63" s="29">
        <v>1.0999999999999999E-2</v>
      </c>
    </row>
    <row r="64" spans="7:21" ht="18" customHeight="1" x14ac:dyDescent="0.4">
      <c r="G64" s="24">
        <f t="shared" si="8"/>
        <v>44902</v>
      </c>
      <c r="H64" s="29">
        <f t="shared" si="9"/>
        <v>3.04E-2</v>
      </c>
      <c r="I64" s="24">
        <f t="shared" si="10"/>
        <v>44902</v>
      </c>
      <c r="J64" s="29">
        <f t="shared" si="11"/>
        <v>4.2140000000000004E-2</v>
      </c>
      <c r="K64" s="24">
        <f t="shared" si="12"/>
        <v>44548</v>
      </c>
      <c r="L64" s="29">
        <v>1.0999999999999999E-2</v>
      </c>
      <c r="P64" s="24">
        <v>44902</v>
      </c>
      <c r="Q64" s="29">
        <v>3.9140000000000001E-2</v>
      </c>
      <c r="R64" s="24">
        <v>44902</v>
      </c>
      <c r="S64" s="29">
        <v>3.9140000000000001E-2</v>
      </c>
      <c r="T64" s="24">
        <v>44548</v>
      </c>
      <c r="U64" s="29">
        <v>1.0999999999999999E-2</v>
      </c>
    </row>
    <row r="65" spans="7:21" ht="18" customHeight="1" x14ac:dyDescent="0.4">
      <c r="G65" s="24">
        <f t="shared" si="8"/>
        <v>44903</v>
      </c>
      <c r="H65" s="29">
        <f t="shared" si="9"/>
        <v>3.04E-2</v>
      </c>
      <c r="I65" s="24">
        <f t="shared" si="10"/>
        <v>44903</v>
      </c>
      <c r="J65" s="29">
        <f t="shared" si="11"/>
        <v>4.2140000000000004E-2</v>
      </c>
      <c r="K65" s="24">
        <f t="shared" si="12"/>
        <v>44549</v>
      </c>
      <c r="L65" s="29">
        <v>1.0999999999999999E-2</v>
      </c>
      <c r="P65" s="24">
        <v>44903</v>
      </c>
      <c r="Q65" s="29">
        <v>3.9140000000000001E-2</v>
      </c>
      <c r="R65" s="24">
        <v>44903</v>
      </c>
      <c r="S65" s="29">
        <v>3.9140000000000001E-2</v>
      </c>
      <c r="T65" s="24">
        <v>44549</v>
      </c>
      <c r="U65" s="29">
        <v>1.0999999999999999E-2</v>
      </c>
    </row>
    <row r="66" spans="7:21" ht="18" customHeight="1" x14ac:dyDescent="0.4">
      <c r="G66" s="24">
        <f t="shared" si="8"/>
        <v>44904</v>
      </c>
      <c r="H66" s="29">
        <f t="shared" si="9"/>
        <v>3.04E-2</v>
      </c>
      <c r="I66" s="24">
        <f t="shared" si="10"/>
        <v>44904</v>
      </c>
      <c r="J66" s="29">
        <f t="shared" si="11"/>
        <v>4.2140000000000004E-2</v>
      </c>
      <c r="K66" s="24">
        <f t="shared" si="12"/>
        <v>44550</v>
      </c>
      <c r="L66" s="29">
        <v>1.0999999999999999E-2</v>
      </c>
      <c r="P66" s="24">
        <v>44904</v>
      </c>
      <c r="Q66" s="29">
        <v>3.9140000000000001E-2</v>
      </c>
      <c r="R66" s="24">
        <v>44904</v>
      </c>
      <c r="S66" s="29">
        <v>3.9140000000000001E-2</v>
      </c>
      <c r="T66" s="24">
        <v>44550</v>
      </c>
      <c r="U66" s="29">
        <v>1.0999999999999999E-2</v>
      </c>
    </row>
    <row r="67" spans="7:21" ht="18" customHeight="1" x14ac:dyDescent="0.4">
      <c r="G67" s="24">
        <f t="shared" si="8"/>
        <v>44905</v>
      </c>
      <c r="H67" s="29">
        <f t="shared" si="9"/>
        <v>3.04E-2</v>
      </c>
      <c r="I67" s="24">
        <f t="shared" si="10"/>
        <v>44905</v>
      </c>
      <c r="J67" s="29">
        <f t="shared" si="11"/>
        <v>4.2140000000000004E-2</v>
      </c>
      <c r="K67" s="24">
        <f t="shared" si="12"/>
        <v>44551</v>
      </c>
      <c r="L67" s="29">
        <v>1.0999999999999999E-2</v>
      </c>
      <c r="P67" s="24">
        <v>44905</v>
      </c>
      <c r="Q67" s="29">
        <v>3.9140000000000001E-2</v>
      </c>
      <c r="R67" s="24">
        <v>44905</v>
      </c>
      <c r="S67" s="29">
        <v>3.9140000000000001E-2</v>
      </c>
      <c r="T67" s="24">
        <v>44551</v>
      </c>
      <c r="U67" s="29">
        <v>1.0999999999999999E-2</v>
      </c>
    </row>
    <row r="68" spans="7:21" ht="18" customHeight="1" x14ac:dyDescent="0.4">
      <c r="G68" s="24">
        <f t="shared" si="8"/>
        <v>44906</v>
      </c>
      <c r="H68" s="29">
        <f t="shared" si="9"/>
        <v>3.04E-2</v>
      </c>
      <c r="I68" s="24">
        <f t="shared" si="10"/>
        <v>44906</v>
      </c>
      <c r="J68" s="29">
        <f t="shared" si="11"/>
        <v>4.2140000000000004E-2</v>
      </c>
      <c r="K68" s="24">
        <f t="shared" si="12"/>
        <v>44552</v>
      </c>
      <c r="L68" s="29">
        <v>1.0999999999999999E-2</v>
      </c>
      <c r="P68" s="24">
        <v>44906</v>
      </c>
      <c r="Q68" s="29">
        <v>3.9140000000000001E-2</v>
      </c>
      <c r="R68" s="24">
        <v>44906</v>
      </c>
      <c r="S68" s="29">
        <v>3.9140000000000001E-2</v>
      </c>
      <c r="T68" s="24">
        <v>44552</v>
      </c>
      <c r="U68" s="29">
        <v>1.0999999999999999E-2</v>
      </c>
    </row>
    <row r="69" spans="7:21" ht="18" customHeight="1" x14ac:dyDescent="0.4">
      <c r="G69" s="24">
        <f t="shared" si="8"/>
        <v>44907</v>
      </c>
      <c r="H69" s="29">
        <f t="shared" si="9"/>
        <v>3.04E-2</v>
      </c>
      <c r="I69" s="24">
        <f t="shared" si="10"/>
        <v>44907</v>
      </c>
      <c r="J69" s="29">
        <f t="shared" si="11"/>
        <v>4.2140000000000004E-2</v>
      </c>
      <c r="K69" s="24">
        <f t="shared" si="12"/>
        <v>44553</v>
      </c>
      <c r="L69" s="29">
        <v>1.0999999999999999E-2</v>
      </c>
      <c r="P69" s="24">
        <v>44907</v>
      </c>
      <c r="Q69" s="29">
        <v>3.9140000000000001E-2</v>
      </c>
      <c r="R69" s="24">
        <v>44907</v>
      </c>
      <c r="S69" s="29">
        <v>3.9140000000000001E-2</v>
      </c>
      <c r="T69" s="24">
        <v>44553</v>
      </c>
      <c r="U69" s="29">
        <v>1.0999999999999999E-2</v>
      </c>
    </row>
    <row r="70" spans="7:21" ht="18" customHeight="1" x14ac:dyDescent="0.4">
      <c r="G70" s="24">
        <f t="shared" si="8"/>
        <v>44908</v>
      </c>
      <c r="H70" s="29">
        <f t="shared" si="9"/>
        <v>3.04E-2</v>
      </c>
      <c r="I70" s="24">
        <f t="shared" si="10"/>
        <v>44908</v>
      </c>
      <c r="J70" s="29">
        <f t="shared" si="11"/>
        <v>4.2140000000000004E-2</v>
      </c>
      <c r="K70" s="24">
        <f t="shared" si="12"/>
        <v>44554</v>
      </c>
      <c r="L70" s="29">
        <v>1.0999999999999999E-2</v>
      </c>
      <c r="P70" s="24">
        <v>44908</v>
      </c>
      <c r="Q70" s="29">
        <v>3.9140000000000001E-2</v>
      </c>
      <c r="R70" s="24">
        <v>44908</v>
      </c>
      <c r="S70" s="29">
        <v>3.9140000000000001E-2</v>
      </c>
      <c r="T70" s="24">
        <v>44554</v>
      </c>
      <c r="U70" s="29">
        <v>1.0999999999999999E-2</v>
      </c>
    </row>
    <row r="71" spans="7:21" ht="18" customHeight="1" x14ac:dyDescent="0.4">
      <c r="G71" s="24">
        <f t="shared" ref="G71:G134" si="13">G70+1</f>
        <v>44909</v>
      </c>
      <c r="H71" s="29">
        <f t="shared" ref="H71:H134" si="14">H70</f>
        <v>3.04E-2</v>
      </c>
      <c r="I71" s="24">
        <f t="shared" ref="I71:I134" si="15">I70+1</f>
        <v>44909</v>
      </c>
      <c r="J71" s="29">
        <f t="shared" ref="J71:J134" si="16">J70</f>
        <v>4.2140000000000004E-2</v>
      </c>
      <c r="K71" s="24">
        <f t="shared" si="12"/>
        <v>44555</v>
      </c>
      <c r="L71" s="29">
        <v>1.0999999999999999E-2</v>
      </c>
      <c r="P71" s="24">
        <v>44909</v>
      </c>
      <c r="Q71" s="29">
        <v>3.9140000000000001E-2</v>
      </c>
      <c r="R71" s="24">
        <v>44909</v>
      </c>
      <c r="S71" s="29">
        <v>3.9140000000000001E-2</v>
      </c>
      <c r="T71" s="24">
        <v>44555</v>
      </c>
      <c r="U71" s="29">
        <v>1.0999999999999999E-2</v>
      </c>
    </row>
    <row r="72" spans="7:21" ht="18" customHeight="1" x14ac:dyDescent="0.4">
      <c r="G72" s="24">
        <f t="shared" si="13"/>
        <v>44910</v>
      </c>
      <c r="H72" s="29">
        <f t="shared" si="14"/>
        <v>3.04E-2</v>
      </c>
      <c r="I72" s="24">
        <f t="shared" si="15"/>
        <v>44910</v>
      </c>
      <c r="J72" s="29">
        <f t="shared" si="16"/>
        <v>4.2140000000000004E-2</v>
      </c>
      <c r="K72" s="24">
        <f t="shared" si="12"/>
        <v>44556</v>
      </c>
      <c r="L72" s="29">
        <v>1.0999999999999999E-2</v>
      </c>
      <c r="P72" s="24">
        <v>44910</v>
      </c>
      <c r="Q72" s="29">
        <v>3.9140000000000001E-2</v>
      </c>
      <c r="R72" s="24">
        <v>44910</v>
      </c>
      <c r="S72" s="29">
        <v>3.9140000000000001E-2</v>
      </c>
      <c r="T72" s="24">
        <v>44556</v>
      </c>
      <c r="U72" s="29">
        <v>1.0999999999999999E-2</v>
      </c>
    </row>
    <row r="73" spans="7:21" ht="18" customHeight="1" x14ac:dyDescent="0.4">
      <c r="G73" s="24">
        <f t="shared" si="13"/>
        <v>44911</v>
      </c>
      <c r="H73" s="29">
        <f t="shared" si="14"/>
        <v>3.04E-2</v>
      </c>
      <c r="I73" s="24">
        <f t="shared" si="15"/>
        <v>44911</v>
      </c>
      <c r="J73" s="29">
        <f t="shared" si="16"/>
        <v>4.2140000000000004E-2</v>
      </c>
      <c r="K73" s="24">
        <f t="shared" si="12"/>
        <v>44557</v>
      </c>
      <c r="L73" s="29">
        <v>1.0999999999999999E-2</v>
      </c>
      <c r="P73" s="24">
        <v>44911</v>
      </c>
      <c r="Q73" s="29">
        <v>3.9140000000000001E-2</v>
      </c>
      <c r="R73" s="24">
        <v>44911</v>
      </c>
      <c r="S73" s="29">
        <v>3.9140000000000001E-2</v>
      </c>
      <c r="T73" s="24">
        <v>44557</v>
      </c>
      <c r="U73" s="29">
        <v>1.0999999999999999E-2</v>
      </c>
    </row>
    <row r="74" spans="7:21" ht="18" customHeight="1" x14ac:dyDescent="0.4">
      <c r="G74" s="24">
        <f t="shared" si="13"/>
        <v>44912</v>
      </c>
      <c r="H74" s="29">
        <f t="shared" si="14"/>
        <v>3.04E-2</v>
      </c>
      <c r="I74" s="24">
        <f t="shared" si="15"/>
        <v>44912</v>
      </c>
      <c r="J74" s="29">
        <f t="shared" si="16"/>
        <v>4.2140000000000004E-2</v>
      </c>
      <c r="K74" s="24">
        <f t="shared" si="12"/>
        <v>44558</v>
      </c>
      <c r="L74" s="29">
        <v>1.0999999999999999E-2</v>
      </c>
      <c r="P74" s="24">
        <v>44912</v>
      </c>
      <c r="Q74" s="29">
        <v>3.9140000000000001E-2</v>
      </c>
      <c r="R74" s="24">
        <v>44912</v>
      </c>
      <c r="S74" s="29">
        <v>3.9140000000000001E-2</v>
      </c>
      <c r="T74" s="24">
        <v>44558</v>
      </c>
      <c r="U74" s="29">
        <v>1.0999999999999999E-2</v>
      </c>
    </row>
    <row r="75" spans="7:21" ht="18" customHeight="1" x14ac:dyDescent="0.4">
      <c r="G75" s="24">
        <f t="shared" si="13"/>
        <v>44913</v>
      </c>
      <c r="H75" s="29">
        <f t="shared" si="14"/>
        <v>3.04E-2</v>
      </c>
      <c r="I75" s="24">
        <f t="shared" si="15"/>
        <v>44913</v>
      </c>
      <c r="J75" s="29">
        <f t="shared" si="16"/>
        <v>4.2140000000000004E-2</v>
      </c>
      <c r="K75" s="24">
        <f t="shared" si="12"/>
        <v>44559</v>
      </c>
      <c r="L75" s="29">
        <v>1.0999999999999999E-2</v>
      </c>
      <c r="P75" s="24">
        <v>44913</v>
      </c>
      <c r="Q75" s="29">
        <v>3.9140000000000001E-2</v>
      </c>
      <c r="R75" s="24">
        <v>44913</v>
      </c>
      <c r="S75" s="29">
        <v>3.9140000000000001E-2</v>
      </c>
      <c r="T75" s="24">
        <v>44559</v>
      </c>
      <c r="U75" s="29">
        <v>1.0999999999999999E-2</v>
      </c>
    </row>
    <row r="76" spans="7:21" ht="18" customHeight="1" x14ac:dyDescent="0.4">
      <c r="G76" s="24">
        <f t="shared" si="13"/>
        <v>44914</v>
      </c>
      <c r="H76" s="29">
        <f t="shared" si="14"/>
        <v>3.04E-2</v>
      </c>
      <c r="I76" s="24">
        <f t="shared" si="15"/>
        <v>44914</v>
      </c>
      <c r="J76" s="29">
        <f t="shared" si="16"/>
        <v>4.2140000000000004E-2</v>
      </c>
      <c r="K76" s="24">
        <f t="shared" si="12"/>
        <v>44560</v>
      </c>
      <c r="L76" s="29">
        <v>1.0999999999999999E-2</v>
      </c>
      <c r="P76" s="24">
        <v>44914</v>
      </c>
      <c r="Q76" s="29">
        <v>3.9140000000000001E-2</v>
      </c>
      <c r="R76" s="24">
        <v>44914</v>
      </c>
      <c r="S76" s="29">
        <v>3.9140000000000001E-2</v>
      </c>
      <c r="T76" s="24">
        <v>44560</v>
      </c>
      <c r="U76" s="29">
        <v>1.0999999999999999E-2</v>
      </c>
    </row>
    <row r="77" spans="7:21" ht="18" customHeight="1" x14ac:dyDescent="0.4">
      <c r="G77" s="24">
        <f t="shared" si="13"/>
        <v>44915</v>
      </c>
      <c r="H77" s="29">
        <f t="shared" si="14"/>
        <v>3.04E-2</v>
      </c>
      <c r="I77" s="24">
        <f t="shared" si="15"/>
        <v>44915</v>
      </c>
      <c r="J77" s="29">
        <f t="shared" si="16"/>
        <v>4.2140000000000004E-2</v>
      </c>
      <c r="K77" s="24">
        <f t="shared" si="12"/>
        <v>44561</v>
      </c>
      <c r="L77" s="29">
        <v>1.0999999999999999E-2</v>
      </c>
      <c r="P77" s="24">
        <v>44915</v>
      </c>
      <c r="Q77" s="29">
        <v>3.9140000000000001E-2</v>
      </c>
      <c r="R77" s="24">
        <v>44915</v>
      </c>
      <c r="S77" s="29">
        <v>3.9140000000000001E-2</v>
      </c>
      <c r="T77" s="24">
        <v>44561</v>
      </c>
      <c r="U77" s="29">
        <v>1.0999999999999999E-2</v>
      </c>
    </row>
    <row r="78" spans="7:21" ht="18" customHeight="1" x14ac:dyDescent="0.4">
      <c r="G78" s="24">
        <f t="shared" si="13"/>
        <v>44916</v>
      </c>
      <c r="H78" s="29">
        <f t="shared" si="14"/>
        <v>3.04E-2</v>
      </c>
      <c r="I78" s="24">
        <f t="shared" si="15"/>
        <v>44916</v>
      </c>
      <c r="J78" s="29">
        <f t="shared" si="16"/>
        <v>4.2140000000000004E-2</v>
      </c>
      <c r="K78" s="24">
        <f t="shared" si="12"/>
        <v>44562</v>
      </c>
      <c r="L78" s="29">
        <v>1.0999999999999999E-2</v>
      </c>
      <c r="P78" s="24">
        <v>44916</v>
      </c>
      <c r="Q78" s="29">
        <v>3.9140000000000001E-2</v>
      </c>
      <c r="R78" s="24">
        <v>44916</v>
      </c>
      <c r="S78" s="29">
        <v>3.9140000000000001E-2</v>
      </c>
      <c r="T78" s="24">
        <v>44562</v>
      </c>
      <c r="U78" s="29">
        <v>1.0999999999999999E-2</v>
      </c>
    </row>
    <row r="79" spans="7:21" ht="18" customHeight="1" x14ac:dyDescent="0.4">
      <c r="G79" s="24">
        <f t="shared" si="13"/>
        <v>44917</v>
      </c>
      <c r="H79" s="29">
        <f t="shared" si="14"/>
        <v>3.04E-2</v>
      </c>
      <c r="I79" s="24">
        <f t="shared" si="15"/>
        <v>44917</v>
      </c>
      <c r="J79" s="29">
        <f t="shared" si="16"/>
        <v>4.2140000000000004E-2</v>
      </c>
      <c r="K79" s="24">
        <f t="shared" si="12"/>
        <v>44563</v>
      </c>
      <c r="L79" s="29">
        <v>1.0999999999999999E-2</v>
      </c>
      <c r="P79" s="24">
        <v>44917</v>
      </c>
      <c r="Q79" s="29">
        <v>3.9140000000000001E-2</v>
      </c>
      <c r="R79" s="24">
        <v>44917</v>
      </c>
      <c r="S79" s="29">
        <v>3.9140000000000001E-2</v>
      </c>
      <c r="T79" s="24">
        <v>44563</v>
      </c>
      <c r="U79" s="29">
        <v>1.0999999999999999E-2</v>
      </c>
    </row>
    <row r="80" spans="7:21" ht="18" customHeight="1" x14ac:dyDescent="0.4">
      <c r="G80" s="24">
        <f t="shared" si="13"/>
        <v>44918</v>
      </c>
      <c r="H80" s="29">
        <f t="shared" si="14"/>
        <v>3.04E-2</v>
      </c>
      <c r="I80" s="24">
        <f t="shared" si="15"/>
        <v>44918</v>
      </c>
      <c r="J80" s="29">
        <f t="shared" si="16"/>
        <v>4.2140000000000004E-2</v>
      </c>
      <c r="K80" s="24">
        <f t="shared" si="12"/>
        <v>44564</v>
      </c>
      <c r="L80" s="29">
        <v>1.0999999999999999E-2</v>
      </c>
      <c r="P80" s="24">
        <v>44918</v>
      </c>
      <c r="Q80" s="29">
        <v>3.9140000000000001E-2</v>
      </c>
      <c r="R80" s="24">
        <v>44918</v>
      </c>
      <c r="S80" s="29">
        <v>3.9140000000000001E-2</v>
      </c>
      <c r="T80" s="24">
        <v>44564</v>
      </c>
      <c r="U80" s="29">
        <v>1.0999999999999999E-2</v>
      </c>
    </row>
    <row r="81" spans="7:21" ht="18" customHeight="1" x14ac:dyDescent="0.4">
      <c r="G81" s="24">
        <f t="shared" si="13"/>
        <v>44919</v>
      </c>
      <c r="H81" s="29">
        <f t="shared" si="14"/>
        <v>3.04E-2</v>
      </c>
      <c r="I81" s="24">
        <f t="shared" si="15"/>
        <v>44919</v>
      </c>
      <c r="J81" s="29">
        <f t="shared" si="16"/>
        <v>4.2140000000000004E-2</v>
      </c>
      <c r="K81" s="24">
        <f t="shared" si="12"/>
        <v>44565</v>
      </c>
      <c r="L81" s="29">
        <v>1.0999999999999999E-2</v>
      </c>
      <c r="P81" s="24">
        <v>44919</v>
      </c>
      <c r="Q81" s="29">
        <v>3.9140000000000001E-2</v>
      </c>
      <c r="R81" s="24">
        <v>44919</v>
      </c>
      <c r="S81" s="29">
        <v>3.9140000000000001E-2</v>
      </c>
      <c r="T81" s="24">
        <v>44565</v>
      </c>
      <c r="U81" s="29">
        <v>1.0999999999999999E-2</v>
      </c>
    </row>
    <row r="82" spans="7:21" ht="18" customHeight="1" x14ac:dyDescent="0.4">
      <c r="G82" s="24">
        <f t="shared" si="13"/>
        <v>44920</v>
      </c>
      <c r="H82" s="29">
        <f t="shared" si="14"/>
        <v>3.04E-2</v>
      </c>
      <c r="I82" s="24">
        <f t="shared" si="15"/>
        <v>44920</v>
      </c>
      <c r="J82" s="29">
        <f t="shared" si="16"/>
        <v>4.2140000000000004E-2</v>
      </c>
      <c r="K82" s="24">
        <f t="shared" si="12"/>
        <v>44566</v>
      </c>
      <c r="L82" s="29">
        <v>1.0999999999999999E-2</v>
      </c>
      <c r="P82" s="24">
        <v>44920</v>
      </c>
      <c r="Q82" s="29">
        <v>3.9140000000000001E-2</v>
      </c>
      <c r="R82" s="24">
        <v>44920</v>
      </c>
      <c r="S82" s="29">
        <v>3.9140000000000001E-2</v>
      </c>
      <c r="T82" s="24">
        <v>44566</v>
      </c>
      <c r="U82" s="29">
        <v>1.0999999999999999E-2</v>
      </c>
    </row>
    <row r="83" spans="7:21" ht="18" customHeight="1" x14ac:dyDescent="0.4">
      <c r="G83" s="24">
        <f t="shared" si="13"/>
        <v>44921</v>
      </c>
      <c r="H83" s="29">
        <f t="shared" si="14"/>
        <v>3.04E-2</v>
      </c>
      <c r="I83" s="24">
        <f t="shared" si="15"/>
        <v>44921</v>
      </c>
      <c r="J83" s="29">
        <f t="shared" si="16"/>
        <v>4.2140000000000004E-2</v>
      </c>
      <c r="K83" s="24">
        <f t="shared" si="12"/>
        <v>44567</v>
      </c>
      <c r="L83" s="29">
        <v>1.0999999999999999E-2</v>
      </c>
      <c r="P83" s="24">
        <v>44921</v>
      </c>
      <c r="Q83" s="29">
        <v>3.9140000000000001E-2</v>
      </c>
      <c r="R83" s="24">
        <v>44921</v>
      </c>
      <c r="S83" s="29">
        <v>3.9140000000000001E-2</v>
      </c>
      <c r="T83" s="24">
        <v>44567</v>
      </c>
      <c r="U83" s="29">
        <v>1.0999999999999999E-2</v>
      </c>
    </row>
    <row r="84" spans="7:21" ht="18" customHeight="1" x14ac:dyDescent="0.4">
      <c r="G84" s="24">
        <f t="shared" si="13"/>
        <v>44922</v>
      </c>
      <c r="H84" s="29">
        <f t="shared" si="14"/>
        <v>3.04E-2</v>
      </c>
      <c r="I84" s="24">
        <f t="shared" si="15"/>
        <v>44922</v>
      </c>
      <c r="J84" s="29">
        <f t="shared" si="16"/>
        <v>4.2140000000000004E-2</v>
      </c>
      <c r="K84" s="24">
        <f t="shared" si="12"/>
        <v>44568</v>
      </c>
      <c r="L84" s="29">
        <v>1.0999999999999999E-2</v>
      </c>
      <c r="P84" s="24">
        <v>44922</v>
      </c>
      <c r="Q84" s="29">
        <v>3.9140000000000001E-2</v>
      </c>
      <c r="R84" s="24">
        <v>44922</v>
      </c>
      <c r="S84" s="29">
        <v>3.9140000000000001E-2</v>
      </c>
      <c r="T84" s="24">
        <v>44568</v>
      </c>
      <c r="U84" s="29">
        <v>1.0999999999999999E-2</v>
      </c>
    </row>
    <row r="85" spans="7:21" ht="18" customHeight="1" x14ac:dyDescent="0.4">
      <c r="G85" s="24">
        <f t="shared" si="13"/>
        <v>44923</v>
      </c>
      <c r="H85" s="29">
        <f t="shared" si="14"/>
        <v>3.04E-2</v>
      </c>
      <c r="I85" s="24">
        <f t="shared" si="15"/>
        <v>44923</v>
      </c>
      <c r="J85" s="29">
        <f t="shared" si="16"/>
        <v>4.2140000000000004E-2</v>
      </c>
      <c r="K85" s="24">
        <f t="shared" si="12"/>
        <v>44569</v>
      </c>
      <c r="L85" s="29">
        <v>1.0999999999999999E-2</v>
      </c>
      <c r="P85" s="24">
        <v>44923</v>
      </c>
      <c r="Q85" s="29">
        <v>3.9140000000000001E-2</v>
      </c>
      <c r="R85" s="24">
        <v>44923</v>
      </c>
      <c r="S85" s="29">
        <v>3.9140000000000001E-2</v>
      </c>
      <c r="T85" s="24">
        <v>44569</v>
      </c>
      <c r="U85" s="29">
        <v>1.0999999999999999E-2</v>
      </c>
    </row>
    <row r="86" spans="7:21" ht="18" customHeight="1" x14ac:dyDescent="0.4">
      <c r="G86" s="24">
        <f t="shared" si="13"/>
        <v>44924</v>
      </c>
      <c r="H86" s="29">
        <f t="shared" si="14"/>
        <v>3.04E-2</v>
      </c>
      <c r="I86" s="24">
        <f t="shared" si="15"/>
        <v>44924</v>
      </c>
      <c r="J86" s="29">
        <f t="shared" si="16"/>
        <v>4.2140000000000004E-2</v>
      </c>
      <c r="K86" s="24">
        <f t="shared" si="12"/>
        <v>44570</v>
      </c>
      <c r="L86" s="29">
        <v>1.0999999999999999E-2</v>
      </c>
      <c r="P86" s="24">
        <v>44924</v>
      </c>
      <c r="Q86" s="29">
        <v>3.9140000000000001E-2</v>
      </c>
      <c r="R86" s="24">
        <v>44924</v>
      </c>
      <c r="S86" s="29">
        <v>3.9140000000000001E-2</v>
      </c>
      <c r="T86" s="24">
        <v>44570</v>
      </c>
      <c r="U86" s="29">
        <v>1.0999999999999999E-2</v>
      </c>
    </row>
    <row r="87" spans="7:21" ht="18" customHeight="1" x14ac:dyDescent="0.4">
      <c r="G87" s="24">
        <f t="shared" si="13"/>
        <v>44925</v>
      </c>
      <c r="H87" s="29">
        <f t="shared" si="14"/>
        <v>3.04E-2</v>
      </c>
      <c r="I87" s="24">
        <f t="shared" si="15"/>
        <v>44925</v>
      </c>
      <c r="J87" s="29">
        <f t="shared" si="16"/>
        <v>4.2140000000000004E-2</v>
      </c>
      <c r="K87" s="24">
        <f t="shared" si="12"/>
        <v>44571</v>
      </c>
      <c r="L87" s="29">
        <v>1.0999999999999999E-2</v>
      </c>
      <c r="P87" s="24">
        <v>44925</v>
      </c>
      <c r="Q87" s="29">
        <v>3.9140000000000001E-2</v>
      </c>
      <c r="R87" s="24">
        <v>44925</v>
      </c>
      <c r="S87" s="29">
        <v>3.9140000000000001E-2</v>
      </c>
      <c r="T87" s="24">
        <v>44571</v>
      </c>
      <c r="U87" s="29">
        <v>1.0999999999999999E-2</v>
      </c>
    </row>
    <row r="88" spans="7:21" ht="18" customHeight="1" x14ac:dyDescent="0.4">
      <c r="G88" s="24">
        <f t="shared" si="13"/>
        <v>44926</v>
      </c>
      <c r="H88" s="29">
        <f t="shared" si="14"/>
        <v>3.04E-2</v>
      </c>
      <c r="I88" s="24">
        <f t="shared" si="15"/>
        <v>44926</v>
      </c>
      <c r="J88" s="29">
        <f t="shared" si="16"/>
        <v>4.2140000000000004E-2</v>
      </c>
      <c r="K88" s="24">
        <f t="shared" si="12"/>
        <v>44572</v>
      </c>
      <c r="L88" s="29">
        <v>1.0999999999999999E-2</v>
      </c>
      <c r="P88" s="24">
        <v>44926</v>
      </c>
      <c r="Q88" s="29">
        <v>3.9140000000000001E-2</v>
      </c>
      <c r="R88" s="24">
        <v>44926</v>
      </c>
      <c r="S88" s="29">
        <v>3.9140000000000001E-2</v>
      </c>
      <c r="T88" s="24">
        <v>44572</v>
      </c>
      <c r="U88" s="29">
        <v>1.0999999999999999E-2</v>
      </c>
    </row>
    <row r="89" spans="7:21" ht="18" customHeight="1" x14ac:dyDescent="0.4">
      <c r="G89" s="24">
        <f t="shared" si="13"/>
        <v>44927</v>
      </c>
      <c r="H89" s="29">
        <f t="shared" si="14"/>
        <v>3.04E-2</v>
      </c>
      <c r="I89" s="24">
        <f t="shared" si="15"/>
        <v>44927</v>
      </c>
      <c r="J89" s="29">
        <f t="shared" si="16"/>
        <v>4.2140000000000004E-2</v>
      </c>
      <c r="K89" s="24">
        <f t="shared" si="12"/>
        <v>44573</v>
      </c>
      <c r="L89" s="29">
        <v>1.0999999999999999E-2</v>
      </c>
      <c r="P89" s="24">
        <v>44927</v>
      </c>
      <c r="Q89" s="29">
        <v>3.9140000000000001E-2</v>
      </c>
      <c r="R89" s="24">
        <v>44927</v>
      </c>
      <c r="S89" s="29">
        <v>3.9140000000000001E-2</v>
      </c>
      <c r="T89" s="24">
        <v>44573</v>
      </c>
      <c r="U89" s="29">
        <v>1.0999999999999999E-2</v>
      </c>
    </row>
    <row r="90" spans="7:21" ht="18" customHeight="1" x14ac:dyDescent="0.4">
      <c r="G90" s="24">
        <f t="shared" si="13"/>
        <v>44928</v>
      </c>
      <c r="H90" s="29">
        <f t="shared" si="14"/>
        <v>3.04E-2</v>
      </c>
      <c r="I90" s="24">
        <f t="shared" si="15"/>
        <v>44928</v>
      </c>
      <c r="J90" s="29">
        <f t="shared" si="16"/>
        <v>4.2140000000000004E-2</v>
      </c>
      <c r="K90" s="24">
        <f t="shared" si="12"/>
        <v>44574</v>
      </c>
      <c r="L90" s="29">
        <v>1.0999999999999999E-2</v>
      </c>
      <c r="P90" s="24">
        <v>44928</v>
      </c>
      <c r="Q90" s="29">
        <v>3.9140000000000001E-2</v>
      </c>
      <c r="R90" s="24">
        <v>44928</v>
      </c>
      <c r="S90" s="29">
        <v>3.9140000000000001E-2</v>
      </c>
      <c r="T90" s="24">
        <v>44574</v>
      </c>
      <c r="U90" s="29">
        <v>1.0999999999999999E-2</v>
      </c>
    </row>
    <row r="91" spans="7:21" ht="18" customHeight="1" x14ac:dyDescent="0.4">
      <c r="G91" s="24">
        <f t="shared" si="13"/>
        <v>44929</v>
      </c>
      <c r="H91" s="29">
        <f t="shared" si="14"/>
        <v>3.04E-2</v>
      </c>
      <c r="I91" s="24">
        <f t="shared" si="15"/>
        <v>44929</v>
      </c>
      <c r="J91" s="29">
        <f t="shared" si="16"/>
        <v>4.2140000000000004E-2</v>
      </c>
      <c r="K91" s="24">
        <f t="shared" ref="K91:K136" si="17">K90+1</f>
        <v>44575</v>
      </c>
      <c r="L91" s="29">
        <v>1.0999999999999999E-2</v>
      </c>
      <c r="P91" s="24">
        <v>44929</v>
      </c>
      <c r="Q91" s="29">
        <v>3.9140000000000001E-2</v>
      </c>
      <c r="R91" s="24">
        <v>44929</v>
      </c>
      <c r="S91" s="29">
        <v>3.9140000000000001E-2</v>
      </c>
      <c r="T91" s="24">
        <v>44575</v>
      </c>
      <c r="U91" s="29">
        <v>1.0999999999999999E-2</v>
      </c>
    </row>
    <row r="92" spans="7:21" ht="18" customHeight="1" x14ac:dyDescent="0.4">
      <c r="G92" s="24">
        <f t="shared" si="13"/>
        <v>44930</v>
      </c>
      <c r="H92" s="29">
        <f t="shared" si="14"/>
        <v>3.04E-2</v>
      </c>
      <c r="I92" s="24">
        <f t="shared" si="15"/>
        <v>44930</v>
      </c>
      <c r="J92" s="29">
        <f t="shared" si="16"/>
        <v>4.2140000000000004E-2</v>
      </c>
      <c r="K92" s="24">
        <f t="shared" si="17"/>
        <v>44576</v>
      </c>
      <c r="L92" s="29">
        <v>1.0999999999999999E-2</v>
      </c>
      <c r="P92" s="24">
        <v>44930</v>
      </c>
      <c r="Q92" s="29">
        <v>3.9140000000000001E-2</v>
      </c>
      <c r="R92" s="24">
        <v>44930</v>
      </c>
      <c r="S92" s="29">
        <v>3.9140000000000001E-2</v>
      </c>
      <c r="T92" s="24">
        <v>44576</v>
      </c>
      <c r="U92" s="29">
        <v>1.0999999999999999E-2</v>
      </c>
    </row>
    <row r="93" spans="7:21" ht="18" customHeight="1" x14ac:dyDescent="0.4">
      <c r="G93" s="24">
        <f t="shared" si="13"/>
        <v>44931</v>
      </c>
      <c r="H93" s="29">
        <f t="shared" si="14"/>
        <v>3.04E-2</v>
      </c>
      <c r="I93" s="24">
        <f t="shared" si="15"/>
        <v>44931</v>
      </c>
      <c r="J93" s="29">
        <f t="shared" si="16"/>
        <v>4.2140000000000004E-2</v>
      </c>
      <c r="K93" s="24">
        <f t="shared" si="17"/>
        <v>44577</v>
      </c>
      <c r="L93" s="29">
        <v>1.0999999999999999E-2</v>
      </c>
      <c r="P93" s="24">
        <v>44931</v>
      </c>
      <c r="Q93" s="29">
        <v>3.9140000000000001E-2</v>
      </c>
      <c r="R93" s="24">
        <v>44931</v>
      </c>
      <c r="S93" s="29">
        <v>3.9140000000000001E-2</v>
      </c>
      <c r="T93" s="24">
        <v>44577</v>
      </c>
      <c r="U93" s="29">
        <v>1.0999999999999999E-2</v>
      </c>
    </row>
    <row r="94" spans="7:21" ht="18" customHeight="1" x14ac:dyDescent="0.4">
      <c r="G94" s="24">
        <f t="shared" si="13"/>
        <v>44932</v>
      </c>
      <c r="H94" s="29">
        <f t="shared" si="14"/>
        <v>3.04E-2</v>
      </c>
      <c r="I94" s="24">
        <f t="shared" si="15"/>
        <v>44932</v>
      </c>
      <c r="J94" s="29">
        <f t="shared" si="16"/>
        <v>4.2140000000000004E-2</v>
      </c>
      <c r="K94" s="24">
        <f t="shared" si="17"/>
        <v>44578</v>
      </c>
      <c r="L94" s="29">
        <v>1.0999999999999999E-2</v>
      </c>
      <c r="P94" s="24">
        <v>44932</v>
      </c>
      <c r="Q94" s="29">
        <v>3.9140000000000001E-2</v>
      </c>
      <c r="R94" s="24">
        <v>44932</v>
      </c>
      <c r="S94" s="29">
        <v>3.9140000000000001E-2</v>
      </c>
      <c r="T94" s="24">
        <v>44578</v>
      </c>
      <c r="U94" s="29">
        <v>1.0999999999999999E-2</v>
      </c>
    </row>
    <row r="95" spans="7:21" ht="18" customHeight="1" x14ac:dyDescent="0.4">
      <c r="G95" s="24">
        <f t="shared" si="13"/>
        <v>44933</v>
      </c>
      <c r="H95" s="29">
        <f t="shared" si="14"/>
        <v>3.04E-2</v>
      </c>
      <c r="I95" s="24">
        <f t="shared" si="15"/>
        <v>44933</v>
      </c>
      <c r="J95" s="29">
        <f t="shared" si="16"/>
        <v>4.2140000000000004E-2</v>
      </c>
      <c r="K95" s="24">
        <f t="shared" si="17"/>
        <v>44579</v>
      </c>
      <c r="L95" s="29">
        <v>1.0999999999999999E-2</v>
      </c>
      <c r="P95" s="24">
        <v>44933</v>
      </c>
      <c r="Q95" s="29">
        <v>3.9140000000000001E-2</v>
      </c>
      <c r="R95" s="24">
        <v>44933</v>
      </c>
      <c r="S95" s="29">
        <v>3.9140000000000001E-2</v>
      </c>
      <c r="T95" s="24">
        <v>44579</v>
      </c>
      <c r="U95" s="29">
        <v>1.0999999999999999E-2</v>
      </c>
    </row>
    <row r="96" spans="7:21" ht="18" customHeight="1" x14ac:dyDescent="0.4">
      <c r="G96" s="24">
        <f t="shared" si="13"/>
        <v>44934</v>
      </c>
      <c r="H96" s="29">
        <f t="shared" si="14"/>
        <v>3.04E-2</v>
      </c>
      <c r="I96" s="24">
        <f t="shared" si="15"/>
        <v>44934</v>
      </c>
      <c r="J96" s="29">
        <f t="shared" si="16"/>
        <v>4.2140000000000004E-2</v>
      </c>
      <c r="K96" s="24">
        <f t="shared" si="17"/>
        <v>44580</v>
      </c>
      <c r="L96" s="29">
        <v>1.0999999999999999E-2</v>
      </c>
      <c r="P96" s="24">
        <v>44934</v>
      </c>
      <c r="Q96" s="29">
        <v>3.9140000000000001E-2</v>
      </c>
      <c r="R96" s="24">
        <v>44934</v>
      </c>
      <c r="S96" s="29">
        <v>3.9140000000000001E-2</v>
      </c>
      <c r="T96" s="24">
        <v>44580</v>
      </c>
      <c r="U96" s="29">
        <v>1.0999999999999999E-2</v>
      </c>
    </row>
    <row r="97" spans="7:21" ht="18" customHeight="1" x14ac:dyDescent="0.4">
      <c r="G97" s="24">
        <f t="shared" si="13"/>
        <v>44935</v>
      </c>
      <c r="H97" s="29">
        <f t="shared" si="14"/>
        <v>3.04E-2</v>
      </c>
      <c r="I97" s="24">
        <f t="shared" si="15"/>
        <v>44935</v>
      </c>
      <c r="J97" s="29">
        <f t="shared" si="16"/>
        <v>4.2140000000000004E-2</v>
      </c>
      <c r="K97" s="24">
        <f t="shared" si="17"/>
        <v>44581</v>
      </c>
      <c r="L97" s="29">
        <v>1.0999999999999999E-2</v>
      </c>
      <c r="P97" s="24">
        <v>44935</v>
      </c>
      <c r="Q97" s="29">
        <v>3.9140000000000001E-2</v>
      </c>
      <c r="R97" s="24">
        <v>44935</v>
      </c>
      <c r="S97" s="29">
        <v>3.9140000000000001E-2</v>
      </c>
      <c r="T97" s="24">
        <v>44581</v>
      </c>
      <c r="U97" s="29">
        <v>1.0999999999999999E-2</v>
      </c>
    </row>
    <row r="98" spans="7:21" ht="18" customHeight="1" x14ac:dyDescent="0.4">
      <c r="G98" s="24">
        <f t="shared" si="13"/>
        <v>44936</v>
      </c>
      <c r="H98" s="29">
        <f t="shared" si="14"/>
        <v>3.04E-2</v>
      </c>
      <c r="I98" s="24">
        <f t="shared" si="15"/>
        <v>44936</v>
      </c>
      <c r="J98" s="29">
        <f t="shared" si="16"/>
        <v>4.2140000000000004E-2</v>
      </c>
      <c r="K98" s="24">
        <f t="shared" si="17"/>
        <v>44582</v>
      </c>
      <c r="L98" s="29">
        <v>1.0999999999999999E-2</v>
      </c>
      <c r="P98" s="24">
        <v>44936</v>
      </c>
      <c r="Q98" s="29">
        <v>3.9140000000000001E-2</v>
      </c>
      <c r="R98" s="24">
        <v>44936</v>
      </c>
      <c r="S98" s="29">
        <v>3.9140000000000001E-2</v>
      </c>
      <c r="T98" s="24">
        <v>44582</v>
      </c>
      <c r="U98" s="29">
        <v>1.0999999999999999E-2</v>
      </c>
    </row>
    <row r="99" spans="7:21" ht="18" customHeight="1" x14ac:dyDescent="0.4">
      <c r="G99" s="24">
        <f t="shared" si="13"/>
        <v>44937</v>
      </c>
      <c r="H99" s="29">
        <f t="shared" si="14"/>
        <v>3.04E-2</v>
      </c>
      <c r="I99" s="24">
        <f t="shared" si="15"/>
        <v>44937</v>
      </c>
      <c r="J99" s="29">
        <f t="shared" si="16"/>
        <v>4.2140000000000004E-2</v>
      </c>
      <c r="K99" s="24">
        <f t="shared" si="17"/>
        <v>44583</v>
      </c>
      <c r="L99" s="29">
        <v>1.0999999999999999E-2</v>
      </c>
      <c r="P99" s="24">
        <v>44937</v>
      </c>
      <c r="Q99" s="29">
        <v>3.9140000000000001E-2</v>
      </c>
      <c r="R99" s="24">
        <v>44937</v>
      </c>
      <c r="S99" s="29">
        <v>3.9140000000000001E-2</v>
      </c>
      <c r="T99" s="24">
        <v>44583</v>
      </c>
      <c r="U99" s="29">
        <v>1.0999999999999999E-2</v>
      </c>
    </row>
    <row r="100" spans="7:21" ht="18" customHeight="1" x14ac:dyDescent="0.4">
      <c r="G100" s="24">
        <f t="shared" si="13"/>
        <v>44938</v>
      </c>
      <c r="H100" s="29">
        <f t="shared" si="14"/>
        <v>3.04E-2</v>
      </c>
      <c r="I100" s="24">
        <f t="shared" si="15"/>
        <v>44938</v>
      </c>
      <c r="J100" s="29">
        <f t="shared" si="16"/>
        <v>4.2140000000000004E-2</v>
      </c>
      <c r="K100" s="24">
        <f t="shared" si="17"/>
        <v>44584</v>
      </c>
      <c r="L100" s="29">
        <v>1.0999999999999999E-2</v>
      </c>
      <c r="P100" s="24">
        <v>44938</v>
      </c>
      <c r="Q100" s="29">
        <v>3.9140000000000001E-2</v>
      </c>
      <c r="R100" s="24">
        <v>44938</v>
      </c>
      <c r="S100" s="29">
        <v>3.9140000000000001E-2</v>
      </c>
      <c r="T100" s="24">
        <v>44584</v>
      </c>
      <c r="U100" s="29">
        <v>1.0999999999999999E-2</v>
      </c>
    </row>
    <row r="101" spans="7:21" ht="18" customHeight="1" x14ac:dyDescent="0.4">
      <c r="G101" s="24">
        <f t="shared" si="13"/>
        <v>44939</v>
      </c>
      <c r="H101" s="29">
        <f t="shared" si="14"/>
        <v>3.04E-2</v>
      </c>
      <c r="I101" s="24">
        <f t="shared" si="15"/>
        <v>44939</v>
      </c>
      <c r="J101" s="29">
        <f t="shared" si="16"/>
        <v>4.2140000000000004E-2</v>
      </c>
      <c r="K101" s="24">
        <f t="shared" si="17"/>
        <v>44585</v>
      </c>
      <c r="L101" s="29">
        <v>1.0999999999999999E-2</v>
      </c>
      <c r="P101" s="24">
        <v>44939</v>
      </c>
      <c r="Q101" s="29">
        <v>3.9140000000000001E-2</v>
      </c>
      <c r="R101" s="24">
        <v>44939</v>
      </c>
      <c r="S101" s="29">
        <v>3.9140000000000001E-2</v>
      </c>
      <c r="T101" s="24">
        <v>44585</v>
      </c>
      <c r="U101" s="29">
        <v>1.0999999999999999E-2</v>
      </c>
    </row>
    <row r="102" spans="7:21" ht="18" customHeight="1" x14ac:dyDescent="0.4">
      <c r="G102" s="24">
        <f t="shared" si="13"/>
        <v>44940</v>
      </c>
      <c r="H102" s="29">
        <f t="shared" si="14"/>
        <v>3.04E-2</v>
      </c>
      <c r="I102" s="24">
        <f t="shared" si="15"/>
        <v>44940</v>
      </c>
      <c r="J102" s="29">
        <f t="shared" si="16"/>
        <v>4.2140000000000004E-2</v>
      </c>
      <c r="K102" s="24">
        <f t="shared" si="17"/>
        <v>44586</v>
      </c>
      <c r="L102" s="29">
        <v>1.0999999999999999E-2</v>
      </c>
      <c r="P102" s="24">
        <v>44940</v>
      </c>
      <c r="Q102" s="29">
        <v>3.9140000000000001E-2</v>
      </c>
      <c r="R102" s="24">
        <v>44940</v>
      </c>
      <c r="S102" s="29">
        <v>3.9140000000000001E-2</v>
      </c>
      <c r="T102" s="24">
        <v>44586</v>
      </c>
      <c r="U102" s="29">
        <v>1.0999999999999999E-2</v>
      </c>
    </row>
    <row r="103" spans="7:21" ht="18" customHeight="1" x14ac:dyDescent="0.4">
      <c r="G103" s="24">
        <f t="shared" si="13"/>
        <v>44941</v>
      </c>
      <c r="H103" s="29">
        <f t="shared" si="14"/>
        <v>3.04E-2</v>
      </c>
      <c r="I103" s="24">
        <f t="shared" si="15"/>
        <v>44941</v>
      </c>
      <c r="J103" s="29">
        <f t="shared" si="16"/>
        <v>4.2140000000000004E-2</v>
      </c>
      <c r="K103" s="24">
        <f t="shared" si="17"/>
        <v>44587</v>
      </c>
      <c r="L103" s="29">
        <v>1.0999999999999999E-2</v>
      </c>
      <c r="P103" s="24">
        <v>44941</v>
      </c>
      <c r="Q103" s="29">
        <v>3.9140000000000001E-2</v>
      </c>
      <c r="R103" s="24">
        <v>44941</v>
      </c>
      <c r="S103" s="29">
        <v>3.9140000000000001E-2</v>
      </c>
      <c r="T103" s="24">
        <v>44587</v>
      </c>
      <c r="U103" s="29">
        <v>1.0999999999999999E-2</v>
      </c>
    </row>
    <row r="104" spans="7:21" ht="18" customHeight="1" x14ac:dyDescent="0.4">
      <c r="G104" s="24">
        <f t="shared" si="13"/>
        <v>44942</v>
      </c>
      <c r="H104" s="29">
        <f t="shared" si="14"/>
        <v>3.04E-2</v>
      </c>
      <c r="I104" s="24">
        <f t="shared" si="15"/>
        <v>44942</v>
      </c>
      <c r="J104" s="29">
        <f t="shared" si="16"/>
        <v>4.2140000000000004E-2</v>
      </c>
      <c r="K104" s="24">
        <f t="shared" si="17"/>
        <v>44588</v>
      </c>
      <c r="L104" s="29">
        <v>1.0999999999999999E-2</v>
      </c>
      <c r="P104" s="24">
        <v>44942</v>
      </c>
      <c r="Q104" s="29">
        <v>3.9140000000000001E-2</v>
      </c>
      <c r="R104" s="24">
        <v>44942</v>
      </c>
      <c r="S104" s="29">
        <v>3.9140000000000001E-2</v>
      </c>
      <c r="T104" s="24">
        <v>44588</v>
      </c>
      <c r="U104" s="29">
        <v>1.0999999999999999E-2</v>
      </c>
    </row>
    <row r="105" spans="7:21" ht="18" customHeight="1" x14ac:dyDescent="0.4">
      <c r="G105" s="24">
        <f t="shared" si="13"/>
        <v>44943</v>
      </c>
      <c r="H105" s="29">
        <f t="shared" si="14"/>
        <v>3.04E-2</v>
      </c>
      <c r="I105" s="24">
        <f t="shared" si="15"/>
        <v>44943</v>
      </c>
      <c r="J105" s="29">
        <f t="shared" si="16"/>
        <v>4.2140000000000004E-2</v>
      </c>
      <c r="K105" s="24">
        <f t="shared" si="17"/>
        <v>44589</v>
      </c>
      <c r="L105" s="29">
        <v>1.0999999999999999E-2</v>
      </c>
      <c r="P105" s="24">
        <v>44943</v>
      </c>
      <c r="Q105" s="29">
        <v>3.9140000000000001E-2</v>
      </c>
      <c r="R105" s="24">
        <v>44943</v>
      </c>
      <c r="S105" s="29">
        <v>3.9140000000000001E-2</v>
      </c>
      <c r="T105" s="24">
        <v>44589</v>
      </c>
      <c r="U105" s="29">
        <v>1.0999999999999999E-2</v>
      </c>
    </row>
    <row r="106" spans="7:21" ht="18" customHeight="1" x14ac:dyDescent="0.4">
      <c r="G106" s="24">
        <f t="shared" si="13"/>
        <v>44944</v>
      </c>
      <c r="H106" s="29">
        <f t="shared" si="14"/>
        <v>3.04E-2</v>
      </c>
      <c r="I106" s="24">
        <f t="shared" si="15"/>
        <v>44944</v>
      </c>
      <c r="J106" s="29">
        <f t="shared" si="16"/>
        <v>4.2140000000000004E-2</v>
      </c>
      <c r="K106" s="24">
        <f t="shared" si="17"/>
        <v>44590</v>
      </c>
      <c r="L106" s="29">
        <v>1.0999999999999999E-2</v>
      </c>
      <c r="P106" s="24">
        <v>44944</v>
      </c>
      <c r="Q106" s="29">
        <v>3.9140000000000001E-2</v>
      </c>
      <c r="R106" s="24">
        <v>44944</v>
      </c>
      <c r="S106" s="29">
        <v>3.9140000000000001E-2</v>
      </c>
      <c r="T106" s="24">
        <v>44590</v>
      </c>
      <c r="U106" s="29">
        <v>1.0999999999999999E-2</v>
      </c>
    </row>
    <row r="107" spans="7:21" ht="18" customHeight="1" x14ac:dyDescent="0.4">
      <c r="G107" s="24">
        <f t="shared" si="13"/>
        <v>44945</v>
      </c>
      <c r="H107" s="29">
        <f t="shared" si="14"/>
        <v>3.04E-2</v>
      </c>
      <c r="I107" s="24">
        <f t="shared" si="15"/>
        <v>44945</v>
      </c>
      <c r="J107" s="29">
        <f t="shared" si="16"/>
        <v>4.2140000000000004E-2</v>
      </c>
      <c r="K107" s="24">
        <f t="shared" si="17"/>
        <v>44591</v>
      </c>
      <c r="L107" s="29">
        <v>1.0999999999999999E-2</v>
      </c>
      <c r="P107" s="24">
        <v>44945</v>
      </c>
      <c r="Q107" s="29">
        <v>3.9140000000000001E-2</v>
      </c>
      <c r="R107" s="24">
        <v>44945</v>
      </c>
      <c r="S107" s="29">
        <v>3.9140000000000001E-2</v>
      </c>
      <c r="T107" s="24">
        <v>44591</v>
      </c>
      <c r="U107" s="29">
        <v>1.0999999999999999E-2</v>
      </c>
    </row>
    <row r="108" spans="7:21" ht="18" customHeight="1" x14ac:dyDescent="0.4">
      <c r="G108" s="24">
        <f t="shared" si="13"/>
        <v>44946</v>
      </c>
      <c r="H108" s="29">
        <f t="shared" si="14"/>
        <v>3.04E-2</v>
      </c>
      <c r="I108" s="24">
        <f t="shared" si="15"/>
        <v>44946</v>
      </c>
      <c r="J108" s="29">
        <f t="shared" si="16"/>
        <v>4.2140000000000004E-2</v>
      </c>
      <c r="K108" s="24">
        <f t="shared" si="17"/>
        <v>44592</v>
      </c>
      <c r="L108" s="29">
        <v>1.0999999999999999E-2</v>
      </c>
      <c r="P108" s="24">
        <v>44946</v>
      </c>
      <c r="Q108" s="29">
        <v>3.9140000000000001E-2</v>
      </c>
      <c r="R108" s="24">
        <v>44946</v>
      </c>
      <c r="S108" s="29">
        <v>3.9140000000000001E-2</v>
      </c>
      <c r="T108" s="24">
        <v>44592</v>
      </c>
      <c r="U108" s="29">
        <v>1.0999999999999999E-2</v>
      </c>
    </row>
    <row r="109" spans="7:21" ht="18" customHeight="1" x14ac:dyDescent="0.4">
      <c r="G109" s="24">
        <f t="shared" si="13"/>
        <v>44947</v>
      </c>
      <c r="H109" s="29">
        <f t="shared" si="14"/>
        <v>3.04E-2</v>
      </c>
      <c r="I109" s="24">
        <f t="shared" si="15"/>
        <v>44947</v>
      </c>
      <c r="J109" s="29">
        <f t="shared" si="16"/>
        <v>4.2140000000000004E-2</v>
      </c>
      <c r="K109" s="24">
        <f t="shared" si="17"/>
        <v>44593</v>
      </c>
      <c r="L109" s="29">
        <v>1.0999999999999999E-2</v>
      </c>
      <c r="P109" s="24">
        <v>44947</v>
      </c>
      <c r="Q109" s="29">
        <v>3.9140000000000001E-2</v>
      </c>
      <c r="R109" s="24">
        <v>44947</v>
      </c>
      <c r="S109" s="29">
        <v>3.9140000000000001E-2</v>
      </c>
      <c r="T109" s="24">
        <v>44593</v>
      </c>
      <c r="U109" s="29">
        <v>1.0999999999999999E-2</v>
      </c>
    </row>
    <row r="110" spans="7:21" ht="18" customHeight="1" x14ac:dyDescent="0.4">
      <c r="G110" s="24">
        <f t="shared" si="13"/>
        <v>44948</v>
      </c>
      <c r="H110" s="29">
        <f t="shared" si="14"/>
        <v>3.04E-2</v>
      </c>
      <c r="I110" s="24">
        <f t="shared" si="15"/>
        <v>44948</v>
      </c>
      <c r="J110" s="29">
        <f t="shared" si="16"/>
        <v>4.2140000000000004E-2</v>
      </c>
      <c r="K110" s="24">
        <f t="shared" si="17"/>
        <v>44594</v>
      </c>
      <c r="L110" s="29">
        <v>1.0999999999999999E-2</v>
      </c>
      <c r="P110" s="24">
        <v>44948</v>
      </c>
      <c r="Q110" s="29">
        <v>3.9140000000000001E-2</v>
      </c>
      <c r="R110" s="24">
        <v>44948</v>
      </c>
      <c r="S110" s="29">
        <v>3.9140000000000001E-2</v>
      </c>
      <c r="T110" s="24">
        <v>44594</v>
      </c>
      <c r="U110" s="29">
        <v>1.0999999999999999E-2</v>
      </c>
    </row>
    <row r="111" spans="7:21" ht="18" customHeight="1" x14ac:dyDescent="0.4">
      <c r="G111" s="24">
        <f t="shared" si="13"/>
        <v>44949</v>
      </c>
      <c r="H111" s="29">
        <f t="shared" si="14"/>
        <v>3.04E-2</v>
      </c>
      <c r="I111" s="24">
        <f t="shared" si="15"/>
        <v>44949</v>
      </c>
      <c r="J111" s="29">
        <f t="shared" si="16"/>
        <v>4.2140000000000004E-2</v>
      </c>
      <c r="K111" s="24">
        <f t="shared" si="17"/>
        <v>44595</v>
      </c>
      <c r="L111" s="29">
        <v>1.0999999999999999E-2</v>
      </c>
      <c r="P111" s="24">
        <v>44949</v>
      </c>
      <c r="Q111" s="29">
        <v>3.9140000000000001E-2</v>
      </c>
      <c r="R111" s="24">
        <v>44949</v>
      </c>
      <c r="S111" s="29">
        <v>3.9140000000000001E-2</v>
      </c>
      <c r="T111" s="24">
        <v>44595</v>
      </c>
      <c r="U111" s="29">
        <v>1.0999999999999999E-2</v>
      </c>
    </row>
    <row r="112" spans="7:21" ht="18" customHeight="1" x14ac:dyDescent="0.4">
      <c r="G112" s="24">
        <f t="shared" si="13"/>
        <v>44950</v>
      </c>
      <c r="H112" s="29">
        <f t="shared" si="14"/>
        <v>3.04E-2</v>
      </c>
      <c r="I112" s="24">
        <f t="shared" si="15"/>
        <v>44950</v>
      </c>
      <c r="J112" s="29">
        <f t="shared" si="16"/>
        <v>4.2140000000000004E-2</v>
      </c>
      <c r="K112" s="24">
        <f t="shared" si="17"/>
        <v>44596</v>
      </c>
      <c r="L112" s="29">
        <v>1.0999999999999999E-2</v>
      </c>
      <c r="P112" s="24">
        <v>44950</v>
      </c>
      <c r="Q112" s="29">
        <v>3.9140000000000001E-2</v>
      </c>
      <c r="R112" s="24">
        <v>44950</v>
      </c>
      <c r="S112" s="29">
        <v>3.9140000000000001E-2</v>
      </c>
      <c r="T112" s="24">
        <v>44596</v>
      </c>
      <c r="U112" s="29">
        <v>1.0999999999999999E-2</v>
      </c>
    </row>
    <row r="113" spans="7:21" ht="18" customHeight="1" x14ac:dyDescent="0.4">
      <c r="G113" s="24">
        <f t="shared" si="13"/>
        <v>44951</v>
      </c>
      <c r="H113" s="29">
        <f t="shared" si="14"/>
        <v>3.04E-2</v>
      </c>
      <c r="I113" s="24">
        <f t="shared" si="15"/>
        <v>44951</v>
      </c>
      <c r="J113" s="29">
        <f t="shared" si="16"/>
        <v>4.2140000000000004E-2</v>
      </c>
      <c r="K113" s="24">
        <f t="shared" si="17"/>
        <v>44597</v>
      </c>
      <c r="L113" s="29">
        <v>1.0999999999999999E-2</v>
      </c>
      <c r="P113" s="24">
        <v>44951</v>
      </c>
      <c r="Q113" s="29">
        <v>3.9140000000000001E-2</v>
      </c>
      <c r="R113" s="24">
        <v>44951</v>
      </c>
      <c r="S113" s="29">
        <v>3.9140000000000001E-2</v>
      </c>
      <c r="T113" s="24">
        <v>44597</v>
      </c>
      <c r="U113" s="29">
        <v>1.0999999999999999E-2</v>
      </c>
    </row>
    <row r="114" spans="7:21" ht="18" customHeight="1" x14ac:dyDescent="0.4">
      <c r="G114" s="24">
        <f t="shared" si="13"/>
        <v>44952</v>
      </c>
      <c r="H114" s="29">
        <f t="shared" si="14"/>
        <v>3.04E-2</v>
      </c>
      <c r="I114" s="24">
        <f t="shared" si="15"/>
        <v>44952</v>
      </c>
      <c r="J114" s="29">
        <f t="shared" si="16"/>
        <v>4.2140000000000004E-2</v>
      </c>
      <c r="K114" s="24">
        <f t="shared" si="17"/>
        <v>44598</v>
      </c>
      <c r="L114" s="29">
        <v>1.0999999999999999E-2</v>
      </c>
      <c r="P114" s="24">
        <v>44952</v>
      </c>
      <c r="Q114" s="29">
        <v>3.9140000000000001E-2</v>
      </c>
      <c r="R114" s="24">
        <v>44952</v>
      </c>
      <c r="S114" s="29">
        <v>3.9140000000000001E-2</v>
      </c>
      <c r="T114" s="24">
        <v>44598</v>
      </c>
      <c r="U114" s="29">
        <v>1.0999999999999999E-2</v>
      </c>
    </row>
    <row r="115" spans="7:21" ht="18" customHeight="1" x14ac:dyDescent="0.4">
      <c r="G115" s="24">
        <f t="shared" si="13"/>
        <v>44953</v>
      </c>
      <c r="H115" s="29">
        <f t="shared" si="14"/>
        <v>3.04E-2</v>
      </c>
      <c r="I115" s="24">
        <f t="shared" si="15"/>
        <v>44953</v>
      </c>
      <c r="J115" s="29">
        <f t="shared" si="16"/>
        <v>4.2140000000000004E-2</v>
      </c>
      <c r="K115" s="24">
        <f t="shared" si="17"/>
        <v>44599</v>
      </c>
      <c r="L115" s="29">
        <v>1.0999999999999999E-2</v>
      </c>
      <c r="P115" s="24">
        <v>44953</v>
      </c>
      <c r="Q115" s="29">
        <v>3.9140000000000001E-2</v>
      </c>
      <c r="R115" s="24">
        <v>44953</v>
      </c>
      <c r="S115" s="29">
        <v>3.9140000000000001E-2</v>
      </c>
      <c r="T115" s="24">
        <v>44599</v>
      </c>
      <c r="U115" s="29">
        <v>1.0999999999999999E-2</v>
      </c>
    </row>
    <row r="116" spans="7:21" ht="18" customHeight="1" x14ac:dyDescent="0.4">
      <c r="G116" s="24">
        <f t="shared" si="13"/>
        <v>44954</v>
      </c>
      <c r="H116" s="29">
        <f t="shared" si="14"/>
        <v>3.04E-2</v>
      </c>
      <c r="I116" s="24">
        <f t="shared" si="15"/>
        <v>44954</v>
      </c>
      <c r="J116" s="29">
        <f t="shared" si="16"/>
        <v>4.2140000000000004E-2</v>
      </c>
      <c r="K116" s="24">
        <f t="shared" si="17"/>
        <v>44600</v>
      </c>
      <c r="L116" s="29">
        <v>1.0999999999999999E-2</v>
      </c>
      <c r="P116" s="24">
        <v>44954</v>
      </c>
      <c r="Q116" s="29">
        <v>3.9140000000000001E-2</v>
      </c>
      <c r="R116" s="24">
        <v>44954</v>
      </c>
      <c r="S116" s="29">
        <v>3.9140000000000001E-2</v>
      </c>
      <c r="T116" s="24">
        <v>44600</v>
      </c>
      <c r="U116" s="29">
        <v>1.0999999999999999E-2</v>
      </c>
    </row>
    <row r="117" spans="7:21" ht="18" customHeight="1" x14ac:dyDescent="0.4">
      <c r="G117" s="24">
        <f t="shared" si="13"/>
        <v>44955</v>
      </c>
      <c r="H117" s="29">
        <f t="shared" si="14"/>
        <v>3.04E-2</v>
      </c>
      <c r="I117" s="24">
        <f t="shared" si="15"/>
        <v>44955</v>
      </c>
      <c r="J117" s="29">
        <f t="shared" si="16"/>
        <v>4.2140000000000004E-2</v>
      </c>
      <c r="K117" s="24">
        <f t="shared" si="17"/>
        <v>44601</v>
      </c>
      <c r="L117" s="29">
        <v>1.0999999999999999E-2</v>
      </c>
      <c r="P117" s="24">
        <v>44955</v>
      </c>
      <c r="Q117" s="29">
        <v>3.9140000000000001E-2</v>
      </c>
      <c r="R117" s="24">
        <v>44955</v>
      </c>
      <c r="S117" s="29">
        <v>3.9140000000000001E-2</v>
      </c>
      <c r="T117" s="24">
        <v>44601</v>
      </c>
      <c r="U117" s="29">
        <v>1.0999999999999999E-2</v>
      </c>
    </row>
    <row r="118" spans="7:21" ht="18" customHeight="1" x14ac:dyDescent="0.4">
      <c r="G118" s="24">
        <f t="shared" si="13"/>
        <v>44956</v>
      </c>
      <c r="H118" s="29">
        <f t="shared" si="14"/>
        <v>3.04E-2</v>
      </c>
      <c r="I118" s="24">
        <f t="shared" si="15"/>
        <v>44956</v>
      </c>
      <c r="J118" s="29">
        <f t="shared" si="16"/>
        <v>4.2140000000000004E-2</v>
      </c>
      <c r="K118" s="24">
        <f t="shared" si="17"/>
        <v>44602</v>
      </c>
      <c r="L118" s="29">
        <v>1.0999999999999999E-2</v>
      </c>
      <c r="P118" s="24">
        <v>44956</v>
      </c>
      <c r="Q118" s="29">
        <v>3.9140000000000001E-2</v>
      </c>
      <c r="R118" s="24">
        <v>44956</v>
      </c>
      <c r="S118" s="29">
        <v>3.9140000000000001E-2</v>
      </c>
      <c r="T118" s="24">
        <v>44602</v>
      </c>
      <c r="U118" s="29">
        <v>1.0999999999999999E-2</v>
      </c>
    </row>
    <row r="119" spans="7:21" ht="18" customHeight="1" x14ac:dyDescent="0.4">
      <c r="G119" s="24">
        <f t="shared" si="13"/>
        <v>44957</v>
      </c>
      <c r="H119" s="29">
        <f t="shared" si="14"/>
        <v>3.04E-2</v>
      </c>
      <c r="I119" s="24">
        <f t="shared" si="15"/>
        <v>44957</v>
      </c>
      <c r="J119" s="29">
        <f t="shared" si="16"/>
        <v>4.2140000000000004E-2</v>
      </c>
      <c r="K119" s="24">
        <f t="shared" si="17"/>
        <v>44603</v>
      </c>
      <c r="L119" s="29">
        <v>1.0999999999999999E-2</v>
      </c>
      <c r="P119" s="24">
        <v>44957</v>
      </c>
      <c r="Q119" s="29">
        <v>3.9140000000000001E-2</v>
      </c>
      <c r="R119" s="24">
        <v>44957</v>
      </c>
      <c r="S119" s="29">
        <v>3.9140000000000001E-2</v>
      </c>
      <c r="T119" s="24">
        <v>44603</v>
      </c>
      <c r="U119" s="29">
        <v>1.0999999999999999E-2</v>
      </c>
    </row>
    <row r="120" spans="7:21" ht="18" customHeight="1" x14ac:dyDescent="0.4">
      <c r="G120" s="24">
        <f t="shared" si="13"/>
        <v>44958</v>
      </c>
      <c r="H120" s="29">
        <f t="shared" si="14"/>
        <v>3.04E-2</v>
      </c>
      <c r="I120" s="24">
        <f t="shared" si="15"/>
        <v>44958</v>
      </c>
      <c r="J120" s="29">
        <f t="shared" si="16"/>
        <v>4.2140000000000004E-2</v>
      </c>
      <c r="K120" s="24">
        <f t="shared" si="17"/>
        <v>44604</v>
      </c>
      <c r="L120" s="29">
        <v>1.0999999999999999E-2</v>
      </c>
      <c r="P120" s="24">
        <v>44958</v>
      </c>
      <c r="Q120" s="29">
        <v>3.9140000000000001E-2</v>
      </c>
      <c r="R120" s="24">
        <v>44958</v>
      </c>
      <c r="S120" s="29">
        <v>3.9140000000000001E-2</v>
      </c>
      <c r="T120" s="24">
        <v>44604</v>
      </c>
      <c r="U120" s="29">
        <v>1.0999999999999999E-2</v>
      </c>
    </row>
    <row r="121" spans="7:21" ht="18" customHeight="1" x14ac:dyDescent="0.4">
      <c r="G121" s="24">
        <f t="shared" si="13"/>
        <v>44959</v>
      </c>
      <c r="H121" s="29">
        <f t="shared" si="14"/>
        <v>3.04E-2</v>
      </c>
      <c r="I121" s="24">
        <f t="shared" si="15"/>
        <v>44959</v>
      </c>
      <c r="J121" s="29">
        <f t="shared" si="16"/>
        <v>4.2140000000000004E-2</v>
      </c>
      <c r="K121" s="24">
        <f t="shared" si="17"/>
        <v>44605</v>
      </c>
      <c r="L121" s="29">
        <v>1.0999999999999999E-2</v>
      </c>
      <c r="P121" s="24">
        <v>44959</v>
      </c>
      <c r="Q121" s="29">
        <v>3.9140000000000001E-2</v>
      </c>
      <c r="R121" s="24">
        <v>44959</v>
      </c>
      <c r="S121" s="29">
        <v>3.9140000000000001E-2</v>
      </c>
      <c r="T121" s="24">
        <v>44605</v>
      </c>
      <c r="U121" s="29">
        <v>1.0999999999999999E-2</v>
      </c>
    </row>
    <row r="122" spans="7:21" ht="18" customHeight="1" x14ac:dyDescent="0.4">
      <c r="G122" s="24">
        <f t="shared" si="13"/>
        <v>44960</v>
      </c>
      <c r="H122" s="29">
        <f t="shared" si="14"/>
        <v>3.04E-2</v>
      </c>
      <c r="I122" s="24">
        <f t="shared" si="15"/>
        <v>44960</v>
      </c>
      <c r="J122" s="29">
        <f t="shared" si="16"/>
        <v>4.2140000000000004E-2</v>
      </c>
      <c r="K122" s="24">
        <f t="shared" si="17"/>
        <v>44606</v>
      </c>
      <c r="L122" s="29">
        <v>1.0999999999999999E-2</v>
      </c>
      <c r="P122" s="24">
        <v>44960</v>
      </c>
      <c r="Q122" s="29">
        <v>3.9140000000000001E-2</v>
      </c>
      <c r="R122" s="24">
        <v>44960</v>
      </c>
      <c r="S122" s="29">
        <v>3.9140000000000001E-2</v>
      </c>
      <c r="T122" s="24">
        <v>44606</v>
      </c>
      <c r="U122" s="29">
        <v>1.0999999999999999E-2</v>
      </c>
    </row>
    <row r="123" spans="7:21" ht="18" customHeight="1" x14ac:dyDescent="0.4">
      <c r="G123" s="24">
        <f t="shared" si="13"/>
        <v>44961</v>
      </c>
      <c r="H123" s="29">
        <f t="shared" si="14"/>
        <v>3.04E-2</v>
      </c>
      <c r="I123" s="24">
        <f t="shared" si="15"/>
        <v>44961</v>
      </c>
      <c r="J123" s="29">
        <f t="shared" si="16"/>
        <v>4.2140000000000004E-2</v>
      </c>
      <c r="K123" s="24">
        <f t="shared" si="17"/>
        <v>44607</v>
      </c>
      <c r="L123" s="29">
        <v>1.0999999999999999E-2</v>
      </c>
      <c r="P123" s="24">
        <v>44961</v>
      </c>
      <c r="Q123" s="29">
        <v>3.9140000000000001E-2</v>
      </c>
      <c r="R123" s="24">
        <v>44961</v>
      </c>
      <c r="S123" s="29">
        <v>3.9140000000000001E-2</v>
      </c>
      <c r="T123" s="24">
        <v>44607</v>
      </c>
      <c r="U123" s="29">
        <v>1.0999999999999999E-2</v>
      </c>
    </row>
    <row r="124" spans="7:21" ht="18" customHeight="1" x14ac:dyDescent="0.4">
      <c r="G124" s="24">
        <f t="shared" si="13"/>
        <v>44962</v>
      </c>
      <c r="H124" s="29">
        <f t="shared" si="14"/>
        <v>3.04E-2</v>
      </c>
      <c r="I124" s="24">
        <f t="shared" si="15"/>
        <v>44962</v>
      </c>
      <c r="J124" s="29">
        <f t="shared" si="16"/>
        <v>4.2140000000000004E-2</v>
      </c>
      <c r="K124" s="24">
        <f t="shared" si="17"/>
        <v>44608</v>
      </c>
      <c r="L124" s="29">
        <v>1.0999999999999999E-2</v>
      </c>
      <c r="P124" s="24">
        <v>44962</v>
      </c>
      <c r="Q124" s="29">
        <v>3.9140000000000001E-2</v>
      </c>
      <c r="R124" s="24">
        <v>44962</v>
      </c>
      <c r="S124" s="29">
        <v>3.9140000000000001E-2</v>
      </c>
      <c r="T124" s="24">
        <v>44608</v>
      </c>
      <c r="U124" s="29">
        <v>1.0999999999999999E-2</v>
      </c>
    </row>
    <row r="125" spans="7:21" ht="18" customHeight="1" x14ac:dyDescent="0.4">
      <c r="G125" s="24">
        <f t="shared" si="13"/>
        <v>44963</v>
      </c>
      <c r="H125" s="29">
        <f t="shared" si="14"/>
        <v>3.04E-2</v>
      </c>
      <c r="I125" s="24">
        <f t="shared" si="15"/>
        <v>44963</v>
      </c>
      <c r="J125" s="29">
        <f t="shared" si="16"/>
        <v>4.2140000000000004E-2</v>
      </c>
      <c r="K125" s="24">
        <f t="shared" si="17"/>
        <v>44609</v>
      </c>
      <c r="L125" s="29">
        <v>1.0999999999999999E-2</v>
      </c>
      <c r="P125" s="24">
        <v>44963</v>
      </c>
      <c r="Q125" s="29">
        <v>3.9140000000000001E-2</v>
      </c>
      <c r="R125" s="24">
        <v>44963</v>
      </c>
      <c r="S125" s="29">
        <v>3.9140000000000001E-2</v>
      </c>
      <c r="T125" s="24">
        <v>44609</v>
      </c>
      <c r="U125" s="29">
        <v>1.0999999999999999E-2</v>
      </c>
    </row>
    <row r="126" spans="7:21" ht="18" customHeight="1" x14ac:dyDescent="0.4">
      <c r="G126" s="24">
        <f t="shared" si="13"/>
        <v>44964</v>
      </c>
      <c r="H126" s="29">
        <f t="shared" si="14"/>
        <v>3.04E-2</v>
      </c>
      <c r="I126" s="24">
        <f t="shared" si="15"/>
        <v>44964</v>
      </c>
      <c r="J126" s="29">
        <f t="shared" si="16"/>
        <v>4.2140000000000004E-2</v>
      </c>
      <c r="K126" s="24">
        <f t="shared" si="17"/>
        <v>44610</v>
      </c>
      <c r="L126" s="29">
        <v>1.0999999999999999E-2</v>
      </c>
      <c r="P126" s="24">
        <v>44964</v>
      </c>
      <c r="Q126" s="29">
        <v>3.9140000000000001E-2</v>
      </c>
      <c r="R126" s="24">
        <v>44964</v>
      </c>
      <c r="S126" s="29">
        <v>3.9140000000000001E-2</v>
      </c>
      <c r="T126" s="24">
        <v>44610</v>
      </c>
      <c r="U126" s="29">
        <v>1.0999999999999999E-2</v>
      </c>
    </row>
    <row r="127" spans="7:21" ht="18" customHeight="1" x14ac:dyDescent="0.4">
      <c r="G127" s="24">
        <f t="shared" si="13"/>
        <v>44965</v>
      </c>
      <c r="H127" s="29">
        <f t="shared" si="14"/>
        <v>3.04E-2</v>
      </c>
      <c r="I127" s="24">
        <f t="shared" si="15"/>
        <v>44965</v>
      </c>
      <c r="J127" s="29">
        <f t="shared" si="16"/>
        <v>4.2140000000000004E-2</v>
      </c>
      <c r="K127" s="24">
        <f t="shared" si="17"/>
        <v>44611</v>
      </c>
      <c r="L127" s="29">
        <v>1.0999999999999999E-2</v>
      </c>
      <c r="P127" s="24">
        <v>44965</v>
      </c>
      <c r="Q127" s="29">
        <v>3.9140000000000001E-2</v>
      </c>
      <c r="R127" s="24">
        <v>44965</v>
      </c>
      <c r="S127" s="29">
        <v>3.9140000000000001E-2</v>
      </c>
      <c r="T127" s="24">
        <v>44611</v>
      </c>
      <c r="U127" s="29">
        <v>1.0999999999999999E-2</v>
      </c>
    </row>
    <row r="128" spans="7:21" ht="18" customHeight="1" x14ac:dyDescent="0.4">
      <c r="G128" s="24">
        <f t="shared" si="13"/>
        <v>44966</v>
      </c>
      <c r="H128" s="29">
        <f t="shared" si="14"/>
        <v>3.04E-2</v>
      </c>
      <c r="I128" s="24">
        <f t="shared" si="15"/>
        <v>44966</v>
      </c>
      <c r="J128" s="29">
        <f t="shared" si="16"/>
        <v>4.2140000000000004E-2</v>
      </c>
      <c r="K128" s="24">
        <f t="shared" si="17"/>
        <v>44612</v>
      </c>
      <c r="L128" s="29">
        <v>1.0999999999999999E-2</v>
      </c>
      <c r="P128" s="24">
        <v>44966</v>
      </c>
      <c r="Q128" s="29">
        <v>3.9140000000000001E-2</v>
      </c>
      <c r="R128" s="24">
        <v>44966</v>
      </c>
      <c r="S128" s="29">
        <v>3.9140000000000001E-2</v>
      </c>
      <c r="T128" s="24">
        <v>44612</v>
      </c>
      <c r="U128" s="29">
        <v>1.0999999999999999E-2</v>
      </c>
    </row>
    <row r="129" spans="7:21" ht="18" customHeight="1" x14ac:dyDescent="0.4">
      <c r="G129" s="24">
        <f t="shared" si="13"/>
        <v>44967</v>
      </c>
      <c r="H129" s="29">
        <f t="shared" si="14"/>
        <v>3.04E-2</v>
      </c>
      <c r="I129" s="24">
        <f t="shared" si="15"/>
        <v>44967</v>
      </c>
      <c r="J129" s="29">
        <f t="shared" si="16"/>
        <v>4.2140000000000004E-2</v>
      </c>
      <c r="K129" s="24">
        <f t="shared" si="17"/>
        <v>44613</v>
      </c>
      <c r="L129" s="29">
        <v>1.0999999999999999E-2</v>
      </c>
      <c r="P129" s="24">
        <v>44967</v>
      </c>
      <c r="Q129" s="29">
        <v>3.9140000000000001E-2</v>
      </c>
      <c r="R129" s="24">
        <v>44967</v>
      </c>
      <c r="S129" s="29">
        <v>3.9140000000000001E-2</v>
      </c>
      <c r="T129" s="24">
        <v>44613</v>
      </c>
      <c r="U129" s="29">
        <v>1.0999999999999999E-2</v>
      </c>
    </row>
    <row r="130" spans="7:21" ht="18" customHeight="1" x14ac:dyDescent="0.4">
      <c r="G130" s="24">
        <f t="shared" si="13"/>
        <v>44968</v>
      </c>
      <c r="H130" s="29">
        <f t="shared" si="14"/>
        <v>3.04E-2</v>
      </c>
      <c r="I130" s="24">
        <f t="shared" si="15"/>
        <v>44968</v>
      </c>
      <c r="J130" s="29">
        <f t="shared" si="16"/>
        <v>4.2140000000000004E-2</v>
      </c>
      <c r="K130" s="24">
        <f t="shared" si="17"/>
        <v>44614</v>
      </c>
      <c r="L130" s="29">
        <v>1.0999999999999999E-2</v>
      </c>
      <c r="P130" s="24">
        <v>44968</v>
      </c>
      <c r="Q130" s="29">
        <v>3.9140000000000001E-2</v>
      </c>
      <c r="R130" s="24">
        <v>44968</v>
      </c>
      <c r="S130" s="29">
        <v>3.9140000000000001E-2</v>
      </c>
      <c r="T130" s="24">
        <v>44614</v>
      </c>
      <c r="U130" s="29">
        <v>1.0999999999999999E-2</v>
      </c>
    </row>
    <row r="131" spans="7:21" ht="18" customHeight="1" x14ac:dyDescent="0.4">
      <c r="G131" s="24">
        <f t="shared" si="13"/>
        <v>44969</v>
      </c>
      <c r="H131" s="29">
        <f t="shared" si="14"/>
        <v>3.04E-2</v>
      </c>
      <c r="I131" s="24">
        <f t="shared" si="15"/>
        <v>44969</v>
      </c>
      <c r="J131" s="29">
        <f t="shared" si="16"/>
        <v>4.2140000000000004E-2</v>
      </c>
      <c r="K131" s="24">
        <f t="shared" si="17"/>
        <v>44615</v>
      </c>
      <c r="L131" s="29">
        <v>1.0999999999999999E-2</v>
      </c>
      <c r="P131" s="24">
        <v>44969</v>
      </c>
      <c r="Q131" s="29">
        <v>3.9140000000000001E-2</v>
      </c>
      <c r="R131" s="24">
        <v>44969</v>
      </c>
      <c r="S131" s="29">
        <v>3.9140000000000001E-2</v>
      </c>
      <c r="T131" s="24">
        <v>44615</v>
      </c>
      <c r="U131" s="29">
        <v>1.0999999999999999E-2</v>
      </c>
    </row>
    <row r="132" spans="7:21" ht="18" customHeight="1" x14ac:dyDescent="0.4">
      <c r="G132" s="24">
        <f t="shared" si="13"/>
        <v>44970</v>
      </c>
      <c r="H132" s="29">
        <f t="shared" si="14"/>
        <v>3.04E-2</v>
      </c>
      <c r="I132" s="24">
        <f t="shared" si="15"/>
        <v>44970</v>
      </c>
      <c r="J132" s="29">
        <f t="shared" si="16"/>
        <v>4.2140000000000004E-2</v>
      </c>
      <c r="K132" s="24">
        <f t="shared" si="17"/>
        <v>44616</v>
      </c>
      <c r="L132" s="29">
        <v>1.0999999999999999E-2</v>
      </c>
      <c r="P132" s="24">
        <v>44970</v>
      </c>
      <c r="Q132" s="29">
        <v>3.9140000000000001E-2</v>
      </c>
      <c r="R132" s="24">
        <v>44970</v>
      </c>
      <c r="S132" s="29">
        <v>3.9140000000000001E-2</v>
      </c>
      <c r="T132" s="24">
        <v>44616</v>
      </c>
      <c r="U132" s="29">
        <v>1.0999999999999999E-2</v>
      </c>
    </row>
    <row r="133" spans="7:21" ht="18" customHeight="1" x14ac:dyDescent="0.4">
      <c r="G133" s="24">
        <f t="shared" si="13"/>
        <v>44971</v>
      </c>
      <c r="H133" s="29">
        <f t="shared" si="14"/>
        <v>3.04E-2</v>
      </c>
      <c r="I133" s="24">
        <f t="shared" si="15"/>
        <v>44971</v>
      </c>
      <c r="J133" s="29">
        <f t="shared" si="16"/>
        <v>4.2140000000000004E-2</v>
      </c>
      <c r="K133" s="24">
        <f t="shared" si="17"/>
        <v>44617</v>
      </c>
      <c r="L133" s="29">
        <v>1.0999999999999999E-2</v>
      </c>
      <c r="P133" s="24">
        <v>44971</v>
      </c>
      <c r="Q133" s="29">
        <v>3.9140000000000001E-2</v>
      </c>
      <c r="R133" s="24">
        <v>44971</v>
      </c>
      <c r="S133" s="29">
        <v>3.9140000000000001E-2</v>
      </c>
      <c r="T133" s="24">
        <v>44617</v>
      </c>
      <c r="U133" s="29">
        <v>1.0999999999999999E-2</v>
      </c>
    </row>
    <row r="134" spans="7:21" ht="18" customHeight="1" x14ac:dyDescent="0.4">
      <c r="G134" s="24">
        <f t="shared" si="13"/>
        <v>44972</v>
      </c>
      <c r="H134" s="29">
        <f t="shared" si="14"/>
        <v>3.04E-2</v>
      </c>
      <c r="I134" s="24">
        <f t="shared" si="15"/>
        <v>44972</v>
      </c>
      <c r="J134" s="29">
        <f t="shared" si="16"/>
        <v>4.2140000000000004E-2</v>
      </c>
      <c r="K134" s="24">
        <f t="shared" si="17"/>
        <v>44618</v>
      </c>
      <c r="L134" s="29">
        <v>1.0999999999999999E-2</v>
      </c>
      <c r="P134" s="24">
        <v>44972</v>
      </c>
      <c r="Q134" s="29">
        <v>3.9140000000000001E-2</v>
      </c>
      <c r="R134" s="24">
        <v>44972</v>
      </c>
      <c r="S134" s="29">
        <v>3.9140000000000001E-2</v>
      </c>
      <c r="T134" s="24">
        <v>44618</v>
      </c>
      <c r="U134" s="29">
        <v>1.0999999999999999E-2</v>
      </c>
    </row>
    <row r="135" spans="7:21" ht="18" customHeight="1" x14ac:dyDescent="0.4">
      <c r="G135" s="24">
        <f t="shared" ref="G135:G198" si="18">G134+1</f>
        <v>44973</v>
      </c>
      <c r="H135" s="29">
        <f t="shared" ref="H135:H198" si="19">H134</f>
        <v>3.04E-2</v>
      </c>
      <c r="I135" s="24">
        <f t="shared" ref="I135:I198" si="20">I134+1</f>
        <v>44973</v>
      </c>
      <c r="J135" s="29">
        <f t="shared" ref="J135:J198" si="21">J134</f>
        <v>4.2140000000000004E-2</v>
      </c>
      <c r="K135" s="24">
        <f t="shared" si="17"/>
        <v>44619</v>
      </c>
      <c r="L135" s="29">
        <v>1.0999999999999999E-2</v>
      </c>
      <c r="P135" s="24">
        <v>44973</v>
      </c>
      <c r="Q135" s="29">
        <v>3.9140000000000001E-2</v>
      </c>
      <c r="R135" s="24">
        <v>44973</v>
      </c>
      <c r="S135" s="29">
        <v>3.9140000000000001E-2</v>
      </c>
      <c r="T135" s="24">
        <v>44619</v>
      </c>
      <c r="U135" s="29">
        <v>1.0999999999999999E-2</v>
      </c>
    </row>
    <row r="136" spans="7:21" ht="18" customHeight="1" x14ac:dyDescent="0.4">
      <c r="G136" s="24">
        <f t="shared" si="18"/>
        <v>44974</v>
      </c>
      <c r="H136" s="29">
        <f t="shared" si="19"/>
        <v>3.04E-2</v>
      </c>
      <c r="I136" s="24">
        <f t="shared" si="20"/>
        <v>44974</v>
      </c>
      <c r="J136" s="29">
        <f t="shared" si="21"/>
        <v>4.2140000000000004E-2</v>
      </c>
      <c r="K136" s="24">
        <f t="shared" si="17"/>
        <v>44620</v>
      </c>
      <c r="L136" s="29">
        <v>1.0999999999999999E-2</v>
      </c>
      <c r="P136" s="24">
        <v>44974</v>
      </c>
      <c r="Q136" s="29">
        <v>3.9140000000000001E-2</v>
      </c>
      <c r="R136" s="24">
        <v>44974</v>
      </c>
      <c r="S136" s="29">
        <v>3.9140000000000001E-2</v>
      </c>
      <c r="T136" s="24">
        <v>44620</v>
      </c>
      <c r="U136" s="29">
        <v>1.0999999999999999E-2</v>
      </c>
    </row>
    <row r="137" spans="7:21" ht="18" customHeight="1" x14ac:dyDescent="0.4">
      <c r="G137" s="24">
        <f t="shared" si="18"/>
        <v>44975</v>
      </c>
      <c r="H137" s="29">
        <f t="shared" si="19"/>
        <v>3.04E-2</v>
      </c>
      <c r="I137" s="24">
        <f t="shared" si="20"/>
        <v>44975</v>
      </c>
      <c r="J137" s="29">
        <f t="shared" si="21"/>
        <v>4.2140000000000004E-2</v>
      </c>
      <c r="K137" s="24">
        <f t="shared" ref="K137:K200" si="22">K136+1</f>
        <v>44621</v>
      </c>
      <c r="L137" s="29">
        <v>1.0999999999999999E-2</v>
      </c>
      <c r="P137" s="24">
        <v>44975</v>
      </c>
      <c r="Q137" s="29">
        <v>3.9140000000000001E-2</v>
      </c>
      <c r="R137" s="24">
        <v>44975</v>
      </c>
      <c r="S137" s="29">
        <v>3.9140000000000001E-2</v>
      </c>
      <c r="T137" s="24">
        <v>44621</v>
      </c>
      <c r="U137" s="29">
        <v>1.0999999999999999E-2</v>
      </c>
    </row>
    <row r="138" spans="7:21" ht="18" customHeight="1" x14ac:dyDescent="0.4">
      <c r="G138" s="24">
        <f t="shared" si="18"/>
        <v>44976</v>
      </c>
      <c r="H138" s="29">
        <f t="shared" si="19"/>
        <v>3.04E-2</v>
      </c>
      <c r="I138" s="24">
        <f t="shared" si="20"/>
        <v>44976</v>
      </c>
      <c r="J138" s="29">
        <f t="shared" si="21"/>
        <v>4.2140000000000004E-2</v>
      </c>
      <c r="K138" s="24">
        <f t="shared" si="22"/>
        <v>44622</v>
      </c>
      <c r="L138" s="29">
        <v>1.0999999999999999E-2</v>
      </c>
      <c r="P138" s="24">
        <v>44976</v>
      </c>
      <c r="Q138" s="29">
        <v>3.9140000000000001E-2</v>
      </c>
      <c r="R138" s="24">
        <v>44976</v>
      </c>
      <c r="S138" s="29">
        <v>3.9140000000000001E-2</v>
      </c>
      <c r="T138" s="24">
        <v>44622</v>
      </c>
      <c r="U138" s="29">
        <v>1.0999999999999999E-2</v>
      </c>
    </row>
    <row r="139" spans="7:21" ht="18" customHeight="1" x14ac:dyDescent="0.4">
      <c r="G139" s="24">
        <f t="shared" si="18"/>
        <v>44977</v>
      </c>
      <c r="H139" s="29">
        <f t="shared" si="19"/>
        <v>3.04E-2</v>
      </c>
      <c r="I139" s="24">
        <f t="shared" si="20"/>
        <v>44977</v>
      </c>
      <c r="J139" s="29">
        <f t="shared" si="21"/>
        <v>4.2140000000000004E-2</v>
      </c>
      <c r="K139" s="24">
        <f t="shared" si="22"/>
        <v>44623</v>
      </c>
      <c r="L139" s="29">
        <v>1.0999999999999999E-2</v>
      </c>
      <c r="P139" s="24">
        <v>44977</v>
      </c>
      <c r="Q139" s="29">
        <v>3.9140000000000001E-2</v>
      </c>
      <c r="R139" s="24">
        <v>44977</v>
      </c>
      <c r="S139" s="29">
        <v>3.9140000000000001E-2</v>
      </c>
      <c r="T139" s="24">
        <v>44623</v>
      </c>
      <c r="U139" s="29">
        <v>1.0999999999999999E-2</v>
      </c>
    </row>
    <row r="140" spans="7:21" ht="18" customHeight="1" x14ac:dyDescent="0.4">
      <c r="G140" s="24">
        <f t="shared" si="18"/>
        <v>44978</v>
      </c>
      <c r="H140" s="29">
        <f t="shared" si="19"/>
        <v>3.04E-2</v>
      </c>
      <c r="I140" s="24">
        <f t="shared" si="20"/>
        <v>44978</v>
      </c>
      <c r="J140" s="29">
        <f t="shared" si="21"/>
        <v>4.2140000000000004E-2</v>
      </c>
      <c r="K140" s="24">
        <f t="shared" si="22"/>
        <v>44624</v>
      </c>
      <c r="L140" s="29">
        <v>1.0999999999999999E-2</v>
      </c>
      <c r="P140" s="24">
        <v>44978</v>
      </c>
      <c r="Q140" s="29">
        <v>3.9140000000000001E-2</v>
      </c>
      <c r="R140" s="24">
        <v>44978</v>
      </c>
      <c r="S140" s="29">
        <v>3.9140000000000001E-2</v>
      </c>
      <c r="T140" s="24">
        <v>44624</v>
      </c>
      <c r="U140" s="29">
        <v>1.0999999999999999E-2</v>
      </c>
    </row>
    <row r="141" spans="7:21" ht="18" customHeight="1" x14ac:dyDescent="0.4">
      <c r="G141" s="24">
        <f t="shared" si="18"/>
        <v>44979</v>
      </c>
      <c r="H141" s="29">
        <f t="shared" si="19"/>
        <v>3.04E-2</v>
      </c>
      <c r="I141" s="24">
        <f t="shared" si="20"/>
        <v>44979</v>
      </c>
      <c r="J141" s="29">
        <f t="shared" si="21"/>
        <v>4.2140000000000004E-2</v>
      </c>
      <c r="K141" s="24">
        <f t="shared" si="22"/>
        <v>44625</v>
      </c>
      <c r="L141" s="29">
        <v>1.0999999999999999E-2</v>
      </c>
      <c r="P141" s="24">
        <v>44979</v>
      </c>
      <c r="Q141" s="29">
        <v>3.9140000000000001E-2</v>
      </c>
      <c r="R141" s="24">
        <v>44979</v>
      </c>
      <c r="S141" s="29">
        <v>3.9140000000000001E-2</v>
      </c>
      <c r="T141" s="24">
        <v>44625</v>
      </c>
      <c r="U141" s="29">
        <v>1.0999999999999999E-2</v>
      </c>
    </row>
    <row r="142" spans="7:21" ht="18" customHeight="1" x14ac:dyDescent="0.4">
      <c r="G142" s="24">
        <f t="shared" si="18"/>
        <v>44980</v>
      </c>
      <c r="H142" s="29">
        <f t="shared" si="19"/>
        <v>3.04E-2</v>
      </c>
      <c r="I142" s="24">
        <f t="shared" si="20"/>
        <v>44980</v>
      </c>
      <c r="J142" s="29">
        <f t="shared" si="21"/>
        <v>4.2140000000000004E-2</v>
      </c>
      <c r="K142" s="24">
        <f t="shared" si="22"/>
        <v>44626</v>
      </c>
      <c r="L142" s="29">
        <v>1.0999999999999999E-2</v>
      </c>
      <c r="P142" s="24">
        <v>44980</v>
      </c>
      <c r="Q142" s="29">
        <v>3.9140000000000001E-2</v>
      </c>
      <c r="R142" s="24">
        <v>44980</v>
      </c>
      <c r="S142" s="29">
        <v>3.9140000000000001E-2</v>
      </c>
      <c r="T142" s="24">
        <v>44626</v>
      </c>
      <c r="U142" s="29">
        <v>1.0999999999999999E-2</v>
      </c>
    </row>
    <row r="143" spans="7:21" ht="18" customHeight="1" x14ac:dyDescent="0.4">
      <c r="G143" s="24">
        <f t="shared" si="18"/>
        <v>44981</v>
      </c>
      <c r="H143" s="29">
        <f t="shared" si="19"/>
        <v>3.04E-2</v>
      </c>
      <c r="I143" s="24">
        <f t="shared" si="20"/>
        <v>44981</v>
      </c>
      <c r="J143" s="29">
        <f t="shared" si="21"/>
        <v>4.2140000000000004E-2</v>
      </c>
      <c r="K143" s="24">
        <f t="shared" si="22"/>
        <v>44627</v>
      </c>
      <c r="L143" s="29">
        <v>1.0999999999999999E-2</v>
      </c>
      <c r="P143" s="24">
        <v>44981</v>
      </c>
      <c r="Q143" s="29">
        <v>3.9140000000000001E-2</v>
      </c>
      <c r="R143" s="24">
        <v>44981</v>
      </c>
      <c r="S143" s="29">
        <v>3.9140000000000001E-2</v>
      </c>
      <c r="T143" s="24">
        <v>44627</v>
      </c>
      <c r="U143" s="29">
        <v>1.0999999999999999E-2</v>
      </c>
    </row>
    <row r="144" spans="7:21" ht="18" customHeight="1" x14ac:dyDescent="0.4">
      <c r="G144" s="24">
        <f t="shared" si="18"/>
        <v>44982</v>
      </c>
      <c r="H144" s="29">
        <f t="shared" si="19"/>
        <v>3.04E-2</v>
      </c>
      <c r="I144" s="24">
        <f t="shared" si="20"/>
        <v>44982</v>
      </c>
      <c r="J144" s="29">
        <f t="shared" si="21"/>
        <v>4.2140000000000004E-2</v>
      </c>
      <c r="K144" s="24">
        <f t="shared" si="22"/>
        <v>44628</v>
      </c>
      <c r="L144" s="29">
        <v>1.0999999999999999E-2</v>
      </c>
      <c r="P144" s="24">
        <v>44982</v>
      </c>
      <c r="Q144" s="29">
        <v>3.9140000000000001E-2</v>
      </c>
      <c r="R144" s="24">
        <v>44982</v>
      </c>
      <c r="S144" s="29">
        <v>3.9140000000000001E-2</v>
      </c>
      <c r="T144" s="24">
        <v>44628</v>
      </c>
      <c r="U144" s="29">
        <v>1.0999999999999999E-2</v>
      </c>
    </row>
    <row r="145" spans="7:21" ht="18" customHeight="1" x14ac:dyDescent="0.4">
      <c r="G145" s="24">
        <f t="shared" si="18"/>
        <v>44983</v>
      </c>
      <c r="H145" s="29">
        <f t="shared" si="19"/>
        <v>3.04E-2</v>
      </c>
      <c r="I145" s="24">
        <f t="shared" si="20"/>
        <v>44983</v>
      </c>
      <c r="J145" s="29">
        <f t="shared" si="21"/>
        <v>4.2140000000000004E-2</v>
      </c>
      <c r="K145" s="24">
        <f t="shared" si="22"/>
        <v>44629</v>
      </c>
      <c r="L145" s="29">
        <v>1.0999999999999999E-2</v>
      </c>
      <c r="P145" s="24">
        <v>44983</v>
      </c>
      <c r="Q145" s="29">
        <v>3.9140000000000001E-2</v>
      </c>
      <c r="R145" s="24">
        <v>44983</v>
      </c>
      <c r="S145" s="29">
        <v>3.9140000000000001E-2</v>
      </c>
      <c r="T145" s="24">
        <v>44629</v>
      </c>
      <c r="U145" s="29">
        <v>1.0999999999999999E-2</v>
      </c>
    </row>
    <row r="146" spans="7:21" ht="18" customHeight="1" x14ac:dyDescent="0.4">
      <c r="G146" s="24">
        <f t="shared" si="18"/>
        <v>44984</v>
      </c>
      <c r="H146" s="29">
        <f t="shared" si="19"/>
        <v>3.04E-2</v>
      </c>
      <c r="I146" s="24">
        <f t="shared" si="20"/>
        <v>44984</v>
      </c>
      <c r="J146" s="29">
        <f t="shared" si="21"/>
        <v>4.2140000000000004E-2</v>
      </c>
      <c r="K146" s="24">
        <f t="shared" si="22"/>
        <v>44630</v>
      </c>
      <c r="L146" s="29">
        <v>1.0999999999999999E-2</v>
      </c>
      <c r="P146" s="24">
        <v>44984</v>
      </c>
      <c r="Q146" s="29">
        <v>3.9140000000000001E-2</v>
      </c>
      <c r="R146" s="24">
        <v>44984</v>
      </c>
      <c r="S146" s="29">
        <v>3.9140000000000001E-2</v>
      </c>
      <c r="T146" s="24">
        <v>44630</v>
      </c>
      <c r="U146" s="29">
        <v>1.0999999999999999E-2</v>
      </c>
    </row>
    <row r="147" spans="7:21" ht="18" customHeight="1" x14ac:dyDescent="0.4">
      <c r="G147" s="24">
        <f t="shared" si="18"/>
        <v>44985</v>
      </c>
      <c r="H147" s="29">
        <f t="shared" si="19"/>
        <v>3.04E-2</v>
      </c>
      <c r="I147" s="24">
        <f t="shared" si="20"/>
        <v>44985</v>
      </c>
      <c r="J147" s="29">
        <f t="shared" si="21"/>
        <v>4.2140000000000004E-2</v>
      </c>
      <c r="K147" s="24">
        <f t="shared" si="22"/>
        <v>44631</v>
      </c>
      <c r="L147" s="29">
        <v>1.0999999999999999E-2</v>
      </c>
      <c r="P147" s="24">
        <v>44985</v>
      </c>
      <c r="Q147" s="29">
        <v>3.9140000000000001E-2</v>
      </c>
      <c r="R147" s="24">
        <v>44985</v>
      </c>
      <c r="S147" s="29">
        <v>3.9140000000000001E-2</v>
      </c>
      <c r="T147" s="24">
        <v>44631</v>
      </c>
      <c r="U147" s="29">
        <v>1.0999999999999999E-2</v>
      </c>
    </row>
    <row r="148" spans="7:21" ht="18" customHeight="1" x14ac:dyDescent="0.4">
      <c r="G148" s="24">
        <f t="shared" si="18"/>
        <v>44986</v>
      </c>
      <c r="H148" s="29">
        <f t="shared" si="19"/>
        <v>3.04E-2</v>
      </c>
      <c r="I148" s="24">
        <f t="shared" si="20"/>
        <v>44986</v>
      </c>
      <c r="J148" s="29">
        <f t="shared" si="21"/>
        <v>4.2140000000000004E-2</v>
      </c>
      <c r="K148" s="24">
        <f t="shared" si="22"/>
        <v>44632</v>
      </c>
      <c r="L148" s="29">
        <v>1.0999999999999999E-2</v>
      </c>
      <c r="P148" s="24">
        <v>44986</v>
      </c>
      <c r="Q148" s="29">
        <v>3.9140000000000001E-2</v>
      </c>
      <c r="R148" s="24">
        <v>44986</v>
      </c>
      <c r="S148" s="29">
        <v>3.9140000000000001E-2</v>
      </c>
      <c r="T148" s="24">
        <v>44632</v>
      </c>
      <c r="U148" s="29">
        <v>1.0999999999999999E-2</v>
      </c>
    </row>
    <row r="149" spans="7:21" ht="18" customHeight="1" x14ac:dyDescent="0.4">
      <c r="G149" s="24">
        <f t="shared" si="18"/>
        <v>44987</v>
      </c>
      <c r="H149" s="29">
        <f t="shared" si="19"/>
        <v>3.04E-2</v>
      </c>
      <c r="I149" s="24">
        <f t="shared" si="20"/>
        <v>44987</v>
      </c>
      <c r="J149" s="29">
        <f t="shared" si="21"/>
        <v>4.2140000000000004E-2</v>
      </c>
      <c r="K149" s="24">
        <f t="shared" si="22"/>
        <v>44633</v>
      </c>
      <c r="L149" s="29">
        <v>1.0999999999999999E-2</v>
      </c>
      <c r="P149" s="24">
        <v>44987</v>
      </c>
      <c r="Q149" s="29">
        <v>3.9140000000000001E-2</v>
      </c>
      <c r="R149" s="24">
        <v>44987</v>
      </c>
      <c r="S149" s="29">
        <v>3.9140000000000001E-2</v>
      </c>
      <c r="T149" s="24">
        <v>44633</v>
      </c>
      <c r="U149" s="29">
        <v>1.0999999999999999E-2</v>
      </c>
    </row>
    <row r="150" spans="7:21" ht="18" customHeight="1" x14ac:dyDescent="0.4">
      <c r="G150" s="24">
        <f t="shared" si="18"/>
        <v>44988</v>
      </c>
      <c r="H150" s="29">
        <f t="shared" si="19"/>
        <v>3.04E-2</v>
      </c>
      <c r="I150" s="24">
        <f t="shared" si="20"/>
        <v>44988</v>
      </c>
      <c r="J150" s="29">
        <f t="shared" si="21"/>
        <v>4.2140000000000004E-2</v>
      </c>
      <c r="K150" s="24">
        <f t="shared" si="22"/>
        <v>44634</v>
      </c>
      <c r="L150" s="29">
        <v>1.0999999999999999E-2</v>
      </c>
      <c r="P150" s="24">
        <v>44988</v>
      </c>
      <c r="Q150" s="29">
        <v>3.9140000000000001E-2</v>
      </c>
      <c r="R150" s="24">
        <v>44988</v>
      </c>
      <c r="S150" s="29">
        <v>3.9140000000000001E-2</v>
      </c>
      <c r="T150" s="24">
        <v>44634</v>
      </c>
      <c r="U150" s="29">
        <v>1.0999999999999999E-2</v>
      </c>
    </row>
    <row r="151" spans="7:21" ht="18" customHeight="1" x14ac:dyDescent="0.4">
      <c r="G151" s="24">
        <f t="shared" si="18"/>
        <v>44989</v>
      </c>
      <c r="H151" s="29">
        <f t="shared" si="19"/>
        <v>3.04E-2</v>
      </c>
      <c r="I151" s="24">
        <f t="shared" si="20"/>
        <v>44989</v>
      </c>
      <c r="J151" s="29">
        <f t="shared" si="21"/>
        <v>4.2140000000000004E-2</v>
      </c>
      <c r="K151" s="24">
        <f t="shared" si="22"/>
        <v>44635</v>
      </c>
      <c r="L151" s="29">
        <v>1.0999999999999999E-2</v>
      </c>
      <c r="P151" s="24">
        <v>44989</v>
      </c>
      <c r="Q151" s="29">
        <v>3.9140000000000001E-2</v>
      </c>
      <c r="R151" s="24">
        <v>44989</v>
      </c>
      <c r="S151" s="29">
        <v>3.9140000000000001E-2</v>
      </c>
      <c r="T151" s="24">
        <v>44635</v>
      </c>
      <c r="U151" s="29">
        <v>1.0999999999999999E-2</v>
      </c>
    </row>
    <row r="152" spans="7:21" ht="18" customHeight="1" x14ac:dyDescent="0.4">
      <c r="G152" s="24">
        <f t="shared" si="18"/>
        <v>44990</v>
      </c>
      <c r="H152" s="29">
        <f t="shared" si="19"/>
        <v>3.04E-2</v>
      </c>
      <c r="I152" s="24">
        <f t="shared" si="20"/>
        <v>44990</v>
      </c>
      <c r="J152" s="29">
        <f t="shared" si="21"/>
        <v>4.2140000000000004E-2</v>
      </c>
      <c r="K152" s="24">
        <f t="shared" si="22"/>
        <v>44636</v>
      </c>
      <c r="L152" s="29">
        <v>1.0999999999999999E-2</v>
      </c>
      <c r="P152" s="24">
        <v>44990</v>
      </c>
      <c r="Q152" s="29">
        <v>3.9140000000000001E-2</v>
      </c>
      <c r="R152" s="24">
        <v>44990</v>
      </c>
      <c r="S152" s="29">
        <v>3.9140000000000001E-2</v>
      </c>
      <c r="T152" s="24">
        <v>44636</v>
      </c>
      <c r="U152" s="29">
        <v>1.0999999999999999E-2</v>
      </c>
    </row>
    <row r="153" spans="7:21" ht="18" customHeight="1" x14ac:dyDescent="0.4">
      <c r="G153" s="24">
        <f t="shared" si="18"/>
        <v>44991</v>
      </c>
      <c r="H153" s="29">
        <f t="shared" si="19"/>
        <v>3.04E-2</v>
      </c>
      <c r="I153" s="24">
        <f t="shared" si="20"/>
        <v>44991</v>
      </c>
      <c r="J153" s="29">
        <f t="shared" si="21"/>
        <v>4.2140000000000004E-2</v>
      </c>
      <c r="K153" s="24">
        <f t="shared" si="22"/>
        <v>44637</v>
      </c>
      <c r="L153" s="29">
        <v>1.0999999999999999E-2</v>
      </c>
      <c r="P153" s="24">
        <v>44991</v>
      </c>
      <c r="Q153" s="29">
        <v>3.9140000000000001E-2</v>
      </c>
      <c r="R153" s="24">
        <v>44991</v>
      </c>
      <c r="S153" s="29">
        <v>3.9140000000000001E-2</v>
      </c>
      <c r="T153" s="24">
        <v>44637</v>
      </c>
      <c r="U153" s="29">
        <v>1.0999999999999999E-2</v>
      </c>
    </row>
    <row r="154" spans="7:21" ht="18" customHeight="1" x14ac:dyDescent="0.4">
      <c r="G154" s="24">
        <f t="shared" si="18"/>
        <v>44992</v>
      </c>
      <c r="H154" s="29">
        <f t="shared" si="19"/>
        <v>3.04E-2</v>
      </c>
      <c r="I154" s="24">
        <f t="shared" si="20"/>
        <v>44992</v>
      </c>
      <c r="J154" s="29">
        <f t="shared" si="21"/>
        <v>4.2140000000000004E-2</v>
      </c>
      <c r="K154" s="24">
        <f t="shared" si="22"/>
        <v>44638</v>
      </c>
      <c r="L154" s="29">
        <v>1.0999999999999999E-2</v>
      </c>
      <c r="P154" s="24">
        <v>44992</v>
      </c>
      <c r="Q154" s="29">
        <v>3.9140000000000001E-2</v>
      </c>
      <c r="R154" s="24">
        <v>44992</v>
      </c>
      <c r="S154" s="29">
        <v>3.9140000000000001E-2</v>
      </c>
      <c r="T154" s="24">
        <v>44638</v>
      </c>
      <c r="U154" s="29">
        <v>1.0999999999999999E-2</v>
      </c>
    </row>
    <row r="155" spans="7:21" ht="18" customHeight="1" x14ac:dyDescent="0.4">
      <c r="G155" s="24">
        <f t="shared" si="18"/>
        <v>44993</v>
      </c>
      <c r="H155" s="29">
        <f t="shared" si="19"/>
        <v>3.04E-2</v>
      </c>
      <c r="I155" s="24">
        <f t="shared" si="20"/>
        <v>44993</v>
      </c>
      <c r="J155" s="29">
        <f t="shared" si="21"/>
        <v>4.2140000000000004E-2</v>
      </c>
      <c r="K155" s="24">
        <f t="shared" si="22"/>
        <v>44639</v>
      </c>
      <c r="L155" s="29">
        <v>1.0999999999999999E-2</v>
      </c>
      <c r="P155" s="24">
        <v>44993</v>
      </c>
      <c r="Q155" s="29">
        <v>3.9140000000000001E-2</v>
      </c>
      <c r="R155" s="24">
        <v>44993</v>
      </c>
      <c r="S155" s="29">
        <v>3.9140000000000001E-2</v>
      </c>
      <c r="T155" s="24">
        <v>44639</v>
      </c>
      <c r="U155" s="29">
        <v>1.0999999999999999E-2</v>
      </c>
    </row>
    <row r="156" spans="7:21" ht="18" customHeight="1" x14ac:dyDescent="0.4">
      <c r="G156" s="24">
        <f t="shared" si="18"/>
        <v>44994</v>
      </c>
      <c r="H156" s="29">
        <f t="shared" si="19"/>
        <v>3.04E-2</v>
      </c>
      <c r="I156" s="24">
        <f t="shared" si="20"/>
        <v>44994</v>
      </c>
      <c r="J156" s="29">
        <f t="shared" si="21"/>
        <v>4.2140000000000004E-2</v>
      </c>
      <c r="K156" s="24">
        <f t="shared" si="22"/>
        <v>44640</v>
      </c>
      <c r="L156" s="29">
        <v>1.0999999999999999E-2</v>
      </c>
      <c r="P156" s="24">
        <v>44994</v>
      </c>
      <c r="Q156" s="29">
        <v>3.9140000000000001E-2</v>
      </c>
      <c r="R156" s="24">
        <v>44994</v>
      </c>
      <c r="S156" s="29">
        <v>3.9140000000000001E-2</v>
      </c>
      <c r="T156" s="24">
        <v>44640</v>
      </c>
      <c r="U156" s="29">
        <v>1.0999999999999999E-2</v>
      </c>
    </row>
    <row r="157" spans="7:21" ht="18" customHeight="1" x14ac:dyDescent="0.4">
      <c r="G157" s="24">
        <f t="shared" si="18"/>
        <v>44995</v>
      </c>
      <c r="H157" s="29">
        <f t="shared" si="19"/>
        <v>3.04E-2</v>
      </c>
      <c r="I157" s="24">
        <f t="shared" si="20"/>
        <v>44995</v>
      </c>
      <c r="J157" s="29">
        <f t="shared" si="21"/>
        <v>4.2140000000000004E-2</v>
      </c>
      <c r="K157" s="24">
        <f t="shared" si="22"/>
        <v>44641</v>
      </c>
      <c r="L157" s="29">
        <v>1.0999999999999999E-2</v>
      </c>
      <c r="P157" s="24">
        <v>44995</v>
      </c>
      <c r="Q157" s="29">
        <v>3.9140000000000001E-2</v>
      </c>
      <c r="R157" s="24">
        <v>44995</v>
      </c>
      <c r="S157" s="29">
        <v>3.9140000000000001E-2</v>
      </c>
      <c r="T157" s="24">
        <v>44641</v>
      </c>
      <c r="U157" s="29">
        <v>1.0999999999999999E-2</v>
      </c>
    </row>
    <row r="158" spans="7:21" ht="18" customHeight="1" x14ac:dyDescent="0.4">
      <c r="G158" s="24">
        <f t="shared" si="18"/>
        <v>44996</v>
      </c>
      <c r="H158" s="29">
        <f t="shared" si="19"/>
        <v>3.04E-2</v>
      </c>
      <c r="I158" s="24">
        <f t="shared" si="20"/>
        <v>44996</v>
      </c>
      <c r="J158" s="29">
        <f t="shared" si="21"/>
        <v>4.2140000000000004E-2</v>
      </c>
      <c r="K158" s="24">
        <f t="shared" si="22"/>
        <v>44642</v>
      </c>
      <c r="L158" s="29">
        <v>1.0999999999999999E-2</v>
      </c>
      <c r="P158" s="24">
        <v>44996</v>
      </c>
      <c r="Q158" s="29">
        <v>3.9140000000000001E-2</v>
      </c>
      <c r="R158" s="24">
        <v>44996</v>
      </c>
      <c r="S158" s="29">
        <v>3.9140000000000001E-2</v>
      </c>
      <c r="T158" s="24">
        <v>44642</v>
      </c>
      <c r="U158" s="29">
        <v>1.0999999999999999E-2</v>
      </c>
    </row>
    <row r="159" spans="7:21" ht="18" customHeight="1" x14ac:dyDescent="0.4">
      <c r="G159" s="24">
        <f t="shared" si="18"/>
        <v>44997</v>
      </c>
      <c r="H159" s="29">
        <f t="shared" si="19"/>
        <v>3.04E-2</v>
      </c>
      <c r="I159" s="24">
        <f t="shared" si="20"/>
        <v>44997</v>
      </c>
      <c r="J159" s="29">
        <f t="shared" si="21"/>
        <v>4.2140000000000004E-2</v>
      </c>
      <c r="K159" s="24">
        <f t="shared" si="22"/>
        <v>44643</v>
      </c>
      <c r="L159" s="29">
        <v>1.0999999999999999E-2</v>
      </c>
      <c r="P159" s="24">
        <v>44997</v>
      </c>
      <c r="Q159" s="29">
        <v>3.9140000000000001E-2</v>
      </c>
      <c r="R159" s="24">
        <v>44997</v>
      </c>
      <c r="S159" s="29">
        <v>3.9140000000000001E-2</v>
      </c>
      <c r="T159" s="24">
        <v>44643</v>
      </c>
      <c r="U159" s="29">
        <v>1.0999999999999999E-2</v>
      </c>
    </row>
    <row r="160" spans="7:21" ht="18" customHeight="1" x14ac:dyDescent="0.4">
      <c r="G160" s="24">
        <f t="shared" si="18"/>
        <v>44998</v>
      </c>
      <c r="H160" s="29">
        <f t="shared" si="19"/>
        <v>3.04E-2</v>
      </c>
      <c r="I160" s="24">
        <f t="shared" si="20"/>
        <v>44998</v>
      </c>
      <c r="J160" s="29">
        <f t="shared" si="21"/>
        <v>4.2140000000000004E-2</v>
      </c>
      <c r="K160" s="24">
        <f t="shared" si="22"/>
        <v>44644</v>
      </c>
      <c r="L160" s="29">
        <v>1.0999999999999999E-2</v>
      </c>
      <c r="P160" s="24">
        <v>44998</v>
      </c>
      <c r="Q160" s="29">
        <v>3.9140000000000001E-2</v>
      </c>
      <c r="R160" s="24">
        <v>44998</v>
      </c>
      <c r="S160" s="29">
        <v>3.9140000000000001E-2</v>
      </c>
      <c r="T160" s="24">
        <v>44644</v>
      </c>
      <c r="U160" s="29">
        <v>1.0999999999999999E-2</v>
      </c>
    </row>
    <row r="161" spans="7:21" ht="18" customHeight="1" x14ac:dyDescent="0.4">
      <c r="G161" s="24">
        <f t="shared" si="18"/>
        <v>44999</v>
      </c>
      <c r="H161" s="29">
        <f t="shared" si="19"/>
        <v>3.04E-2</v>
      </c>
      <c r="I161" s="24">
        <f t="shared" si="20"/>
        <v>44999</v>
      </c>
      <c r="J161" s="29">
        <f t="shared" si="21"/>
        <v>4.2140000000000004E-2</v>
      </c>
      <c r="K161" s="24">
        <f t="shared" si="22"/>
        <v>44645</v>
      </c>
      <c r="L161" s="29">
        <v>1.0999999999999999E-2</v>
      </c>
      <c r="P161" s="24">
        <v>44999</v>
      </c>
      <c r="Q161" s="29">
        <v>3.9140000000000001E-2</v>
      </c>
      <c r="R161" s="24">
        <v>44999</v>
      </c>
      <c r="S161" s="29">
        <v>3.9140000000000001E-2</v>
      </c>
      <c r="T161" s="24">
        <v>44645</v>
      </c>
      <c r="U161" s="29">
        <v>1.0999999999999999E-2</v>
      </c>
    </row>
    <row r="162" spans="7:21" ht="18" customHeight="1" x14ac:dyDescent="0.4">
      <c r="G162" s="24">
        <f t="shared" si="18"/>
        <v>45000</v>
      </c>
      <c r="H162" s="29">
        <f t="shared" si="19"/>
        <v>3.04E-2</v>
      </c>
      <c r="I162" s="24">
        <f t="shared" si="20"/>
        <v>45000</v>
      </c>
      <c r="J162" s="29">
        <f t="shared" si="21"/>
        <v>4.2140000000000004E-2</v>
      </c>
      <c r="K162" s="24">
        <f t="shared" si="22"/>
        <v>44646</v>
      </c>
      <c r="L162" s="29">
        <v>1.0999999999999999E-2</v>
      </c>
      <c r="P162" s="24">
        <v>45000</v>
      </c>
      <c r="Q162" s="29">
        <v>3.9140000000000001E-2</v>
      </c>
      <c r="R162" s="24">
        <v>45000</v>
      </c>
      <c r="S162" s="29">
        <v>3.9140000000000001E-2</v>
      </c>
      <c r="T162" s="24">
        <v>44646</v>
      </c>
      <c r="U162" s="29">
        <v>1.0999999999999999E-2</v>
      </c>
    </row>
    <row r="163" spans="7:21" ht="18" customHeight="1" x14ac:dyDescent="0.4">
      <c r="G163" s="24">
        <f t="shared" si="18"/>
        <v>45001</v>
      </c>
      <c r="H163" s="29">
        <f t="shared" si="19"/>
        <v>3.04E-2</v>
      </c>
      <c r="I163" s="24">
        <f t="shared" si="20"/>
        <v>45001</v>
      </c>
      <c r="J163" s="29">
        <f t="shared" si="21"/>
        <v>4.2140000000000004E-2</v>
      </c>
      <c r="K163" s="24">
        <f t="shared" si="22"/>
        <v>44647</v>
      </c>
      <c r="L163" s="29">
        <v>1.0999999999999999E-2</v>
      </c>
      <c r="P163" s="24">
        <v>45001</v>
      </c>
      <c r="Q163" s="29">
        <v>3.9140000000000001E-2</v>
      </c>
      <c r="R163" s="24">
        <v>45001</v>
      </c>
      <c r="S163" s="29">
        <v>3.9140000000000001E-2</v>
      </c>
      <c r="T163" s="24">
        <v>44647</v>
      </c>
      <c r="U163" s="29">
        <v>1.0999999999999999E-2</v>
      </c>
    </row>
    <row r="164" spans="7:21" ht="18" customHeight="1" x14ac:dyDescent="0.4">
      <c r="G164" s="24">
        <f t="shared" si="18"/>
        <v>45002</v>
      </c>
      <c r="H164" s="29">
        <f t="shared" si="19"/>
        <v>3.04E-2</v>
      </c>
      <c r="I164" s="24">
        <f t="shared" si="20"/>
        <v>45002</v>
      </c>
      <c r="J164" s="29">
        <f t="shared" si="21"/>
        <v>4.2140000000000004E-2</v>
      </c>
      <c r="K164" s="24">
        <f t="shared" si="22"/>
        <v>44648</v>
      </c>
      <c r="L164" s="29">
        <v>1.0999999999999999E-2</v>
      </c>
      <c r="P164" s="24">
        <v>45002</v>
      </c>
      <c r="Q164" s="29">
        <v>3.9140000000000001E-2</v>
      </c>
      <c r="R164" s="24">
        <v>45002</v>
      </c>
      <c r="S164" s="29">
        <v>3.9140000000000001E-2</v>
      </c>
      <c r="T164" s="24">
        <v>44648</v>
      </c>
      <c r="U164" s="29">
        <v>1.0999999999999999E-2</v>
      </c>
    </row>
    <row r="165" spans="7:21" ht="18" customHeight="1" x14ac:dyDescent="0.4">
      <c r="G165" s="24">
        <f t="shared" si="18"/>
        <v>45003</v>
      </c>
      <c r="H165" s="29">
        <f t="shared" si="19"/>
        <v>3.04E-2</v>
      </c>
      <c r="I165" s="24">
        <f t="shared" si="20"/>
        <v>45003</v>
      </c>
      <c r="J165" s="29">
        <f t="shared" si="21"/>
        <v>4.2140000000000004E-2</v>
      </c>
      <c r="K165" s="24">
        <f t="shared" si="22"/>
        <v>44649</v>
      </c>
      <c r="L165" s="29">
        <v>1.0999999999999999E-2</v>
      </c>
      <c r="P165" s="24">
        <v>45003</v>
      </c>
      <c r="Q165" s="29">
        <v>3.9140000000000001E-2</v>
      </c>
      <c r="R165" s="24">
        <v>45003</v>
      </c>
      <c r="S165" s="29">
        <v>3.9140000000000001E-2</v>
      </c>
      <c r="T165" s="24">
        <v>44649</v>
      </c>
      <c r="U165" s="29">
        <v>1.0999999999999999E-2</v>
      </c>
    </row>
    <row r="166" spans="7:21" ht="18" customHeight="1" x14ac:dyDescent="0.4">
      <c r="G166" s="24">
        <f t="shared" si="18"/>
        <v>45004</v>
      </c>
      <c r="H166" s="29">
        <f t="shared" si="19"/>
        <v>3.04E-2</v>
      </c>
      <c r="I166" s="24">
        <f t="shared" si="20"/>
        <v>45004</v>
      </c>
      <c r="J166" s="29">
        <f t="shared" si="21"/>
        <v>4.2140000000000004E-2</v>
      </c>
      <c r="K166" s="24">
        <f t="shared" si="22"/>
        <v>44650</v>
      </c>
      <c r="L166" s="29">
        <v>1.0999999999999999E-2</v>
      </c>
      <c r="P166" s="24">
        <v>45004</v>
      </c>
      <c r="Q166" s="29">
        <v>3.9140000000000001E-2</v>
      </c>
      <c r="R166" s="24">
        <v>45004</v>
      </c>
      <c r="S166" s="29">
        <v>3.9140000000000001E-2</v>
      </c>
      <c r="T166" s="24">
        <v>44650</v>
      </c>
      <c r="U166" s="29">
        <v>1.0999999999999999E-2</v>
      </c>
    </row>
    <row r="167" spans="7:21" ht="18" customHeight="1" x14ac:dyDescent="0.4">
      <c r="G167" s="24">
        <f t="shared" si="18"/>
        <v>45005</v>
      </c>
      <c r="H167" s="29">
        <f t="shared" si="19"/>
        <v>3.04E-2</v>
      </c>
      <c r="I167" s="24">
        <f t="shared" si="20"/>
        <v>45005</v>
      </c>
      <c r="J167" s="29">
        <f t="shared" si="21"/>
        <v>4.2140000000000004E-2</v>
      </c>
      <c r="K167" s="24">
        <f t="shared" si="22"/>
        <v>44651</v>
      </c>
      <c r="L167" s="29">
        <v>1.0999999999999999E-2</v>
      </c>
      <c r="P167" s="24">
        <v>45005</v>
      </c>
      <c r="Q167" s="29">
        <v>3.9140000000000001E-2</v>
      </c>
      <c r="R167" s="24">
        <v>45005</v>
      </c>
      <c r="S167" s="29">
        <v>3.9140000000000001E-2</v>
      </c>
      <c r="T167" s="24">
        <v>44651</v>
      </c>
      <c r="U167" s="29">
        <v>1.0999999999999999E-2</v>
      </c>
    </row>
    <row r="168" spans="7:21" ht="18" customHeight="1" x14ac:dyDescent="0.4">
      <c r="G168" s="24">
        <f t="shared" si="18"/>
        <v>45006</v>
      </c>
      <c r="H168" s="29">
        <f t="shared" si="19"/>
        <v>3.04E-2</v>
      </c>
      <c r="I168" s="24">
        <f t="shared" si="20"/>
        <v>45006</v>
      </c>
      <c r="J168" s="29">
        <f t="shared" si="21"/>
        <v>4.2140000000000004E-2</v>
      </c>
      <c r="K168" s="24">
        <f t="shared" si="22"/>
        <v>44652</v>
      </c>
      <c r="L168" s="29">
        <v>1.0999999999999999E-2</v>
      </c>
      <c r="P168" s="24">
        <v>45006</v>
      </c>
      <c r="Q168" s="29">
        <v>3.9140000000000001E-2</v>
      </c>
      <c r="R168" s="24">
        <v>45006</v>
      </c>
      <c r="S168" s="29">
        <v>3.9140000000000001E-2</v>
      </c>
      <c r="T168" s="24">
        <v>44652</v>
      </c>
      <c r="U168" s="29">
        <v>1.0999999999999999E-2</v>
      </c>
    </row>
    <row r="169" spans="7:21" ht="18" customHeight="1" x14ac:dyDescent="0.4">
      <c r="G169" s="24">
        <f t="shared" si="18"/>
        <v>45007</v>
      </c>
      <c r="H169" s="29">
        <f t="shared" si="19"/>
        <v>3.04E-2</v>
      </c>
      <c r="I169" s="24">
        <f t="shared" si="20"/>
        <v>45007</v>
      </c>
      <c r="J169" s="29">
        <f t="shared" si="21"/>
        <v>4.2140000000000004E-2</v>
      </c>
      <c r="K169" s="24">
        <f t="shared" si="22"/>
        <v>44653</v>
      </c>
      <c r="L169" s="29">
        <v>1.0999999999999999E-2</v>
      </c>
      <c r="P169" s="24">
        <v>45007</v>
      </c>
      <c r="Q169" s="29">
        <v>3.9140000000000001E-2</v>
      </c>
      <c r="R169" s="24">
        <v>45007</v>
      </c>
      <c r="S169" s="29">
        <v>3.9140000000000001E-2</v>
      </c>
      <c r="T169" s="24">
        <v>44653</v>
      </c>
      <c r="U169" s="29">
        <v>1.0999999999999999E-2</v>
      </c>
    </row>
    <row r="170" spans="7:21" ht="18" customHeight="1" x14ac:dyDescent="0.4">
      <c r="G170" s="24">
        <f t="shared" si="18"/>
        <v>45008</v>
      </c>
      <c r="H170" s="29">
        <f t="shared" si="19"/>
        <v>3.04E-2</v>
      </c>
      <c r="I170" s="24">
        <f t="shared" si="20"/>
        <v>45008</v>
      </c>
      <c r="J170" s="29">
        <f t="shared" si="21"/>
        <v>4.2140000000000004E-2</v>
      </c>
      <c r="K170" s="24">
        <f t="shared" si="22"/>
        <v>44654</v>
      </c>
      <c r="L170" s="29">
        <v>1.0999999999999999E-2</v>
      </c>
      <c r="P170" s="24">
        <v>45008</v>
      </c>
      <c r="Q170" s="29">
        <v>3.9140000000000001E-2</v>
      </c>
      <c r="R170" s="24">
        <v>45008</v>
      </c>
      <c r="S170" s="29">
        <v>3.9140000000000001E-2</v>
      </c>
      <c r="T170" s="24">
        <v>44654</v>
      </c>
      <c r="U170" s="29">
        <v>1.0999999999999999E-2</v>
      </c>
    </row>
    <row r="171" spans="7:21" ht="18" customHeight="1" x14ac:dyDescent="0.4">
      <c r="G171" s="24">
        <f t="shared" si="18"/>
        <v>45009</v>
      </c>
      <c r="H171" s="29">
        <f t="shared" si="19"/>
        <v>3.04E-2</v>
      </c>
      <c r="I171" s="24">
        <f t="shared" si="20"/>
        <v>45009</v>
      </c>
      <c r="J171" s="29">
        <f t="shared" si="21"/>
        <v>4.2140000000000004E-2</v>
      </c>
      <c r="K171" s="24">
        <f t="shared" si="22"/>
        <v>44655</v>
      </c>
      <c r="L171" s="29">
        <v>1.0999999999999999E-2</v>
      </c>
      <c r="P171" s="24">
        <v>45009</v>
      </c>
      <c r="Q171" s="29">
        <v>3.9140000000000001E-2</v>
      </c>
      <c r="R171" s="24">
        <v>45009</v>
      </c>
      <c r="S171" s="29">
        <v>3.9140000000000001E-2</v>
      </c>
      <c r="T171" s="24">
        <v>44655</v>
      </c>
      <c r="U171" s="29">
        <v>1.0999999999999999E-2</v>
      </c>
    </row>
    <row r="172" spans="7:21" ht="18" customHeight="1" x14ac:dyDescent="0.4">
      <c r="G172" s="24">
        <f t="shared" si="18"/>
        <v>45010</v>
      </c>
      <c r="H172" s="29">
        <f t="shared" si="19"/>
        <v>3.04E-2</v>
      </c>
      <c r="I172" s="24">
        <f t="shared" si="20"/>
        <v>45010</v>
      </c>
      <c r="J172" s="29">
        <f t="shared" si="21"/>
        <v>4.2140000000000004E-2</v>
      </c>
      <c r="K172" s="24">
        <f t="shared" si="22"/>
        <v>44656</v>
      </c>
      <c r="L172" s="29">
        <v>1.0999999999999999E-2</v>
      </c>
      <c r="P172" s="24">
        <v>45010</v>
      </c>
      <c r="Q172" s="29">
        <v>3.9140000000000001E-2</v>
      </c>
      <c r="R172" s="24">
        <v>45010</v>
      </c>
      <c r="S172" s="29">
        <v>3.9140000000000001E-2</v>
      </c>
      <c r="T172" s="24">
        <v>44656</v>
      </c>
      <c r="U172" s="29">
        <v>1.0999999999999999E-2</v>
      </c>
    </row>
    <row r="173" spans="7:21" ht="18" customHeight="1" x14ac:dyDescent="0.4">
      <c r="G173" s="24">
        <f t="shared" si="18"/>
        <v>45011</v>
      </c>
      <c r="H173" s="29">
        <f t="shared" si="19"/>
        <v>3.04E-2</v>
      </c>
      <c r="I173" s="24">
        <f t="shared" si="20"/>
        <v>45011</v>
      </c>
      <c r="J173" s="29">
        <f t="shared" si="21"/>
        <v>4.2140000000000004E-2</v>
      </c>
      <c r="K173" s="24">
        <f t="shared" si="22"/>
        <v>44657</v>
      </c>
      <c r="L173" s="29">
        <v>1.0999999999999999E-2</v>
      </c>
      <c r="P173" s="24">
        <v>45011</v>
      </c>
      <c r="Q173" s="29">
        <v>3.9140000000000001E-2</v>
      </c>
      <c r="R173" s="24">
        <v>45011</v>
      </c>
      <c r="S173" s="29">
        <v>3.9140000000000001E-2</v>
      </c>
      <c r="T173" s="24">
        <v>44657</v>
      </c>
      <c r="U173" s="29">
        <v>1.0999999999999999E-2</v>
      </c>
    </row>
    <row r="174" spans="7:21" ht="18" customHeight="1" x14ac:dyDescent="0.4">
      <c r="G174" s="24">
        <f t="shared" si="18"/>
        <v>45012</v>
      </c>
      <c r="H174" s="29">
        <f t="shared" si="19"/>
        <v>3.04E-2</v>
      </c>
      <c r="I174" s="24">
        <f t="shared" si="20"/>
        <v>45012</v>
      </c>
      <c r="J174" s="29">
        <f t="shared" si="21"/>
        <v>4.2140000000000004E-2</v>
      </c>
      <c r="K174" s="24">
        <f t="shared" si="22"/>
        <v>44658</v>
      </c>
      <c r="L174" s="29">
        <v>1.0999999999999999E-2</v>
      </c>
      <c r="P174" s="24">
        <v>45012</v>
      </c>
      <c r="Q174" s="29">
        <v>3.9140000000000001E-2</v>
      </c>
      <c r="R174" s="24">
        <v>45012</v>
      </c>
      <c r="S174" s="29">
        <v>3.9140000000000001E-2</v>
      </c>
      <c r="T174" s="24">
        <v>44658</v>
      </c>
      <c r="U174" s="29">
        <v>1.0999999999999999E-2</v>
      </c>
    </row>
    <row r="175" spans="7:21" ht="18" customHeight="1" x14ac:dyDescent="0.4">
      <c r="G175" s="24">
        <f t="shared" si="18"/>
        <v>45013</v>
      </c>
      <c r="H175" s="29">
        <f t="shared" si="19"/>
        <v>3.04E-2</v>
      </c>
      <c r="I175" s="24">
        <f t="shared" si="20"/>
        <v>45013</v>
      </c>
      <c r="J175" s="29">
        <f t="shared" si="21"/>
        <v>4.2140000000000004E-2</v>
      </c>
      <c r="K175" s="24">
        <f t="shared" si="22"/>
        <v>44659</v>
      </c>
      <c r="L175" s="29">
        <v>1.0999999999999999E-2</v>
      </c>
      <c r="P175" s="24">
        <v>45013</v>
      </c>
      <c r="Q175" s="29">
        <v>3.9140000000000001E-2</v>
      </c>
      <c r="R175" s="24">
        <v>45013</v>
      </c>
      <c r="S175" s="29">
        <v>3.9140000000000001E-2</v>
      </c>
      <c r="T175" s="24">
        <v>44659</v>
      </c>
      <c r="U175" s="29">
        <v>1.0999999999999999E-2</v>
      </c>
    </row>
    <row r="176" spans="7:21" ht="18" customHeight="1" x14ac:dyDescent="0.4">
      <c r="G176" s="24">
        <f t="shared" si="18"/>
        <v>45014</v>
      </c>
      <c r="H176" s="29">
        <f t="shared" si="19"/>
        <v>3.04E-2</v>
      </c>
      <c r="I176" s="24">
        <f t="shared" si="20"/>
        <v>45014</v>
      </c>
      <c r="J176" s="29">
        <f t="shared" si="21"/>
        <v>4.2140000000000004E-2</v>
      </c>
      <c r="K176" s="24">
        <f t="shared" si="22"/>
        <v>44660</v>
      </c>
      <c r="L176" s="29">
        <v>1.0999999999999999E-2</v>
      </c>
      <c r="P176" s="24">
        <v>45014</v>
      </c>
      <c r="Q176" s="29">
        <v>3.9140000000000001E-2</v>
      </c>
      <c r="R176" s="24">
        <v>45014</v>
      </c>
      <c r="S176" s="29">
        <v>3.9140000000000001E-2</v>
      </c>
      <c r="T176" s="24">
        <v>44660</v>
      </c>
      <c r="U176" s="29">
        <v>1.0999999999999999E-2</v>
      </c>
    </row>
    <row r="177" spans="7:21" ht="18" customHeight="1" x14ac:dyDescent="0.4">
      <c r="G177" s="24">
        <f t="shared" si="18"/>
        <v>45015</v>
      </c>
      <c r="H177" s="29">
        <f t="shared" si="19"/>
        <v>3.04E-2</v>
      </c>
      <c r="I177" s="24">
        <f t="shared" si="20"/>
        <v>45015</v>
      </c>
      <c r="J177" s="29">
        <f t="shared" si="21"/>
        <v>4.2140000000000004E-2</v>
      </c>
      <c r="K177" s="24">
        <f t="shared" si="22"/>
        <v>44661</v>
      </c>
      <c r="L177" s="29">
        <v>1.0999999999999999E-2</v>
      </c>
      <c r="P177" s="24">
        <v>45015</v>
      </c>
      <c r="Q177" s="29">
        <v>3.9140000000000001E-2</v>
      </c>
      <c r="R177" s="24">
        <v>45015</v>
      </c>
      <c r="S177" s="29">
        <v>3.9140000000000001E-2</v>
      </c>
      <c r="T177" s="24">
        <v>44661</v>
      </c>
      <c r="U177" s="29">
        <v>1.0999999999999999E-2</v>
      </c>
    </row>
    <row r="178" spans="7:21" ht="18" customHeight="1" x14ac:dyDescent="0.4">
      <c r="G178" s="24">
        <f t="shared" si="18"/>
        <v>45016</v>
      </c>
      <c r="H178" s="29">
        <f t="shared" si="19"/>
        <v>3.04E-2</v>
      </c>
      <c r="I178" s="24">
        <f t="shared" si="20"/>
        <v>45016</v>
      </c>
      <c r="J178" s="29">
        <f t="shared" si="21"/>
        <v>4.2140000000000004E-2</v>
      </c>
      <c r="K178" s="24">
        <f t="shared" si="22"/>
        <v>44662</v>
      </c>
      <c r="L178" s="29">
        <v>1.0999999999999999E-2</v>
      </c>
      <c r="P178" s="24">
        <v>45016</v>
      </c>
      <c r="Q178" s="29">
        <v>3.9140000000000001E-2</v>
      </c>
      <c r="R178" s="24">
        <v>45016</v>
      </c>
      <c r="S178" s="29">
        <v>3.9140000000000001E-2</v>
      </c>
      <c r="T178" s="24">
        <v>44662</v>
      </c>
      <c r="U178" s="29">
        <v>1.0999999999999999E-2</v>
      </c>
    </row>
    <row r="179" spans="7:21" ht="18" customHeight="1" x14ac:dyDescent="0.4">
      <c r="G179" s="24">
        <f t="shared" si="18"/>
        <v>45017</v>
      </c>
      <c r="H179" s="29">
        <f t="shared" si="19"/>
        <v>3.04E-2</v>
      </c>
      <c r="I179" s="24">
        <f t="shared" si="20"/>
        <v>45017</v>
      </c>
      <c r="J179" s="29">
        <f t="shared" si="21"/>
        <v>4.2140000000000004E-2</v>
      </c>
      <c r="K179" s="24">
        <f t="shared" si="22"/>
        <v>44663</v>
      </c>
      <c r="L179" s="29">
        <v>1.0999999999999999E-2</v>
      </c>
      <c r="P179" s="24">
        <v>45017</v>
      </c>
      <c r="Q179" s="29">
        <v>3.9140000000000001E-2</v>
      </c>
      <c r="R179" s="24">
        <v>45017</v>
      </c>
      <c r="S179" s="29">
        <v>3.9140000000000001E-2</v>
      </c>
      <c r="T179" s="24">
        <v>44663</v>
      </c>
      <c r="U179" s="29">
        <v>1.0999999999999999E-2</v>
      </c>
    </row>
    <row r="180" spans="7:21" ht="18" customHeight="1" x14ac:dyDescent="0.4">
      <c r="G180" s="24">
        <f t="shared" si="18"/>
        <v>45018</v>
      </c>
      <c r="H180" s="29">
        <f t="shared" si="19"/>
        <v>3.04E-2</v>
      </c>
      <c r="I180" s="24">
        <f t="shared" si="20"/>
        <v>45018</v>
      </c>
      <c r="J180" s="29">
        <f t="shared" si="21"/>
        <v>4.2140000000000004E-2</v>
      </c>
      <c r="K180" s="24">
        <f t="shared" si="22"/>
        <v>44664</v>
      </c>
      <c r="L180" s="29">
        <v>1.0999999999999999E-2</v>
      </c>
      <c r="P180" s="24">
        <v>45018</v>
      </c>
      <c r="Q180" s="29">
        <v>3.9140000000000001E-2</v>
      </c>
      <c r="R180" s="24">
        <v>45018</v>
      </c>
      <c r="S180" s="29">
        <v>3.9140000000000001E-2</v>
      </c>
      <c r="T180" s="24">
        <v>44664</v>
      </c>
      <c r="U180" s="29">
        <v>1.0999999999999999E-2</v>
      </c>
    </row>
    <row r="181" spans="7:21" ht="18" customHeight="1" x14ac:dyDescent="0.4">
      <c r="G181" s="24">
        <f t="shared" si="18"/>
        <v>45019</v>
      </c>
      <c r="H181" s="29">
        <f t="shared" si="19"/>
        <v>3.04E-2</v>
      </c>
      <c r="I181" s="24">
        <f t="shared" si="20"/>
        <v>45019</v>
      </c>
      <c r="J181" s="29">
        <f t="shared" si="21"/>
        <v>4.2140000000000004E-2</v>
      </c>
      <c r="K181" s="24">
        <f t="shared" si="22"/>
        <v>44665</v>
      </c>
      <c r="L181" s="29">
        <v>1.0999999999999999E-2</v>
      </c>
      <c r="P181" s="24">
        <v>45019</v>
      </c>
      <c r="Q181" s="29">
        <v>3.9140000000000001E-2</v>
      </c>
      <c r="R181" s="24">
        <v>45019</v>
      </c>
      <c r="S181" s="29">
        <v>3.9140000000000001E-2</v>
      </c>
      <c r="T181" s="24">
        <v>44665</v>
      </c>
      <c r="U181" s="29">
        <v>1.0999999999999999E-2</v>
      </c>
    </row>
    <row r="182" spans="7:21" ht="18" customHeight="1" x14ac:dyDescent="0.4">
      <c r="G182" s="24">
        <f t="shared" si="18"/>
        <v>45020</v>
      </c>
      <c r="H182" s="29">
        <f t="shared" si="19"/>
        <v>3.04E-2</v>
      </c>
      <c r="I182" s="24">
        <f t="shared" si="20"/>
        <v>45020</v>
      </c>
      <c r="J182" s="29">
        <f t="shared" si="21"/>
        <v>4.2140000000000004E-2</v>
      </c>
      <c r="K182" s="24">
        <f t="shared" si="22"/>
        <v>44666</v>
      </c>
      <c r="L182" s="29">
        <v>1.0999999999999999E-2</v>
      </c>
      <c r="P182" s="24">
        <v>45020</v>
      </c>
      <c r="Q182" s="29">
        <v>3.9140000000000001E-2</v>
      </c>
      <c r="R182" s="24">
        <v>45020</v>
      </c>
      <c r="S182" s="29">
        <v>3.9140000000000001E-2</v>
      </c>
      <c r="T182" s="24">
        <v>44666</v>
      </c>
      <c r="U182" s="29">
        <v>1.0999999999999999E-2</v>
      </c>
    </row>
    <row r="183" spans="7:21" ht="18" customHeight="1" x14ac:dyDescent="0.4">
      <c r="G183" s="24">
        <f t="shared" si="18"/>
        <v>45021</v>
      </c>
      <c r="H183" s="29">
        <f t="shared" si="19"/>
        <v>3.04E-2</v>
      </c>
      <c r="I183" s="24">
        <f t="shared" si="20"/>
        <v>45021</v>
      </c>
      <c r="J183" s="29">
        <f t="shared" si="21"/>
        <v>4.2140000000000004E-2</v>
      </c>
      <c r="K183" s="24">
        <f t="shared" si="22"/>
        <v>44667</v>
      </c>
      <c r="L183" s="29">
        <v>1.0999999999999999E-2</v>
      </c>
      <c r="P183" s="24">
        <v>45021</v>
      </c>
      <c r="Q183" s="29">
        <v>3.9140000000000001E-2</v>
      </c>
      <c r="R183" s="24">
        <v>45021</v>
      </c>
      <c r="S183" s="29">
        <v>3.9140000000000001E-2</v>
      </c>
      <c r="T183" s="24">
        <v>44667</v>
      </c>
      <c r="U183" s="29">
        <v>1.0999999999999999E-2</v>
      </c>
    </row>
    <row r="184" spans="7:21" ht="18" customHeight="1" x14ac:dyDescent="0.4">
      <c r="G184" s="24">
        <f t="shared" si="18"/>
        <v>45022</v>
      </c>
      <c r="H184" s="29">
        <f t="shared" si="19"/>
        <v>3.04E-2</v>
      </c>
      <c r="I184" s="24">
        <f t="shared" si="20"/>
        <v>45022</v>
      </c>
      <c r="J184" s="29">
        <f t="shared" si="21"/>
        <v>4.2140000000000004E-2</v>
      </c>
      <c r="K184" s="24">
        <f t="shared" si="22"/>
        <v>44668</v>
      </c>
      <c r="L184" s="29">
        <v>1.0999999999999999E-2</v>
      </c>
      <c r="P184" s="24">
        <v>45022</v>
      </c>
      <c r="Q184" s="29">
        <v>3.9140000000000001E-2</v>
      </c>
      <c r="R184" s="24">
        <v>45022</v>
      </c>
      <c r="S184" s="29">
        <v>3.9140000000000001E-2</v>
      </c>
      <c r="T184" s="24">
        <v>44668</v>
      </c>
      <c r="U184" s="29">
        <v>1.0999999999999999E-2</v>
      </c>
    </row>
    <row r="185" spans="7:21" ht="18" customHeight="1" x14ac:dyDescent="0.4">
      <c r="G185" s="24">
        <f t="shared" si="18"/>
        <v>45023</v>
      </c>
      <c r="H185" s="29">
        <f t="shared" si="19"/>
        <v>3.04E-2</v>
      </c>
      <c r="I185" s="24">
        <f t="shared" si="20"/>
        <v>45023</v>
      </c>
      <c r="J185" s="29">
        <f t="shared" si="21"/>
        <v>4.2140000000000004E-2</v>
      </c>
      <c r="K185" s="24">
        <f t="shared" si="22"/>
        <v>44669</v>
      </c>
      <c r="L185" s="29">
        <v>1.0999999999999999E-2</v>
      </c>
      <c r="P185" s="24">
        <v>45023</v>
      </c>
      <c r="Q185" s="29">
        <v>3.9140000000000001E-2</v>
      </c>
      <c r="R185" s="24">
        <v>45023</v>
      </c>
      <c r="S185" s="29">
        <v>3.9140000000000001E-2</v>
      </c>
      <c r="T185" s="24">
        <v>44669</v>
      </c>
      <c r="U185" s="29">
        <v>1.0999999999999999E-2</v>
      </c>
    </row>
    <row r="186" spans="7:21" ht="18" customHeight="1" x14ac:dyDescent="0.4">
      <c r="G186" s="24">
        <f t="shared" si="18"/>
        <v>45024</v>
      </c>
      <c r="H186" s="29">
        <f t="shared" si="19"/>
        <v>3.04E-2</v>
      </c>
      <c r="I186" s="24">
        <f t="shared" si="20"/>
        <v>45024</v>
      </c>
      <c r="J186" s="29">
        <f t="shared" si="21"/>
        <v>4.2140000000000004E-2</v>
      </c>
      <c r="K186" s="24">
        <f t="shared" si="22"/>
        <v>44670</v>
      </c>
      <c r="L186" s="29">
        <v>1.0999999999999999E-2</v>
      </c>
      <c r="P186" s="24">
        <v>45024</v>
      </c>
      <c r="Q186" s="29">
        <v>3.9140000000000001E-2</v>
      </c>
      <c r="R186" s="24">
        <v>45024</v>
      </c>
      <c r="S186" s="29">
        <v>3.9140000000000001E-2</v>
      </c>
      <c r="T186" s="24">
        <v>44670</v>
      </c>
      <c r="U186" s="29">
        <v>1.0999999999999999E-2</v>
      </c>
    </row>
    <row r="187" spans="7:21" ht="18" customHeight="1" x14ac:dyDescent="0.4">
      <c r="G187" s="24">
        <f t="shared" si="18"/>
        <v>45025</v>
      </c>
      <c r="H187" s="29">
        <f t="shared" si="19"/>
        <v>3.04E-2</v>
      </c>
      <c r="I187" s="24">
        <f t="shared" si="20"/>
        <v>45025</v>
      </c>
      <c r="J187" s="29">
        <f t="shared" si="21"/>
        <v>4.2140000000000004E-2</v>
      </c>
      <c r="K187" s="24">
        <f t="shared" si="22"/>
        <v>44671</v>
      </c>
      <c r="L187" s="29">
        <v>1.0999999999999999E-2</v>
      </c>
      <c r="P187" s="24">
        <v>45025</v>
      </c>
      <c r="Q187" s="29">
        <v>3.9140000000000001E-2</v>
      </c>
      <c r="R187" s="24">
        <v>45025</v>
      </c>
      <c r="S187" s="29">
        <v>3.9140000000000001E-2</v>
      </c>
      <c r="T187" s="24">
        <v>44671</v>
      </c>
      <c r="U187" s="29">
        <v>1.0999999999999999E-2</v>
      </c>
    </row>
    <row r="188" spans="7:21" ht="18" customHeight="1" x14ac:dyDescent="0.4">
      <c r="G188" s="24">
        <f t="shared" si="18"/>
        <v>45026</v>
      </c>
      <c r="H188" s="29">
        <f t="shared" si="19"/>
        <v>3.04E-2</v>
      </c>
      <c r="I188" s="24">
        <f t="shared" si="20"/>
        <v>45026</v>
      </c>
      <c r="J188" s="29">
        <f t="shared" si="21"/>
        <v>4.2140000000000004E-2</v>
      </c>
      <c r="K188" s="24">
        <f t="shared" si="22"/>
        <v>44672</v>
      </c>
      <c r="L188" s="29">
        <v>1.0999999999999999E-2</v>
      </c>
      <c r="P188" s="24">
        <v>45026</v>
      </c>
      <c r="Q188" s="29">
        <v>3.9140000000000001E-2</v>
      </c>
      <c r="R188" s="24">
        <v>45026</v>
      </c>
      <c r="S188" s="29">
        <v>3.9140000000000001E-2</v>
      </c>
      <c r="T188" s="24">
        <v>44672</v>
      </c>
      <c r="U188" s="29">
        <v>1.0999999999999999E-2</v>
      </c>
    </row>
    <row r="189" spans="7:21" ht="18" customHeight="1" x14ac:dyDescent="0.4">
      <c r="G189" s="24">
        <f t="shared" si="18"/>
        <v>45027</v>
      </c>
      <c r="H189" s="29">
        <f t="shared" si="19"/>
        <v>3.04E-2</v>
      </c>
      <c r="I189" s="24">
        <f t="shared" si="20"/>
        <v>45027</v>
      </c>
      <c r="J189" s="29">
        <f t="shared" si="21"/>
        <v>4.2140000000000004E-2</v>
      </c>
      <c r="K189" s="24">
        <f t="shared" si="22"/>
        <v>44673</v>
      </c>
      <c r="L189" s="29">
        <v>1.0999999999999999E-2</v>
      </c>
      <c r="P189" s="24">
        <v>45027</v>
      </c>
      <c r="Q189" s="29">
        <v>3.9140000000000001E-2</v>
      </c>
      <c r="R189" s="24">
        <v>45027</v>
      </c>
      <c r="S189" s="29">
        <v>3.9140000000000001E-2</v>
      </c>
      <c r="T189" s="24">
        <v>44673</v>
      </c>
      <c r="U189" s="29">
        <v>1.0999999999999999E-2</v>
      </c>
    </row>
    <row r="190" spans="7:21" ht="18" customHeight="1" x14ac:dyDescent="0.4">
      <c r="G190" s="24">
        <f t="shared" si="18"/>
        <v>45028</v>
      </c>
      <c r="H190" s="29">
        <f t="shared" si="19"/>
        <v>3.04E-2</v>
      </c>
      <c r="I190" s="24">
        <f t="shared" si="20"/>
        <v>45028</v>
      </c>
      <c r="J190" s="29">
        <f t="shared" si="21"/>
        <v>4.2140000000000004E-2</v>
      </c>
      <c r="K190" s="24">
        <f t="shared" si="22"/>
        <v>44674</v>
      </c>
      <c r="L190" s="29">
        <v>1.0999999999999999E-2</v>
      </c>
      <c r="P190" s="24">
        <v>45028</v>
      </c>
      <c r="Q190" s="29">
        <v>3.9140000000000001E-2</v>
      </c>
      <c r="R190" s="24">
        <v>45028</v>
      </c>
      <c r="S190" s="29">
        <v>3.9140000000000001E-2</v>
      </c>
      <c r="T190" s="24">
        <v>44674</v>
      </c>
      <c r="U190" s="29">
        <v>1.0999999999999999E-2</v>
      </c>
    </row>
    <row r="191" spans="7:21" ht="18" customHeight="1" x14ac:dyDescent="0.4">
      <c r="G191" s="24">
        <f t="shared" si="18"/>
        <v>45029</v>
      </c>
      <c r="H191" s="29">
        <f t="shared" si="19"/>
        <v>3.04E-2</v>
      </c>
      <c r="I191" s="24">
        <f t="shared" si="20"/>
        <v>45029</v>
      </c>
      <c r="J191" s="29">
        <f t="shared" si="21"/>
        <v>4.2140000000000004E-2</v>
      </c>
      <c r="K191" s="24">
        <f t="shared" si="22"/>
        <v>44675</v>
      </c>
      <c r="L191" s="29">
        <v>1.0999999999999999E-2</v>
      </c>
      <c r="P191" s="24">
        <v>45029</v>
      </c>
      <c r="Q191" s="29">
        <v>3.9140000000000001E-2</v>
      </c>
      <c r="R191" s="24">
        <v>45029</v>
      </c>
      <c r="S191" s="29">
        <v>3.9140000000000001E-2</v>
      </c>
      <c r="T191" s="24">
        <v>44675</v>
      </c>
      <c r="U191" s="29">
        <v>1.0999999999999999E-2</v>
      </c>
    </row>
    <row r="192" spans="7:21" ht="18" customHeight="1" x14ac:dyDescent="0.4">
      <c r="G192" s="24">
        <f t="shared" si="18"/>
        <v>45030</v>
      </c>
      <c r="H192" s="29">
        <f t="shared" si="19"/>
        <v>3.04E-2</v>
      </c>
      <c r="I192" s="24">
        <f t="shared" si="20"/>
        <v>45030</v>
      </c>
      <c r="J192" s="29">
        <f t="shared" si="21"/>
        <v>4.2140000000000004E-2</v>
      </c>
      <c r="K192" s="24">
        <f t="shared" si="22"/>
        <v>44676</v>
      </c>
      <c r="L192" s="29">
        <v>1.0999999999999999E-2</v>
      </c>
      <c r="P192" s="24">
        <v>45030</v>
      </c>
      <c r="Q192" s="29">
        <v>3.9140000000000001E-2</v>
      </c>
      <c r="R192" s="24">
        <v>45030</v>
      </c>
      <c r="S192" s="29">
        <v>3.9140000000000001E-2</v>
      </c>
      <c r="T192" s="24">
        <v>44676</v>
      </c>
      <c r="U192" s="29">
        <v>1.0999999999999999E-2</v>
      </c>
    </row>
    <row r="193" spans="7:21" ht="18" customHeight="1" x14ac:dyDescent="0.4">
      <c r="G193" s="24">
        <f t="shared" si="18"/>
        <v>45031</v>
      </c>
      <c r="H193" s="29">
        <f t="shared" si="19"/>
        <v>3.04E-2</v>
      </c>
      <c r="I193" s="24">
        <f t="shared" si="20"/>
        <v>45031</v>
      </c>
      <c r="J193" s="29">
        <f t="shared" si="21"/>
        <v>4.2140000000000004E-2</v>
      </c>
      <c r="K193" s="24">
        <f t="shared" si="22"/>
        <v>44677</v>
      </c>
      <c r="L193" s="29">
        <v>1.0999999999999999E-2</v>
      </c>
      <c r="P193" s="24">
        <v>45031</v>
      </c>
      <c r="Q193" s="29">
        <v>3.9140000000000001E-2</v>
      </c>
      <c r="R193" s="24">
        <v>45031</v>
      </c>
      <c r="S193" s="29">
        <v>3.9140000000000001E-2</v>
      </c>
      <c r="T193" s="24">
        <v>44677</v>
      </c>
      <c r="U193" s="29">
        <v>1.0999999999999999E-2</v>
      </c>
    </row>
    <row r="194" spans="7:21" ht="18" customHeight="1" x14ac:dyDescent="0.4">
      <c r="G194" s="24">
        <f t="shared" si="18"/>
        <v>45032</v>
      </c>
      <c r="H194" s="29">
        <f t="shared" si="19"/>
        <v>3.04E-2</v>
      </c>
      <c r="I194" s="24">
        <f t="shared" si="20"/>
        <v>45032</v>
      </c>
      <c r="J194" s="29">
        <f t="shared" si="21"/>
        <v>4.2140000000000004E-2</v>
      </c>
      <c r="K194" s="24">
        <f t="shared" si="22"/>
        <v>44678</v>
      </c>
      <c r="L194" s="29">
        <v>1.0999999999999999E-2</v>
      </c>
      <c r="P194" s="24">
        <v>45032</v>
      </c>
      <c r="Q194" s="29">
        <v>3.9140000000000001E-2</v>
      </c>
      <c r="R194" s="24">
        <v>45032</v>
      </c>
      <c r="S194" s="29">
        <v>3.9140000000000001E-2</v>
      </c>
      <c r="T194" s="24">
        <v>44678</v>
      </c>
      <c r="U194" s="29">
        <v>1.0999999999999999E-2</v>
      </c>
    </row>
    <row r="195" spans="7:21" ht="18" customHeight="1" x14ac:dyDescent="0.4">
      <c r="G195" s="24">
        <f t="shared" si="18"/>
        <v>45033</v>
      </c>
      <c r="H195" s="29">
        <f t="shared" si="19"/>
        <v>3.04E-2</v>
      </c>
      <c r="I195" s="24">
        <f t="shared" si="20"/>
        <v>45033</v>
      </c>
      <c r="J195" s="29">
        <f t="shared" si="21"/>
        <v>4.2140000000000004E-2</v>
      </c>
      <c r="K195" s="24">
        <f t="shared" si="22"/>
        <v>44679</v>
      </c>
      <c r="L195" s="29">
        <v>1.0999999999999999E-2</v>
      </c>
      <c r="P195" s="24">
        <v>45033</v>
      </c>
      <c r="Q195" s="29">
        <v>3.9140000000000001E-2</v>
      </c>
      <c r="R195" s="24">
        <v>45033</v>
      </c>
      <c r="S195" s="29">
        <v>3.9140000000000001E-2</v>
      </c>
      <c r="T195" s="24">
        <v>44679</v>
      </c>
      <c r="U195" s="29">
        <v>1.0999999999999999E-2</v>
      </c>
    </row>
    <row r="196" spans="7:21" ht="18" customHeight="1" x14ac:dyDescent="0.4">
      <c r="G196" s="24">
        <f t="shared" si="18"/>
        <v>45034</v>
      </c>
      <c r="H196" s="29">
        <f t="shared" si="19"/>
        <v>3.04E-2</v>
      </c>
      <c r="I196" s="24">
        <f t="shared" si="20"/>
        <v>45034</v>
      </c>
      <c r="J196" s="29">
        <f t="shared" si="21"/>
        <v>4.2140000000000004E-2</v>
      </c>
      <c r="K196" s="24">
        <f t="shared" si="22"/>
        <v>44680</v>
      </c>
      <c r="L196" s="29">
        <v>1.0999999999999999E-2</v>
      </c>
      <c r="P196" s="24">
        <v>45034</v>
      </c>
      <c r="Q196" s="29">
        <v>3.9140000000000001E-2</v>
      </c>
      <c r="R196" s="24">
        <v>45034</v>
      </c>
      <c r="S196" s="29">
        <v>3.9140000000000001E-2</v>
      </c>
      <c r="T196" s="24">
        <v>44680</v>
      </c>
      <c r="U196" s="29">
        <v>1.0999999999999999E-2</v>
      </c>
    </row>
    <row r="197" spans="7:21" ht="18" customHeight="1" x14ac:dyDescent="0.4">
      <c r="G197" s="24">
        <f t="shared" si="18"/>
        <v>45035</v>
      </c>
      <c r="H197" s="29">
        <f t="shared" si="19"/>
        <v>3.04E-2</v>
      </c>
      <c r="I197" s="24">
        <f t="shared" si="20"/>
        <v>45035</v>
      </c>
      <c r="J197" s="29">
        <f t="shared" si="21"/>
        <v>4.2140000000000004E-2</v>
      </c>
      <c r="K197" s="24">
        <f t="shared" si="22"/>
        <v>44681</v>
      </c>
      <c r="L197" s="29">
        <v>1.0999999999999999E-2</v>
      </c>
      <c r="P197" s="24">
        <v>45035</v>
      </c>
      <c r="Q197" s="29">
        <v>3.9140000000000001E-2</v>
      </c>
      <c r="R197" s="24">
        <v>45035</v>
      </c>
      <c r="S197" s="29">
        <v>3.9140000000000001E-2</v>
      </c>
      <c r="T197" s="24">
        <v>44681</v>
      </c>
      <c r="U197" s="29">
        <v>1.0999999999999999E-2</v>
      </c>
    </row>
    <row r="198" spans="7:21" ht="18" customHeight="1" x14ac:dyDescent="0.4">
      <c r="G198" s="24">
        <f t="shared" si="18"/>
        <v>45036</v>
      </c>
      <c r="H198" s="29">
        <f t="shared" si="19"/>
        <v>3.04E-2</v>
      </c>
      <c r="I198" s="24">
        <f t="shared" si="20"/>
        <v>45036</v>
      </c>
      <c r="J198" s="29">
        <f t="shared" si="21"/>
        <v>4.2140000000000004E-2</v>
      </c>
      <c r="K198" s="24">
        <f t="shared" si="22"/>
        <v>44682</v>
      </c>
      <c r="L198" s="29">
        <v>1.0999999999999999E-2</v>
      </c>
      <c r="P198" s="24">
        <v>45036</v>
      </c>
      <c r="Q198" s="29">
        <v>3.9140000000000001E-2</v>
      </c>
      <c r="R198" s="24">
        <v>45036</v>
      </c>
      <c r="S198" s="29">
        <v>3.9140000000000001E-2</v>
      </c>
      <c r="T198" s="24">
        <v>44682</v>
      </c>
      <c r="U198" s="29">
        <v>1.0999999999999999E-2</v>
      </c>
    </row>
    <row r="199" spans="7:21" ht="18" customHeight="1" x14ac:dyDescent="0.4">
      <c r="G199" s="24">
        <f t="shared" ref="G199:G217" si="23">G198+1</f>
        <v>45037</v>
      </c>
      <c r="H199" s="29">
        <f t="shared" ref="H199:H217" si="24">H198</f>
        <v>3.04E-2</v>
      </c>
      <c r="I199" s="24">
        <f t="shared" ref="I199:I217" si="25">I198+1</f>
        <v>45037</v>
      </c>
      <c r="J199" s="29">
        <f t="shared" ref="J199:J217" si="26">J198</f>
        <v>4.2140000000000004E-2</v>
      </c>
      <c r="K199" s="24">
        <f t="shared" si="22"/>
        <v>44683</v>
      </c>
      <c r="L199" s="29">
        <v>1.0999999999999999E-2</v>
      </c>
      <c r="P199" s="24">
        <v>45037</v>
      </c>
      <c r="Q199" s="29">
        <v>3.9140000000000001E-2</v>
      </c>
      <c r="R199" s="24">
        <v>45037</v>
      </c>
      <c r="S199" s="29">
        <v>3.9140000000000001E-2</v>
      </c>
      <c r="T199" s="24">
        <v>44683</v>
      </c>
      <c r="U199" s="29">
        <v>1.0999999999999999E-2</v>
      </c>
    </row>
    <row r="200" spans="7:21" ht="18" customHeight="1" x14ac:dyDescent="0.4">
      <c r="G200" s="24">
        <f t="shared" si="23"/>
        <v>45038</v>
      </c>
      <c r="H200" s="29">
        <f t="shared" si="24"/>
        <v>3.04E-2</v>
      </c>
      <c r="I200" s="24">
        <f t="shared" si="25"/>
        <v>45038</v>
      </c>
      <c r="J200" s="29">
        <f t="shared" si="26"/>
        <v>4.2140000000000004E-2</v>
      </c>
      <c r="K200" s="24">
        <f t="shared" si="22"/>
        <v>44684</v>
      </c>
      <c r="L200" s="29">
        <v>1.0999999999999999E-2</v>
      </c>
      <c r="P200" s="24">
        <v>45038</v>
      </c>
      <c r="Q200" s="29">
        <v>3.9140000000000001E-2</v>
      </c>
      <c r="R200" s="24">
        <v>45038</v>
      </c>
      <c r="S200" s="29">
        <v>3.9140000000000001E-2</v>
      </c>
      <c r="T200" s="24">
        <v>44684</v>
      </c>
      <c r="U200" s="29">
        <v>1.0999999999999999E-2</v>
      </c>
    </row>
    <row r="201" spans="7:21" ht="18" customHeight="1" x14ac:dyDescent="0.4">
      <c r="G201" s="24">
        <f t="shared" si="23"/>
        <v>45039</v>
      </c>
      <c r="H201" s="29">
        <f t="shared" si="24"/>
        <v>3.04E-2</v>
      </c>
      <c r="I201" s="24">
        <f t="shared" si="25"/>
        <v>45039</v>
      </c>
      <c r="J201" s="29">
        <f t="shared" si="26"/>
        <v>4.2140000000000004E-2</v>
      </c>
      <c r="K201" s="24">
        <f t="shared" ref="K201:K217" si="27">K200+1</f>
        <v>44685</v>
      </c>
      <c r="L201" s="29">
        <v>1.0999999999999999E-2</v>
      </c>
      <c r="P201" s="24">
        <v>45039</v>
      </c>
      <c r="Q201" s="29">
        <v>3.9140000000000001E-2</v>
      </c>
      <c r="R201" s="24">
        <v>45039</v>
      </c>
      <c r="S201" s="29">
        <v>3.9140000000000001E-2</v>
      </c>
      <c r="T201" s="24">
        <v>44685</v>
      </c>
      <c r="U201" s="29">
        <v>1.0999999999999999E-2</v>
      </c>
    </row>
    <row r="202" spans="7:21" ht="18" customHeight="1" x14ac:dyDescent="0.4">
      <c r="G202" s="24">
        <f t="shared" si="23"/>
        <v>45040</v>
      </c>
      <c r="H202" s="29">
        <f t="shared" si="24"/>
        <v>3.04E-2</v>
      </c>
      <c r="I202" s="24">
        <f t="shared" si="25"/>
        <v>45040</v>
      </c>
      <c r="J202" s="29">
        <f t="shared" si="26"/>
        <v>4.2140000000000004E-2</v>
      </c>
      <c r="K202" s="24">
        <f t="shared" si="27"/>
        <v>44686</v>
      </c>
      <c r="L202" s="29">
        <v>1.0999999999999999E-2</v>
      </c>
      <c r="P202" s="24">
        <v>45040</v>
      </c>
      <c r="Q202" s="29">
        <v>3.9140000000000001E-2</v>
      </c>
      <c r="R202" s="24">
        <v>45040</v>
      </c>
      <c r="S202" s="29">
        <v>3.9140000000000001E-2</v>
      </c>
      <c r="T202" s="24">
        <v>44686</v>
      </c>
      <c r="U202" s="29">
        <v>1.0999999999999999E-2</v>
      </c>
    </row>
    <row r="203" spans="7:21" ht="18" customHeight="1" x14ac:dyDescent="0.4">
      <c r="G203" s="24">
        <f t="shared" si="23"/>
        <v>45041</v>
      </c>
      <c r="H203" s="29">
        <f t="shared" si="24"/>
        <v>3.04E-2</v>
      </c>
      <c r="I203" s="24">
        <f t="shared" si="25"/>
        <v>45041</v>
      </c>
      <c r="J203" s="29">
        <f t="shared" si="26"/>
        <v>4.2140000000000004E-2</v>
      </c>
      <c r="K203" s="24">
        <f t="shared" si="27"/>
        <v>44687</v>
      </c>
      <c r="L203" s="29">
        <v>1.0999999999999999E-2</v>
      </c>
      <c r="P203" s="24">
        <v>45041</v>
      </c>
      <c r="Q203" s="29">
        <v>3.9140000000000001E-2</v>
      </c>
      <c r="R203" s="24">
        <v>45041</v>
      </c>
      <c r="S203" s="29">
        <v>3.9140000000000001E-2</v>
      </c>
      <c r="T203" s="24">
        <v>44687</v>
      </c>
      <c r="U203" s="29">
        <v>1.0999999999999999E-2</v>
      </c>
    </row>
    <row r="204" spans="7:21" ht="18" customHeight="1" x14ac:dyDescent="0.4">
      <c r="G204" s="24">
        <f t="shared" si="23"/>
        <v>45042</v>
      </c>
      <c r="H204" s="29">
        <f t="shared" si="24"/>
        <v>3.04E-2</v>
      </c>
      <c r="I204" s="24">
        <f t="shared" si="25"/>
        <v>45042</v>
      </c>
      <c r="J204" s="29">
        <f t="shared" si="26"/>
        <v>4.2140000000000004E-2</v>
      </c>
      <c r="K204" s="24">
        <f t="shared" si="27"/>
        <v>44688</v>
      </c>
      <c r="L204" s="29">
        <v>1.0999999999999999E-2</v>
      </c>
      <c r="P204" s="24">
        <v>45042</v>
      </c>
      <c r="Q204" s="29">
        <v>3.9140000000000001E-2</v>
      </c>
      <c r="R204" s="24">
        <v>45042</v>
      </c>
      <c r="S204" s="29">
        <v>3.9140000000000001E-2</v>
      </c>
      <c r="T204" s="24">
        <v>44688</v>
      </c>
      <c r="U204" s="29">
        <v>1.0999999999999999E-2</v>
      </c>
    </row>
    <row r="205" spans="7:21" ht="18" customHeight="1" x14ac:dyDescent="0.4">
      <c r="G205" s="24">
        <f t="shared" si="23"/>
        <v>45043</v>
      </c>
      <c r="H205" s="29">
        <f t="shared" si="24"/>
        <v>3.04E-2</v>
      </c>
      <c r="I205" s="24">
        <f t="shared" si="25"/>
        <v>45043</v>
      </c>
      <c r="J205" s="29">
        <f t="shared" si="26"/>
        <v>4.2140000000000004E-2</v>
      </c>
      <c r="K205" s="24">
        <f t="shared" si="27"/>
        <v>44689</v>
      </c>
      <c r="L205" s="29">
        <v>1.0999999999999999E-2</v>
      </c>
      <c r="P205" s="24">
        <v>45043</v>
      </c>
      <c r="Q205" s="29">
        <v>3.9140000000000001E-2</v>
      </c>
      <c r="R205" s="24">
        <v>45043</v>
      </c>
      <c r="S205" s="29">
        <v>3.9140000000000001E-2</v>
      </c>
      <c r="T205" s="24">
        <v>44689</v>
      </c>
      <c r="U205" s="29">
        <v>1.0999999999999999E-2</v>
      </c>
    </row>
    <row r="206" spans="7:21" ht="18" customHeight="1" x14ac:dyDescent="0.4">
      <c r="G206" s="24">
        <f t="shared" si="23"/>
        <v>45044</v>
      </c>
      <c r="H206" s="29">
        <f t="shared" si="24"/>
        <v>3.04E-2</v>
      </c>
      <c r="I206" s="24">
        <f t="shared" si="25"/>
        <v>45044</v>
      </c>
      <c r="J206" s="29">
        <f t="shared" si="26"/>
        <v>4.2140000000000004E-2</v>
      </c>
      <c r="K206" s="24">
        <f t="shared" si="27"/>
        <v>44690</v>
      </c>
      <c r="L206" s="29">
        <v>1.0999999999999999E-2</v>
      </c>
      <c r="P206" s="24">
        <v>45044</v>
      </c>
      <c r="Q206" s="29">
        <v>3.9140000000000001E-2</v>
      </c>
      <c r="R206" s="24">
        <v>45044</v>
      </c>
      <c r="S206" s="29">
        <v>3.9140000000000001E-2</v>
      </c>
      <c r="T206" s="24">
        <v>44690</v>
      </c>
      <c r="U206" s="29">
        <v>1.0999999999999999E-2</v>
      </c>
    </row>
    <row r="207" spans="7:21" ht="18" customHeight="1" x14ac:dyDescent="0.4">
      <c r="G207" s="24">
        <f t="shared" si="23"/>
        <v>45045</v>
      </c>
      <c r="H207" s="29">
        <f t="shared" si="24"/>
        <v>3.04E-2</v>
      </c>
      <c r="I207" s="24">
        <f t="shared" si="25"/>
        <v>45045</v>
      </c>
      <c r="J207" s="29">
        <f t="shared" si="26"/>
        <v>4.2140000000000004E-2</v>
      </c>
      <c r="K207" s="24">
        <f t="shared" si="27"/>
        <v>44691</v>
      </c>
      <c r="L207" s="29">
        <v>1.0999999999999999E-2</v>
      </c>
      <c r="P207" s="24">
        <v>45045</v>
      </c>
      <c r="Q207" s="29">
        <v>3.9140000000000001E-2</v>
      </c>
      <c r="R207" s="24">
        <v>45045</v>
      </c>
      <c r="S207" s="29">
        <v>3.9140000000000001E-2</v>
      </c>
      <c r="T207" s="24">
        <v>44691</v>
      </c>
      <c r="U207" s="29">
        <v>1.0999999999999999E-2</v>
      </c>
    </row>
    <row r="208" spans="7:21" ht="18" customHeight="1" x14ac:dyDescent="0.4">
      <c r="G208" s="24">
        <f t="shared" si="23"/>
        <v>45046</v>
      </c>
      <c r="H208" s="29">
        <f t="shared" si="24"/>
        <v>3.04E-2</v>
      </c>
      <c r="I208" s="24">
        <f t="shared" si="25"/>
        <v>45046</v>
      </c>
      <c r="J208" s="29">
        <f t="shared" si="26"/>
        <v>4.2140000000000004E-2</v>
      </c>
      <c r="K208" s="24">
        <f t="shared" si="27"/>
        <v>44692</v>
      </c>
      <c r="L208" s="29">
        <v>1.0999999999999999E-2</v>
      </c>
      <c r="P208" s="24">
        <v>45046</v>
      </c>
      <c r="Q208" s="29">
        <v>3.9140000000000001E-2</v>
      </c>
      <c r="R208" s="24">
        <v>45046</v>
      </c>
      <c r="S208" s="29">
        <v>3.9140000000000001E-2</v>
      </c>
      <c r="T208" s="24">
        <v>44692</v>
      </c>
      <c r="U208" s="29">
        <v>1.0999999999999999E-2</v>
      </c>
    </row>
    <row r="209" spans="7:21" ht="18" customHeight="1" x14ac:dyDescent="0.4">
      <c r="G209" s="24">
        <f t="shared" si="23"/>
        <v>45047</v>
      </c>
      <c r="H209" s="29">
        <f t="shared" si="24"/>
        <v>3.04E-2</v>
      </c>
      <c r="I209" s="24">
        <f t="shared" si="25"/>
        <v>45047</v>
      </c>
      <c r="J209" s="29">
        <f t="shared" si="26"/>
        <v>4.2140000000000004E-2</v>
      </c>
      <c r="K209" s="24">
        <f t="shared" si="27"/>
        <v>44693</v>
      </c>
      <c r="L209" s="29">
        <v>1.0999999999999999E-2</v>
      </c>
      <c r="P209" s="24">
        <v>45047</v>
      </c>
      <c r="Q209" s="29">
        <v>3.9140000000000001E-2</v>
      </c>
      <c r="R209" s="24">
        <v>45047</v>
      </c>
      <c r="S209" s="29">
        <v>3.9140000000000001E-2</v>
      </c>
      <c r="T209" s="24">
        <v>44693</v>
      </c>
      <c r="U209" s="29">
        <v>1.0999999999999999E-2</v>
      </c>
    </row>
    <row r="210" spans="7:21" ht="18" customHeight="1" x14ac:dyDescent="0.4">
      <c r="G210" s="24">
        <f t="shared" si="23"/>
        <v>45048</v>
      </c>
      <c r="H210" s="29">
        <f t="shared" si="24"/>
        <v>3.04E-2</v>
      </c>
      <c r="I210" s="24">
        <f t="shared" si="25"/>
        <v>45048</v>
      </c>
      <c r="J210" s="29">
        <f t="shared" si="26"/>
        <v>4.2140000000000004E-2</v>
      </c>
      <c r="K210" s="24">
        <f t="shared" si="27"/>
        <v>44694</v>
      </c>
      <c r="L210" s="29">
        <v>1.0999999999999999E-2</v>
      </c>
      <c r="P210" s="24">
        <v>45048</v>
      </c>
      <c r="Q210" s="29">
        <v>3.9140000000000001E-2</v>
      </c>
      <c r="R210" s="24">
        <v>45048</v>
      </c>
      <c r="S210" s="29">
        <v>3.9140000000000001E-2</v>
      </c>
      <c r="T210" s="24">
        <v>44694</v>
      </c>
      <c r="U210" s="29">
        <v>1.0999999999999999E-2</v>
      </c>
    </row>
    <row r="211" spans="7:21" ht="18" customHeight="1" x14ac:dyDescent="0.4">
      <c r="G211" s="24">
        <f t="shared" si="23"/>
        <v>45049</v>
      </c>
      <c r="H211" s="29">
        <f t="shared" si="24"/>
        <v>3.04E-2</v>
      </c>
      <c r="I211" s="24">
        <f t="shared" si="25"/>
        <v>45049</v>
      </c>
      <c r="J211" s="29">
        <f t="shared" si="26"/>
        <v>4.2140000000000004E-2</v>
      </c>
      <c r="K211" s="24">
        <f t="shared" si="27"/>
        <v>44695</v>
      </c>
      <c r="L211" s="29">
        <v>1.0999999999999999E-2</v>
      </c>
      <c r="P211" s="24">
        <v>45049</v>
      </c>
      <c r="Q211" s="29">
        <v>3.9140000000000001E-2</v>
      </c>
      <c r="R211" s="24">
        <v>45049</v>
      </c>
      <c r="S211" s="29">
        <v>3.9140000000000001E-2</v>
      </c>
      <c r="T211" s="24">
        <v>44695</v>
      </c>
      <c r="U211" s="29">
        <v>1.0999999999999999E-2</v>
      </c>
    </row>
    <row r="212" spans="7:21" ht="18" customHeight="1" x14ac:dyDescent="0.4">
      <c r="G212" s="24">
        <f t="shared" si="23"/>
        <v>45050</v>
      </c>
      <c r="H212" s="29">
        <f t="shared" si="24"/>
        <v>3.04E-2</v>
      </c>
      <c r="I212" s="24">
        <f t="shared" si="25"/>
        <v>45050</v>
      </c>
      <c r="J212" s="29">
        <f t="shared" si="26"/>
        <v>4.2140000000000004E-2</v>
      </c>
      <c r="K212" s="24">
        <f t="shared" si="27"/>
        <v>44696</v>
      </c>
      <c r="L212" s="29">
        <v>1.0999999999999999E-2</v>
      </c>
      <c r="P212" s="24">
        <v>45050</v>
      </c>
      <c r="Q212" s="29">
        <v>3.9140000000000001E-2</v>
      </c>
      <c r="R212" s="24">
        <v>45050</v>
      </c>
      <c r="S212" s="29">
        <v>3.9140000000000001E-2</v>
      </c>
      <c r="T212" s="24">
        <v>44696</v>
      </c>
      <c r="U212" s="29">
        <v>1.0999999999999999E-2</v>
      </c>
    </row>
    <row r="213" spans="7:21" ht="18" customHeight="1" x14ac:dyDescent="0.4">
      <c r="G213" s="24">
        <f t="shared" si="23"/>
        <v>45051</v>
      </c>
      <c r="H213" s="29">
        <f t="shared" si="24"/>
        <v>3.04E-2</v>
      </c>
      <c r="I213" s="24">
        <f t="shared" si="25"/>
        <v>45051</v>
      </c>
      <c r="J213" s="29">
        <f t="shared" si="26"/>
        <v>4.2140000000000004E-2</v>
      </c>
      <c r="K213" s="24">
        <f t="shared" si="27"/>
        <v>44697</v>
      </c>
      <c r="L213" s="29">
        <v>1.0999999999999999E-2</v>
      </c>
      <c r="P213" s="24">
        <v>45051</v>
      </c>
      <c r="Q213" s="29">
        <v>3.9140000000000001E-2</v>
      </c>
      <c r="R213" s="24">
        <v>45051</v>
      </c>
      <c r="S213" s="29">
        <v>3.9140000000000001E-2</v>
      </c>
      <c r="T213" s="24">
        <v>44697</v>
      </c>
      <c r="U213" s="29">
        <v>1.0999999999999999E-2</v>
      </c>
    </row>
    <row r="214" spans="7:21" ht="18" customHeight="1" x14ac:dyDescent="0.4">
      <c r="G214" s="24">
        <f t="shared" si="23"/>
        <v>45052</v>
      </c>
      <c r="H214" s="29">
        <f t="shared" si="24"/>
        <v>3.04E-2</v>
      </c>
      <c r="I214" s="24">
        <f t="shared" si="25"/>
        <v>45052</v>
      </c>
      <c r="J214" s="29">
        <f t="shared" si="26"/>
        <v>4.2140000000000004E-2</v>
      </c>
      <c r="K214" s="24">
        <f t="shared" si="27"/>
        <v>44698</v>
      </c>
      <c r="L214" s="29">
        <v>1.0999999999999999E-2</v>
      </c>
      <c r="P214" s="24">
        <v>45052</v>
      </c>
      <c r="Q214" s="29">
        <v>3.9140000000000001E-2</v>
      </c>
      <c r="R214" s="24">
        <v>45052</v>
      </c>
      <c r="S214" s="29">
        <v>3.9140000000000001E-2</v>
      </c>
      <c r="T214" s="24">
        <v>44698</v>
      </c>
      <c r="U214" s="29">
        <v>1.0999999999999999E-2</v>
      </c>
    </row>
    <row r="215" spans="7:21" ht="18" customHeight="1" x14ac:dyDescent="0.4">
      <c r="G215" s="24">
        <f t="shared" si="23"/>
        <v>45053</v>
      </c>
      <c r="H215" s="29">
        <f t="shared" si="24"/>
        <v>3.04E-2</v>
      </c>
      <c r="I215" s="24">
        <f t="shared" si="25"/>
        <v>45053</v>
      </c>
      <c r="J215" s="29">
        <f t="shared" si="26"/>
        <v>4.2140000000000004E-2</v>
      </c>
      <c r="K215" s="24">
        <f t="shared" si="27"/>
        <v>44699</v>
      </c>
      <c r="L215" s="29">
        <v>1.0999999999999999E-2</v>
      </c>
      <c r="P215" s="24">
        <v>45053</v>
      </c>
      <c r="Q215" s="29">
        <v>3.9140000000000001E-2</v>
      </c>
      <c r="R215" s="24">
        <v>45053</v>
      </c>
      <c r="S215" s="29">
        <v>3.9140000000000001E-2</v>
      </c>
      <c r="T215" s="24">
        <v>44699</v>
      </c>
      <c r="U215" s="29">
        <v>1.0999999999999999E-2</v>
      </c>
    </row>
    <row r="216" spans="7:21" ht="18" customHeight="1" x14ac:dyDescent="0.4">
      <c r="G216" s="24">
        <f t="shared" si="23"/>
        <v>45054</v>
      </c>
      <c r="H216" s="29">
        <f t="shared" si="24"/>
        <v>3.04E-2</v>
      </c>
      <c r="I216" s="24">
        <f t="shared" si="25"/>
        <v>45054</v>
      </c>
      <c r="J216" s="29">
        <f t="shared" si="26"/>
        <v>4.2140000000000004E-2</v>
      </c>
      <c r="K216" s="24">
        <f t="shared" si="27"/>
        <v>44700</v>
      </c>
      <c r="L216" s="29">
        <v>1.0999999999999999E-2</v>
      </c>
      <c r="P216" s="24">
        <v>45054</v>
      </c>
      <c r="Q216" s="29">
        <v>3.9140000000000001E-2</v>
      </c>
      <c r="R216" s="24">
        <v>45054</v>
      </c>
      <c r="S216" s="29">
        <v>3.9140000000000001E-2</v>
      </c>
      <c r="T216" s="24">
        <v>44700</v>
      </c>
      <c r="U216" s="29">
        <v>1.0999999999999999E-2</v>
      </c>
    </row>
    <row r="217" spans="7:21" ht="18" customHeight="1" x14ac:dyDescent="0.4">
      <c r="G217" s="24">
        <f t="shared" si="23"/>
        <v>45055</v>
      </c>
      <c r="H217" s="29">
        <f t="shared" si="24"/>
        <v>3.04E-2</v>
      </c>
      <c r="I217" s="24">
        <f t="shared" si="25"/>
        <v>45055</v>
      </c>
      <c r="J217" s="29">
        <f t="shared" si="26"/>
        <v>4.2140000000000004E-2</v>
      </c>
      <c r="K217" s="24">
        <f t="shared" si="27"/>
        <v>44701</v>
      </c>
      <c r="L217" s="29">
        <v>1.0999999999999999E-2</v>
      </c>
      <c r="P217" s="24">
        <v>45055</v>
      </c>
      <c r="Q217" s="29">
        <v>3.9140000000000001E-2</v>
      </c>
      <c r="R217" s="24">
        <v>45055</v>
      </c>
      <c r="S217" s="29">
        <v>3.9140000000000001E-2</v>
      </c>
      <c r="T217" s="24">
        <v>44701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tabSelected="1" zoomScale="70" zoomScaleNormal="70" workbookViewId="0">
      <selection activeCell="E9" sqref="E9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65"/>
    <col min="3" max="5" width="13.8984375" style="53"/>
    <col min="6" max="8" width="13.8984375" style="66"/>
    <col min="9" max="9" width="13.8984375" style="67"/>
    <col min="10" max="12" width="13.8984375" style="53"/>
    <col min="13" max="15" width="13.8984375" style="66"/>
    <col min="16" max="16" width="13.8984375" style="68"/>
    <col min="17" max="17" width="13.8984375" style="74"/>
    <col min="18" max="18" width="13.8984375" style="66"/>
    <col min="19" max="19" width="0" style="66" hidden="1" customWidth="1"/>
    <col min="20" max="20" width="13.8984375" style="68"/>
    <col min="21" max="21" width="13.8984375" style="74"/>
    <col min="22" max="22" width="13.8984375" style="66"/>
    <col min="23" max="23" width="0" style="66" hidden="1" customWidth="1"/>
    <col min="24" max="24" width="13.8984375" style="13"/>
    <col min="25" max="25" width="13.8984375" style="74"/>
    <col min="26" max="26" width="13.8984375" style="66"/>
    <col min="27" max="27" width="0" style="66" hidden="1" customWidth="1"/>
    <col min="28" max="28" width="13.8984375" style="68"/>
    <col min="29" max="29" width="13.8984375" style="74"/>
    <col min="30" max="30" width="13.8984375" style="66"/>
    <col min="31" max="31" width="0" style="66" hidden="1" customWidth="1"/>
    <col min="32" max="32" width="13.8984375" style="68"/>
    <col min="33" max="33" width="13.8984375" style="74"/>
    <col min="34" max="34" width="13.8984375" style="66"/>
    <col min="35" max="35" width="0" style="66" hidden="1" customWidth="1"/>
    <col min="36" max="36" width="13.8984375" style="68"/>
    <col min="37" max="37" width="13.8984375" style="74"/>
    <col min="38" max="38" width="13.8984375" style="66"/>
    <col min="39" max="39" width="0" style="66" hidden="1" customWidth="1"/>
    <col min="40" max="40" width="13.8984375" style="68"/>
    <col min="41" max="41" width="13.8984375" style="74"/>
    <col min="42" max="42" width="13.8984375" style="66"/>
    <col min="43" max="43" width="0" style="66" hidden="1" customWidth="1"/>
    <col min="44" max="44" width="13.8984375" style="68"/>
    <col min="45" max="45" width="13.8984375" style="74"/>
    <col min="46" max="46" width="13.8984375" style="66"/>
    <col min="47" max="47" width="0" style="66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4" t="s">
        <v>111</v>
      </c>
      <c r="C3" s="204"/>
      <c r="D3" s="205">
        <v>0</v>
      </c>
      <c r="E3" s="205"/>
      <c r="F3" s="13"/>
      <c r="G3" s="13"/>
      <c r="H3" s="13"/>
      <c r="I3" s="13"/>
      <c r="J3" s="13"/>
      <c r="K3" s="13"/>
      <c r="L3" s="70" t="s">
        <v>93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4" t="s">
        <v>55</v>
      </c>
      <c r="C4" s="204"/>
      <c r="D4" s="205">
        <v>10000</v>
      </c>
      <c r="E4" s="205"/>
      <c r="F4" s="13"/>
      <c r="G4" s="206" t="s">
        <v>73</v>
      </c>
      <c r="H4" s="207"/>
      <c r="I4" s="202">
        <v>2026.0080628226835</v>
      </c>
      <c r="J4" s="203"/>
      <c r="K4" s="13"/>
      <c r="L4" s="69">
        <v>45095.991331018522</v>
      </c>
      <c r="M4" s="1" t="s">
        <v>5</v>
      </c>
      <c r="N4" s="107" t="s">
        <v>6</v>
      </c>
      <c r="O4" s="107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4" t="s">
        <v>30</v>
      </c>
      <c r="C5" s="204"/>
      <c r="D5" s="205">
        <v>1</v>
      </c>
      <c r="E5" s="205"/>
      <c r="F5" s="13"/>
      <c r="G5" s="206" t="s">
        <v>74</v>
      </c>
      <c r="H5" s="207"/>
      <c r="I5" s="202">
        <v>2298.1066063073681</v>
      </c>
      <c r="J5" s="203"/>
      <c r="K5" s="13"/>
      <c r="L5" s="69">
        <v>45095.991354166668</v>
      </c>
      <c r="M5" s="13"/>
      <c r="N5" s="107"/>
      <c r="O5" s="107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204" t="s">
        <v>115</v>
      </c>
      <c r="C6" s="204"/>
      <c r="D6" s="205">
        <v>0</v>
      </c>
      <c r="E6" s="205"/>
      <c r="F6" s="13"/>
      <c r="G6" s="206" t="s">
        <v>106</v>
      </c>
      <c r="H6" s="207"/>
      <c r="I6" s="202">
        <v>322.01861482861113</v>
      </c>
      <c r="J6" s="203"/>
      <c r="K6" s="64"/>
      <c r="L6" s="23"/>
      <c r="M6" s="13"/>
      <c r="N6" s="107"/>
      <c r="O6" s="107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6" t="s">
        <v>88</v>
      </c>
      <c r="H7" s="207"/>
      <c r="I7" s="202">
        <v>594.1171583132957</v>
      </c>
      <c r="J7" s="203"/>
      <c r="K7" s="64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7"/>
      <c r="B10" s="201" t="s">
        <v>61</v>
      </c>
      <c r="C10" s="201"/>
      <c r="D10" s="201"/>
      <c r="E10" s="201"/>
      <c r="F10" s="201"/>
      <c r="G10" s="201"/>
      <c r="H10" s="201"/>
      <c r="I10" s="201" t="s">
        <v>64</v>
      </c>
      <c r="J10" s="201"/>
      <c r="K10" s="201"/>
      <c r="L10" s="201"/>
      <c r="M10" s="201"/>
      <c r="N10" s="201"/>
      <c r="O10" s="201"/>
      <c r="P10" s="13"/>
      <c r="Q10" s="201" t="s">
        <v>98</v>
      </c>
      <c r="R10" s="201"/>
      <c r="S10" s="13"/>
      <c r="T10" s="13"/>
      <c r="U10" s="201" t="s">
        <v>99</v>
      </c>
      <c r="V10" s="201"/>
      <c r="W10" s="13"/>
      <c r="Y10" s="201" t="s">
        <v>100</v>
      </c>
      <c r="Z10" s="201"/>
      <c r="AA10" s="13"/>
      <c r="AB10" s="13"/>
      <c r="AC10" s="201" t="s">
        <v>101</v>
      </c>
      <c r="AD10" s="201"/>
      <c r="AE10" s="13"/>
      <c r="AF10" s="13"/>
      <c r="AG10" s="201" t="s">
        <v>102</v>
      </c>
      <c r="AH10" s="201"/>
      <c r="AI10" s="13"/>
      <c r="AJ10" s="13"/>
      <c r="AK10" s="201" t="s">
        <v>103</v>
      </c>
      <c r="AL10" s="201"/>
      <c r="AM10" s="13"/>
      <c r="AN10" s="13"/>
      <c r="AO10" s="201" t="s">
        <v>104</v>
      </c>
      <c r="AP10" s="201"/>
      <c r="AQ10" s="13"/>
      <c r="AR10" s="13"/>
      <c r="AS10" s="201" t="s">
        <v>105</v>
      </c>
      <c r="AT10" s="201"/>
      <c r="AU10" s="13"/>
    </row>
    <row r="11" spans="1:47" x14ac:dyDescent="0.4">
      <c r="B11" s="48" t="s">
        <v>62</v>
      </c>
      <c r="C11" s="49" t="str">
        <f>IF(발행정보!E14=0, "금리1", "Spread1")</f>
        <v>금리1</v>
      </c>
      <c r="D11" s="50" t="str">
        <f>IF(발행정보!E23=0, "금리2", "Spread2")</f>
        <v>금리2</v>
      </c>
      <c r="E11" s="51" t="str">
        <f>IF(발행정보!E32=0, "금리3", "Spread3")</f>
        <v>금리3</v>
      </c>
      <c r="F11" s="51" t="s">
        <v>75</v>
      </c>
      <c r="G11" s="50" t="s">
        <v>66</v>
      </c>
      <c r="H11" s="51" t="s">
        <v>65</v>
      </c>
      <c r="I11" s="48" t="s">
        <v>62</v>
      </c>
      <c r="J11" s="49" t="str">
        <f>IF(발행정보!AG14=0, "금리1", "Spread1")</f>
        <v>금리1</v>
      </c>
      <c r="K11" s="50" t="str">
        <f>IF(발행정보!AG23=0, "금리2", "Spread2")</f>
        <v>금리2</v>
      </c>
      <c r="L11" s="51" t="str">
        <f>IF(발행정보!AG32=0, "금리3", "Spread3")</f>
        <v>금리3</v>
      </c>
      <c r="M11" s="51" t="s">
        <v>63</v>
      </c>
      <c r="N11" s="50" t="s">
        <v>66</v>
      </c>
      <c r="O11" s="51" t="s">
        <v>65</v>
      </c>
      <c r="P11" s="13"/>
      <c r="Q11" s="49" t="s">
        <v>96</v>
      </c>
      <c r="R11" s="66">
        <v>3.9372325676413311</v>
      </c>
      <c r="S11" s="13"/>
      <c r="T11" s="13"/>
      <c r="U11" s="49" t="s">
        <v>96</v>
      </c>
      <c r="V11" s="66">
        <v>0</v>
      </c>
      <c r="W11" s="13"/>
      <c r="Y11" s="49" t="s">
        <v>96</v>
      </c>
      <c r="Z11" s="66">
        <v>0</v>
      </c>
      <c r="AA11" s="13"/>
      <c r="AB11" s="13"/>
      <c r="AC11" s="49" t="s">
        <v>96</v>
      </c>
      <c r="AD11" s="66">
        <v>0</v>
      </c>
      <c r="AE11" s="13"/>
      <c r="AF11" s="13"/>
      <c r="AG11" s="49" t="s">
        <v>96</v>
      </c>
      <c r="AH11" s="66">
        <v>-0.60103665850465404</v>
      </c>
      <c r="AI11" s="13"/>
      <c r="AJ11" s="13"/>
      <c r="AK11" s="49" t="s">
        <v>96</v>
      </c>
      <c r="AL11" s="66">
        <v>4.4917779562588294</v>
      </c>
      <c r="AM11" s="13"/>
      <c r="AN11" s="13"/>
      <c r="AO11" s="49" t="s">
        <v>96</v>
      </c>
      <c r="AP11" s="66">
        <v>0</v>
      </c>
      <c r="AQ11" s="13"/>
      <c r="AR11" s="13"/>
      <c r="AS11" s="49" t="s">
        <v>96</v>
      </c>
      <c r="AT11" s="66">
        <v>0</v>
      </c>
      <c r="AU11" s="13"/>
    </row>
    <row r="12" spans="1:47" x14ac:dyDescent="0.4">
      <c r="B12" s="52">
        <v>44938</v>
      </c>
      <c r="C12" s="53">
        <v>3.0399999999995049E-2</v>
      </c>
      <c r="F12" s="54"/>
      <c r="G12" s="55">
        <v>76.624657534256372</v>
      </c>
      <c r="H12" s="54">
        <v>0.99199511174957522</v>
      </c>
      <c r="I12" s="52">
        <v>44938</v>
      </c>
      <c r="J12" s="53">
        <v>3.9140000000005316E-2</v>
      </c>
      <c r="M12" s="54"/>
      <c r="N12" s="55">
        <v>103.69534246577338</v>
      </c>
      <c r="O12" s="54">
        <v>0.99199511174957522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52">
        <v>45028</v>
      </c>
      <c r="C13" s="53">
        <v>3.4378190896155285E-2</v>
      </c>
      <c r="F13" s="54"/>
      <c r="G13" s="55">
        <v>84.768141935724969</v>
      </c>
      <c r="H13" s="54">
        <v>0.98364747972093602</v>
      </c>
      <c r="I13" s="52">
        <v>45028</v>
      </c>
      <c r="J13" s="53">
        <v>4.8123231419343826E-2</v>
      </c>
      <c r="M13" s="54"/>
      <c r="N13" s="55">
        <v>123.59152952714882</v>
      </c>
      <c r="O13" s="54">
        <v>0.98364747972093602</v>
      </c>
      <c r="P13" s="13"/>
      <c r="Q13" s="201" t="s">
        <v>97</v>
      </c>
      <c r="R13" s="201"/>
      <c r="S13" s="72"/>
      <c r="T13" s="13"/>
      <c r="U13" s="201" t="s">
        <v>97</v>
      </c>
      <c r="V13" s="201"/>
      <c r="W13" s="72"/>
      <c r="Y13" s="201" t="s">
        <v>97</v>
      </c>
      <c r="Z13" s="201"/>
      <c r="AA13" s="72"/>
      <c r="AB13" s="13"/>
      <c r="AC13" s="201" t="s">
        <v>97</v>
      </c>
      <c r="AD13" s="201"/>
      <c r="AE13" s="72"/>
      <c r="AF13" s="13"/>
      <c r="AG13" s="201" t="s">
        <v>97</v>
      </c>
      <c r="AH13" s="201"/>
      <c r="AI13" s="72"/>
      <c r="AJ13" s="13"/>
      <c r="AK13" s="201" t="s">
        <v>97</v>
      </c>
      <c r="AL13" s="201"/>
      <c r="AM13" s="72"/>
      <c r="AN13" s="13"/>
      <c r="AO13" s="201" t="s">
        <v>97</v>
      </c>
      <c r="AP13" s="201"/>
      <c r="AQ13" s="72"/>
      <c r="AR13" s="13"/>
      <c r="AS13" s="201" t="s">
        <v>97</v>
      </c>
      <c r="AT13" s="201"/>
      <c r="AU13" s="72"/>
    </row>
    <row r="14" spans="1:47" x14ac:dyDescent="0.4">
      <c r="B14" s="52">
        <v>45119</v>
      </c>
      <c r="C14" s="53">
        <v>3.5111098567047451E-2</v>
      </c>
      <c r="F14" s="54"/>
      <c r="G14" s="55">
        <v>87.537259441131994</v>
      </c>
      <c r="H14" s="54">
        <v>0.97509485033495003</v>
      </c>
      <c r="I14" s="52">
        <v>45119</v>
      </c>
      <c r="J14" s="53">
        <v>5.0401244090731157E-2</v>
      </c>
      <c r="M14" s="54"/>
      <c r="N14" s="55">
        <v>130.64419759606886</v>
      </c>
      <c r="O14" s="54">
        <v>0.97509485033495003</v>
      </c>
      <c r="P14" s="13"/>
      <c r="Q14" s="48" t="s">
        <v>95</v>
      </c>
      <c r="R14" s="49" t="s">
        <v>96</v>
      </c>
      <c r="S14" s="73"/>
      <c r="T14" s="13"/>
      <c r="U14" s="48" t="s">
        <v>95</v>
      </c>
      <c r="V14" s="49" t="s">
        <v>96</v>
      </c>
      <c r="W14" s="73"/>
      <c r="Y14" s="48" t="s">
        <v>95</v>
      </c>
      <c r="Z14" s="49" t="s">
        <v>96</v>
      </c>
      <c r="AA14" s="73"/>
      <c r="AB14" s="13"/>
      <c r="AC14" s="48" t="s">
        <v>95</v>
      </c>
      <c r="AD14" s="49" t="s">
        <v>96</v>
      </c>
      <c r="AE14" s="73"/>
      <c r="AF14" s="13"/>
      <c r="AG14" s="48" t="s">
        <v>95</v>
      </c>
      <c r="AH14" s="49" t="s">
        <v>96</v>
      </c>
      <c r="AI14" s="73"/>
      <c r="AJ14" s="13"/>
      <c r="AK14" s="48" t="s">
        <v>95</v>
      </c>
      <c r="AL14" s="49" t="s">
        <v>96</v>
      </c>
      <c r="AM14" s="73"/>
      <c r="AN14" s="13"/>
      <c r="AO14" s="48" t="s">
        <v>95</v>
      </c>
      <c r="AP14" s="49" t="s">
        <v>96</v>
      </c>
      <c r="AQ14" s="73"/>
      <c r="AR14" s="13"/>
      <c r="AS14" s="48" t="s">
        <v>95</v>
      </c>
      <c r="AT14" s="49" t="s">
        <v>96</v>
      </c>
      <c r="AU14" s="73"/>
    </row>
    <row r="15" spans="1:47" x14ac:dyDescent="0.4">
      <c r="B15" s="52">
        <v>45211</v>
      </c>
      <c r="C15" s="53">
        <v>3.6130256699032519E-2</v>
      </c>
      <c r="F15" s="54"/>
      <c r="G15" s="55">
        <v>91.068044282493403</v>
      </c>
      <c r="H15" s="54">
        <v>0.96627997279492805</v>
      </c>
      <c r="I15" s="52">
        <v>45211</v>
      </c>
      <c r="J15" s="53">
        <v>5.3529119134228004E-2</v>
      </c>
      <c r="M15" s="54"/>
      <c r="N15" s="55">
        <v>139.96380713284893</v>
      </c>
      <c r="O15" s="54">
        <v>0.96627997279492805</v>
      </c>
      <c r="P15" s="13"/>
      <c r="Q15" s="74">
        <v>2.7397260273972603E-3</v>
      </c>
      <c r="R15" s="66">
        <v>-1.1160494399518939E-2</v>
      </c>
      <c r="T15" s="13"/>
      <c r="U15" s="74">
        <v>0.25</v>
      </c>
      <c r="V15" s="66">
        <v>0</v>
      </c>
      <c r="Y15" s="74">
        <v>2.7397260273972603E-3</v>
      </c>
      <c r="Z15" s="66">
        <v>0</v>
      </c>
      <c r="AC15" s="74">
        <v>2.7397260273972603E-3</v>
      </c>
      <c r="AD15" s="66">
        <v>0</v>
      </c>
      <c r="AG15" s="74">
        <v>2.7397260273972603E-3</v>
      </c>
      <c r="AH15" s="66">
        <v>-3.5130256492266199E-5</v>
      </c>
      <c r="AK15" s="74">
        <v>0.25</v>
      </c>
      <c r="AL15" s="66">
        <v>0</v>
      </c>
      <c r="AO15" s="74">
        <v>2.7397260273972603E-3</v>
      </c>
      <c r="AP15" s="66">
        <v>0</v>
      </c>
      <c r="AS15" s="74">
        <v>2.7397260273972603E-3</v>
      </c>
      <c r="AT15" s="66">
        <v>0</v>
      </c>
    </row>
    <row r="16" spans="1:47" x14ac:dyDescent="0.4">
      <c r="B16" s="52">
        <v>45303</v>
      </c>
      <c r="C16" s="53">
        <v>4.7802131593179496E-2</v>
      </c>
      <c r="F16" s="54"/>
      <c r="G16" s="55">
        <v>120.48756456363029</v>
      </c>
      <c r="H16" s="54">
        <v>0.9546665212442762</v>
      </c>
      <c r="I16" s="52">
        <v>45303</v>
      </c>
      <c r="J16" s="53">
        <v>4.8522778742439314E-2</v>
      </c>
      <c r="M16" s="54"/>
      <c r="N16" s="55">
        <v>127.34508614532574</v>
      </c>
      <c r="O16" s="54">
        <v>0.9546665212442762</v>
      </c>
      <c r="P16" s="13"/>
      <c r="Q16" s="74">
        <v>0.25</v>
      </c>
      <c r="R16" s="66">
        <v>-0.2270250721226148</v>
      </c>
      <c r="T16" s="13"/>
      <c r="U16" s="74">
        <v>0.5</v>
      </c>
      <c r="V16" s="66">
        <v>0</v>
      </c>
      <c r="Y16" s="74">
        <v>0.25</v>
      </c>
      <c r="Z16" s="66">
        <v>0</v>
      </c>
      <c r="AC16" s="74">
        <v>0.25</v>
      </c>
      <c r="AD16" s="66">
        <v>0</v>
      </c>
      <c r="AG16" s="74">
        <v>0.25</v>
      </c>
      <c r="AH16" s="66">
        <v>-2.6654963216969918E-3</v>
      </c>
      <c r="AK16" s="74">
        <v>0.5</v>
      </c>
      <c r="AL16" s="66">
        <v>7.1342802798426419E-3</v>
      </c>
      <c r="AO16" s="74">
        <v>0.25</v>
      </c>
      <c r="AP16" s="66">
        <v>0</v>
      </c>
      <c r="AS16" s="74">
        <v>0.25</v>
      </c>
      <c r="AT16" s="66">
        <v>0</v>
      </c>
    </row>
    <row r="17" spans="2:46" x14ac:dyDescent="0.4">
      <c r="B17" s="52">
        <v>45394</v>
      </c>
      <c r="C17" s="53">
        <v>5.3933757920992059E-2</v>
      </c>
      <c r="F17" s="54"/>
      <c r="G17" s="55">
        <v>134.46498550165111</v>
      </c>
      <c r="H17" s="54">
        <v>0.94196893033376539</v>
      </c>
      <c r="I17" s="52">
        <v>45394</v>
      </c>
      <c r="J17" s="53">
        <v>4.7907169018241463E-2</v>
      </c>
      <c r="M17" s="54"/>
      <c r="N17" s="55">
        <v>124.42609262082124</v>
      </c>
      <c r="O17" s="54">
        <v>0.94196893033376539</v>
      </c>
      <c r="P17" s="13"/>
      <c r="Q17" s="74">
        <v>0.5</v>
      </c>
      <c r="R17" s="66">
        <v>3.0021330530871637E-5</v>
      </c>
      <c r="T17" s="13"/>
      <c r="U17" s="74">
        <v>1</v>
      </c>
      <c r="V17" s="66">
        <v>0</v>
      </c>
      <c r="Y17" s="74">
        <v>0.5</v>
      </c>
      <c r="Z17" s="66">
        <v>0</v>
      </c>
      <c r="AC17" s="74">
        <v>0.5</v>
      </c>
      <c r="AD17" s="66">
        <v>0</v>
      </c>
      <c r="AG17" s="74">
        <v>0.5</v>
      </c>
      <c r="AH17" s="66">
        <v>-1.084983936198114E-2</v>
      </c>
      <c r="AK17" s="74">
        <v>1</v>
      </c>
      <c r="AL17" s="66">
        <v>4.1885666169946489E-2</v>
      </c>
      <c r="AO17" s="74">
        <v>0.5</v>
      </c>
      <c r="AP17" s="66">
        <v>0</v>
      </c>
      <c r="AS17" s="74">
        <v>0.5</v>
      </c>
      <c r="AT17" s="66">
        <v>0</v>
      </c>
    </row>
    <row r="18" spans="2:46" x14ac:dyDescent="0.4">
      <c r="B18" s="52">
        <v>45485</v>
      </c>
      <c r="C18" s="53">
        <v>4.8640029382442267E-2</v>
      </c>
      <c r="F18" s="54"/>
      <c r="G18" s="55">
        <v>121.2669225699251</v>
      </c>
      <c r="H18" s="54">
        <v>0.93076792847834811</v>
      </c>
      <c r="I18" s="52">
        <v>45485</v>
      </c>
      <c r="J18" s="53">
        <v>4.7657285651697155E-2</v>
      </c>
      <c r="M18" s="54"/>
      <c r="N18" s="55">
        <v>123.80309573436878</v>
      </c>
      <c r="O18" s="54">
        <v>0.93076792847834811</v>
      </c>
      <c r="P18" s="13"/>
      <c r="Q18" s="74">
        <v>1</v>
      </c>
      <c r="R18" s="66">
        <v>2.9139673551981105E-4</v>
      </c>
      <c r="T18" s="13"/>
      <c r="U18" s="74">
        <v>2</v>
      </c>
      <c r="V18" s="66">
        <v>0</v>
      </c>
      <c r="Y18" s="74">
        <v>1</v>
      </c>
      <c r="Z18" s="66">
        <v>0</v>
      </c>
      <c r="AC18" s="74">
        <v>1</v>
      </c>
      <c r="AD18" s="66">
        <v>0</v>
      </c>
      <c r="AG18" s="74">
        <v>1</v>
      </c>
      <c r="AH18" s="66">
        <v>-2.5714030473409366E-2</v>
      </c>
      <c r="AK18" s="74">
        <v>2</v>
      </c>
      <c r="AL18" s="66">
        <v>8.2719053650635033E-2</v>
      </c>
      <c r="AO18" s="74">
        <v>1</v>
      </c>
      <c r="AP18" s="66">
        <v>0</v>
      </c>
      <c r="AS18" s="74">
        <v>1</v>
      </c>
      <c r="AT18" s="66">
        <v>0</v>
      </c>
    </row>
    <row r="19" spans="2:46" x14ac:dyDescent="0.4">
      <c r="B19" s="52">
        <v>45577</v>
      </c>
      <c r="C19" s="53">
        <v>5.0517103046467504E-2</v>
      </c>
      <c r="F19" s="54"/>
      <c r="G19" s="55">
        <v>127.33078028150732</v>
      </c>
      <c r="H19" s="54">
        <v>0.91909077917057191</v>
      </c>
      <c r="I19" s="52">
        <v>45577</v>
      </c>
      <c r="J19" s="53">
        <v>4.7444863752257843E-2</v>
      </c>
      <c r="M19" s="54"/>
      <c r="N19" s="55">
        <v>124.62814973171741</v>
      </c>
      <c r="O19" s="54">
        <v>0.91909077917057191</v>
      </c>
      <c r="P19" s="13"/>
      <c r="Q19" s="74">
        <v>1.5</v>
      </c>
      <c r="R19" s="66">
        <v>-1.3165468840270478E-4</v>
      </c>
      <c r="T19" s="13"/>
      <c r="U19" s="74">
        <v>3</v>
      </c>
      <c r="V19" s="66">
        <v>0</v>
      </c>
      <c r="Y19" s="74">
        <v>1.5</v>
      </c>
      <c r="Z19" s="66">
        <v>0</v>
      </c>
      <c r="AC19" s="74">
        <v>1.5</v>
      </c>
      <c r="AD19" s="66">
        <v>0</v>
      </c>
      <c r="AG19" s="74">
        <v>1.5</v>
      </c>
      <c r="AH19" s="66">
        <v>-3.5234063599546062E-2</v>
      </c>
      <c r="AK19" s="74">
        <v>3</v>
      </c>
      <c r="AL19" s="66">
        <v>0.19499782010325362</v>
      </c>
      <c r="AO19" s="74">
        <v>1.5</v>
      </c>
      <c r="AP19" s="66">
        <v>0</v>
      </c>
      <c r="AS19" s="74">
        <v>1.5</v>
      </c>
      <c r="AT19" s="66">
        <v>0</v>
      </c>
    </row>
    <row r="20" spans="2:46" x14ac:dyDescent="0.4">
      <c r="B20" s="52">
        <v>45669</v>
      </c>
      <c r="C20" s="53">
        <v>4.3670638593475933E-2</v>
      </c>
      <c r="F20" s="54"/>
      <c r="G20" s="56">
        <v>110.0739383725966</v>
      </c>
      <c r="H20" s="54">
        <v>0.90920998308325152</v>
      </c>
      <c r="I20" s="52">
        <v>45669</v>
      </c>
      <c r="J20" s="53">
        <v>4.8730782479735377E-2</v>
      </c>
      <c r="M20" s="54"/>
      <c r="N20" s="56">
        <v>127.86936953796204</v>
      </c>
      <c r="O20" s="54">
        <v>0.90920998308325152</v>
      </c>
      <c r="P20" s="13"/>
      <c r="Q20" s="74">
        <v>2</v>
      </c>
      <c r="R20" s="66">
        <v>-1.0646059035934741E-3</v>
      </c>
      <c r="T20" s="13"/>
      <c r="U20" s="74">
        <v>5</v>
      </c>
      <c r="V20" s="66">
        <v>0</v>
      </c>
      <c r="Y20" s="74">
        <v>2</v>
      </c>
      <c r="Z20" s="66">
        <v>0</v>
      </c>
      <c r="AC20" s="74">
        <v>2</v>
      </c>
      <c r="AD20" s="66">
        <v>0</v>
      </c>
      <c r="AG20" s="74">
        <v>2</v>
      </c>
      <c r="AH20" s="66">
        <v>-3.2612128848995781E-2</v>
      </c>
      <c r="AK20" s="74">
        <v>5</v>
      </c>
      <c r="AL20" s="66">
        <v>3.8922243233027984</v>
      </c>
      <c r="AO20" s="74">
        <v>2</v>
      </c>
      <c r="AP20" s="66">
        <v>0</v>
      </c>
      <c r="AS20" s="74">
        <v>2</v>
      </c>
      <c r="AT20" s="66">
        <v>0</v>
      </c>
    </row>
    <row r="21" spans="2:46" x14ac:dyDescent="0.4">
      <c r="B21" s="52">
        <v>45759</v>
      </c>
      <c r="C21" s="53">
        <v>4.3479714090779109E-2</v>
      </c>
      <c r="F21" s="54"/>
      <c r="G21" s="56">
        <v>107.21025392246821</v>
      </c>
      <c r="H21" s="54">
        <v>0.89961975899451241</v>
      </c>
      <c r="I21" s="52">
        <v>45759</v>
      </c>
      <c r="J21" s="53">
        <v>4.8864161083876159E-2</v>
      </c>
      <c r="M21" s="54"/>
      <c r="N21" s="56">
        <v>125.41847938490021</v>
      </c>
      <c r="O21" s="54">
        <v>0.89961975899451241</v>
      </c>
      <c r="P21" s="13"/>
      <c r="Q21" s="74">
        <v>2</v>
      </c>
      <c r="R21" s="66">
        <v>5.6880279271354084E-4</v>
      </c>
      <c r="T21" s="13"/>
      <c r="U21" s="74">
        <v>7</v>
      </c>
      <c r="V21" s="66">
        <v>0</v>
      </c>
      <c r="Y21" s="74">
        <v>3</v>
      </c>
      <c r="Z21" s="66">
        <v>0</v>
      </c>
      <c r="AC21" s="74">
        <v>3</v>
      </c>
      <c r="AD21" s="66">
        <v>0</v>
      </c>
      <c r="AG21" s="74">
        <v>2</v>
      </c>
      <c r="AH21" s="66">
        <v>-4.1840587124625017E-2</v>
      </c>
      <c r="AK21" s="74">
        <v>7</v>
      </c>
      <c r="AL21" s="66">
        <v>0.51023248191131643</v>
      </c>
      <c r="AO21" s="74">
        <v>3</v>
      </c>
      <c r="AP21" s="66">
        <v>0</v>
      </c>
      <c r="AS21" s="74">
        <v>3</v>
      </c>
      <c r="AT21" s="66">
        <v>0</v>
      </c>
    </row>
    <row r="22" spans="2:46" x14ac:dyDescent="0.4">
      <c r="B22" s="52">
        <v>45850</v>
      </c>
      <c r="C22" s="53">
        <v>4.36912557425101E-2</v>
      </c>
      <c r="F22" s="54"/>
      <c r="G22" s="56">
        <v>108.92888417995688</v>
      </c>
      <c r="H22" s="54">
        <v>0.8899892067300339</v>
      </c>
      <c r="I22" s="52">
        <v>45850</v>
      </c>
      <c r="J22" s="53">
        <v>4.9048067270933089E-2</v>
      </c>
      <c r="M22" s="54"/>
      <c r="N22" s="56">
        <v>127.27052388095652</v>
      </c>
      <c r="O22" s="54">
        <v>0.8899892067300339</v>
      </c>
      <c r="P22" s="13"/>
      <c r="Q22" s="74">
        <v>3</v>
      </c>
      <c r="R22" s="66">
        <v>-6.9805584575988178E-4</v>
      </c>
      <c r="T22" s="13"/>
      <c r="U22" s="74">
        <v>10</v>
      </c>
      <c r="V22" s="66">
        <v>0</v>
      </c>
      <c r="Y22" s="74">
        <v>4</v>
      </c>
      <c r="Z22" s="66">
        <v>0</v>
      </c>
      <c r="AC22" s="74">
        <v>4</v>
      </c>
      <c r="AD22" s="66">
        <v>0</v>
      </c>
      <c r="AG22" s="74">
        <v>3</v>
      </c>
      <c r="AH22" s="66">
        <v>-0.13112500848455966</v>
      </c>
      <c r="AK22" s="74">
        <v>10</v>
      </c>
      <c r="AL22" s="66">
        <v>0</v>
      </c>
      <c r="AO22" s="74">
        <v>4</v>
      </c>
      <c r="AP22" s="66">
        <v>0</v>
      </c>
      <c r="AS22" s="74">
        <v>4</v>
      </c>
      <c r="AT22" s="66">
        <v>0</v>
      </c>
    </row>
    <row r="23" spans="2:46" x14ac:dyDescent="0.4">
      <c r="B23" s="52">
        <v>45942</v>
      </c>
      <c r="C23" s="53">
        <v>4.3855935078314534E-2</v>
      </c>
      <c r="F23" s="54"/>
      <c r="G23" s="56">
        <v>110.54098704671064</v>
      </c>
      <c r="H23" s="54">
        <v>0.88033812430636349</v>
      </c>
      <c r="I23" s="52">
        <v>45942</v>
      </c>
      <c r="J23" s="53">
        <v>4.9246278787305878E-2</v>
      </c>
      <c r="M23" s="54"/>
      <c r="N23" s="56">
        <v>129.16870269677077</v>
      </c>
      <c r="O23" s="54">
        <v>0.88033812430636349</v>
      </c>
      <c r="P23" s="13"/>
      <c r="Q23" s="74">
        <v>4</v>
      </c>
      <c r="R23" s="66">
        <v>-2.3747260941036075E-3</v>
      </c>
      <c r="T23" s="13"/>
      <c r="U23" s="74">
        <v>20</v>
      </c>
      <c r="V23" s="66">
        <v>0</v>
      </c>
      <c r="Y23" s="74">
        <v>5</v>
      </c>
      <c r="Z23" s="66">
        <v>0</v>
      </c>
      <c r="AC23" s="74">
        <v>5</v>
      </c>
      <c r="AD23" s="66">
        <v>0</v>
      </c>
      <c r="AG23" s="74">
        <v>4</v>
      </c>
      <c r="AH23" s="66">
        <v>-0.15852624614990418</v>
      </c>
      <c r="AK23" s="74">
        <v>20</v>
      </c>
      <c r="AL23" s="66">
        <v>0</v>
      </c>
      <c r="AO23" s="74">
        <v>5</v>
      </c>
      <c r="AP23" s="66">
        <v>0</v>
      </c>
      <c r="AS23" s="74">
        <v>5</v>
      </c>
      <c r="AT23" s="66">
        <v>0</v>
      </c>
    </row>
    <row r="24" spans="2:46" x14ac:dyDescent="0.4">
      <c r="B24" s="52">
        <v>46034</v>
      </c>
      <c r="C24" s="53">
        <v>4.6216711921259909E-2</v>
      </c>
      <c r="F24" s="54"/>
      <c r="G24" s="56">
        <v>116.49143826728543</v>
      </c>
      <c r="H24" s="54">
        <v>0.87026809357994928</v>
      </c>
      <c r="I24" s="52">
        <v>46034</v>
      </c>
      <c r="J24" s="53">
        <v>4.6320646904621746E-2</v>
      </c>
      <c r="M24" s="54"/>
      <c r="N24" s="56">
        <v>121.7945072664438</v>
      </c>
      <c r="O24" s="54">
        <v>0.87026809357994928</v>
      </c>
      <c r="P24" s="13"/>
      <c r="Q24" s="74">
        <v>5</v>
      </c>
      <c r="R24" s="66">
        <v>3.9771854043269741</v>
      </c>
      <c r="T24" s="13"/>
      <c r="U24" s="74">
        <v>30</v>
      </c>
      <c r="V24" s="66">
        <v>0</v>
      </c>
      <c r="Y24" s="74">
        <v>6</v>
      </c>
      <c r="Z24" s="66">
        <v>0</v>
      </c>
      <c r="AC24" s="74">
        <v>6</v>
      </c>
      <c r="AD24" s="66">
        <v>0</v>
      </c>
      <c r="AG24" s="74">
        <v>5</v>
      </c>
      <c r="AH24" s="66">
        <v>-0.15990597288964636</v>
      </c>
      <c r="AK24" s="74">
        <v>30</v>
      </c>
      <c r="AL24" s="66">
        <v>0</v>
      </c>
      <c r="AO24" s="74">
        <v>6</v>
      </c>
      <c r="AP24" s="66">
        <v>0</v>
      </c>
      <c r="AS24" s="74">
        <v>6</v>
      </c>
      <c r="AT24" s="66">
        <v>0</v>
      </c>
    </row>
    <row r="25" spans="2:46" x14ac:dyDescent="0.4">
      <c r="B25" s="52">
        <v>46124</v>
      </c>
      <c r="C25" s="53">
        <v>4.6881969475330208E-2</v>
      </c>
      <c r="F25" s="54"/>
      <c r="G25" s="56">
        <v>115.59937678848573</v>
      </c>
      <c r="H25" s="54">
        <v>0.86042164520010178</v>
      </c>
      <c r="I25" s="52">
        <v>46124</v>
      </c>
      <c r="J25" s="53">
        <v>4.587449693971192E-2</v>
      </c>
      <c r="M25" s="54"/>
      <c r="N25" s="56">
        <v>118.04670478285155</v>
      </c>
      <c r="O25" s="54">
        <v>0.86042164520010178</v>
      </c>
      <c r="P25" s="13"/>
      <c r="Q25" s="74">
        <v>10</v>
      </c>
      <c r="R25" s="66">
        <v>0.20163804991670986</v>
      </c>
      <c r="T25" s="13"/>
      <c r="Y25" s="74">
        <v>7</v>
      </c>
      <c r="Z25" s="66">
        <v>0</v>
      </c>
      <c r="AC25" s="74">
        <v>7</v>
      </c>
      <c r="AD25" s="66">
        <v>0</v>
      </c>
      <c r="AG25" s="74">
        <v>10</v>
      </c>
      <c r="AH25" s="66">
        <v>-2.5556388009135844E-3</v>
      </c>
      <c r="AO25" s="74">
        <v>7</v>
      </c>
      <c r="AP25" s="66">
        <v>0</v>
      </c>
      <c r="AS25" s="74">
        <v>7</v>
      </c>
      <c r="AT25" s="66">
        <v>0</v>
      </c>
    </row>
    <row r="26" spans="2:46" x14ac:dyDescent="0.4">
      <c r="B26" s="52">
        <v>46215</v>
      </c>
      <c r="C26" s="53">
        <v>4.743725789084647E-2</v>
      </c>
      <c r="F26" s="54"/>
      <c r="G26" s="56">
        <v>118.268232001836</v>
      </c>
      <c r="H26" s="54">
        <v>0.8504829323204699</v>
      </c>
      <c r="I26" s="52">
        <v>46215</v>
      </c>
      <c r="J26" s="53">
        <v>4.5592730724783752E-2</v>
      </c>
      <c r="M26" s="54"/>
      <c r="N26" s="56">
        <v>118.65584920425597</v>
      </c>
      <c r="O26" s="54">
        <v>0.8504829323204699</v>
      </c>
      <c r="P26" s="13"/>
      <c r="Q26" s="74">
        <v>20</v>
      </c>
      <c r="R26" s="66">
        <v>0</v>
      </c>
      <c r="T26" s="13"/>
      <c r="Y26" s="74">
        <v>8</v>
      </c>
      <c r="Z26" s="66">
        <v>0</v>
      </c>
      <c r="AC26" s="74">
        <v>8</v>
      </c>
      <c r="AD26" s="66">
        <v>0</v>
      </c>
      <c r="AG26" s="74">
        <v>20</v>
      </c>
      <c r="AH26" s="66">
        <v>0</v>
      </c>
      <c r="AO26" s="74">
        <v>8</v>
      </c>
      <c r="AP26" s="66">
        <v>0</v>
      </c>
      <c r="AS26" s="74">
        <v>8</v>
      </c>
      <c r="AT26" s="66">
        <v>0</v>
      </c>
    </row>
    <row r="27" spans="2:46" x14ac:dyDescent="0.4">
      <c r="B27" s="52">
        <v>46307</v>
      </c>
      <c r="C27" s="53">
        <v>4.8027010457443391E-2</v>
      </c>
      <c r="F27" s="54"/>
      <c r="G27" s="56">
        <v>121.05438252287074</v>
      </c>
      <c r="H27" s="54">
        <v>0.84044469811790423</v>
      </c>
      <c r="I27" s="52">
        <v>46307</v>
      </c>
      <c r="J27" s="53">
        <v>4.5254931593260411E-2</v>
      </c>
      <c r="M27" s="54"/>
      <c r="N27" s="56">
        <v>119.10832072821843</v>
      </c>
      <c r="O27" s="54">
        <v>0.84044469811790423</v>
      </c>
      <c r="P27" s="13"/>
      <c r="Q27" s="74">
        <v>30</v>
      </c>
      <c r="R27" s="66">
        <v>0</v>
      </c>
      <c r="T27" s="13"/>
      <c r="Y27" s="74">
        <v>9</v>
      </c>
      <c r="Z27" s="66">
        <v>0</v>
      </c>
      <c r="AC27" s="74">
        <v>9</v>
      </c>
      <c r="AD27" s="66">
        <v>0</v>
      </c>
      <c r="AG27" s="74">
        <v>30</v>
      </c>
      <c r="AH27" s="66">
        <v>0</v>
      </c>
      <c r="AO27" s="74">
        <v>9</v>
      </c>
      <c r="AP27" s="66">
        <v>0</v>
      </c>
      <c r="AS27" s="74">
        <v>9</v>
      </c>
      <c r="AT27" s="66">
        <v>0</v>
      </c>
    </row>
    <row r="28" spans="2:46" x14ac:dyDescent="0.4">
      <c r="B28" s="52">
        <v>46399</v>
      </c>
      <c r="C28" s="53">
        <v>4.2331404426387338E-2</v>
      </c>
      <c r="F28" s="54"/>
      <c r="G28" s="56">
        <v>106.69833444459196</v>
      </c>
      <c r="H28" s="54">
        <v>0.83177396258575298</v>
      </c>
      <c r="I28" s="52">
        <v>46399</v>
      </c>
      <c r="J28" s="53">
        <v>4.4868893783017678E-2</v>
      </c>
      <c r="M28" s="54"/>
      <c r="N28" s="56">
        <v>118.13529391883864</v>
      </c>
      <c r="O28" s="54">
        <v>0.83177396258575298</v>
      </c>
      <c r="P28" s="13"/>
      <c r="T28" s="13"/>
      <c r="Y28" s="74">
        <v>10</v>
      </c>
      <c r="Z28" s="66">
        <v>0</v>
      </c>
      <c r="AC28" s="74">
        <v>10</v>
      </c>
      <c r="AD28" s="66">
        <v>0</v>
      </c>
      <c r="AO28" s="74">
        <v>10</v>
      </c>
      <c r="AP28" s="66">
        <v>0</v>
      </c>
      <c r="AS28" s="74">
        <v>10</v>
      </c>
      <c r="AT28" s="66">
        <v>0</v>
      </c>
    </row>
    <row r="29" spans="2:46" x14ac:dyDescent="0.4">
      <c r="B29" s="52">
        <v>46489</v>
      </c>
      <c r="C29" s="53">
        <v>4.1977158894301106E-2</v>
      </c>
      <c r="F29" s="54"/>
      <c r="G29" s="56">
        <v>103.50532330101633</v>
      </c>
      <c r="H29" s="54">
        <v>0.823412350086977</v>
      </c>
      <c r="I29" s="52">
        <v>46489</v>
      </c>
      <c r="J29" s="53">
        <v>4.463025000862892E-2</v>
      </c>
      <c r="M29" s="54"/>
      <c r="N29" s="56">
        <v>114.97869865141369</v>
      </c>
      <c r="O29" s="54">
        <v>0.823412350086977</v>
      </c>
      <c r="P29" s="13"/>
      <c r="T29" s="13"/>
      <c r="Y29" s="74">
        <v>12</v>
      </c>
      <c r="Z29" s="66">
        <v>0</v>
      </c>
      <c r="AC29" s="74">
        <v>12</v>
      </c>
      <c r="AD29" s="66">
        <v>0</v>
      </c>
      <c r="AO29" s="74">
        <v>12</v>
      </c>
      <c r="AP29" s="66">
        <v>0</v>
      </c>
      <c r="AS29" s="74">
        <v>12</v>
      </c>
      <c r="AT29" s="66">
        <v>0</v>
      </c>
    </row>
    <row r="30" spans="2:46" x14ac:dyDescent="0.4">
      <c r="B30" s="52">
        <v>46580</v>
      </c>
      <c r="C30" s="53">
        <v>4.180669430663056E-2</v>
      </c>
      <c r="F30" s="54"/>
      <c r="G30" s="56">
        <v>104.2303885452981</v>
      </c>
      <c r="H30" s="54">
        <v>0.81511530458079573</v>
      </c>
      <c r="I30" s="52">
        <v>46580</v>
      </c>
      <c r="J30" s="53">
        <v>4.4231810905297743E-2</v>
      </c>
      <c r="M30" s="54"/>
      <c r="N30" s="56">
        <v>115.26287102416777</v>
      </c>
      <c r="O30" s="54">
        <v>0.81511530458079573</v>
      </c>
      <c r="P30" s="13"/>
      <c r="T30" s="13"/>
      <c r="Y30" s="74">
        <v>15</v>
      </c>
      <c r="Z30" s="66">
        <v>0</v>
      </c>
      <c r="AC30" s="74">
        <v>15</v>
      </c>
      <c r="AD30" s="66">
        <v>0</v>
      </c>
      <c r="AO30" s="74">
        <v>15</v>
      </c>
      <c r="AP30" s="66">
        <v>0</v>
      </c>
      <c r="AS30" s="74">
        <v>15</v>
      </c>
      <c r="AT30" s="66">
        <v>0</v>
      </c>
    </row>
    <row r="31" spans="2:46" x14ac:dyDescent="0.4">
      <c r="B31" s="52">
        <v>46672</v>
      </c>
      <c r="C31" s="53">
        <v>4.1682522862757011E-2</v>
      </c>
      <c r="F31" s="54"/>
      <c r="G31" s="56">
        <v>105.06279735270259</v>
      </c>
      <c r="H31" s="54">
        <v>0.80685839376041602</v>
      </c>
      <c r="I31" s="52">
        <v>46672</v>
      </c>
      <c r="J31" s="53">
        <v>4.3885483201445551E-2</v>
      </c>
      <c r="M31" s="54"/>
      <c r="N31" s="56">
        <v>115.65656039816363</v>
      </c>
      <c r="O31" s="54">
        <v>0.80685839376041602</v>
      </c>
      <c r="P31" s="13"/>
      <c r="T31" s="13"/>
      <c r="Y31" s="74">
        <v>20</v>
      </c>
      <c r="Z31" s="66">
        <v>0</v>
      </c>
      <c r="AC31" s="74">
        <v>20</v>
      </c>
      <c r="AD31" s="66">
        <v>0</v>
      </c>
      <c r="AO31" s="74">
        <v>20</v>
      </c>
      <c r="AP31" s="66">
        <v>0</v>
      </c>
      <c r="AS31" s="74">
        <v>20</v>
      </c>
      <c r="AT31" s="66">
        <v>0</v>
      </c>
    </row>
    <row r="32" spans="2:46" x14ac:dyDescent="0.4">
      <c r="B32" s="52">
        <v>46764</v>
      </c>
      <c r="C32" s="53">
        <v>4.4217931398292956E-2</v>
      </c>
      <c r="F32" s="54"/>
      <c r="G32" s="56">
        <v>111.4534161272037</v>
      </c>
      <c r="H32" s="54">
        <v>0.79819412290771896</v>
      </c>
      <c r="I32" s="52">
        <v>46764</v>
      </c>
      <c r="J32" s="53">
        <v>4.6534851080385645E-2</v>
      </c>
      <c r="M32" s="54"/>
      <c r="N32" s="56">
        <v>122.3344191615202</v>
      </c>
      <c r="O32" s="54">
        <v>0.79819412290771896</v>
      </c>
      <c r="P32" s="13"/>
      <c r="T32" s="13"/>
    </row>
    <row r="33" spans="2:20" x14ac:dyDescent="0.4">
      <c r="B33" s="52"/>
      <c r="F33" s="54"/>
      <c r="G33" s="56"/>
      <c r="H33" s="54"/>
      <c r="I33" s="52"/>
      <c r="M33" s="54"/>
      <c r="N33" s="56"/>
      <c r="O33" s="54"/>
      <c r="P33" s="13"/>
      <c r="T33" s="13"/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2023-06-18T14:47:39Z</dcterms:modified>
</cp:coreProperties>
</file>